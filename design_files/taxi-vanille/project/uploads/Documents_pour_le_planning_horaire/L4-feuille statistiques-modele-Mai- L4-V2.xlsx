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ivanille.sharepoint.com/sites/GPE-TAXIVANILLE/GPETAXIVANILLE/PROD/DIRECTION/@ CARIBUS N°2 CADEMA/FEUILLES DE POINTAGE/"/>
    </mc:Choice>
  </mc:AlternateContent>
  <xr:revisionPtr revIDLastSave="235" documentId="8_{F06ED2FE-4692-4BBC-A33F-F35D32913CC7}" xr6:coauthVersionLast="47" xr6:coauthVersionMax="47" xr10:uidLastSave="{9E5A184B-A10C-47B9-8A60-D4C6816B074A}"/>
  <bookViews>
    <workbookView xWindow="-98" yWindow="-98" windowWidth="21795" windowHeight="13695" firstSheet="10" activeTab="11" xr2:uid="{057DDB89-791E-439E-948E-E02B055A9F9A}"/>
  </bookViews>
  <sheets>
    <sheet name="Feuil1" sheetId="1" state="hidden" r:id="rId1"/>
    <sheet name="REUNION DU 28.04" sheetId="29" state="hidden" r:id="rId2"/>
    <sheet name="Feuille saisie" sheetId="7" r:id="rId3"/>
    <sheet name="Feuille saisie samedi" sheetId="36" r:id="rId4"/>
    <sheet name="Feuille saisie dimanche 1" sheetId="39" r:id="rId5"/>
    <sheet name="Feuille saisie dimanche 2" sheetId="40" r:id="rId6"/>
    <sheet name="coordinateur matin" sheetId="15" r:id="rId7"/>
    <sheet name="coordinateur samedi" sheetId="41" r:id="rId8"/>
    <sheet name="coordinateur dimanche1" sheetId="42" r:id="rId9"/>
    <sheet name="coordinateur dimanche2" sheetId="43" r:id="rId10"/>
    <sheet name="Liste chauffeur" sheetId="17" r:id="rId11"/>
    <sheet name="Horaire" sheetId="28" r:id="rId12"/>
    <sheet name="Horaire samedi" sheetId="34" r:id="rId13"/>
    <sheet name="Horaire dimanche1" sheetId="37" r:id="rId14"/>
    <sheet name="Horaire dimanche2" sheetId="38" r:id="rId15"/>
    <sheet name="Organisation L4" sheetId="44" r:id="rId16"/>
    <sheet name="Recap par chauffeur-L4" sheetId="45" r:id="rId17"/>
    <sheet name="C2" sheetId="8" state="hidden" r:id="rId18"/>
    <sheet name="C3" sheetId="9" state="hidden" r:id="rId19"/>
    <sheet name="C4" sheetId="10" state="hidden" r:id="rId20"/>
    <sheet name="C5" sheetId="11" state="hidden" r:id="rId21"/>
    <sheet name="C6" sheetId="12" state="hidden" r:id="rId22"/>
    <sheet name="C7" sheetId="13" state="hidden" r:id="rId23"/>
    <sheet name="C8" sheetId="14" state="hidden" r:id="rId24"/>
    <sheet name="C9" sheetId="18" state="hidden" r:id="rId25"/>
    <sheet name="C10" sheetId="19" state="hidden" r:id="rId26"/>
    <sheet name="C11" sheetId="20" state="hidden" r:id="rId27"/>
    <sheet name="C12" sheetId="21" state="hidden" r:id="rId28"/>
    <sheet name="C13" sheetId="22" state="hidden" r:id="rId29"/>
    <sheet name="C14" sheetId="23" state="hidden" r:id="rId30"/>
    <sheet name="C15" sheetId="25" state="hidden" r:id="rId31"/>
    <sheet name="C16" sheetId="24" state="hidden" r:id="rId32"/>
    <sheet name="C17" sheetId="16" state="hidden" r:id="rId33"/>
    <sheet name="Statistiques" sheetId="6" state="hidden" r:id="rId34"/>
  </sheets>
  <externalReferences>
    <externalReference r:id="rId35"/>
  </externalReferences>
  <definedNames>
    <definedName name="_xlnm._FilterDatabase" localSheetId="8" hidden="1">'coordinateur dimanche1'!$A$2:$H$24</definedName>
    <definedName name="_xlnm._FilterDatabase" localSheetId="9" hidden="1">'coordinateur dimanche2'!$A$2:$H$24</definedName>
    <definedName name="_xlnm._FilterDatabase" localSheetId="6" hidden="1">'coordinateur matin'!$A$2:$H$133</definedName>
    <definedName name="_xlnm._FilterDatabase" localSheetId="7" hidden="1">'coordinateur samedi'!$A$2:$H$49</definedName>
    <definedName name="_xlnm._FilterDatabase" localSheetId="2" hidden="1">'Feuille saisie'!$A$7:$Q$145</definedName>
    <definedName name="_xlnm._FilterDatabase" localSheetId="4" hidden="1">'Feuille saisie dimanche 1'!$A$7:$AB$38</definedName>
    <definedName name="_xlnm._FilterDatabase" localSheetId="5" hidden="1">'Feuille saisie dimanche 2'!$A$7:$AB$37</definedName>
    <definedName name="_xlnm._FilterDatabase" localSheetId="3" hidden="1">'Feuille saisie samedi'!$A$7:$AB$62</definedName>
    <definedName name="_xlnm._FilterDatabase" localSheetId="11" hidden="1">Horaire!$A$7:$K$138</definedName>
    <definedName name="_xlnm._FilterDatabase" localSheetId="13" hidden="1">'Horaire dimanche1'!$A$7:$K$29</definedName>
    <definedName name="_xlnm._FilterDatabase" localSheetId="14" hidden="1">'Horaire dimanche2'!$A$7:$K$29</definedName>
    <definedName name="_xlnm._FilterDatabase" localSheetId="12" hidden="1">'Horaire samedi'!$A$7:$K$54</definedName>
    <definedName name="_xlnm._FilterDatabase" localSheetId="1" hidden="1">'REUNION DU 28.04'!$K$1:$AW$14</definedName>
    <definedName name="_xlnm.Print_Titles" localSheetId="31">'C16'!$2:$7</definedName>
    <definedName name="_xlnm.Print_Titles" localSheetId="8">'coordinateur dimanche1'!$2:$2</definedName>
    <definedName name="_xlnm.Print_Titles" localSheetId="9">'coordinateur dimanche2'!$2:$2</definedName>
    <definedName name="_xlnm.Print_Titles" localSheetId="6">'coordinateur matin'!$2:$2</definedName>
    <definedName name="_xlnm.Print_Titles" localSheetId="7">'coordinateur samedi'!$2:$2</definedName>
    <definedName name="_xlnm.Print_Titles" localSheetId="11">Horaire!$1:$7</definedName>
    <definedName name="_xlnm.Print_Titles" localSheetId="13">'Horaire dimanche1'!$1:$7</definedName>
    <definedName name="_xlnm.Print_Titles" localSheetId="14">'Horaire dimanche2'!$1:$7</definedName>
    <definedName name="_xlnm.Print_Titles" localSheetId="12">'Horaire samedi'!$1:$7</definedName>
    <definedName name="_xlnm.Print_Titles" localSheetId="15">'Organisation L4'!$1:$4</definedName>
    <definedName name="_xlnm.Print_Area" localSheetId="8">'coordinateur dimanche1'!$A$1:$I$24</definedName>
    <definedName name="_xlnm.Print_Area" localSheetId="9">'coordinateur dimanche2'!$A$1:$I$24</definedName>
    <definedName name="_xlnm.Print_Area" localSheetId="6">'coordinateur matin'!$A$1:$I$52</definedName>
    <definedName name="_xlnm.Print_Area" localSheetId="7">'coordinateur samedi'!$A$1:$I$49</definedName>
    <definedName name="_xlnm.Print_Area" localSheetId="2">'Feuille saisie'!$A$2:$M$147</definedName>
    <definedName name="_xlnm.Print_Area" localSheetId="4">'Feuille saisie dimanche 1'!$A$2:$X$40</definedName>
    <definedName name="_xlnm.Print_Area" localSheetId="5">'Feuille saisie dimanche 2'!$A$2:$X$39</definedName>
    <definedName name="_xlnm.Print_Area" localSheetId="3">'Feuille saisie samedi'!$A$2:$X$64</definedName>
    <definedName name="_xlnm.Print_Area" localSheetId="1">'REUNION DU 28.04'!$H$1:$AR$14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7" i="28" l="1"/>
  <c r="F119" i="28"/>
  <c r="F72" i="28"/>
  <c r="F31" i="40" l="1"/>
  <c r="A123" i="7"/>
  <c r="B123" i="7"/>
  <c r="C123" i="7"/>
  <c r="D123" i="7" s="1"/>
  <c r="F123" i="7"/>
  <c r="P123" i="7" s="1"/>
  <c r="Q123" i="7" s="1"/>
  <c r="O123" i="7"/>
  <c r="A82" i="7"/>
  <c r="B82" i="7"/>
  <c r="C82" i="7"/>
  <c r="D82" i="7" s="1"/>
  <c r="F82" i="7"/>
  <c r="P82" i="7" s="1"/>
  <c r="Q82" i="7" s="1"/>
  <c r="O82" i="7"/>
  <c r="A73" i="7"/>
  <c r="B73" i="7"/>
  <c r="C73" i="7"/>
  <c r="D73" i="7" s="1"/>
  <c r="F73" i="7"/>
  <c r="P73" i="7" s="1"/>
  <c r="Q73" i="7" s="1"/>
  <c r="O73" i="7"/>
  <c r="A61" i="7"/>
  <c r="B61" i="7"/>
  <c r="C61" i="7"/>
  <c r="D61" i="7" s="1"/>
  <c r="F61" i="7"/>
  <c r="P61" i="7" s="1"/>
  <c r="Q61" i="7" s="1"/>
  <c r="O61" i="7"/>
  <c r="A59" i="7"/>
  <c r="B59" i="7"/>
  <c r="C59" i="7"/>
  <c r="D59" i="7" s="1"/>
  <c r="F59" i="7"/>
  <c r="P59" i="7" s="1"/>
  <c r="Q59" i="7" s="1"/>
  <c r="O59" i="7"/>
  <c r="A42" i="15"/>
  <c r="B42" i="15"/>
  <c r="C42" i="15"/>
  <c r="D42" i="15" s="1"/>
  <c r="F42" i="15"/>
  <c r="A117" i="15"/>
  <c r="A109" i="15"/>
  <c r="A77" i="15"/>
  <c r="A78" i="15"/>
  <c r="A68" i="15"/>
  <c r="A56" i="15"/>
  <c r="A54" i="15"/>
  <c r="B117" i="15"/>
  <c r="C117" i="15"/>
  <c r="D117" i="15" s="1"/>
  <c r="B109" i="15"/>
  <c r="C109" i="15"/>
  <c r="D109" i="15" s="1"/>
  <c r="B77" i="15"/>
  <c r="C77" i="15"/>
  <c r="D77" i="15" s="1"/>
  <c r="B78" i="15"/>
  <c r="C78" i="15"/>
  <c r="D78" i="15" s="1"/>
  <c r="B68" i="15"/>
  <c r="C68" i="15"/>
  <c r="D68" i="15" s="1"/>
  <c r="B56" i="15"/>
  <c r="C56" i="15"/>
  <c r="D56" i="15" s="1"/>
  <c r="B54" i="15"/>
  <c r="C54" i="15"/>
  <c r="D54" i="15" s="1"/>
  <c r="F107" i="28" l="1"/>
  <c r="F106" i="28"/>
  <c r="F103" i="28"/>
  <c r="F102" i="28"/>
  <c r="F99" i="28"/>
  <c r="F98" i="28"/>
  <c r="F95" i="28"/>
  <c r="F94" i="28"/>
  <c r="F91" i="28"/>
  <c r="F90" i="28"/>
  <c r="F87" i="28"/>
  <c r="F86" i="28"/>
  <c r="F74" i="28"/>
  <c r="F68" i="28"/>
  <c r="F54" i="28"/>
  <c r="F48" i="28"/>
  <c r="F132" i="28"/>
  <c r="F124" i="28"/>
  <c r="F37" i="28"/>
  <c r="F67" i="28"/>
  <c r="F61" i="28"/>
  <c r="F47" i="28"/>
  <c r="F41" i="28"/>
  <c r="F27" i="28"/>
  <c r="F76" i="28"/>
  <c r="F62" i="28"/>
  <c r="F56" i="28"/>
  <c r="F39" i="28"/>
  <c r="F55" i="28"/>
  <c r="F35" i="28"/>
  <c r="F29" i="28"/>
  <c r="F19" i="28"/>
  <c r="F65" i="28"/>
  <c r="F51" i="28"/>
  <c r="F135" i="28"/>
  <c r="F134" i="28"/>
  <c r="F131" i="28"/>
  <c r="F130" i="28"/>
  <c r="F77" i="28"/>
  <c r="F63" i="28"/>
  <c r="F42" i="28"/>
  <c r="F80" i="28"/>
  <c r="F66" i="28"/>
  <c r="F60" i="28"/>
  <c r="F46" i="28"/>
  <c r="F40" i="28"/>
  <c r="F26" i="28"/>
  <c r="F122" i="28"/>
  <c r="F59" i="28"/>
  <c r="F53" i="28"/>
  <c r="F38" i="28"/>
  <c r="F105" i="28"/>
  <c r="F104" i="28"/>
  <c r="F70" i="28"/>
  <c r="F64" i="28"/>
  <c r="F50" i="28"/>
  <c r="F30" i="28"/>
  <c r="F11" i="28"/>
  <c r="F8" i="28"/>
  <c r="F101" i="28"/>
  <c r="F100" i="28"/>
  <c r="F97" i="28"/>
  <c r="F96" i="28"/>
  <c r="F93" i="28"/>
  <c r="F92" i="28"/>
  <c r="F89" i="28"/>
  <c r="F88" i="28"/>
  <c r="F79" i="28"/>
  <c r="F73" i="28"/>
  <c r="F58" i="28"/>
  <c r="F34" i="28"/>
  <c r="D122" i="28"/>
  <c r="D82" i="28"/>
  <c r="D73" i="28"/>
  <c r="D61" i="28"/>
  <c r="D59" i="28"/>
  <c r="I11" i="45"/>
  <c r="L11" i="45" s="1"/>
  <c r="T9" i="45"/>
  <c r="T10" i="45"/>
  <c r="O9" i="45"/>
  <c r="O10" i="45"/>
  <c r="X9" i="45"/>
  <c r="AB9" i="45"/>
  <c r="AC24" i="45"/>
  <c r="AB24" i="45"/>
  <c r="AB20" i="45"/>
  <c r="AB19" i="45"/>
  <c r="AB18" i="45"/>
  <c r="AB17" i="45"/>
  <c r="AB16" i="45"/>
  <c r="AB15" i="45"/>
  <c r="AB14" i="45"/>
  <c r="AB13" i="45"/>
  <c r="AB12" i="45"/>
  <c r="AB11" i="45"/>
  <c r="AB10" i="45"/>
  <c r="AB8" i="45"/>
  <c r="AB7" i="45"/>
  <c r="AB6" i="45"/>
  <c r="X8" i="45"/>
  <c r="X7" i="45"/>
  <c r="X6" i="45"/>
  <c r="X20" i="45"/>
  <c r="X19" i="45"/>
  <c r="X18" i="45"/>
  <c r="X17" i="45"/>
  <c r="X16" i="45"/>
  <c r="X15" i="45"/>
  <c r="X14" i="45"/>
  <c r="X13" i="45"/>
  <c r="X12" i="45"/>
  <c r="X11" i="45"/>
  <c r="X10" i="45"/>
  <c r="AD23" i="45"/>
  <c r="AE22" i="45"/>
  <c r="AD22" i="45"/>
  <c r="AC14" i="45"/>
  <c r="AC13" i="45"/>
  <c r="AC10" i="45"/>
  <c r="U24" i="45"/>
  <c r="U16" i="45"/>
  <c r="U15" i="45"/>
  <c r="U14" i="45"/>
  <c r="U13" i="45"/>
  <c r="T12" i="45"/>
  <c r="T11" i="45"/>
  <c r="T8" i="45"/>
  <c r="T7" i="45"/>
  <c r="T6" i="45"/>
  <c r="T18" i="45"/>
  <c r="T19" i="45"/>
  <c r="T20" i="45"/>
  <c r="T17" i="45"/>
  <c r="T16" i="45"/>
  <c r="T15" i="45"/>
  <c r="T14" i="45"/>
  <c r="T13" i="45"/>
  <c r="Q20" i="45"/>
  <c r="Q19" i="45"/>
  <c r="AG19" i="45" s="1"/>
  <c r="Q18" i="45"/>
  <c r="AG18" i="45" s="1"/>
  <c r="Q17" i="45"/>
  <c r="AG17" i="45" s="1"/>
  <c r="Q16" i="45"/>
  <c r="Q15" i="45"/>
  <c r="Q14" i="45"/>
  <c r="Q13" i="45"/>
  <c r="Q12" i="45"/>
  <c r="AG12" i="45" s="1"/>
  <c r="Q11" i="45"/>
  <c r="AG11" i="45" s="1"/>
  <c r="Q10" i="45"/>
  <c r="Q9" i="45"/>
  <c r="AG9" i="45" s="1"/>
  <c r="Q8" i="45"/>
  <c r="AG8" i="45" s="1"/>
  <c r="Q7" i="45"/>
  <c r="AG7" i="45" s="1"/>
  <c r="Q6" i="45"/>
  <c r="AG6" i="45" s="1"/>
  <c r="P20" i="45"/>
  <c r="P19" i="45"/>
  <c r="P18" i="45"/>
  <c r="P17" i="45"/>
  <c r="P16" i="45"/>
  <c r="P15" i="45"/>
  <c r="P14" i="45"/>
  <c r="P13" i="45"/>
  <c r="P12" i="45"/>
  <c r="P11" i="45"/>
  <c r="P10" i="45"/>
  <c r="P9" i="45"/>
  <c r="P8" i="45"/>
  <c r="P7" i="45"/>
  <c r="P6" i="45"/>
  <c r="O20" i="45"/>
  <c r="G48" i="44" s="1"/>
  <c r="O19" i="45"/>
  <c r="G45" i="44" s="1"/>
  <c r="O18" i="45"/>
  <c r="G42" i="44" s="1"/>
  <c r="O17" i="45"/>
  <c r="G39" i="44" s="1"/>
  <c r="O16" i="45"/>
  <c r="O15" i="45"/>
  <c r="G33" i="44" s="1"/>
  <c r="O14" i="45"/>
  <c r="O13" i="45"/>
  <c r="O12" i="45"/>
  <c r="O11" i="45"/>
  <c r="O8" i="45"/>
  <c r="O7" i="45"/>
  <c r="O6" i="45"/>
  <c r="Q166" i="45"/>
  <c r="T166" i="45" s="1"/>
  <c r="K159" i="45"/>
  <c r="K158" i="45"/>
  <c r="K157" i="45"/>
  <c r="J157" i="45"/>
  <c r="K156" i="45"/>
  <c r="K155" i="45"/>
  <c r="J155" i="45"/>
  <c r="J156" i="45" s="1"/>
  <c r="I144" i="45"/>
  <c r="I149" i="45" s="1"/>
  <c r="I150" i="45" s="1"/>
  <c r="J139" i="45"/>
  <c r="J159" i="45" s="1"/>
  <c r="J137" i="45"/>
  <c r="N134" i="45"/>
  <c r="N136" i="45" s="1"/>
  <c r="O136" i="45" s="1"/>
  <c r="J134" i="45"/>
  <c r="N121" i="45"/>
  <c r="K119" i="45"/>
  <c r="J140" i="45" s="1"/>
  <c r="J119" i="45"/>
  <c r="I119" i="45"/>
  <c r="J138" i="45" s="1"/>
  <c r="N115" i="45"/>
  <c r="N114" i="45"/>
  <c r="N113" i="45"/>
  <c r="N112" i="45"/>
  <c r="N111" i="45"/>
  <c r="N110" i="45"/>
  <c r="N109" i="45"/>
  <c r="N108" i="45"/>
  <c r="N107" i="45"/>
  <c r="N106" i="45"/>
  <c r="N105" i="45"/>
  <c r="N104" i="45"/>
  <c r="N103" i="45"/>
  <c r="N102" i="45"/>
  <c r="N101" i="45"/>
  <c r="N100" i="45"/>
  <c r="N99" i="45"/>
  <c r="N98" i="45"/>
  <c r="N97" i="45"/>
  <c r="N96" i="45"/>
  <c r="AQ26" i="45"/>
  <c r="AQ27" i="45" s="1"/>
  <c r="Z24" i="45"/>
  <c r="R24" i="45"/>
  <c r="V24" i="45" s="1"/>
  <c r="Q24" i="45"/>
  <c r="O24" i="45"/>
  <c r="T24" i="45" s="1"/>
  <c r="Z23" i="45"/>
  <c r="R22" i="45"/>
  <c r="K22" i="45"/>
  <c r="N22" i="45" s="1"/>
  <c r="S21" i="45"/>
  <c r="R21" i="45"/>
  <c r="N21" i="45"/>
  <c r="L21" i="45"/>
  <c r="J21" i="45"/>
  <c r="M21" i="45" s="1"/>
  <c r="V20" i="45"/>
  <c r="U20" i="45"/>
  <c r="J20" i="45"/>
  <c r="M20" i="45" s="1"/>
  <c r="R19" i="45"/>
  <c r="R18" i="45"/>
  <c r="R17" i="45"/>
  <c r="R16" i="45"/>
  <c r="N16" i="45"/>
  <c r="J16" i="45"/>
  <c r="M16" i="45" s="1"/>
  <c r="R15" i="45"/>
  <c r="N15" i="45"/>
  <c r="J15" i="45"/>
  <c r="M15" i="45" s="1"/>
  <c r="Y14" i="45"/>
  <c r="R14" i="45"/>
  <c r="K14" i="45"/>
  <c r="N14" i="45" s="1"/>
  <c r="J14" i="45"/>
  <c r="M14" i="45" s="1"/>
  <c r="R13" i="45"/>
  <c r="K13" i="45"/>
  <c r="N13" i="45" s="1"/>
  <c r="J13" i="45"/>
  <c r="M13" i="45" s="1"/>
  <c r="R12" i="45"/>
  <c r="R11" i="45"/>
  <c r="R10" i="45"/>
  <c r="K10" i="45"/>
  <c r="N10" i="45" s="1"/>
  <c r="R9" i="45"/>
  <c r="R8" i="45"/>
  <c r="R7" i="45"/>
  <c r="R6" i="45"/>
  <c r="AH6" i="45" s="1"/>
  <c r="AO4" i="45"/>
  <c r="AI22" i="45"/>
  <c r="E37" i="44"/>
  <c r="E36" i="44"/>
  <c r="G18" i="44"/>
  <c r="E69" i="40"/>
  <c r="E68" i="40"/>
  <c r="E67" i="40"/>
  <c r="E66" i="40"/>
  <c r="E65" i="40"/>
  <c r="E64" i="40"/>
  <c r="E63" i="40"/>
  <c r="E62" i="40"/>
  <c r="E61" i="40"/>
  <c r="E60" i="40"/>
  <c r="E59" i="40"/>
  <c r="E58" i="40"/>
  <c r="E57" i="40"/>
  <c r="E56" i="40"/>
  <c r="E55" i="40"/>
  <c r="E54" i="40"/>
  <c r="E53" i="40"/>
  <c r="E52" i="40"/>
  <c r="E51" i="40"/>
  <c r="E50" i="40"/>
  <c r="E49" i="40"/>
  <c r="E48" i="40"/>
  <c r="E47" i="40"/>
  <c r="E46" i="40"/>
  <c r="E45" i="40"/>
  <c r="E44" i="40"/>
  <c r="E43" i="40"/>
  <c r="G31" i="40"/>
  <c r="G17" i="40"/>
  <c r="F54" i="40" s="1"/>
  <c r="E70" i="39"/>
  <c r="E69" i="39"/>
  <c r="E68" i="39"/>
  <c r="E67" i="39"/>
  <c r="E66" i="39"/>
  <c r="E65" i="39"/>
  <c r="E64" i="39"/>
  <c r="E63" i="39"/>
  <c r="E62" i="39"/>
  <c r="E61" i="39"/>
  <c r="E60" i="39"/>
  <c r="E59" i="39"/>
  <c r="E58" i="39"/>
  <c r="E57" i="39"/>
  <c r="E56" i="39"/>
  <c r="E55" i="39"/>
  <c r="E54" i="39"/>
  <c r="E53" i="39"/>
  <c r="E52" i="39"/>
  <c r="E51" i="39"/>
  <c r="E50" i="39"/>
  <c r="E49" i="39"/>
  <c r="E48" i="39"/>
  <c r="E47" i="39"/>
  <c r="E46" i="39"/>
  <c r="E45" i="39"/>
  <c r="E44" i="39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68" i="36"/>
  <c r="G31" i="39"/>
  <c r="G17" i="39"/>
  <c r="F56" i="39" s="1"/>
  <c r="G31" i="36"/>
  <c r="F69" i="36" s="1"/>
  <c r="C55" i="36"/>
  <c r="B55" i="36"/>
  <c r="A55" i="36"/>
  <c r="C54" i="36"/>
  <c r="B54" i="36"/>
  <c r="A54" i="36"/>
  <c r="C53" i="36"/>
  <c r="B53" i="36"/>
  <c r="A53" i="36"/>
  <c r="C52" i="36"/>
  <c r="B52" i="36"/>
  <c r="A52" i="36"/>
  <c r="C51" i="36"/>
  <c r="B51" i="36"/>
  <c r="A51" i="36"/>
  <c r="C50" i="36"/>
  <c r="B50" i="36"/>
  <c r="A50" i="36"/>
  <c r="C49" i="36"/>
  <c r="B49" i="36"/>
  <c r="A49" i="36"/>
  <c r="C48" i="36"/>
  <c r="B48" i="36"/>
  <c r="A48" i="36"/>
  <c r="C47" i="36"/>
  <c r="B47" i="36"/>
  <c r="A47" i="36"/>
  <c r="C46" i="36"/>
  <c r="B46" i="36"/>
  <c r="A46" i="36"/>
  <c r="C45" i="36"/>
  <c r="B45" i="36"/>
  <c r="A45" i="36"/>
  <c r="C44" i="36"/>
  <c r="B44" i="36"/>
  <c r="A44" i="36"/>
  <c r="C43" i="36"/>
  <c r="B43" i="36"/>
  <c r="A43" i="36"/>
  <c r="C42" i="36"/>
  <c r="B42" i="36"/>
  <c r="A42" i="36"/>
  <c r="C41" i="36"/>
  <c r="B41" i="36"/>
  <c r="A41" i="36"/>
  <c r="C40" i="36"/>
  <c r="B40" i="36"/>
  <c r="A40" i="36"/>
  <c r="C39" i="36"/>
  <c r="B39" i="36"/>
  <c r="A39" i="36"/>
  <c r="C38" i="36"/>
  <c r="B38" i="36"/>
  <c r="A38" i="36"/>
  <c r="C37" i="36"/>
  <c r="B37" i="36"/>
  <c r="A37" i="36"/>
  <c r="C36" i="36"/>
  <c r="B36" i="36"/>
  <c r="A36" i="36"/>
  <c r="C35" i="36"/>
  <c r="B35" i="36"/>
  <c r="A35" i="36"/>
  <c r="C34" i="36"/>
  <c r="B34" i="36"/>
  <c r="A34" i="36"/>
  <c r="C33" i="36"/>
  <c r="B33" i="36"/>
  <c r="A33" i="36"/>
  <c r="C32" i="36"/>
  <c r="B32" i="36"/>
  <c r="A32" i="36"/>
  <c r="C30" i="36"/>
  <c r="B30" i="36"/>
  <c r="A30" i="36"/>
  <c r="C29" i="36"/>
  <c r="B29" i="36"/>
  <c r="A29" i="36"/>
  <c r="C28" i="36"/>
  <c r="B28" i="36"/>
  <c r="A28" i="36"/>
  <c r="C27" i="36"/>
  <c r="B27" i="36"/>
  <c r="A27" i="36"/>
  <c r="C26" i="36"/>
  <c r="B26" i="36"/>
  <c r="A26" i="36"/>
  <c r="C25" i="36"/>
  <c r="B25" i="36"/>
  <c r="A25" i="36"/>
  <c r="C24" i="36"/>
  <c r="B24" i="36"/>
  <c r="A24" i="36"/>
  <c r="C23" i="36"/>
  <c r="B23" i="36"/>
  <c r="A23" i="36"/>
  <c r="C22" i="36"/>
  <c r="B22" i="36"/>
  <c r="A22" i="36"/>
  <c r="C21" i="36"/>
  <c r="B21" i="36"/>
  <c r="A21" i="36"/>
  <c r="C20" i="36"/>
  <c r="B20" i="36"/>
  <c r="A20" i="36"/>
  <c r="C19" i="36"/>
  <c r="B19" i="36"/>
  <c r="A19" i="36"/>
  <c r="C18" i="36"/>
  <c r="B18" i="36"/>
  <c r="A18" i="36"/>
  <c r="C17" i="36"/>
  <c r="B17" i="36"/>
  <c r="A17" i="36"/>
  <c r="C16" i="36"/>
  <c r="B16" i="36"/>
  <c r="A16" i="36"/>
  <c r="C15" i="36"/>
  <c r="B15" i="36"/>
  <c r="A15" i="36"/>
  <c r="C14" i="36"/>
  <c r="B14" i="36"/>
  <c r="A14" i="36"/>
  <c r="C13" i="36"/>
  <c r="B13" i="36"/>
  <c r="A13" i="36"/>
  <c r="C12" i="36"/>
  <c r="B12" i="36"/>
  <c r="A12" i="36"/>
  <c r="C11" i="36"/>
  <c r="B11" i="36"/>
  <c r="A11" i="36"/>
  <c r="C10" i="36"/>
  <c r="B10" i="36"/>
  <c r="A10" i="36"/>
  <c r="C9" i="36"/>
  <c r="B9" i="36"/>
  <c r="A9" i="36"/>
  <c r="F69" i="39" l="1"/>
  <c r="F53" i="39"/>
  <c r="F61" i="40"/>
  <c r="F65" i="40"/>
  <c r="F49" i="40"/>
  <c r="AG16" i="45"/>
  <c r="F47" i="40"/>
  <c r="F81" i="36"/>
  <c r="F58" i="40"/>
  <c r="F48" i="40"/>
  <c r="F64" i="40"/>
  <c r="AF9" i="45"/>
  <c r="AO9" i="45" s="1"/>
  <c r="F55" i="40"/>
  <c r="F66" i="40"/>
  <c r="AG20" i="45"/>
  <c r="F46" i="40"/>
  <c r="F67" i="40"/>
  <c r="L157" i="45"/>
  <c r="F57" i="40"/>
  <c r="F74" i="36"/>
  <c r="F76" i="36"/>
  <c r="F68" i="39"/>
  <c r="F63" i="39"/>
  <c r="F46" i="39"/>
  <c r="F62" i="39"/>
  <c r="F61" i="39"/>
  <c r="G32" i="40"/>
  <c r="F43" i="40"/>
  <c r="F51" i="40"/>
  <c r="F69" i="40"/>
  <c r="F60" i="40"/>
  <c r="F44" i="40"/>
  <c r="F52" i="40"/>
  <c r="AG10" i="45"/>
  <c r="F45" i="40"/>
  <c r="F53" i="40"/>
  <c r="F62" i="40"/>
  <c r="AF7" i="45"/>
  <c r="AO7" i="45" s="1"/>
  <c r="AF19" i="45"/>
  <c r="F50" i="40"/>
  <c r="F59" i="40"/>
  <c r="AF8" i="45"/>
  <c r="AO8" i="45" s="1"/>
  <c r="F91" i="36"/>
  <c r="F87" i="36"/>
  <c r="F75" i="36"/>
  <c r="F79" i="36"/>
  <c r="F71" i="36"/>
  <c r="F83" i="36"/>
  <c r="F88" i="36"/>
  <c r="F92" i="36"/>
  <c r="F77" i="36"/>
  <c r="F89" i="36"/>
  <c r="F78" i="36"/>
  <c r="F72" i="36"/>
  <c r="F82" i="36"/>
  <c r="F73" i="36"/>
  <c r="F84" i="36"/>
  <c r="F90" i="36"/>
  <c r="F57" i="39"/>
  <c r="AA16" i="45"/>
  <c r="AD24" i="45"/>
  <c r="AD25" i="45" s="1"/>
  <c r="AA19" i="45"/>
  <c r="F86" i="36"/>
  <c r="F47" i="39"/>
  <c r="AF14" i="45"/>
  <c r="AA13" i="45"/>
  <c r="AA14" i="45"/>
  <c r="AF18" i="45"/>
  <c r="AA17" i="45"/>
  <c r="F55" i="39"/>
  <c r="F60" i="39"/>
  <c r="F44" i="39"/>
  <c r="G32" i="39"/>
  <c r="F65" i="39"/>
  <c r="F70" i="39"/>
  <c r="F54" i="39"/>
  <c r="F48" i="39"/>
  <c r="F49" i="39"/>
  <c r="F64" i="39"/>
  <c r="F59" i="39"/>
  <c r="F67" i="39"/>
  <c r="F66" i="39"/>
  <c r="F52" i="39"/>
  <c r="F58" i="39"/>
  <c r="F45" i="39"/>
  <c r="F51" i="39"/>
  <c r="F50" i="39"/>
  <c r="F80" i="36"/>
  <c r="F68" i="36"/>
  <c r="F70" i="36"/>
  <c r="F93" i="36"/>
  <c r="F85" i="36"/>
  <c r="S16" i="45"/>
  <c r="AA15" i="45"/>
  <c r="S12" i="45"/>
  <c r="AG14" i="45"/>
  <c r="AA9" i="45"/>
  <c r="E94" i="36"/>
  <c r="AF13" i="45"/>
  <c r="AG15" i="45"/>
  <c r="AA12" i="45"/>
  <c r="AF10" i="45"/>
  <c r="AO10" i="45" s="1"/>
  <c r="AA18" i="45"/>
  <c r="AA20" i="45"/>
  <c r="AF16" i="45"/>
  <c r="AA6" i="45"/>
  <c r="AF15" i="45"/>
  <c r="F68" i="40"/>
  <c r="F63" i="40"/>
  <c r="F56" i="40"/>
  <c r="AF17" i="45"/>
  <c r="AO17" i="45" s="1"/>
  <c r="S6" i="45"/>
  <c r="AF20" i="45"/>
  <c r="AA8" i="45"/>
  <c r="AF11" i="45"/>
  <c r="AG13" i="45"/>
  <c r="AA10" i="45"/>
  <c r="AC23" i="45"/>
  <c r="AC25" i="45" s="1"/>
  <c r="G6" i="44"/>
  <c r="AF6" i="45"/>
  <c r="G9" i="44"/>
  <c r="AA11" i="45"/>
  <c r="G12" i="44"/>
  <c r="G15" i="44"/>
  <c r="G21" i="44"/>
  <c r="G24" i="44"/>
  <c r="S11" i="45"/>
  <c r="G27" i="44"/>
  <c r="AF12" i="45"/>
  <c r="AO12" i="45" s="1"/>
  <c r="G30" i="44"/>
  <c r="S20" i="45"/>
  <c r="S17" i="45"/>
  <c r="AK21" i="45"/>
  <c r="G36" i="44"/>
  <c r="S10" i="45"/>
  <c r="AB23" i="45"/>
  <c r="AB25" i="45" s="1"/>
  <c r="W21" i="45"/>
  <c r="AI21" i="45" s="1"/>
  <c r="W20" i="45"/>
  <c r="W17" i="45"/>
  <c r="W11" i="45"/>
  <c r="W16" i="45"/>
  <c r="W13" i="45"/>
  <c r="W12" i="45"/>
  <c r="W9" i="45"/>
  <c r="W8" i="45"/>
  <c r="W7" i="45"/>
  <c r="W6" i="45"/>
  <c r="W14" i="45"/>
  <c r="W19" i="45"/>
  <c r="W18" i="45"/>
  <c r="W10" i="45"/>
  <c r="W15" i="45"/>
  <c r="S8" i="45"/>
  <c r="N117" i="45"/>
  <c r="N118" i="45" s="1"/>
  <c r="N129" i="45" s="1"/>
  <c r="Y23" i="45"/>
  <c r="Y25" i="45" s="1"/>
  <c r="AA7" i="45" s="1"/>
  <c r="S9" i="45"/>
  <c r="S19" i="45"/>
  <c r="L159" i="45"/>
  <c r="L166" i="45" s="1"/>
  <c r="N167" i="45" s="1"/>
  <c r="S7" i="45"/>
  <c r="Q23" i="45"/>
  <c r="Q25" i="45" s="1"/>
  <c r="AK11" i="45"/>
  <c r="S18" i="45"/>
  <c r="S13" i="45"/>
  <c r="L156" i="45"/>
  <c r="L164" i="45" s="1"/>
  <c r="S14" i="45"/>
  <c r="S15" i="45"/>
  <c r="X23" i="45"/>
  <c r="X25" i="45" s="1"/>
  <c r="Z25" i="45"/>
  <c r="J141" i="45"/>
  <c r="AH9" i="45"/>
  <c r="V23" i="45"/>
  <c r="V25" i="45" s="1"/>
  <c r="J158" i="45"/>
  <c r="L158" i="45" s="1"/>
  <c r="L165" i="45" s="1"/>
  <c r="U23" i="45"/>
  <c r="U25" i="45" s="1"/>
  <c r="T23" i="45"/>
  <c r="T25" i="45" s="1"/>
  <c r="P23" i="45"/>
  <c r="P25" i="45" s="1"/>
  <c r="O23" i="45"/>
  <c r="O25" i="45" s="1"/>
  <c r="AJ22" i="45"/>
  <c r="I152" i="45"/>
  <c r="J150" i="45"/>
  <c r="AH10" i="45"/>
  <c r="AF21" i="45"/>
  <c r="AH16" i="45"/>
  <c r="AK20" i="45"/>
  <c r="AG21" i="45"/>
  <c r="AK22" i="45"/>
  <c r="AL22" i="45" s="1"/>
  <c r="AH8" i="45"/>
  <c r="AH7" i="45"/>
  <c r="AH13" i="45"/>
  <c r="AH21" i="45"/>
  <c r="AJ31" i="45"/>
  <c r="AH11" i="45"/>
  <c r="R23" i="45"/>
  <c r="R25" i="45" s="1"/>
  <c r="AH15" i="45"/>
  <c r="AH18" i="45"/>
  <c r="AH19" i="45"/>
  <c r="AF22" i="45"/>
  <c r="AH12" i="45"/>
  <c r="AG22" i="45"/>
  <c r="AH20" i="45"/>
  <c r="AH22" i="45"/>
  <c r="L155" i="45"/>
  <c r="AH17" i="45"/>
  <c r="AH14" i="45"/>
  <c r="E70" i="40"/>
  <c r="E71" i="39"/>
  <c r="AO19" i="45" l="1"/>
  <c r="AO20" i="45"/>
  <c r="AP17" i="45"/>
  <c r="AQ17" i="45" s="1"/>
  <c r="AR17" i="45" s="1"/>
  <c r="AO15" i="45"/>
  <c r="F71" i="39"/>
  <c r="AE6" i="45"/>
  <c r="AI6" i="45" s="1"/>
  <c r="AO14" i="45"/>
  <c r="AP6" i="45"/>
  <c r="F70" i="40"/>
  <c r="AO13" i="45"/>
  <c r="AO18" i="45"/>
  <c r="AP10" i="45"/>
  <c r="AQ10" i="45" s="1"/>
  <c r="AR10" i="45" s="1"/>
  <c r="AP12" i="45"/>
  <c r="AQ12" i="45" s="1"/>
  <c r="AR12" i="45" s="1"/>
  <c r="F94" i="36"/>
  <c r="AE16" i="45"/>
  <c r="AI16" i="45" s="1"/>
  <c r="AO16" i="45"/>
  <c r="AE15" i="45"/>
  <c r="AI15" i="45" s="1"/>
  <c r="AE7" i="45"/>
  <c r="AI7" i="45" s="1"/>
  <c r="AJ7" i="45" s="1"/>
  <c r="I9" i="44" s="1"/>
  <c r="AE14" i="45"/>
  <c r="AI14" i="45" s="1"/>
  <c r="AE20" i="45"/>
  <c r="AI20" i="45" s="1"/>
  <c r="AJ20" i="45" s="1"/>
  <c r="I48" i="44" s="1"/>
  <c r="AP19" i="45"/>
  <c r="AE10" i="45"/>
  <c r="AI10" i="45" s="1"/>
  <c r="AE8" i="45"/>
  <c r="AI8" i="45" s="1"/>
  <c r="AJ8" i="45" s="1"/>
  <c r="I12" i="44" s="1"/>
  <c r="AE11" i="45"/>
  <c r="AI11" i="45" s="1"/>
  <c r="AA23" i="45"/>
  <c r="AE13" i="45"/>
  <c r="AI13" i="45" s="1"/>
  <c r="AJ13" i="45" s="1"/>
  <c r="I27" i="44" s="1"/>
  <c r="AE9" i="45"/>
  <c r="AI9" i="45" s="1"/>
  <c r="G73" i="44"/>
  <c r="AE19" i="45"/>
  <c r="AI19" i="45" s="1"/>
  <c r="AJ19" i="45" s="1"/>
  <c r="I45" i="44" s="1"/>
  <c r="AE17" i="45"/>
  <c r="AI17" i="45" s="1"/>
  <c r="AJ17" i="45" s="1"/>
  <c r="I39" i="44" s="1"/>
  <c r="AE12" i="45"/>
  <c r="AI12" i="45" s="1"/>
  <c r="AJ12" i="45" s="1"/>
  <c r="I24" i="44" s="1"/>
  <c r="AP20" i="45"/>
  <c r="AP16" i="45"/>
  <c r="AE25" i="45"/>
  <c r="AE18" i="45"/>
  <c r="AI18" i="45" s="1"/>
  <c r="AJ18" i="45" s="1"/>
  <c r="I42" i="44" s="1"/>
  <c r="AP8" i="45"/>
  <c r="AQ8" i="45" s="1"/>
  <c r="AR8" i="45" s="1"/>
  <c r="AO11" i="45"/>
  <c r="AQ11" i="45" s="1"/>
  <c r="AR11" i="45" s="1"/>
  <c r="AP13" i="45"/>
  <c r="AP14" i="45"/>
  <c r="AP9" i="45"/>
  <c r="AQ9" i="45" s="1"/>
  <c r="AR9" i="45" s="1"/>
  <c r="AP18" i="45"/>
  <c r="AP15" i="45"/>
  <c r="N127" i="45"/>
  <c r="AP7" i="45"/>
  <c r="AQ7" i="45" s="1"/>
  <c r="AR7" i="45" s="1"/>
  <c r="N119" i="45"/>
  <c r="N120" i="45" s="1"/>
  <c r="N122" i="45" s="1"/>
  <c r="O122" i="45" s="1"/>
  <c r="AA25" i="45"/>
  <c r="W23" i="45"/>
  <c r="S23" i="45"/>
  <c r="J153" i="45"/>
  <c r="N161" i="45" s="1"/>
  <c r="N168" i="45" s="1"/>
  <c r="W25" i="45"/>
  <c r="AM20" i="45"/>
  <c r="S25" i="45"/>
  <c r="L160" i="45"/>
  <c r="M156" i="45" s="1"/>
  <c r="AM11" i="45"/>
  <c r="AH23" i="45"/>
  <c r="AL21" i="45"/>
  <c r="AJ21" i="45"/>
  <c r="Q164" i="45"/>
  <c r="T164" i="45" s="1"/>
  <c r="N165" i="45"/>
  <c r="N166" i="45"/>
  <c r="Q165" i="45"/>
  <c r="T165" i="45" s="1"/>
  <c r="AG23" i="45"/>
  <c r="AO6" i="45"/>
  <c r="AF23" i="45"/>
  <c r="AF26" i="45" s="1"/>
  <c r="E153" i="7"/>
  <c r="F153" i="7"/>
  <c r="E162" i="7"/>
  <c r="F162" i="7"/>
  <c r="E156" i="7"/>
  <c r="F156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1" i="7"/>
  <c r="E160" i="7"/>
  <c r="E159" i="7"/>
  <c r="E158" i="7"/>
  <c r="E157" i="7"/>
  <c r="E155" i="7"/>
  <c r="E154" i="7"/>
  <c r="E152" i="7"/>
  <c r="E151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1" i="7"/>
  <c r="F160" i="7"/>
  <c r="F159" i="7"/>
  <c r="F158" i="7"/>
  <c r="F157" i="7"/>
  <c r="F155" i="7"/>
  <c r="F154" i="7"/>
  <c r="F152" i="7"/>
  <c r="F151" i="7"/>
  <c r="N140" i="7"/>
  <c r="F1" i="42" a="1"/>
  <c r="F1" i="42" s="1"/>
  <c r="E1" i="41"/>
  <c r="AQ20" i="45" l="1"/>
  <c r="AR20" i="45" s="1"/>
  <c r="AQ19" i="45"/>
  <c r="AR19" i="45" s="1"/>
  <c r="AQ16" i="45"/>
  <c r="AR16" i="45" s="1"/>
  <c r="N123" i="45"/>
  <c r="O123" i="45" s="1"/>
  <c r="Q118" i="45" s="1"/>
  <c r="AQ14" i="45"/>
  <c r="AR14" i="45" s="1"/>
  <c r="AQ15" i="45"/>
  <c r="AR15" i="45" s="1"/>
  <c r="AQ6" i="45"/>
  <c r="AR6" i="45" s="1"/>
  <c r="AQ18" i="45"/>
  <c r="AR18" i="45" s="1"/>
  <c r="N156" i="45"/>
  <c r="AQ13" i="45"/>
  <c r="AR13" i="45" s="1"/>
  <c r="AL11" i="45"/>
  <c r="AJ11" i="45"/>
  <c r="I21" i="44" s="1"/>
  <c r="AJ15" i="45"/>
  <c r="I33" i="44" s="1"/>
  <c r="N126" i="45"/>
  <c r="AE23" i="45"/>
  <c r="AJ16" i="45"/>
  <c r="I36" i="44" s="1"/>
  <c r="AJ9" i="45"/>
  <c r="I15" i="44" s="1"/>
  <c r="AL20" i="45"/>
  <c r="M161" i="45"/>
  <c r="M168" i="45" s="1"/>
  <c r="AI23" i="45"/>
  <c r="AI26" i="45" s="1"/>
  <c r="AI27" i="45" s="1"/>
  <c r="AJ10" i="45"/>
  <c r="I18" i="44" s="1"/>
  <c r="AJ6" i="45"/>
  <c r="O118" i="45"/>
  <c r="AJ14" i="45"/>
  <c r="I30" i="44" s="1"/>
  <c r="N164" i="45"/>
  <c r="I75" i="44"/>
  <c r="L163" i="45"/>
  <c r="Q163" i="45" s="1"/>
  <c r="L167" i="45"/>
  <c r="M160" i="45"/>
  <c r="N160" i="45" s="1"/>
  <c r="M159" i="45"/>
  <c r="N159" i="45" s="1"/>
  <c r="M157" i="45"/>
  <c r="N157" i="45" s="1"/>
  <c r="M158" i="45"/>
  <c r="N158" i="45" s="1"/>
  <c r="E178" i="7"/>
  <c r="F178" i="7"/>
  <c r="C24" i="43"/>
  <c r="D24" i="43" s="1"/>
  <c r="B24" i="43"/>
  <c r="A24" i="43"/>
  <c r="C23" i="43"/>
  <c r="D23" i="43" s="1"/>
  <c r="B23" i="43"/>
  <c r="A23" i="43"/>
  <c r="C22" i="43"/>
  <c r="D22" i="43" s="1"/>
  <c r="B22" i="43"/>
  <c r="A22" i="43"/>
  <c r="C21" i="43"/>
  <c r="D21" i="43" s="1"/>
  <c r="B21" i="43"/>
  <c r="A21" i="43"/>
  <c r="C20" i="43"/>
  <c r="D20" i="43" s="1"/>
  <c r="B20" i="43"/>
  <c r="A20" i="43"/>
  <c r="C19" i="43"/>
  <c r="D19" i="43" s="1"/>
  <c r="B19" i="43"/>
  <c r="A19" i="43"/>
  <c r="C18" i="43"/>
  <c r="D18" i="43" s="1"/>
  <c r="B18" i="43"/>
  <c r="A18" i="43"/>
  <c r="C17" i="43"/>
  <c r="D17" i="43" s="1"/>
  <c r="B17" i="43"/>
  <c r="A17" i="43"/>
  <c r="C16" i="43"/>
  <c r="D16" i="43" s="1"/>
  <c r="B16" i="43"/>
  <c r="A16" i="43"/>
  <c r="C15" i="43"/>
  <c r="D15" i="43" s="1"/>
  <c r="B15" i="43"/>
  <c r="A15" i="43"/>
  <c r="C14" i="43"/>
  <c r="D14" i="43" s="1"/>
  <c r="B14" i="43"/>
  <c r="A14" i="43"/>
  <c r="C13" i="43"/>
  <c r="D13" i="43" s="1"/>
  <c r="B13" i="43"/>
  <c r="A13" i="43"/>
  <c r="C12" i="43"/>
  <c r="D12" i="43" s="1"/>
  <c r="B12" i="43"/>
  <c r="A12" i="43"/>
  <c r="C11" i="43"/>
  <c r="D11" i="43" s="1"/>
  <c r="B11" i="43"/>
  <c r="A11" i="43"/>
  <c r="C10" i="43"/>
  <c r="D10" i="43" s="1"/>
  <c r="B10" i="43"/>
  <c r="A10" i="43"/>
  <c r="C9" i="43"/>
  <c r="D9" i="43" s="1"/>
  <c r="B9" i="43"/>
  <c r="A9" i="43"/>
  <c r="C8" i="43"/>
  <c r="D8" i="43" s="1"/>
  <c r="B8" i="43"/>
  <c r="A8" i="43"/>
  <c r="C7" i="43"/>
  <c r="D7" i="43" s="1"/>
  <c r="B7" i="43"/>
  <c r="A7" i="43"/>
  <c r="C6" i="43"/>
  <c r="D6" i="43" s="1"/>
  <c r="B6" i="43"/>
  <c r="A6" i="43"/>
  <c r="C5" i="43"/>
  <c r="D5" i="43" s="1"/>
  <c r="B5" i="43"/>
  <c r="A5" i="43"/>
  <c r="C4" i="43"/>
  <c r="D4" i="43" s="1"/>
  <c r="B4" i="43"/>
  <c r="A4" i="43"/>
  <c r="C3" i="43"/>
  <c r="D3" i="43" s="1"/>
  <c r="B3" i="43"/>
  <c r="A3" i="43"/>
  <c r="F24" i="43"/>
  <c r="F23" i="43"/>
  <c r="F22" i="43"/>
  <c r="F21" i="43"/>
  <c r="F19" i="43"/>
  <c r="F18" i="43"/>
  <c r="F17" i="43"/>
  <c r="F16" i="43"/>
  <c r="F15" i="43"/>
  <c r="F14" i="43"/>
  <c r="F12" i="43"/>
  <c r="F11" i="43"/>
  <c r="F10" i="43"/>
  <c r="F9" i="43"/>
  <c r="F8" i="43"/>
  <c r="F7" i="43"/>
  <c r="A4" i="42"/>
  <c r="B4" i="42"/>
  <c r="C4" i="42"/>
  <c r="D4" i="42" s="1"/>
  <c r="A5" i="42"/>
  <c r="B5" i="42"/>
  <c r="C5" i="42"/>
  <c r="D5" i="42" s="1"/>
  <c r="A6" i="42"/>
  <c r="B6" i="42"/>
  <c r="C6" i="42"/>
  <c r="D6" i="42" s="1"/>
  <c r="A7" i="42"/>
  <c r="B7" i="42"/>
  <c r="C7" i="42"/>
  <c r="D7" i="42" s="1"/>
  <c r="A8" i="42"/>
  <c r="B8" i="42"/>
  <c r="C8" i="42"/>
  <c r="D8" i="42" s="1"/>
  <c r="A9" i="42"/>
  <c r="B9" i="42"/>
  <c r="C9" i="42"/>
  <c r="D9" i="42" s="1"/>
  <c r="A10" i="42"/>
  <c r="B10" i="42"/>
  <c r="C10" i="42"/>
  <c r="D10" i="42" s="1"/>
  <c r="A11" i="42"/>
  <c r="B11" i="42"/>
  <c r="C11" i="42"/>
  <c r="D11" i="42" s="1"/>
  <c r="A12" i="42"/>
  <c r="B12" i="42"/>
  <c r="C12" i="42"/>
  <c r="D12" i="42" s="1"/>
  <c r="A13" i="42"/>
  <c r="B13" i="42"/>
  <c r="C13" i="42"/>
  <c r="D13" i="42" s="1"/>
  <c r="A14" i="42"/>
  <c r="B14" i="42"/>
  <c r="C14" i="42"/>
  <c r="D14" i="42" s="1"/>
  <c r="A15" i="42"/>
  <c r="B15" i="42"/>
  <c r="C15" i="42"/>
  <c r="D15" i="42" s="1"/>
  <c r="A16" i="42"/>
  <c r="B16" i="42"/>
  <c r="C16" i="42"/>
  <c r="D16" i="42" s="1"/>
  <c r="A17" i="42"/>
  <c r="B17" i="42"/>
  <c r="C17" i="42"/>
  <c r="D17" i="42" s="1"/>
  <c r="A18" i="42"/>
  <c r="B18" i="42"/>
  <c r="C18" i="42"/>
  <c r="D18" i="42" s="1"/>
  <c r="A19" i="42"/>
  <c r="B19" i="42"/>
  <c r="C19" i="42"/>
  <c r="D19" i="42" s="1"/>
  <c r="A20" i="42"/>
  <c r="B20" i="42"/>
  <c r="C20" i="42"/>
  <c r="D20" i="42" s="1"/>
  <c r="A21" i="42"/>
  <c r="B21" i="42"/>
  <c r="C21" i="42"/>
  <c r="D21" i="42" s="1"/>
  <c r="A22" i="42"/>
  <c r="B22" i="42"/>
  <c r="C22" i="42"/>
  <c r="D22" i="42" s="1"/>
  <c r="A23" i="42"/>
  <c r="B23" i="42"/>
  <c r="C23" i="42"/>
  <c r="D23" i="42" s="1"/>
  <c r="A24" i="42"/>
  <c r="B24" i="42"/>
  <c r="C24" i="42"/>
  <c r="D24" i="42" s="1"/>
  <c r="C3" i="42"/>
  <c r="D3" i="42" s="1"/>
  <c r="B3" i="42"/>
  <c r="A3" i="42"/>
  <c r="F24" i="42"/>
  <c r="F23" i="42"/>
  <c r="F22" i="42"/>
  <c r="F21" i="42"/>
  <c r="F19" i="42"/>
  <c r="F18" i="42"/>
  <c r="F17" i="42"/>
  <c r="F16" i="42"/>
  <c r="F15" i="42"/>
  <c r="F14" i="42"/>
  <c r="F12" i="42"/>
  <c r="F11" i="42"/>
  <c r="F10" i="42"/>
  <c r="F9" i="42"/>
  <c r="F8" i="42"/>
  <c r="F7" i="42"/>
  <c r="A4" i="41"/>
  <c r="B4" i="41"/>
  <c r="C4" i="41"/>
  <c r="D4" i="41" s="1"/>
  <c r="A5" i="41"/>
  <c r="B5" i="41"/>
  <c r="C5" i="41"/>
  <c r="D5" i="41" s="1"/>
  <c r="A6" i="41"/>
  <c r="B6" i="41"/>
  <c r="C6" i="41"/>
  <c r="D6" i="41" s="1"/>
  <c r="A7" i="41"/>
  <c r="B7" i="41"/>
  <c r="C7" i="41"/>
  <c r="D7" i="41" s="1"/>
  <c r="A8" i="41"/>
  <c r="B8" i="41"/>
  <c r="C8" i="41"/>
  <c r="D8" i="41" s="1"/>
  <c r="A9" i="41"/>
  <c r="B9" i="41"/>
  <c r="C9" i="41"/>
  <c r="D9" i="41" s="1"/>
  <c r="A10" i="41"/>
  <c r="B10" i="41"/>
  <c r="C10" i="41"/>
  <c r="D10" i="41" s="1"/>
  <c r="A11" i="41"/>
  <c r="B11" i="41"/>
  <c r="C11" i="41"/>
  <c r="D11" i="41" s="1"/>
  <c r="A12" i="41"/>
  <c r="B12" i="41"/>
  <c r="C12" i="41"/>
  <c r="D12" i="41" s="1"/>
  <c r="A13" i="41"/>
  <c r="B13" i="41"/>
  <c r="C13" i="41"/>
  <c r="D13" i="41" s="1"/>
  <c r="A14" i="41"/>
  <c r="B14" i="41"/>
  <c r="C14" i="41"/>
  <c r="D14" i="41" s="1"/>
  <c r="A15" i="41"/>
  <c r="B15" i="41"/>
  <c r="C15" i="41"/>
  <c r="D15" i="41" s="1"/>
  <c r="A16" i="41"/>
  <c r="B16" i="41"/>
  <c r="C16" i="41"/>
  <c r="D16" i="41" s="1"/>
  <c r="A17" i="41"/>
  <c r="B17" i="41"/>
  <c r="C17" i="41"/>
  <c r="D17" i="41" s="1"/>
  <c r="A18" i="41"/>
  <c r="B18" i="41"/>
  <c r="C18" i="41"/>
  <c r="D18" i="41" s="1"/>
  <c r="A19" i="41"/>
  <c r="B19" i="41"/>
  <c r="C19" i="41"/>
  <c r="D19" i="41" s="1"/>
  <c r="A20" i="41"/>
  <c r="B20" i="41"/>
  <c r="C20" i="41"/>
  <c r="D20" i="41" s="1"/>
  <c r="A21" i="41"/>
  <c r="B21" i="41"/>
  <c r="C21" i="41"/>
  <c r="D21" i="41" s="1"/>
  <c r="A22" i="41"/>
  <c r="B22" i="41"/>
  <c r="C22" i="41"/>
  <c r="D22" i="41" s="1"/>
  <c r="A23" i="41"/>
  <c r="B23" i="41"/>
  <c r="C23" i="41"/>
  <c r="D23" i="41" s="1"/>
  <c r="A24" i="41"/>
  <c r="B24" i="41"/>
  <c r="C24" i="41"/>
  <c r="D24" i="41" s="1"/>
  <c r="A25" i="41"/>
  <c r="B25" i="41"/>
  <c r="C25" i="41"/>
  <c r="D25" i="41" s="1"/>
  <c r="A26" i="41"/>
  <c r="B26" i="41"/>
  <c r="C26" i="41"/>
  <c r="D26" i="41" s="1"/>
  <c r="A27" i="41"/>
  <c r="B27" i="41"/>
  <c r="C27" i="41"/>
  <c r="D27" i="41" s="1"/>
  <c r="A28" i="41"/>
  <c r="B28" i="41"/>
  <c r="C28" i="41"/>
  <c r="D28" i="41" s="1"/>
  <c r="A29" i="41"/>
  <c r="B29" i="41"/>
  <c r="C29" i="41"/>
  <c r="D29" i="41" s="1"/>
  <c r="A30" i="41"/>
  <c r="B30" i="41"/>
  <c r="C30" i="41"/>
  <c r="D30" i="41" s="1"/>
  <c r="A31" i="41"/>
  <c r="B31" i="41"/>
  <c r="C31" i="41"/>
  <c r="D31" i="41" s="1"/>
  <c r="A32" i="41"/>
  <c r="B32" i="41"/>
  <c r="C32" i="41"/>
  <c r="D32" i="41" s="1"/>
  <c r="A33" i="41"/>
  <c r="B33" i="41"/>
  <c r="C33" i="41"/>
  <c r="D33" i="41" s="1"/>
  <c r="A34" i="41"/>
  <c r="B34" i="41"/>
  <c r="C34" i="41"/>
  <c r="D34" i="41" s="1"/>
  <c r="A35" i="41"/>
  <c r="B35" i="41"/>
  <c r="C35" i="41"/>
  <c r="D35" i="41" s="1"/>
  <c r="A36" i="41"/>
  <c r="B36" i="41"/>
  <c r="C36" i="41"/>
  <c r="D36" i="41" s="1"/>
  <c r="A37" i="41"/>
  <c r="B37" i="41"/>
  <c r="C37" i="41"/>
  <c r="D37" i="41" s="1"/>
  <c r="A38" i="41"/>
  <c r="B38" i="41"/>
  <c r="C38" i="41"/>
  <c r="D38" i="41" s="1"/>
  <c r="A39" i="41"/>
  <c r="B39" i="41"/>
  <c r="C39" i="41"/>
  <c r="D39" i="41" s="1"/>
  <c r="A40" i="41"/>
  <c r="B40" i="41"/>
  <c r="C40" i="41"/>
  <c r="D40" i="41" s="1"/>
  <c r="A41" i="41"/>
  <c r="B41" i="41"/>
  <c r="C41" i="41"/>
  <c r="D41" i="41" s="1"/>
  <c r="A42" i="41"/>
  <c r="B42" i="41"/>
  <c r="C42" i="41"/>
  <c r="D42" i="41" s="1"/>
  <c r="A43" i="41"/>
  <c r="B43" i="41"/>
  <c r="C43" i="41"/>
  <c r="D43" i="41" s="1"/>
  <c r="A44" i="41"/>
  <c r="B44" i="41"/>
  <c r="C44" i="41"/>
  <c r="D44" i="41" s="1"/>
  <c r="A45" i="41"/>
  <c r="B45" i="41"/>
  <c r="C45" i="41"/>
  <c r="D45" i="41" s="1"/>
  <c r="A46" i="41"/>
  <c r="B46" i="41"/>
  <c r="C46" i="41"/>
  <c r="D46" i="41" s="1"/>
  <c r="A47" i="41"/>
  <c r="B47" i="41"/>
  <c r="C47" i="41"/>
  <c r="D47" i="41" s="1"/>
  <c r="A48" i="41"/>
  <c r="B48" i="41"/>
  <c r="C48" i="41"/>
  <c r="D48" i="41" s="1"/>
  <c r="A49" i="41"/>
  <c r="B49" i="41"/>
  <c r="C49" i="41"/>
  <c r="D49" i="41" s="1"/>
  <c r="C3" i="41"/>
  <c r="D3" i="41" s="1"/>
  <c r="B3" i="41"/>
  <c r="A3" i="41"/>
  <c r="F49" i="41"/>
  <c r="F48" i="41"/>
  <c r="F47" i="41"/>
  <c r="F46" i="41"/>
  <c r="F45" i="41"/>
  <c r="F44" i="41"/>
  <c r="F43" i="41"/>
  <c r="F42" i="41"/>
  <c r="F41" i="41"/>
  <c r="F40" i="41"/>
  <c r="F39" i="41"/>
  <c r="F38" i="41"/>
  <c r="F37" i="41"/>
  <c r="F36" i="41"/>
  <c r="F35" i="41"/>
  <c r="F34" i="41"/>
  <c r="F33" i="41"/>
  <c r="F32" i="41"/>
  <c r="F31" i="41"/>
  <c r="F30" i="41"/>
  <c r="F29" i="41"/>
  <c r="F28" i="41"/>
  <c r="F26" i="41"/>
  <c r="F25" i="41"/>
  <c r="F24" i="41"/>
  <c r="F23" i="41"/>
  <c r="F22" i="41"/>
  <c r="F21" i="41"/>
  <c r="F19" i="41"/>
  <c r="F18" i="41"/>
  <c r="F17" i="41"/>
  <c r="F16" i="41"/>
  <c r="F15" i="41"/>
  <c r="F14" i="41"/>
  <c r="F12" i="41"/>
  <c r="F11" i="41"/>
  <c r="F10" i="41"/>
  <c r="F9" i="41"/>
  <c r="F8" i="41"/>
  <c r="F7" i="41"/>
  <c r="A4" i="15"/>
  <c r="B4" i="15"/>
  <c r="B6" i="45" s="1"/>
  <c r="E6" i="44" s="1"/>
  <c r="C4" i="15"/>
  <c r="D4" i="15" s="1"/>
  <c r="A5" i="15"/>
  <c r="B5" i="15"/>
  <c r="B8" i="45" s="1"/>
  <c r="E12" i="44" s="1"/>
  <c r="C5" i="15"/>
  <c r="D5" i="15" s="1"/>
  <c r="A6" i="15"/>
  <c r="B6" i="15"/>
  <c r="C6" i="15"/>
  <c r="D6" i="15" s="1"/>
  <c r="A7" i="15"/>
  <c r="B7" i="15"/>
  <c r="B9" i="45" s="1"/>
  <c r="E15" i="44" s="1"/>
  <c r="C7" i="15"/>
  <c r="D7" i="15" s="1"/>
  <c r="A8" i="15"/>
  <c r="B8" i="15"/>
  <c r="C8" i="15"/>
  <c r="D8" i="15" s="1"/>
  <c r="A9" i="15"/>
  <c r="B9" i="15"/>
  <c r="B16" i="45" s="1"/>
  <c r="C9" i="15"/>
  <c r="D9" i="15" s="1"/>
  <c r="A10" i="15"/>
  <c r="B10" i="15"/>
  <c r="C10" i="15"/>
  <c r="D10" i="15" s="1"/>
  <c r="A11" i="15"/>
  <c r="B11" i="15"/>
  <c r="B13" i="45" s="1"/>
  <c r="E27" i="44" s="1"/>
  <c r="C11" i="15"/>
  <c r="D11" i="15" s="1"/>
  <c r="A12" i="15"/>
  <c r="B12" i="15"/>
  <c r="C12" i="15"/>
  <c r="D12" i="15" s="1"/>
  <c r="A13" i="15"/>
  <c r="B13" i="15"/>
  <c r="C13" i="15"/>
  <c r="D13" i="15" s="1"/>
  <c r="A14" i="15"/>
  <c r="B14" i="15"/>
  <c r="B14" i="45" s="1"/>
  <c r="E30" i="44" s="1"/>
  <c r="C14" i="15"/>
  <c r="D14" i="15" s="1"/>
  <c r="A15" i="15"/>
  <c r="B15" i="15"/>
  <c r="C15" i="15"/>
  <c r="D15" i="15" s="1"/>
  <c r="A16" i="15"/>
  <c r="B16" i="15"/>
  <c r="C16" i="15"/>
  <c r="D16" i="15" s="1"/>
  <c r="A17" i="15"/>
  <c r="B17" i="15"/>
  <c r="C17" i="15"/>
  <c r="D17" i="15" s="1"/>
  <c r="A18" i="15"/>
  <c r="B18" i="15"/>
  <c r="B15" i="45" s="1"/>
  <c r="E33" i="44" s="1"/>
  <c r="C18" i="15"/>
  <c r="D18" i="15" s="1"/>
  <c r="A19" i="15"/>
  <c r="B19" i="15"/>
  <c r="C19" i="15"/>
  <c r="D19" i="15" s="1"/>
  <c r="A20" i="15"/>
  <c r="B20" i="15"/>
  <c r="C20" i="15"/>
  <c r="D20" i="15" s="1"/>
  <c r="A21" i="15"/>
  <c r="B21" i="15"/>
  <c r="C21" i="15"/>
  <c r="D21" i="15" s="1"/>
  <c r="A22" i="15"/>
  <c r="B22" i="15"/>
  <c r="C22" i="15"/>
  <c r="D22" i="15" s="1"/>
  <c r="A23" i="15"/>
  <c r="B23" i="15"/>
  <c r="C23" i="15"/>
  <c r="D23" i="15" s="1"/>
  <c r="A24" i="15"/>
  <c r="B24" i="15"/>
  <c r="C24" i="15"/>
  <c r="D24" i="15" s="1"/>
  <c r="A25" i="15"/>
  <c r="B25" i="15"/>
  <c r="C25" i="15"/>
  <c r="D25" i="15" s="1"/>
  <c r="A26" i="15"/>
  <c r="B26" i="15"/>
  <c r="C26" i="15"/>
  <c r="D26" i="15" s="1"/>
  <c r="A27" i="15"/>
  <c r="B27" i="15"/>
  <c r="C27" i="15"/>
  <c r="D27" i="15" s="1"/>
  <c r="A28" i="15"/>
  <c r="B28" i="15"/>
  <c r="C28" i="15"/>
  <c r="D28" i="15"/>
  <c r="A29" i="15"/>
  <c r="B29" i="15"/>
  <c r="C29" i="15"/>
  <c r="D29" i="15" s="1"/>
  <c r="A30" i="15"/>
  <c r="B30" i="15"/>
  <c r="C30" i="15"/>
  <c r="D30" i="15" s="1"/>
  <c r="A31" i="15"/>
  <c r="B31" i="15"/>
  <c r="B10" i="45" s="1"/>
  <c r="E18" i="44" s="1"/>
  <c r="C31" i="15"/>
  <c r="D31" i="15" s="1"/>
  <c r="A32" i="15"/>
  <c r="B32" i="15"/>
  <c r="B17" i="45" s="1"/>
  <c r="E39" i="44" s="1"/>
  <c r="C32" i="15"/>
  <c r="D32" i="15" s="1"/>
  <c r="A33" i="15"/>
  <c r="B33" i="15"/>
  <c r="C33" i="15"/>
  <c r="D33" i="15" s="1"/>
  <c r="A34" i="15"/>
  <c r="B34" i="15"/>
  <c r="C34" i="15"/>
  <c r="D34" i="15" s="1"/>
  <c r="A35" i="15"/>
  <c r="B35" i="15"/>
  <c r="C35" i="15"/>
  <c r="D35" i="15" s="1"/>
  <c r="A36" i="15"/>
  <c r="B36" i="15"/>
  <c r="C36" i="15"/>
  <c r="D36" i="15" s="1"/>
  <c r="A37" i="15"/>
  <c r="B37" i="15"/>
  <c r="C37" i="15"/>
  <c r="D37" i="15" s="1"/>
  <c r="A38" i="15"/>
  <c r="B38" i="15"/>
  <c r="C38" i="15"/>
  <c r="D38" i="15" s="1"/>
  <c r="A39" i="15"/>
  <c r="B39" i="15"/>
  <c r="C39" i="15"/>
  <c r="D39" i="15" s="1"/>
  <c r="A40" i="15"/>
  <c r="B40" i="15"/>
  <c r="C40" i="15"/>
  <c r="D40" i="15" s="1"/>
  <c r="A41" i="15"/>
  <c r="B41" i="15"/>
  <c r="C41" i="15"/>
  <c r="D41" i="15" s="1"/>
  <c r="A43" i="15"/>
  <c r="B43" i="15"/>
  <c r="B20" i="45" s="1"/>
  <c r="E48" i="44" s="1"/>
  <c r="C43" i="15"/>
  <c r="D43" i="15" s="1"/>
  <c r="A44" i="15"/>
  <c r="B44" i="15"/>
  <c r="B18" i="45" s="1"/>
  <c r="E42" i="44" s="1"/>
  <c r="C44" i="15"/>
  <c r="D44" i="15" s="1"/>
  <c r="A45" i="15"/>
  <c r="B45" i="15"/>
  <c r="C45" i="15"/>
  <c r="D45" i="15" s="1"/>
  <c r="A46" i="15"/>
  <c r="B46" i="15"/>
  <c r="C46" i="15"/>
  <c r="D46" i="15" s="1"/>
  <c r="A47" i="15"/>
  <c r="B47" i="15"/>
  <c r="B12" i="45" s="1"/>
  <c r="E24" i="44" s="1"/>
  <c r="C47" i="15"/>
  <c r="D47" i="15" s="1"/>
  <c r="A48" i="15"/>
  <c r="B48" i="15"/>
  <c r="B19" i="45" s="1"/>
  <c r="E45" i="44" s="1"/>
  <c r="C48" i="15"/>
  <c r="D48" i="15" s="1"/>
  <c r="A49" i="15"/>
  <c r="B49" i="15"/>
  <c r="C49" i="15"/>
  <c r="D49" i="15" s="1"/>
  <c r="A50" i="15"/>
  <c r="B50" i="15"/>
  <c r="C50" i="15"/>
  <c r="D50" i="15" s="1"/>
  <c r="A51" i="15"/>
  <c r="B51" i="15"/>
  <c r="C51" i="15"/>
  <c r="D51" i="15" s="1"/>
  <c r="A52" i="15"/>
  <c r="B52" i="15"/>
  <c r="C52" i="15"/>
  <c r="D52" i="15" s="1"/>
  <c r="A53" i="15"/>
  <c r="B53" i="15"/>
  <c r="C53" i="15"/>
  <c r="D53" i="15" s="1"/>
  <c r="A55" i="15"/>
  <c r="B55" i="15"/>
  <c r="C55" i="15"/>
  <c r="D55" i="15" s="1"/>
  <c r="A57" i="15"/>
  <c r="B57" i="15"/>
  <c r="C57" i="15"/>
  <c r="D57" i="15" s="1"/>
  <c r="A58" i="15"/>
  <c r="B58" i="15"/>
  <c r="C14" i="45" s="1"/>
  <c r="C58" i="15"/>
  <c r="D58" i="15" s="1"/>
  <c r="A59" i="15"/>
  <c r="B59" i="15"/>
  <c r="C59" i="15"/>
  <c r="D59" i="15" s="1"/>
  <c r="A60" i="15"/>
  <c r="B60" i="15"/>
  <c r="C60" i="15"/>
  <c r="D60" i="15" s="1"/>
  <c r="A61" i="15"/>
  <c r="B61" i="15"/>
  <c r="C61" i="15"/>
  <c r="D61" i="15" s="1"/>
  <c r="A62" i="15"/>
  <c r="B62" i="15"/>
  <c r="C15" i="45" s="1"/>
  <c r="C62" i="15"/>
  <c r="D62" i="15" s="1"/>
  <c r="A63" i="15"/>
  <c r="B63" i="15"/>
  <c r="C63" i="15"/>
  <c r="D63" i="15" s="1"/>
  <c r="A64" i="15"/>
  <c r="B64" i="15"/>
  <c r="C64" i="15"/>
  <c r="D64" i="15" s="1"/>
  <c r="A65" i="15"/>
  <c r="B65" i="15"/>
  <c r="C65" i="15"/>
  <c r="D65" i="15" s="1"/>
  <c r="A66" i="15"/>
  <c r="B66" i="15"/>
  <c r="C17" i="45" s="1"/>
  <c r="C66" i="15"/>
  <c r="D66" i="15" s="1"/>
  <c r="A67" i="15"/>
  <c r="B67" i="15"/>
  <c r="C67" i="15"/>
  <c r="D67" i="15" s="1"/>
  <c r="A69" i="15"/>
  <c r="B69" i="15"/>
  <c r="C9" i="45" s="1"/>
  <c r="C69" i="15"/>
  <c r="D69" i="15" s="1"/>
  <c r="A70" i="15"/>
  <c r="B70" i="15"/>
  <c r="C16" i="45" s="1"/>
  <c r="C70" i="15"/>
  <c r="D70" i="15" s="1"/>
  <c r="A71" i="15"/>
  <c r="B71" i="15"/>
  <c r="C71" i="15"/>
  <c r="D71" i="15" s="1"/>
  <c r="A72" i="15"/>
  <c r="B72" i="15"/>
  <c r="C72" i="15"/>
  <c r="D72" i="15" s="1"/>
  <c r="A73" i="15"/>
  <c r="B73" i="15"/>
  <c r="C7" i="45" s="1"/>
  <c r="C73" i="15"/>
  <c r="D73" i="15" s="1"/>
  <c r="A74" i="15"/>
  <c r="B74" i="15"/>
  <c r="C13" i="45" s="1"/>
  <c r="C74" i="15"/>
  <c r="D74" i="15" s="1"/>
  <c r="A75" i="15"/>
  <c r="B75" i="15"/>
  <c r="C75" i="15"/>
  <c r="D75" i="15" s="1"/>
  <c r="A76" i="15"/>
  <c r="B76" i="15"/>
  <c r="C76" i="15"/>
  <c r="D76" i="15" s="1"/>
  <c r="C18" i="45"/>
  <c r="A79" i="15"/>
  <c r="B79" i="15"/>
  <c r="C79" i="15"/>
  <c r="D79" i="15" s="1"/>
  <c r="A80" i="15"/>
  <c r="B80" i="15"/>
  <c r="C12" i="45" s="1"/>
  <c r="C80" i="15"/>
  <c r="D80" i="15" s="1"/>
  <c r="A81" i="15"/>
  <c r="B81" i="15"/>
  <c r="C8" i="45" s="1"/>
  <c r="C81" i="15"/>
  <c r="D81" i="15" s="1"/>
  <c r="A82" i="15"/>
  <c r="B82" i="15"/>
  <c r="C82" i="15"/>
  <c r="D82" i="15" s="1"/>
  <c r="A83" i="15"/>
  <c r="B83" i="15"/>
  <c r="C83" i="15"/>
  <c r="D83" i="15" s="1"/>
  <c r="A84" i="15"/>
  <c r="B84" i="15"/>
  <c r="C10" i="45" s="1"/>
  <c r="C84" i="15"/>
  <c r="D84" i="15" s="1"/>
  <c r="A85" i="15"/>
  <c r="B85" i="15"/>
  <c r="C85" i="15"/>
  <c r="D85" i="15" s="1"/>
  <c r="A86" i="15"/>
  <c r="B86" i="15"/>
  <c r="C86" i="15"/>
  <c r="D86" i="15" s="1"/>
  <c r="A87" i="15"/>
  <c r="B87" i="15"/>
  <c r="C87" i="15"/>
  <c r="D87" i="15" s="1"/>
  <c r="A88" i="15"/>
  <c r="B88" i="15"/>
  <c r="C88" i="15"/>
  <c r="D88" i="15" s="1"/>
  <c r="A89" i="15"/>
  <c r="B89" i="15"/>
  <c r="C89" i="15"/>
  <c r="D89" i="15" s="1"/>
  <c r="A90" i="15"/>
  <c r="B90" i="15"/>
  <c r="C90" i="15"/>
  <c r="D90" i="15" s="1"/>
  <c r="A91" i="15"/>
  <c r="B91" i="15"/>
  <c r="C91" i="15"/>
  <c r="D91" i="15" s="1"/>
  <c r="A92" i="15"/>
  <c r="B92" i="15"/>
  <c r="C92" i="15"/>
  <c r="D92" i="15" s="1"/>
  <c r="A93" i="15"/>
  <c r="B93" i="15"/>
  <c r="C19" i="45" s="1"/>
  <c r="C93" i="15"/>
  <c r="D93" i="15" s="1"/>
  <c r="A94" i="15"/>
  <c r="B94" i="15"/>
  <c r="C94" i="15"/>
  <c r="D94" i="15" s="1"/>
  <c r="A95" i="15"/>
  <c r="B95" i="15"/>
  <c r="C95" i="15"/>
  <c r="D95" i="15" s="1"/>
  <c r="A96" i="15"/>
  <c r="B96" i="15"/>
  <c r="C96" i="15"/>
  <c r="D96" i="15" s="1"/>
  <c r="A97" i="15"/>
  <c r="B97" i="15"/>
  <c r="C97" i="15"/>
  <c r="D97" i="15" s="1"/>
  <c r="A98" i="15"/>
  <c r="B98" i="15"/>
  <c r="C98" i="15"/>
  <c r="D98" i="15" s="1"/>
  <c r="A99" i="15"/>
  <c r="B99" i="15"/>
  <c r="C6" i="45" s="1"/>
  <c r="C99" i="15"/>
  <c r="D99" i="15" s="1"/>
  <c r="A100" i="15"/>
  <c r="B100" i="15"/>
  <c r="D7" i="45" s="1"/>
  <c r="F9" i="44" s="1"/>
  <c r="C100" i="15"/>
  <c r="D100" i="15" s="1"/>
  <c r="A101" i="15"/>
  <c r="B101" i="15"/>
  <c r="C101" i="15"/>
  <c r="D101" i="15" s="1"/>
  <c r="A102" i="15"/>
  <c r="B102" i="15"/>
  <c r="C102" i="15"/>
  <c r="D102" i="15" s="1"/>
  <c r="A103" i="15"/>
  <c r="B103" i="15"/>
  <c r="C103" i="15"/>
  <c r="D103" i="15" s="1"/>
  <c r="A104" i="15"/>
  <c r="B104" i="15"/>
  <c r="C104" i="15"/>
  <c r="D104" i="15" s="1"/>
  <c r="A105" i="15"/>
  <c r="B105" i="15"/>
  <c r="C20" i="45" s="1"/>
  <c r="C105" i="15"/>
  <c r="D105" i="15" s="1"/>
  <c r="A106" i="15"/>
  <c r="B106" i="15"/>
  <c r="D8" i="45" s="1"/>
  <c r="F12" i="44" s="1"/>
  <c r="C106" i="15"/>
  <c r="D106" i="15" s="1"/>
  <c r="A107" i="15"/>
  <c r="B107" i="15"/>
  <c r="C107" i="15"/>
  <c r="D107" i="15" s="1"/>
  <c r="A108" i="15"/>
  <c r="B108" i="15"/>
  <c r="C108" i="15"/>
  <c r="D108" i="15" s="1"/>
  <c r="A110" i="15"/>
  <c r="B110" i="15"/>
  <c r="C110" i="15"/>
  <c r="D110" i="15" s="1"/>
  <c r="A111" i="15"/>
  <c r="B111" i="15"/>
  <c r="C111" i="15"/>
  <c r="D111" i="15" s="1"/>
  <c r="A112" i="15"/>
  <c r="B112" i="15"/>
  <c r="C112" i="15"/>
  <c r="D112" i="15" s="1"/>
  <c r="A113" i="15"/>
  <c r="B113" i="15"/>
  <c r="C113" i="15"/>
  <c r="D113" i="15" s="1"/>
  <c r="A114" i="15"/>
  <c r="B114" i="15"/>
  <c r="C114" i="15"/>
  <c r="D114" i="15" s="1"/>
  <c r="A115" i="15"/>
  <c r="B115" i="15"/>
  <c r="E7" i="45" s="1"/>
  <c r="F10" i="44" s="1"/>
  <c r="C115" i="15"/>
  <c r="D115" i="15" s="1"/>
  <c r="A116" i="15"/>
  <c r="B116" i="15"/>
  <c r="D17" i="45" s="1"/>
  <c r="F39" i="44" s="1"/>
  <c r="C116" i="15"/>
  <c r="D116" i="15" s="1"/>
  <c r="A118" i="15"/>
  <c r="B118" i="15"/>
  <c r="C118" i="15"/>
  <c r="D118" i="15" s="1"/>
  <c r="A119" i="15"/>
  <c r="B119" i="15"/>
  <c r="C119" i="15"/>
  <c r="D119" i="15" s="1"/>
  <c r="A120" i="15"/>
  <c r="B120" i="15"/>
  <c r="C120" i="15"/>
  <c r="D120" i="15" s="1"/>
  <c r="A121" i="15"/>
  <c r="B121" i="15"/>
  <c r="C121" i="15"/>
  <c r="D121" i="15" s="1"/>
  <c r="A122" i="15"/>
  <c r="B122" i="15"/>
  <c r="E8" i="45" s="1"/>
  <c r="F13" i="44" s="1"/>
  <c r="C122" i="15"/>
  <c r="D122" i="15" s="1"/>
  <c r="A123" i="15"/>
  <c r="B123" i="15"/>
  <c r="C123" i="15"/>
  <c r="D123" i="15" s="1"/>
  <c r="A124" i="15"/>
  <c r="B124" i="15"/>
  <c r="C124" i="15"/>
  <c r="D124" i="15" s="1"/>
  <c r="A125" i="15"/>
  <c r="B125" i="15"/>
  <c r="D10" i="45" s="1"/>
  <c r="F18" i="44" s="1"/>
  <c r="C125" i="15"/>
  <c r="D125" i="15" s="1"/>
  <c r="A126" i="15"/>
  <c r="B126" i="15"/>
  <c r="C126" i="15"/>
  <c r="D126" i="15" s="1"/>
  <c r="A127" i="15"/>
  <c r="B127" i="15"/>
  <c r="E17" i="45" s="1"/>
  <c r="F40" i="44" s="1"/>
  <c r="C127" i="15"/>
  <c r="D127" i="15" s="1"/>
  <c r="A128" i="15"/>
  <c r="B128" i="15"/>
  <c r="D16" i="45" s="1"/>
  <c r="F36" i="44" s="1"/>
  <c r="C128" i="15"/>
  <c r="D128" i="15" s="1"/>
  <c r="A129" i="15"/>
  <c r="B129" i="15"/>
  <c r="C129" i="15"/>
  <c r="D129" i="15" s="1"/>
  <c r="A130" i="15"/>
  <c r="B130" i="15"/>
  <c r="C130" i="15"/>
  <c r="D130" i="15" s="1"/>
  <c r="A131" i="15"/>
  <c r="B131" i="15"/>
  <c r="C131" i="15"/>
  <c r="D131" i="15" s="1"/>
  <c r="A132" i="15"/>
  <c r="B132" i="15"/>
  <c r="C132" i="15"/>
  <c r="D132" i="15" s="1"/>
  <c r="A133" i="15"/>
  <c r="B133" i="15"/>
  <c r="C133" i="15"/>
  <c r="D133" i="15" s="1"/>
  <c r="E16" i="45"/>
  <c r="F37" i="44" s="1"/>
  <c r="D9" i="45"/>
  <c r="F15" i="44" s="1"/>
  <c r="E9" i="45"/>
  <c r="F16" i="44" s="1"/>
  <c r="E10" i="45"/>
  <c r="F19" i="44" s="1"/>
  <c r="A3" i="15"/>
  <c r="AJ23" i="45" l="1"/>
  <c r="E40" i="44"/>
  <c r="I17" i="45"/>
  <c r="L17" i="45" s="1"/>
  <c r="AK17" i="45" s="1"/>
  <c r="I8" i="45"/>
  <c r="L8" i="45" s="1"/>
  <c r="AK8" i="45" s="1"/>
  <c r="E13" i="44"/>
  <c r="E28" i="44"/>
  <c r="I13" i="45"/>
  <c r="L13" i="45" s="1"/>
  <c r="AK13" i="45" s="1"/>
  <c r="I10" i="45"/>
  <c r="L10" i="45" s="1"/>
  <c r="AK10" i="45" s="1"/>
  <c r="E19" i="44"/>
  <c r="E49" i="44"/>
  <c r="I20" i="45"/>
  <c r="I16" i="45"/>
  <c r="L16" i="45" s="1"/>
  <c r="AK16" i="45" s="1"/>
  <c r="E10" i="44"/>
  <c r="E25" i="44"/>
  <c r="I12" i="45"/>
  <c r="L12" i="45" s="1"/>
  <c r="AK12" i="45" s="1"/>
  <c r="AL12" i="45" s="1"/>
  <c r="E16" i="44"/>
  <c r="I9" i="45"/>
  <c r="L9" i="45" s="1"/>
  <c r="AK9" i="45" s="1"/>
  <c r="I19" i="45"/>
  <c r="L19" i="45" s="1"/>
  <c r="AK19" i="45" s="1"/>
  <c r="E46" i="44"/>
  <c r="I18" i="45"/>
  <c r="L18" i="45" s="1"/>
  <c r="AK18" i="45" s="1"/>
  <c r="E43" i="44"/>
  <c r="I15" i="45"/>
  <c r="L15" i="45" s="1"/>
  <c r="AK15" i="45" s="1"/>
  <c r="E34" i="44"/>
  <c r="E7" i="44"/>
  <c r="I6" i="45"/>
  <c r="L6" i="45" s="1"/>
  <c r="E31" i="44"/>
  <c r="I14" i="45"/>
  <c r="L14" i="45" s="1"/>
  <c r="AK14" i="45" s="1"/>
  <c r="I6" i="44"/>
  <c r="I73" i="44" s="1"/>
  <c r="I77" i="44" s="1"/>
  <c r="I78" i="44" s="1"/>
  <c r="AJ29" i="45"/>
  <c r="Q167" i="45"/>
  <c r="T163" i="45"/>
  <c r="M164" i="45"/>
  <c r="C30" i="40"/>
  <c r="D30" i="40" s="1"/>
  <c r="B30" i="40"/>
  <c r="F30" i="40" s="1"/>
  <c r="Y30" i="40" s="1"/>
  <c r="A30" i="40"/>
  <c r="C29" i="40"/>
  <c r="D29" i="40" s="1"/>
  <c r="B29" i="40"/>
  <c r="F29" i="40" s="1"/>
  <c r="AA29" i="40" s="1"/>
  <c r="A29" i="40"/>
  <c r="C28" i="40"/>
  <c r="D28" i="40" s="1"/>
  <c r="B28" i="40"/>
  <c r="L28" i="40" s="1"/>
  <c r="A28" i="40"/>
  <c r="C27" i="40"/>
  <c r="D27" i="40" s="1"/>
  <c r="B27" i="40"/>
  <c r="L27" i="40" s="1"/>
  <c r="A27" i="40"/>
  <c r="C26" i="40"/>
  <c r="D26" i="40" s="1"/>
  <c r="B26" i="40"/>
  <c r="F26" i="40" s="1"/>
  <c r="A26" i="40"/>
  <c r="C25" i="40"/>
  <c r="D25" i="40" s="1"/>
  <c r="B25" i="40"/>
  <c r="L25" i="40" s="1"/>
  <c r="A25" i="40"/>
  <c r="C24" i="40"/>
  <c r="D24" i="40" s="1"/>
  <c r="B24" i="40"/>
  <c r="F24" i="40" s="1"/>
  <c r="Y24" i="40" s="1"/>
  <c r="A24" i="40"/>
  <c r="C23" i="40"/>
  <c r="D23" i="40" s="1"/>
  <c r="B23" i="40"/>
  <c r="L23" i="40" s="1"/>
  <c r="A23" i="40"/>
  <c r="C22" i="40"/>
  <c r="D22" i="40" s="1"/>
  <c r="B22" i="40"/>
  <c r="L22" i="40" s="1"/>
  <c r="A22" i="40"/>
  <c r="C21" i="40"/>
  <c r="B21" i="40"/>
  <c r="L21" i="40" s="1"/>
  <c r="A21" i="40"/>
  <c r="C20" i="40"/>
  <c r="D20" i="40" s="1"/>
  <c r="B20" i="40"/>
  <c r="L20" i="40" s="1"/>
  <c r="A20" i="40"/>
  <c r="C19" i="40"/>
  <c r="D19" i="40" s="1"/>
  <c r="B19" i="40"/>
  <c r="A19" i="40"/>
  <c r="C18" i="40"/>
  <c r="D18" i="40" s="1"/>
  <c r="B18" i="40"/>
  <c r="A18" i="40"/>
  <c r="C16" i="40"/>
  <c r="D16" i="40" s="1"/>
  <c r="B16" i="40"/>
  <c r="L16" i="40" s="1"/>
  <c r="A16" i="40"/>
  <c r="C15" i="40"/>
  <c r="D15" i="40" s="1"/>
  <c r="B15" i="40"/>
  <c r="A15" i="40"/>
  <c r="C14" i="40"/>
  <c r="B14" i="40"/>
  <c r="L14" i="40" s="1"/>
  <c r="A14" i="40"/>
  <c r="C13" i="40"/>
  <c r="D13" i="40" s="1"/>
  <c r="B13" i="40"/>
  <c r="F13" i="40" s="1"/>
  <c r="AA13" i="40" s="1"/>
  <c r="A13" i="40"/>
  <c r="C12" i="40"/>
  <c r="D12" i="40" s="1"/>
  <c r="B12" i="40"/>
  <c r="L12" i="40" s="1"/>
  <c r="A12" i="40"/>
  <c r="C11" i="40"/>
  <c r="D11" i="40" s="1"/>
  <c r="B11" i="40"/>
  <c r="F11" i="40" s="1"/>
  <c r="A11" i="40"/>
  <c r="C10" i="40"/>
  <c r="B10" i="40"/>
  <c r="F10" i="40" s="1"/>
  <c r="A10" i="40"/>
  <c r="C9" i="40"/>
  <c r="D9" i="40" s="1"/>
  <c r="B9" i="40"/>
  <c r="F9" i="40" s="1"/>
  <c r="A9" i="40"/>
  <c r="B8" i="40"/>
  <c r="F8" i="40" s="1"/>
  <c r="Y8" i="40" s="1"/>
  <c r="C8" i="40"/>
  <c r="D8" i="40" s="1"/>
  <c r="A8" i="40"/>
  <c r="P37" i="40"/>
  <c r="O37" i="40"/>
  <c r="P33" i="40"/>
  <c r="O33" i="40"/>
  <c r="Z30" i="40"/>
  <c r="V30" i="40"/>
  <c r="T30" i="40"/>
  <c r="P30" i="40"/>
  <c r="L30" i="40"/>
  <c r="Z29" i="40"/>
  <c r="V29" i="40"/>
  <c r="T29" i="40"/>
  <c r="P29" i="40"/>
  <c r="Z28" i="40"/>
  <c r="V28" i="40"/>
  <c r="T28" i="40"/>
  <c r="P28" i="40"/>
  <c r="Z27" i="40"/>
  <c r="V27" i="40"/>
  <c r="T27" i="40"/>
  <c r="P27" i="40"/>
  <c r="F27" i="40"/>
  <c r="AA27" i="40" s="1"/>
  <c r="AB27" i="40" s="1"/>
  <c r="Z26" i="40"/>
  <c r="Z25" i="40"/>
  <c r="V25" i="40"/>
  <c r="T25" i="40"/>
  <c r="P25" i="40"/>
  <c r="Z24" i="40"/>
  <c r="V24" i="40"/>
  <c r="T24" i="40"/>
  <c r="P24" i="40"/>
  <c r="Z23" i="40"/>
  <c r="V23" i="40"/>
  <c r="T23" i="40"/>
  <c r="P23" i="40"/>
  <c r="Z22" i="40"/>
  <c r="V22" i="40"/>
  <c r="T22" i="40"/>
  <c r="P22" i="40"/>
  <c r="Z21" i="40"/>
  <c r="V21" i="40"/>
  <c r="T21" i="40"/>
  <c r="P21" i="40"/>
  <c r="D21" i="40"/>
  <c r="Z20" i="40"/>
  <c r="V20" i="40"/>
  <c r="T20" i="40"/>
  <c r="P20" i="40"/>
  <c r="Z19" i="40"/>
  <c r="F19" i="40"/>
  <c r="Z18" i="40"/>
  <c r="V18" i="40"/>
  <c r="T18" i="40"/>
  <c r="P18" i="40"/>
  <c r="L18" i="40"/>
  <c r="F18" i="40"/>
  <c r="Z16" i="40"/>
  <c r="V16" i="40"/>
  <c r="T16" i="40"/>
  <c r="P16" i="40"/>
  <c r="Z15" i="40"/>
  <c r="T15" i="40"/>
  <c r="P15" i="40"/>
  <c r="L15" i="40"/>
  <c r="F15" i="40"/>
  <c r="AA15" i="40" s="1"/>
  <c r="AB15" i="40" s="1"/>
  <c r="Z14" i="40"/>
  <c r="T14" i="40"/>
  <c r="P14" i="40"/>
  <c r="Z13" i="40"/>
  <c r="T13" i="40"/>
  <c r="P13" i="40"/>
  <c r="Z12" i="40"/>
  <c r="V12" i="40"/>
  <c r="T12" i="40"/>
  <c r="P12" i="40"/>
  <c r="Z11" i="40"/>
  <c r="Z10" i="40"/>
  <c r="Z9" i="40"/>
  <c r="Z8" i="40"/>
  <c r="B4" i="40"/>
  <c r="A9" i="39"/>
  <c r="B9" i="39"/>
  <c r="C9" i="39"/>
  <c r="D9" i="39" s="1"/>
  <c r="A10" i="39"/>
  <c r="B10" i="39"/>
  <c r="C10" i="39"/>
  <c r="D10" i="39" s="1"/>
  <c r="A11" i="39"/>
  <c r="B11" i="39"/>
  <c r="C11" i="39"/>
  <c r="D11" i="39" s="1"/>
  <c r="A12" i="39"/>
  <c r="B12" i="39"/>
  <c r="C12" i="39"/>
  <c r="D12" i="39" s="1"/>
  <c r="A13" i="39"/>
  <c r="B13" i="39"/>
  <c r="C13" i="39"/>
  <c r="D13" i="39" s="1"/>
  <c r="A14" i="39"/>
  <c r="B14" i="39"/>
  <c r="C14" i="39"/>
  <c r="D14" i="39" s="1"/>
  <c r="A15" i="39"/>
  <c r="B15" i="39"/>
  <c r="C15" i="39"/>
  <c r="D15" i="39" s="1"/>
  <c r="A16" i="39"/>
  <c r="B16" i="39"/>
  <c r="C16" i="39"/>
  <c r="D16" i="39" s="1"/>
  <c r="A18" i="39"/>
  <c r="B18" i="39"/>
  <c r="C18" i="39"/>
  <c r="D18" i="39" s="1"/>
  <c r="A19" i="39"/>
  <c r="B19" i="39"/>
  <c r="C19" i="39"/>
  <c r="D19" i="39" s="1"/>
  <c r="A20" i="39"/>
  <c r="B20" i="39"/>
  <c r="C20" i="39"/>
  <c r="D20" i="39" s="1"/>
  <c r="A21" i="39"/>
  <c r="B21" i="39"/>
  <c r="C21" i="39"/>
  <c r="D21" i="39" s="1"/>
  <c r="A22" i="39"/>
  <c r="B22" i="39"/>
  <c r="C22" i="39"/>
  <c r="D22" i="39" s="1"/>
  <c r="A23" i="39"/>
  <c r="B23" i="39"/>
  <c r="C23" i="39"/>
  <c r="D23" i="39" s="1"/>
  <c r="A24" i="39"/>
  <c r="B24" i="39"/>
  <c r="C24" i="39"/>
  <c r="D24" i="39" s="1"/>
  <c r="A25" i="39"/>
  <c r="B25" i="39"/>
  <c r="C25" i="39"/>
  <c r="D25" i="39" s="1"/>
  <c r="A26" i="39"/>
  <c r="B26" i="39"/>
  <c r="C26" i="39"/>
  <c r="D26" i="39" s="1"/>
  <c r="A27" i="39"/>
  <c r="B27" i="39"/>
  <c r="C27" i="39"/>
  <c r="D27" i="39" s="1"/>
  <c r="A28" i="39"/>
  <c r="B28" i="39"/>
  <c r="C28" i="39"/>
  <c r="D28" i="39" s="1"/>
  <c r="A29" i="39"/>
  <c r="B29" i="39"/>
  <c r="C29" i="39"/>
  <c r="D29" i="39" s="1"/>
  <c r="A30" i="39"/>
  <c r="B30" i="39"/>
  <c r="C30" i="39"/>
  <c r="D30" i="39" s="1"/>
  <c r="C8" i="39"/>
  <c r="B8" i="39"/>
  <c r="A8" i="39"/>
  <c r="P38" i="39"/>
  <c r="O38" i="39"/>
  <c r="P33" i="39"/>
  <c r="O33" i="39"/>
  <c r="Z30" i="39"/>
  <c r="V30" i="39"/>
  <c r="T30" i="39"/>
  <c r="P30" i="39"/>
  <c r="L30" i="39"/>
  <c r="F30" i="39"/>
  <c r="AA30" i="39" s="1"/>
  <c r="AB30" i="39" s="1"/>
  <c r="Z29" i="39"/>
  <c r="V29" i="39"/>
  <c r="T29" i="39"/>
  <c r="P29" i="39"/>
  <c r="L29" i="39"/>
  <c r="F29" i="39"/>
  <c r="Y29" i="39" s="1"/>
  <c r="Z28" i="39"/>
  <c r="V28" i="39"/>
  <c r="T28" i="39"/>
  <c r="P28" i="39"/>
  <c r="L28" i="39"/>
  <c r="F28" i="39"/>
  <c r="AA28" i="39" s="1"/>
  <c r="AB28" i="39" s="1"/>
  <c r="Z27" i="39"/>
  <c r="V27" i="39"/>
  <c r="T27" i="39"/>
  <c r="P27" i="39"/>
  <c r="L27" i="39"/>
  <c r="F27" i="39"/>
  <c r="Y27" i="39" s="1"/>
  <c r="Z26" i="39"/>
  <c r="F26" i="39"/>
  <c r="AA26" i="39" s="1"/>
  <c r="AB26" i="39" s="1"/>
  <c r="Z25" i="39"/>
  <c r="V25" i="39"/>
  <c r="T25" i="39"/>
  <c r="P25" i="39"/>
  <c r="L25" i="39"/>
  <c r="F25" i="39"/>
  <c r="AA25" i="39" s="1"/>
  <c r="AB25" i="39" s="1"/>
  <c r="Z24" i="39"/>
  <c r="V24" i="39"/>
  <c r="T24" i="39"/>
  <c r="P24" i="39"/>
  <c r="L24" i="39"/>
  <c r="F24" i="39"/>
  <c r="Y24" i="39" s="1"/>
  <c r="Z23" i="39"/>
  <c r="V23" i="39"/>
  <c r="T23" i="39"/>
  <c r="P23" i="39"/>
  <c r="L23" i="39"/>
  <c r="F23" i="39"/>
  <c r="AA23" i="39" s="1"/>
  <c r="AB23" i="39" s="1"/>
  <c r="Z22" i="39"/>
  <c r="V22" i="39"/>
  <c r="T22" i="39"/>
  <c r="P22" i="39"/>
  <c r="L22" i="39"/>
  <c r="F22" i="39"/>
  <c r="Y22" i="39" s="1"/>
  <c r="Z21" i="39"/>
  <c r="V21" i="39"/>
  <c r="T21" i="39"/>
  <c r="P21" i="39"/>
  <c r="L21" i="39"/>
  <c r="F21" i="39"/>
  <c r="AA21" i="39" s="1"/>
  <c r="AB21" i="39" s="1"/>
  <c r="Z20" i="39"/>
  <c r="V20" i="39"/>
  <c r="T20" i="39"/>
  <c r="P20" i="39"/>
  <c r="L20" i="39"/>
  <c r="F20" i="39"/>
  <c r="AA20" i="39" s="1"/>
  <c r="AB20" i="39" s="1"/>
  <c r="Z19" i="39"/>
  <c r="F19" i="39"/>
  <c r="AA19" i="39" s="1"/>
  <c r="AB19" i="39" s="1"/>
  <c r="Z18" i="39"/>
  <c r="V18" i="39"/>
  <c r="T18" i="39"/>
  <c r="P18" i="39"/>
  <c r="L18" i="39"/>
  <c r="F18" i="39"/>
  <c r="Z16" i="39"/>
  <c r="V16" i="39"/>
  <c r="T16" i="39"/>
  <c r="P16" i="39"/>
  <c r="L16" i="39"/>
  <c r="F16" i="39"/>
  <c r="Y16" i="39" s="1"/>
  <c r="Z15" i="39"/>
  <c r="T15" i="39"/>
  <c r="P15" i="39"/>
  <c r="L15" i="39"/>
  <c r="F15" i="39"/>
  <c r="AA15" i="39" s="1"/>
  <c r="AB15" i="39" s="1"/>
  <c r="Z14" i="39"/>
  <c r="T14" i="39"/>
  <c r="P14" i="39"/>
  <c r="L14" i="39"/>
  <c r="F14" i="39"/>
  <c r="AA14" i="39" s="1"/>
  <c r="AB14" i="39" s="1"/>
  <c r="Z13" i="39"/>
  <c r="T13" i="39"/>
  <c r="P13" i="39"/>
  <c r="L13" i="39"/>
  <c r="F13" i="39"/>
  <c r="AA13" i="39" s="1"/>
  <c r="AB13" i="39" s="1"/>
  <c r="Z12" i="39"/>
  <c r="V12" i="39"/>
  <c r="T12" i="39"/>
  <c r="P12" i="39"/>
  <c r="L12" i="39"/>
  <c r="F12" i="39"/>
  <c r="AA12" i="39" s="1"/>
  <c r="AB12" i="39" s="1"/>
  <c r="Z11" i="39"/>
  <c r="F11" i="39"/>
  <c r="Z10" i="39"/>
  <c r="F10" i="39"/>
  <c r="Z9" i="39"/>
  <c r="F9" i="39"/>
  <c r="Z8" i="39"/>
  <c r="F8" i="39"/>
  <c r="B4" i="39"/>
  <c r="D29" i="38"/>
  <c r="F28" i="38"/>
  <c r="D28" i="38"/>
  <c r="F27" i="38"/>
  <c r="D27" i="38"/>
  <c r="F26" i="38"/>
  <c r="D26" i="38"/>
  <c r="F25" i="38"/>
  <c r="D25" i="38"/>
  <c r="F24" i="38"/>
  <c r="D24" i="38"/>
  <c r="F23" i="38"/>
  <c r="D23" i="38"/>
  <c r="F22" i="38"/>
  <c r="D22" i="38"/>
  <c r="F21" i="38"/>
  <c r="D21" i="38"/>
  <c r="F20" i="38"/>
  <c r="D20" i="38"/>
  <c r="D19" i="38"/>
  <c r="F18" i="38"/>
  <c r="D18" i="38"/>
  <c r="F17" i="38"/>
  <c r="D17" i="38"/>
  <c r="F16" i="38"/>
  <c r="D16" i="38"/>
  <c r="F15" i="38"/>
  <c r="D15" i="38"/>
  <c r="F14" i="38"/>
  <c r="D14" i="38"/>
  <c r="F13" i="38"/>
  <c r="D13" i="38"/>
  <c r="F12" i="38"/>
  <c r="D12" i="38"/>
  <c r="F11" i="38"/>
  <c r="D11" i="38"/>
  <c r="F10" i="38"/>
  <c r="D10" i="38"/>
  <c r="F9" i="38"/>
  <c r="D9" i="38"/>
  <c r="F8" i="38"/>
  <c r="D8" i="38"/>
  <c r="F18" i="37"/>
  <c r="F17" i="37"/>
  <c r="F16" i="37"/>
  <c r="F15" i="37"/>
  <c r="F14" i="37"/>
  <c r="F13" i="37"/>
  <c r="F12" i="37"/>
  <c r="F11" i="37"/>
  <c r="F10" i="37"/>
  <c r="F9" i="37"/>
  <c r="F8" i="37"/>
  <c r="F26" i="37"/>
  <c r="F27" i="37"/>
  <c r="F28" i="37"/>
  <c r="F25" i="37"/>
  <c r="F24" i="37"/>
  <c r="F23" i="37"/>
  <c r="F22" i="37"/>
  <c r="F21" i="37"/>
  <c r="F2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55" i="36"/>
  <c r="D54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C8" i="36"/>
  <c r="D8" i="36" s="1"/>
  <c r="B8" i="36"/>
  <c r="A8" i="36"/>
  <c r="P62" i="36"/>
  <c r="O62" i="36"/>
  <c r="P58" i="36"/>
  <c r="O58" i="36"/>
  <c r="Z55" i="36"/>
  <c r="F55" i="36"/>
  <c r="Y55" i="36" s="1"/>
  <c r="Z54" i="36"/>
  <c r="F54" i="36"/>
  <c r="Y54" i="36" s="1"/>
  <c r="Z53" i="36"/>
  <c r="F53" i="36"/>
  <c r="AA53" i="36" s="1"/>
  <c r="AB53" i="36" s="1"/>
  <c r="D53" i="36"/>
  <c r="Z52" i="36"/>
  <c r="F52" i="36"/>
  <c r="Y52" i="36" s="1"/>
  <c r="Z51" i="36"/>
  <c r="F51" i="36"/>
  <c r="AA51" i="36" s="1"/>
  <c r="AB51" i="36" s="1"/>
  <c r="Z50" i="36"/>
  <c r="F50" i="36"/>
  <c r="Z49" i="36"/>
  <c r="F49" i="36"/>
  <c r="AA49" i="36" s="1"/>
  <c r="AB49" i="36" s="1"/>
  <c r="Z48" i="36"/>
  <c r="L48" i="36"/>
  <c r="F48" i="36"/>
  <c r="Z47" i="36"/>
  <c r="V47" i="36"/>
  <c r="L47" i="36"/>
  <c r="F47" i="36"/>
  <c r="AA47" i="36" s="1"/>
  <c r="AB47" i="36" s="1"/>
  <c r="Z46" i="36"/>
  <c r="V46" i="36"/>
  <c r="L46" i="36"/>
  <c r="F46" i="36"/>
  <c r="AA46" i="36" s="1"/>
  <c r="AB46" i="36" s="1"/>
  <c r="Z45" i="36"/>
  <c r="V45" i="36"/>
  <c r="L45" i="36"/>
  <c r="F45" i="36"/>
  <c r="Y45" i="36" s="1"/>
  <c r="Z44" i="36"/>
  <c r="V44" i="36"/>
  <c r="L44" i="36"/>
  <c r="F44" i="36"/>
  <c r="Z43" i="36"/>
  <c r="V43" i="36"/>
  <c r="L43" i="36"/>
  <c r="F43" i="36"/>
  <c r="AA43" i="36" s="1"/>
  <c r="AB43" i="36" s="1"/>
  <c r="Z42" i="36"/>
  <c r="V42" i="36"/>
  <c r="L42" i="36"/>
  <c r="F42" i="36"/>
  <c r="AA42" i="36" s="1"/>
  <c r="AB42" i="36" s="1"/>
  <c r="Z41" i="36"/>
  <c r="V41" i="36"/>
  <c r="L41" i="36"/>
  <c r="F41" i="36"/>
  <c r="Z40" i="36"/>
  <c r="V40" i="36"/>
  <c r="L40" i="36"/>
  <c r="F40" i="36"/>
  <c r="AA40" i="36" s="1"/>
  <c r="AB40" i="36" s="1"/>
  <c r="Z39" i="36"/>
  <c r="V39" i="36"/>
  <c r="L39" i="36"/>
  <c r="F39" i="36"/>
  <c r="AA39" i="36" s="1"/>
  <c r="AB39" i="36" s="1"/>
  <c r="Z38" i="36"/>
  <c r="V38" i="36"/>
  <c r="L38" i="36"/>
  <c r="F38" i="36"/>
  <c r="AA38" i="36" s="1"/>
  <c r="AB38" i="36" s="1"/>
  <c r="Z37" i="36"/>
  <c r="V37" i="36"/>
  <c r="L37" i="36"/>
  <c r="F37" i="36"/>
  <c r="Y37" i="36" s="1"/>
  <c r="Z36" i="36"/>
  <c r="V36" i="36"/>
  <c r="L36" i="36"/>
  <c r="F36" i="36"/>
  <c r="Y36" i="36" s="1"/>
  <c r="Z35" i="36"/>
  <c r="V35" i="36"/>
  <c r="L35" i="36"/>
  <c r="F35" i="36"/>
  <c r="AA35" i="36" s="1"/>
  <c r="AB35" i="36" s="1"/>
  <c r="Z34" i="36"/>
  <c r="V34" i="36"/>
  <c r="T34" i="36"/>
  <c r="P34" i="36"/>
  <c r="L34" i="36"/>
  <c r="F34" i="36"/>
  <c r="AA34" i="36" s="1"/>
  <c r="AB34" i="36" s="1"/>
  <c r="Z33" i="36"/>
  <c r="F33" i="36"/>
  <c r="AA33" i="36" s="1"/>
  <c r="AB33" i="36" s="1"/>
  <c r="Z32" i="36"/>
  <c r="V32" i="36"/>
  <c r="T32" i="36"/>
  <c r="P32" i="36"/>
  <c r="L32" i="36"/>
  <c r="F32" i="36"/>
  <c r="Z30" i="36"/>
  <c r="V30" i="36"/>
  <c r="T30" i="36"/>
  <c r="P30" i="36"/>
  <c r="L30" i="36"/>
  <c r="F30" i="36"/>
  <c r="Z29" i="36"/>
  <c r="V29" i="36"/>
  <c r="T29" i="36"/>
  <c r="P29" i="36"/>
  <c r="L29" i="36"/>
  <c r="F29" i="36"/>
  <c r="Y29" i="36" s="1"/>
  <c r="Z28" i="36"/>
  <c r="V28" i="36"/>
  <c r="T28" i="36"/>
  <c r="P28" i="36"/>
  <c r="L28" i="36"/>
  <c r="F28" i="36"/>
  <c r="Y28" i="36" s="1"/>
  <c r="Z27" i="36"/>
  <c r="V27" i="36"/>
  <c r="T27" i="36"/>
  <c r="P27" i="36"/>
  <c r="L27" i="36"/>
  <c r="F27" i="36"/>
  <c r="Y27" i="36" s="1"/>
  <c r="Z26" i="36"/>
  <c r="V26" i="36"/>
  <c r="T26" i="36"/>
  <c r="P26" i="36"/>
  <c r="L26" i="36"/>
  <c r="F26" i="36"/>
  <c r="AA26" i="36" s="1"/>
  <c r="AB26" i="36" s="1"/>
  <c r="Z25" i="36"/>
  <c r="F25" i="36"/>
  <c r="AA25" i="36" s="1"/>
  <c r="AB25" i="36" s="1"/>
  <c r="Z24" i="36"/>
  <c r="V24" i="36"/>
  <c r="T24" i="36"/>
  <c r="P24" i="36"/>
  <c r="L24" i="36"/>
  <c r="F24" i="36"/>
  <c r="Y24" i="36" s="1"/>
  <c r="Z23" i="36"/>
  <c r="V23" i="36"/>
  <c r="T23" i="36"/>
  <c r="P23" i="36"/>
  <c r="L23" i="36"/>
  <c r="F23" i="36"/>
  <c r="AA23" i="36" s="1"/>
  <c r="AB23" i="36" s="1"/>
  <c r="Z22" i="36"/>
  <c r="V22" i="36"/>
  <c r="T22" i="36"/>
  <c r="P22" i="36"/>
  <c r="L22" i="36"/>
  <c r="F22" i="36"/>
  <c r="Z21" i="36"/>
  <c r="V21" i="36"/>
  <c r="T21" i="36"/>
  <c r="P21" i="36"/>
  <c r="L21" i="36"/>
  <c r="F21" i="36"/>
  <c r="AA21" i="36" s="1"/>
  <c r="AB21" i="36" s="1"/>
  <c r="Z20" i="36"/>
  <c r="V20" i="36"/>
  <c r="T20" i="36"/>
  <c r="P20" i="36"/>
  <c r="L20" i="36"/>
  <c r="F20" i="36"/>
  <c r="AA20" i="36" s="1"/>
  <c r="AB20" i="36" s="1"/>
  <c r="Z19" i="36"/>
  <c r="V19" i="36"/>
  <c r="T19" i="36"/>
  <c r="P19" i="36"/>
  <c r="L19" i="36"/>
  <c r="F19" i="36"/>
  <c r="AA19" i="36" s="1"/>
  <c r="AB19" i="36" s="1"/>
  <c r="Z18" i="36"/>
  <c r="F18" i="36"/>
  <c r="AA18" i="36" s="1"/>
  <c r="AB18" i="36" s="1"/>
  <c r="Z17" i="36"/>
  <c r="V17" i="36"/>
  <c r="T17" i="36"/>
  <c r="P17" i="36"/>
  <c r="L17" i="36"/>
  <c r="F17" i="36"/>
  <c r="Y17" i="36" s="1"/>
  <c r="Z16" i="36"/>
  <c r="V16" i="36"/>
  <c r="T16" i="36"/>
  <c r="P16" i="36"/>
  <c r="L16" i="36"/>
  <c r="F16" i="36"/>
  <c r="AA16" i="36" s="1"/>
  <c r="AB16" i="36" s="1"/>
  <c r="Z15" i="36"/>
  <c r="T15" i="36"/>
  <c r="P15" i="36"/>
  <c r="L15" i="36"/>
  <c r="F15" i="36"/>
  <c r="AA15" i="36" s="1"/>
  <c r="AB15" i="36" s="1"/>
  <c r="Z14" i="36"/>
  <c r="T14" i="36"/>
  <c r="P14" i="36"/>
  <c r="L14" i="36"/>
  <c r="F14" i="36"/>
  <c r="Z13" i="36"/>
  <c r="T13" i="36"/>
  <c r="P13" i="36"/>
  <c r="L13" i="36"/>
  <c r="F13" i="36"/>
  <c r="Z12" i="36"/>
  <c r="V12" i="36"/>
  <c r="T12" i="36"/>
  <c r="P12" i="36"/>
  <c r="L12" i="36"/>
  <c r="F12" i="36"/>
  <c r="Y12" i="36" s="1"/>
  <c r="Z11" i="36"/>
  <c r="F11" i="36"/>
  <c r="Z10" i="36"/>
  <c r="F10" i="36"/>
  <c r="Z9" i="36"/>
  <c r="F9" i="36"/>
  <c r="Z8" i="36"/>
  <c r="F8" i="36"/>
  <c r="B4" i="36"/>
  <c r="F51" i="34"/>
  <c r="F50" i="34"/>
  <c r="F47" i="34"/>
  <c r="F46" i="34"/>
  <c r="F43" i="34"/>
  <c r="F42" i="34"/>
  <c r="F39" i="34"/>
  <c r="F38" i="34"/>
  <c r="F52" i="34"/>
  <c r="F49" i="34"/>
  <c r="F48" i="34"/>
  <c r="F45" i="34"/>
  <c r="F44" i="34"/>
  <c r="F41" i="34"/>
  <c r="F40" i="34"/>
  <c r="F37" i="34"/>
  <c r="F36" i="34"/>
  <c r="F34" i="34"/>
  <c r="F31" i="34"/>
  <c r="F30" i="34"/>
  <c r="F27" i="34"/>
  <c r="F26" i="34"/>
  <c r="F23" i="34"/>
  <c r="F22" i="34"/>
  <c r="F19" i="34"/>
  <c r="F18" i="34"/>
  <c r="F15" i="34"/>
  <c r="F14" i="34"/>
  <c r="F12" i="34"/>
  <c r="F9" i="34"/>
  <c r="F32" i="34"/>
  <c r="F29" i="34"/>
  <c r="F28" i="34"/>
  <c r="F25" i="34"/>
  <c r="F24" i="34"/>
  <c r="F21" i="34"/>
  <c r="F20" i="34"/>
  <c r="F17" i="34"/>
  <c r="F16" i="34"/>
  <c r="F13" i="34"/>
  <c r="F11" i="34"/>
  <c r="F10" i="34"/>
  <c r="F8" i="34"/>
  <c r="D53" i="34"/>
  <c r="D54" i="34"/>
  <c r="D51" i="34"/>
  <c r="D52" i="34"/>
  <c r="D49" i="34"/>
  <c r="D50" i="34"/>
  <c r="D47" i="34"/>
  <c r="D48" i="34"/>
  <c r="D45" i="34"/>
  <c r="D46" i="34"/>
  <c r="D43" i="34"/>
  <c r="D44" i="34"/>
  <c r="D41" i="34"/>
  <c r="D42" i="34"/>
  <c r="D39" i="34"/>
  <c r="D40" i="34"/>
  <c r="D37" i="34"/>
  <c r="D38" i="34"/>
  <c r="D35" i="34"/>
  <c r="D36" i="34"/>
  <c r="D33" i="34"/>
  <c r="D34" i="34"/>
  <c r="D31" i="34"/>
  <c r="D32" i="34"/>
  <c r="D29" i="34"/>
  <c r="D30" i="34"/>
  <c r="D27" i="34"/>
  <c r="D28" i="34"/>
  <c r="D25" i="34"/>
  <c r="D26" i="34"/>
  <c r="D23" i="34"/>
  <c r="D24" i="34"/>
  <c r="D21" i="34"/>
  <c r="D22" i="34"/>
  <c r="D19" i="34"/>
  <c r="D20" i="34"/>
  <c r="D17" i="34"/>
  <c r="D18" i="34"/>
  <c r="D15" i="34"/>
  <c r="D16" i="34"/>
  <c r="D13" i="34"/>
  <c r="D14" i="34"/>
  <c r="D11" i="34"/>
  <c r="D12" i="34"/>
  <c r="D9" i="34"/>
  <c r="D10" i="34"/>
  <c r="D8" i="34"/>
  <c r="O57" i="7"/>
  <c r="O58" i="7"/>
  <c r="O60" i="7"/>
  <c r="O62" i="7"/>
  <c r="O63" i="7"/>
  <c r="O64" i="7"/>
  <c r="O65" i="7"/>
  <c r="O66" i="7"/>
  <c r="O67" i="7"/>
  <c r="O68" i="7"/>
  <c r="O69" i="7"/>
  <c r="O70" i="7"/>
  <c r="O71" i="7"/>
  <c r="O72" i="7"/>
  <c r="O74" i="7"/>
  <c r="O75" i="7"/>
  <c r="O76" i="7"/>
  <c r="O77" i="7"/>
  <c r="O78" i="7"/>
  <c r="O79" i="7"/>
  <c r="O80" i="7"/>
  <c r="O81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F57" i="7"/>
  <c r="P57" i="7" s="1"/>
  <c r="Q57" i="7" s="1"/>
  <c r="F58" i="7"/>
  <c r="P58" i="7" s="1"/>
  <c r="Q58" i="7" s="1"/>
  <c r="F60" i="7"/>
  <c r="P60" i="7" s="1"/>
  <c r="Q60" i="7" s="1"/>
  <c r="F62" i="7"/>
  <c r="P62" i="7" s="1"/>
  <c r="Q62" i="7" s="1"/>
  <c r="F63" i="7"/>
  <c r="P63" i="7" s="1"/>
  <c r="Q63" i="7" s="1"/>
  <c r="F64" i="7"/>
  <c r="P64" i="7" s="1"/>
  <c r="Q64" i="7" s="1"/>
  <c r="F65" i="7"/>
  <c r="P65" i="7" s="1"/>
  <c r="Q65" i="7" s="1"/>
  <c r="F66" i="7"/>
  <c r="P66" i="7" s="1"/>
  <c r="Q66" i="7" s="1"/>
  <c r="F67" i="7"/>
  <c r="P67" i="7" s="1"/>
  <c r="Q67" i="7" s="1"/>
  <c r="F68" i="7"/>
  <c r="P68" i="7" s="1"/>
  <c r="Q68" i="7" s="1"/>
  <c r="F69" i="7"/>
  <c r="P69" i="7" s="1"/>
  <c r="Q69" i="7" s="1"/>
  <c r="F70" i="7"/>
  <c r="P70" i="7" s="1"/>
  <c r="Q70" i="7" s="1"/>
  <c r="F71" i="7"/>
  <c r="P71" i="7" s="1"/>
  <c r="Q71" i="7" s="1"/>
  <c r="F72" i="7"/>
  <c r="P72" i="7" s="1"/>
  <c r="Q72" i="7" s="1"/>
  <c r="F74" i="7"/>
  <c r="P74" i="7" s="1"/>
  <c r="Q74" i="7" s="1"/>
  <c r="F75" i="7"/>
  <c r="P75" i="7" s="1"/>
  <c r="Q75" i="7" s="1"/>
  <c r="F76" i="7"/>
  <c r="P76" i="7" s="1"/>
  <c r="Q76" i="7" s="1"/>
  <c r="F77" i="7"/>
  <c r="P77" i="7" s="1"/>
  <c r="Q77" i="7" s="1"/>
  <c r="F78" i="7"/>
  <c r="P78" i="7" s="1"/>
  <c r="Q78" i="7" s="1"/>
  <c r="F79" i="7"/>
  <c r="P79" i="7" s="1"/>
  <c r="Q79" i="7" s="1"/>
  <c r="F80" i="7"/>
  <c r="P80" i="7" s="1"/>
  <c r="Q80" i="7" s="1"/>
  <c r="F81" i="7"/>
  <c r="P81" i="7" s="1"/>
  <c r="Q81" i="7" s="1"/>
  <c r="F83" i="7"/>
  <c r="P83" i="7" s="1"/>
  <c r="Q83" i="7" s="1"/>
  <c r="F84" i="7"/>
  <c r="P84" i="7" s="1"/>
  <c r="Q84" i="7" s="1"/>
  <c r="F85" i="7"/>
  <c r="P85" i="7" s="1"/>
  <c r="Q85" i="7" s="1"/>
  <c r="F86" i="7"/>
  <c r="P86" i="7" s="1"/>
  <c r="Q86" i="7" s="1"/>
  <c r="F87" i="7"/>
  <c r="P87" i="7" s="1"/>
  <c r="Q87" i="7" s="1"/>
  <c r="F88" i="7"/>
  <c r="P88" i="7" s="1"/>
  <c r="Q88" i="7" s="1"/>
  <c r="F89" i="7"/>
  <c r="P89" i="7" s="1"/>
  <c r="Q89" i="7" s="1"/>
  <c r="F90" i="7"/>
  <c r="P90" i="7" s="1"/>
  <c r="Q90" i="7" s="1"/>
  <c r="F91" i="7"/>
  <c r="P91" i="7" s="1"/>
  <c r="Q91" i="7" s="1"/>
  <c r="F92" i="7"/>
  <c r="P92" i="7" s="1"/>
  <c r="Q92" i="7" s="1"/>
  <c r="F93" i="7"/>
  <c r="P93" i="7" s="1"/>
  <c r="Q93" i="7" s="1"/>
  <c r="F94" i="7"/>
  <c r="P94" i="7" s="1"/>
  <c r="Q94" i="7" s="1"/>
  <c r="F95" i="7"/>
  <c r="P95" i="7" s="1"/>
  <c r="Q95" i="7" s="1"/>
  <c r="F96" i="7"/>
  <c r="P96" i="7" s="1"/>
  <c r="Q96" i="7" s="1"/>
  <c r="F97" i="7"/>
  <c r="P97" i="7" s="1"/>
  <c r="Q97" i="7" s="1"/>
  <c r="F98" i="7"/>
  <c r="P98" i="7" s="1"/>
  <c r="Q98" i="7" s="1"/>
  <c r="F99" i="7"/>
  <c r="P99" i="7" s="1"/>
  <c r="Q99" i="7" s="1"/>
  <c r="F100" i="7"/>
  <c r="P100" i="7" s="1"/>
  <c r="Q100" i="7" s="1"/>
  <c r="F101" i="7"/>
  <c r="P101" i="7" s="1"/>
  <c r="Q101" i="7" s="1"/>
  <c r="F103" i="7"/>
  <c r="F104" i="7"/>
  <c r="P104" i="7" s="1"/>
  <c r="Q104" i="7" s="1"/>
  <c r="F105" i="7"/>
  <c r="P105" i="7" s="1"/>
  <c r="Q105" i="7" s="1"/>
  <c r="F106" i="7"/>
  <c r="P106" i="7" s="1"/>
  <c r="Q106" i="7" s="1"/>
  <c r="F107" i="7"/>
  <c r="P107" i="7" s="1"/>
  <c r="Q107" i="7" s="1"/>
  <c r="F108" i="7"/>
  <c r="P108" i="7" s="1"/>
  <c r="Q108" i="7" s="1"/>
  <c r="F109" i="7"/>
  <c r="P109" i="7" s="1"/>
  <c r="Q109" i="7" s="1"/>
  <c r="F110" i="7"/>
  <c r="P110" i="7" s="1"/>
  <c r="Q110" i="7" s="1"/>
  <c r="F111" i="7"/>
  <c r="P111" i="7" s="1"/>
  <c r="Q111" i="7" s="1"/>
  <c r="F112" i="7"/>
  <c r="P112" i="7" s="1"/>
  <c r="Q112" i="7" s="1"/>
  <c r="F113" i="7"/>
  <c r="P113" i="7" s="1"/>
  <c r="Q113" i="7" s="1"/>
  <c r="F114" i="7"/>
  <c r="P114" i="7" s="1"/>
  <c r="Q114" i="7" s="1"/>
  <c r="F115" i="7"/>
  <c r="P115" i="7" s="1"/>
  <c r="Q115" i="7" s="1"/>
  <c r="F116" i="7"/>
  <c r="P116" i="7" s="1"/>
  <c r="Q116" i="7" s="1"/>
  <c r="F117" i="7"/>
  <c r="P117" i="7" s="1"/>
  <c r="Q117" i="7" s="1"/>
  <c r="F118" i="7"/>
  <c r="P118" i="7" s="1"/>
  <c r="Q118" i="7" s="1"/>
  <c r="F119" i="7"/>
  <c r="P119" i="7" s="1"/>
  <c r="Q119" i="7" s="1"/>
  <c r="F120" i="7"/>
  <c r="P120" i="7" s="1"/>
  <c r="Q120" i="7" s="1"/>
  <c r="F121" i="7"/>
  <c r="P121" i="7" s="1"/>
  <c r="Q121" i="7" s="1"/>
  <c r="F122" i="7"/>
  <c r="P122" i="7" s="1"/>
  <c r="Q122" i="7" s="1"/>
  <c r="F124" i="7"/>
  <c r="P124" i="7" s="1"/>
  <c r="Q124" i="7" s="1"/>
  <c r="F125" i="7"/>
  <c r="P125" i="7" s="1"/>
  <c r="Q125" i="7" s="1"/>
  <c r="F126" i="7"/>
  <c r="P126" i="7" s="1"/>
  <c r="Q126" i="7" s="1"/>
  <c r="F127" i="7"/>
  <c r="P127" i="7" s="1"/>
  <c r="Q127" i="7" s="1"/>
  <c r="F128" i="7"/>
  <c r="P128" i="7" s="1"/>
  <c r="Q128" i="7" s="1"/>
  <c r="F129" i="7"/>
  <c r="P129" i="7" s="1"/>
  <c r="Q129" i="7" s="1"/>
  <c r="F130" i="7"/>
  <c r="P130" i="7" s="1"/>
  <c r="Q130" i="7" s="1"/>
  <c r="F131" i="7"/>
  <c r="P131" i="7" s="1"/>
  <c r="Q131" i="7" s="1"/>
  <c r="F132" i="7"/>
  <c r="P132" i="7" s="1"/>
  <c r="Q132" i="7" s="1"/>
  <c r="F133" i="7"/>
  <c r="P133" i="7" s="1"/>
  <c r="Q133" i="7" s="1"/>
  <c r="F134" i="7"/>
  <c r="P134" i="7" s="1"/>
  <c r="Q134" i="7" s="1"/>
  <c r="F135" i="7"/>
  <c r="P135" i="7" s="1"/>
  <c r="Q135" i="7" s="1"/>
  <c r="F136" i="7"/>
  <c r="P136" i="7" s="1"/>
  <c r="Q136" i="7" s="1"/>
  <c r="F137" i="7"/>
  <c r="P137" i="7" s="1"/>
  <c r="Q137" i="7" s="1"/>
  <c r="F138" i="7"/>
  <c r="P138" i="7" s="1"/>
  <c r="Q138" i="7" s="1"/>
  <c r="F139" i="7"/>
  <c r="P139" i="7" s="1"/>
  <c r="Q139" i="7" s="1"/>
  <c r="A128" i="7"/>
  <c r="B128" i="7"/>
  <c r="C128" i="7"/>
  <c r="D128" i="7" s="1"/>
  <c r="A129" i="7"/>
  <c r="B129" i="7"/>
  <c r="C129" i="7"/>
  <c r="D129" i="7" s="1"/>
  <c r="A130" i="7"/>
  <c r="B130" i="7"/>
  <c r="C130" i="7"/>
  <c r="D130" i="7" s="1"/>
  <c r="A131" i="7"/>
  <c r="B131" i="7"/>
  <c r="C131" i="7"/>
  <c r="D131" i="7" s="1"/>
  <c r="A132" i="7"/>
  <c r="B132" i="7"/>
  <c r="C132" i="7"/>
  <c r="D132" i="7" s="1"/>
  <c r="A133" i="7"/>
  <c r="B133" i="7"/>
  <c r="C133" i="7"/>
  <c r="D133" i="7" s="1"/>
  <c r="A134" i="7"/>
  <c r="B134" i="7"/>
  <c r="C134" i="7"/>
  <c r="D134" i="7" s="1"/>
  <c r="A135" i="7"/>
  <c r="B135" i="7"/>
  <c r="C135" i="7"/>
  <c r="D135" i="7" s="1"/>
  <c r="A136" i="7"/>
  <c r="B136" i="7"/>
  <c r="C136" i="7"/>
  <c r="D136" i="7" s="1"/>
  <c r="A137" i="7"/>
  <c r="B137" i="7"/>
  <c r="C137" i="7"/>
  <c r="D137" i="7" s="1"/>
  <c r="A138" i="7"/>
  <c r="B138" i="7"/>
  <c r="C138" i="7"/>
  <c r="D138" i="7" s="1"/>
  <c r="A139" i="7"/>
  <c r="B139" i="7"/>
  <c r="C139" i="7"/>
  <c r="D139" i="7" s="1"/>
  <c r="A111" i="7"/>
  <c r="B111" i="7"/>
  <c r="C111" i="7"/>
  <c r="D111" i="7" s="1"/>
  <c r="A112" i="7"/>
  <c r="B112" i="7"/>
  <c r="C112" i="7"/>
  <c r="D112" i="7" s="1"/>
  <c r="A113" i="7"/>
  <c r="B113" i="7"/>
  <c r="C113" i="7"/>
  <c r="D113" i="7" s="1"/>
  <c r="A114" i="7"/>
  <c r="B114" i="7"/>
  <c r="C114" i="7"/>
  <c r="D114" i="7" s="1"/>
  <c r="A115" i="7"/>
  <c r="B115" i="7"/>
  <c r="C115" i="7"/>
  <c r="D115" i="7" s="1"/>
  <c r="A116" i="7"/>
  <c r="B116" i="7"/>
  <c r="C116" i="7"/>
  <c r="D116" i="7" s="1"/>
  <c r="A117" i="7"/>
  <c r="B117" i="7"/>
  <c r="C117" i="7"/>
  <c r="D117" i="7" s="1"/>
  <c r="A118" i="7"/>
  <c r="B118" i="7"/>
  <c r="C118" i="7"/>
  <c r="D118" i="7" s="1"/>
  <c r="A119" i="7"/>
  <c r="B119" i="7"/>
  <c r="C119" i="7"/>
  <c r="D119" i="7" s="1"/>
  <c r="A120" i="7"/>
  <c r="B120" i="7"/>
  <c r="C120" i="7"/>
  <c r="D120" i="7" s="1"/>
  <c r="A121" i="7"/>
  <c r="B121" i="7"/>
  <c r="C121" i="7"/>
  <c r="D121" i="7" s="1"/>
  <c r="A122" i="7"/>
  <c r="B122" i="7"/>
  <c r="C122" i="7"/>
  <c r="D122" i="7" s="1"/>
  <c r="A124" i="7"/>
  <c r="B124" i="7"/>
  <c r="C124" i="7"/>
  <c r="D124" i="7" s="1"/>
  <c r="A125" i="7"/>
  <c r="B125" i="7"/>
  <c r="C125" i="7"/>
  <c r="D125" i="7" s="1"/>
  <c r="A126" i="7"/>
  <c r="B126" i="7"/>
  <c r="C126" i="7"/>
  <c r="D126" i="7" s="1"/>
  <c r="A127" i="7"/>
  <c r="B127" i="7"/>
  <c r="C127" i="7"/>
  <c r="D127" i="7" s="1"/>
  <c r="A96" i="7"/>
  <c r="B96" i="7"/>
  <c r="C96" i="7"/>
  <c r="D96" i="7" s="1"/>
  <c r="A97" i="7"/>
  <c r="B97" i="7"/>
  <c r="C97" i="7"/>
  <c r="D97" i="7" s="1"/>
  <c r="A98" i="7"/>
  <c r="B98" i="7"/>
  <c r="C98" i="7"/>
  <c r="D98" i="7" s="1"/>
  <c r="A99" i="7"/>
  <c r="B99" i="7"/>
  <c r="C99" i="7"/>
  <c r="D99" i="7" s="1"/>
  <c r="A100" i="7"/>
  <c r="B100" i="7"/>
  <c r="C100" i="7"/>
  <c r="D100" i="7" s="1"/>
  <c r="A101" i="7"/>
  <c r="B101" i="7"/>
  <c r="C101" i="7"/>
  <c r="D101" i="7" s="1"/>
  <c r="A103" i="7"/>
  <c r="B103" i="7"/>
  <c r="C103" i="7"/>
  <c r="D103" i="7" s="1"/>
  <c r="A104" i="7"/>
  <c r="B104" i="7"/>
  <c r="C104" i="7"/>
  <c r="D104" i="7" s="1"/>
  <c r="A105" i="7"/>
  <c r="B105" i="7"/>
  <c r="C105" i="7"/>
  <c r="D105" i="7" s="1"/>
  <c r="A106" i="7"/>
  <c r="B106" i="7"/>
  <c r="C106" i="7"/>
  <c r="D106" i="7" s="1"/>
  <c r="A107" i="7"/>
  <c r="B107" i="7"/>
  <c r="C107" i="7"/>
  <c r="D107" i="7" s="1"/>
  <c r="A108" i="7"/>
  <c r="B108" i="7"/>
  <c r="C108" i="7"/>
  <c r="D108" i="7" s="1"/>
  <c r="A109" i="7"/>
  <c r="B109" i="7"/>
  <c r="C109" i="7"/>
  <c r="D109" i="7" s="1"/>
  <c r="A110" i="7"/>
  <c r="B110" i="7"/>
  <c r="C110" i="7"/>
  <c r="D110" i="7" s="1"/>
  <c r="A57" i="7"/>
  <c r="B57" i="7"/>
  <c r="C57" i="7"/>
  <c r="D57" i="7" s="1"/>
  <c r="A58" i="7"/>
  <c r="B58" i="7"/>
  <c r="C58" i="7"/>
  <c r="D58" i="7" s="1"/>
  <c r="A60" i="7"/>
  <c r="B60" i="7"/>
  <c r="C60" i="7"/>
  <c r="D60" i="7" s="1"/>
  <c r="A62" i="7"/>
  <c r="B62" i="7"/>
  <c r="C62" i="7"/>
  <c r="D62" i="7" s="1"/>
  <c r="A63" i="7"/>
  <c r="B63" i="7"/>
  <c r="C63" i="7"/>
  <c r="D63" i="7" s="1"/>
  <c r="A64" i="7"/>
  <c r="B64" i="7"/>
  <c r="C64" i="7"/>
  <c r="D64" i="7" s="1"/>
  <c r="A65" i="7"/>
  <c r="B65" i="7"/>
  <c r="C65" i="7"/>
  <c r="D65" i="7" s="1"/>
  <c r="A66" i="7"/>
  <c r="B66" i="7"/>
  <c r="C66" i="7"/>
  <c r="D66" i="7" s="1"/>
  <c r="A67" i="7"/>
  <c r="B67" i="7"/>
  <c r="C67" i="7"/>
  <c r="D67" i="7" s="1"/>
  <c r="A68" i="7"/>
  <c r="B68" i="7"/>
  <c r="C68" i="7"/>
  <c r="D68" i="7" s="1"/>
  <c r="A69" i="7"/>
  <c r="B69" i="7"/>
  <c r="C69" i="7"/>
  <c r="D69" i="7" s="1"/>
  <c r="A70" i="7"/>
  <c r="B70" i="7"/>
  <c r="C70" i="7"/>
  <c r="D70" i="7" s="1"/>
  <c r="A71" i="7"/>
  <c r="B71" i="7"/>
  <c r="C71" i="7"/>
  <c r="D71" i="7" s="1"/>
  <c r="A72" i="7"/>
  <c r="B72" i="7"/>
  <c r="C72" i="7"/>
  <c r="D72" i="7" s="1"/>
  <c r="A74" i="7"/>
  <c r="B74" i="7"/>
  <c r="C74" i="7"/>
  <c r="D74" i="7" s="1"/>
  <c r="A75" i="7"/>
  <c r="B75" i="7"/>
  <c r="C75" i="7"/>
  <c r="D75" i="7" s="1"/>
  <c r="A76" i="7"/>
  <c r="B76" i="7"/>
  <c r="C76" i="7"/>
  <c r="D76" i="7" s="1"/>
  <c r="A77" i="7"/>
  <c r="B77" i="7"/>
  <c r="C77" i="7"/>
  <c r="D77" i="7" s="1"/>
  <c r="A78" i="7"/>
  <c r="B78" i="7"/>
  <c r="C78" i="7"/>
  <c r="D78" i="7" s="1"/>
  <c r="A79" i="7"/>
  <c r="B79" i="7"/>
  <c r="C79" i="7"/>
  <c r="D79" i="7" s="1"/>
  <c r="A80" i="7"/>
  <c r="B80" i="7"/>
  <c r="C80" i="7"/>
  <c r="D80" i="7" s="1"/>
  <c r="A81" i="7"/>
  <c r="B81" i="7"/>
  <c r="C81" i="7"/>
  <c r="D81" i="7" s="1"/>
  <c r="A83" i="7"/>
  <c r="B83" i="7"/>
  <c r="C83" i="7"/>
  <c r="D83" i="7" s="1"/>
  <c r="A84" i="7"/>
  <c r="B84" i="7"/>
  <c r="C84" i="7"/>
  <c r="D84" i="7" s="1"/>
  <c r="A85" i="7"/>
  <c r="B85" i="7"/>
  <c r="C85" i="7"/>
  <c r="D85" i="7" s="1"/>
  <c r="A86" i="7"/>
  <c r="B86" i="7"/>
  <c r="C86" i="7"/>
  <c r="D86" i="7" s="1"/>
  <c r="A87" i="7"/>
  <c r="B87" i="7"/>
  <c r="C87" i="7"/>
  <c r="D87" i="7" s="1"/>
  <c r="A88" i="7"/>
  <c r="B88" i="7"/>
  <c r="C88" i="7"/>
  <c r="D88" i="7" s="1"/>
  <c r="A89" i="7"/>
  <c r="B89" i="7"/>
  <c r="C89" i="7"/>
  <c r="D89" i="7" s="1"/>
  <c r="A90" i="7"/>
  <c r="B90" i="7"/>
  <c r="C90" i="7"/>
  <c r="D90" i="7" s="1"/>
  <c r="A91" i="7"/>
  <c r="B91" i="7"/>
  <c r="C91" i="7"/>
  <c r="D91" i="7" s="1"/>
  <c r="A92" i="7"/>
  <c r="B92" i="7"/>
  <c r="C92" i="7"/>
  <c r="D92" i="7" s="1"/>
  <c r="A93" i="7"/>
  <c r="B93" i="7"/>
  <c r="C93" i="7"/>
  <c r="D93" i="7" s="1"/>
  <c r="A94" i="7"/>
  <c r="B94" i="7"/>
  <c r="C94" i="7"/>
  <c r="D94" i="7" s="1"/>
  <c r="A95" i="7"/>
  <c r="B95" i="7"/>
  <c r="C95" i="7"/>
  <c r="D95" i="7" s="1"/>
  <c r="A9" i="7"/>
  <c r="B9" i="7"/>
  <c r="C9" i="7"/>
  <c r="A10" i="7"/>
  <c r="B10" i="7"/>
  <c r="C10" i="7"/>
  <c r="A11" i="7"/>
  <c r="B11" i="7"/>
  <c r="C11" i="7"/>
  <c r="A12" i="7"/>
  <c r="B12" i="7"/>
  <c r="C12" i="7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33" i="7"/>
  <c r="B33" i="7"/>
  <c r="C33" i="7"/>
  <c r="A34" i="7"/>
  <c r="B34" i="7"/>
  <c r="C34" i="7"/>
  <c r="A35" i="7"/>
  <c r="B35" i="7"/>
  <c r="C35" i="7"/>
  <c r="A36" i="7"/>
  <c r="B36" i="7"/>
  <c r="C36" i="7"/>
  <c r="A37" i="7"/>
  <c r="B37" i="7"/>
  <c r="C37" i="7"/>
  <c r="A38" i="7"/>
  <c r="B38" i="7"/>
  <c r="C38" i="7"/>
  <c r="A39" i="7"/>
  <c r="B39" i="7"/>
  <c r="C39" i="7"/>
  <c r="A40" i="7"/>
  <c r="B40" i="7"/>
  <c r="C40" i="7"/>
  <c r="A41" i="7"/>
  <c r="B41" i="7"/>
  <c r="C41" i="7"/>
  <c r="A42" i="7"/>
  <c r="B42" i="7"/>
  <c r="C42" i="7"/>
  <c r="A43" i="7"/>
  <c r="B43" i="7"/>
  <c r="C43" i="7"/>
  <c r="A44" i="7"/>
  <c r="B44" i="7"/>
  <c r="C44" i="7"/>
  <c r="A45" i="7"/>
  <c r="B45" i="7"/>
  <c r="C45" i="7"/>
  <c r="A46" i="7"/>
  <c r="B46" i="7"/>
  <c r="C46" i="7"/>
  <c r="A47" i="7"/>
  <c r="B47" i="7"/>
  <c r="C47" i="7"/>
  <c r="A48" i="7"/>
  <c r="B48" i="7"/>
  <c r="C48" i="7"/>
  <c r="A49" i="7"/>
  <c r="B49" i="7"/>
  <c r="C49" i="7"/>
  <c r="A50" i="7"/>
  <c r="B50" i="7"/>
  <c r="C50" i="7"/>
  <c r="A51" i="7"/>
  <c r="B51" i="7"/>
  <c r="C51" i="7"/>
  <c r="A52" i="7"/>
  <c r="B52" i="7"/>
  <c r="C52" i="7"/>
  <c r="A53" i="7"/>
  <c r="B53" i="7"/>
  <c r="C53" i="7"/>
  <c r="A54" i="7"/>
  <c r="B54" i="7"/>
  <c r="C54" i="7"/>
  <c r="A55" i="7"/>
  <c r="B55" i="7"/>
  <c r="C55" i="7"/>
  <c r="A56" i="7"/>
  <c r="B56" i="7"/>
  <c r="C56" i="7"/>
  <c r="A8" i="7"/>
  <c r="F49" i="28"/>
  <c r="F129" i="28"/>
  <c r="F128" i="28"/>
  <c r="F125" i="28"/>
  <c r="F136" i="28"/>
  <c r="F133" i="28"/>
  <c r="F69" i="28"/>
  <c r="D55" i="28"/>
  <c r="F21" i="28"/>
  <c r="F14" i="28"/>
  <c r="F33" i="28"/>
  <c r="D39" i="28"/>
  <c r="F23" i="28"/>
  <c r="F57" i="28"/>
  <c r="F45" i="28"/>
  <c r="F31" i="28"/>
  <c r="F25" i="28"/>
  <c r="F16" i="28"/>
  <c r="F52" i="28"/>
  <c r="F36" i="28"/>
  <c r="F20" i="28"/>
  <c r="F12" i="28"/>
  <c r="AA26" i="40" l="1"/>
  <c r="AB26" i="40" s="1"/>
  <c r="Y26" i="40"/>
  <c r="AA19" i="40"/>
  <c r="AB19" i="40" s="1"/>
  <c r="Y19" i="40"/>
  <c r="AA9" i="40"/>
  <c r="AB9" i="40" s="1"/>
  <c r="Y9" i="40"/>
  <c r="AA10" i="40"/>
  <c r="AB10" i="40" s="1"/>
  <c r="Y10" i="40"/>
  <c r="AA11" i="40"/>
  <c r="AB11" i="40" s="1"/>
  <c r="Y11" i="40"/>
  <c r="F14" i="40"/>
  <c r="AA14" i="40" s="1"/>
  <c r="AB14" i="40" s="1"/>
  <c r="F20" i="40"/>
  <c r="Y20" i="40" s="1"/>
  <c r="AB29" i="40"/>
  <c r="AB13" i="40"/>
  <c r="L29" i="40"/>
  <c r="F12" i="40"/>
  <c r="Y12" i="40" s="1"/>
  <c r="Y17" i="40" s="1"/>
  <c r="L13" i="40"/>
  <c r="L24" i="40"/>
  <c r="F21" i="40"/>
  <c r="Y21" i="40" s="1"/>
  <c r="F25" i="40"/>
  <c r="AA25" i="40" s="1"/>
  <c r="AB25" i="40" s="1"/>
  <c r="F22" i="40"/>
  <c r="AA22" i="40" s="1"/>
  <c r="AB22" i="40" s="1"/>
  <c r="F28" i="40"/>
  <c r="AA28" i="40" s="1"/>
  <c r="AB28" i="40" s="1"/>
  <c r="F16" i="40"/>
  <c r="Y16" i="40" s="1"/>
  <c r="F23" i="40"/>
  <c r="AA23" i="40" s="1"/>
  <c r="AB23" i="40" s="1"/>
  <c r="AK6" i="45"/>
  <c r="Y18" i="39"/>
  <c r="F31" i="39"/>
  <c r="C59" i="40"/>
  <c r="D59" i="40" s="1"/>
  <c r="C54" i="40"/>
  <c r="D54" i="40" s="1"/>
  <c r="C49" i="40"/>
  <c r="D49" i="40" s="1"/>
  <c r="C44" i="40"/>
  <c r="D44" i="40" s="1"/>
  <c r="C57" i="40"/>
  <c r="D57" i="40" s="1"/>
  <c r="C62" i="40"/>
  <c r="D62" i="40" s="1"/>
  <c r="C67" i="40"/>
  <c r="D67" i="40" s="1"/>
  <c r="C51" i="40"/>
  <c r="D51" i="40" s="1"/>
  <c r="C46" i="40"/>
  <c r="D46" i="40" s="1"/>
  <c r="C56" i="40"/>
  <c r="D56" i="40" s="1"/>
  <c r="C61" i="40"/>
  <c r="D61" i="40" s="1"/>
  <c r="C66" i="40"/>
  <c r="D66" i="40" s="1"/>
  <c r="C45" i="40"/>
  <c r="D45" i="40" s="1"/>
  <c r="C69" i="40"/>
  <c r="D69" i="40" s="1"/>
  <c r="C60" i="40"/>
  <c r="D60" i="40" s="1"/>
  <c r="C68" i="40"/>
  <c r="D68" i="40" s="1"/>
  <c r="C55" i="40"/>
  <c r="D55" i="40" s="1"/>
  <c r="C43" i="40"/>
  <c r="C48" i="40"/>
  <c r="D48" i="40" s="1"/>
  <c r="C53" i="40"/>
  <c r="D53" i="40" s="1"/>
  <c r="C47" i="40"/>
  <c r="D47" i="40" s="1"/>
  <c r="C64" i="40"/>
  <c r="D64" i="40" s="1"/>
  <c r="C52" i="40"/>
  <c r="D52" i="40" s="1"/>
  <c r="C65" i="40"/>
  <c r="D65" i="40" s="1"/>
  <c r="C63" i="40"/>
  <c r="D63" i="40" s="1"/>
  <c r="C58" i="40"/>
  <c r="D58" i="40" s="1"/>
  <c r="C50" i="40"/>
  <c r="D50" i="40" s="1"/>
  <c r="AM10" i="45"/>
  <c r="AL10" i="45"/>
  <c r="C92" i="36"/>
  <c r="D92" i="36" s="1"/>
  <c r="C88" i="36"/>
  <c r="D88" i="36" s="1"/>
  <c r="C72" i="36"/>
  <c r="D72" i="36" s="1"/>
  <c r="C84" i="36"/>
  <c r="D84" i="36" s="1"/>
  <c r="C93" i="36"/>
  <c r="D93" i="36" s="1"/>
  <c r="C76" i="36"/>
  <c r="D76" i="36" s="1"/>
  <c r="C80" i="36"/>
  <c r="D80" i="36" s="1"/>
  <c r="C89" i="36"/>
  <c r="D89" i="36" s="1"/>
  <c r="C90" i="36"/>
  <c r="D90" i="36" s="1"/>
  <c r="C73" i="36"/>
  <c r="D73" i="36" s="1"/>
  <c r="C78" i="36"/>
  <c r="D78" i="36" s="1"/>
  <c r="C83" i="36"/>
  <c r="D83" i="36" s="1"/>
  <c r="C68" i="36"/>
  <c r="D68" i="36" s="1"/>
  <c r="C79" i="36"/>
  <c r="D79" i="36" s="1"/>
  <c r="C86" i="36"/>
  <c r="D86" i="36" s="1"/>
  <c r="C81" i="36"/>
  <c r="D81" i="36" s="1"/>
  <c r="C74" i="36"/>
  <c r="D74" i="36" s="1"/>
  <c r="C82" i="36"/>
  <c r="D82" i="36" s="1"/>
  <c r="C91" i="36"/>
  <c r="D91" i="36" s="1"/>
  <c r="C71" i="36"/>
  <c r="D71" i="36" s="1"/>
  <c r="C87" i="36"/>
  <c r="D87" i="36" s="1"/>
  <c r="C75" i="36"/>
  <c r="D75" i="36" s="1"/>
  <c r="C85" i="36"/>
  <c r="D85" i="36" s="1"/>
  <c r="C69" i="36"/>
  <c r="D69" i="36" s="1"/>
  <c r="C77" i="36"/>
  <c r="D77" i="36" s="1"/>
  <c r="C70" i="36"/>
  <c r="D70" i="36" s="1"/>
  <c r="C61" i="39"/>
  <c r="D61" i="39" s="1"/>
  <c r="C45" i="39"/>
  <c r="D45" i="39" s="1"/>
  <c r="C54" i="39"/>
  <c r="D54" i="39" s="1"/>
  <c r="C66" i="39"/>
  <c r="D66" i="39" s="1"/>
  <c r="C50" i="39"/>
  <c r="D50" i="39" s="1"/>
  <c r="C55" i="39"/>
  <c r="D55" i="39" s="1"/>
  <c r="C60" i="39"/>
  <c r="D60" i="39" s="1"/>
  <c r="C65" i="39"/>
  <c r="D65" i="39" s="1"/>
  <c r="C44" i="39"/>
  <c r="D44" i="39" s="1"/>
  <c r="C49" i="39"/>
  <c r="D49" i="39" s="1"/>
  <c r="C70" i="39"/>
  <c r="D70" i="39" s="1"/>
  <c r="C53" i="39"/>
  <c r="D53" i="39" s="1"/>
  <c r="C52" i="39"/>
  <c r="D52" i="39" s="1"/>
  <c r="C46" i="39"/>
  <c r="D46" i="39" s="1"/>
  <c r="C67" i="39"/>
  <c r="D67" i="39" s="1"/>
  <c r="C59" i="39"/>
  <c r="D59" i="39" s="1"/>
  <c r="C58" i="39"/>
  <c r="D58" i="39" s="1"/>
  <c r="C64" i="39"/>
  <c r="D64" i="39" s="1"/>
  <c r="C69" i="39"/>
  <c r="D69" i="39" s="1"/>
  <c r="C57" i="39"/>
  <c r="D57" i="39" s="1"/>
  <c r="C62" i="39"/>
  <c r="D62" i="39" s="1"/>
  <c r="C47" i="39"/>
  <c r="D47" i="39" s="1"/>
  <c r="C63" i="39"/>
  <c r="D63" i="39" s="1"/>
  <c r="C51" i="39"/>
  <c r="D51" i="39" s="1"/>
  <c r="C68" i="39"/>
  <c r="D68" i="39" s="1"/>
  <c r="C48" i="39"/>
  <c r="D48" i="39" s="1"/>
  <c r="C56" i="39"/>
  <c r="D56" i="39" s="1"/>
  <c r="AL14" i="45"/>
  <c r="AM14" i="45"/>
  <c r="Z17" i="39"/>
  <c r="AM15" i="45"/>
  <c r="AL15" i="45"/>
  <c r="AM13" i="45"/>
  <c r="AL13" i="45"/>
  <c r="AL18" i="45"/>
  <c r="AM18" i="45"/>
  <c r="Z31" i="40"/>
  <c r="AM16" i="45"/>
  <c r="AL16" i="45"/>
  <c r="Z31" i="39"/>
  <c r="AA18" i="40"/>
  <c r="AM8" i="45"/>
  <c r="AL8" i="45"/>
  <c r="AM19" i="45"/>
  <c r="AL19" i="45"/>
  <c r="AM17" i="45"/>
  <c r="AL17" i="45"/>
  <c r="AM9" i="45"/>
  <c r="AL9" i="45"/>
  <c r="O161" i="45"/>
  <c r="T167" i="45"/>
  <c r="R167" i="45" s="1"/>
  <c r="Z17" i="40"/>
  <c r="AA32" i="36"/>
  <c r="F56" i="36"/>
  <c r="Z56" i="36"/>
  <c r="AA8" i="39"/>
  <c r="AB8" i="39" s="1"/>
  <c r="F17" i="39"/>
  <c r="Y8" i="39"/>
  <c r="AA9" i="39"/>
  <c r="AB9" i="39" s="1"/>
  <c r="Y9" i="39"/>
  <c r="AA10" i="39"/>
  <c r="AB10" i="39" s="1"/>
  <c r="Y10" i="39"/>
  <c r="AA11" i="39"/>
  <c r="AB11" i="39" s="1"/>
  <c r="Y11" i="39"/>
  <c r="Z31" i="36"/>
  <c r="F31" i="36"/>
  <c r="AA8" i="36"/>
  <c r="Y8" i="36"/>
  <c r="AA10" i="36"/>
  <c r="AB10" i="36" s="1"/>
  <c r="Y10" i="36"/>
  <c r="AA9" i="36"/>
  <c r="AB9" i="36" s="1"/>
  <c r="Y9" i="36"/>
  <c r="AA11" i="36"/>
  <c r="AB11" i="36" s="1"/>
  <c r="Y11" i="36"/>
  <c r="P103" i="7"/>
  <c r="F140" i="7"/>
  <c r="O140" i="7"/>
  <c r="AA30" i="40"/>
  <c r="AB30" i="40" s="1"/>
  <c r="Y15" i="40"/>
  <c r="Y29" i="40"/>
  <c r="AA21" i="40"/>
  <c r="AB21" i="40" s="1"/>
  <c r="AA27" i="36"/>
  <c r="AB27" i="36" s="1"/>
  <c r="AA29" i="36"/>
  <c r="AB29" i="36" s="1"/>
  <c r="AA24" i="36"/>
  <c r="AB24" i="36" s="1"/>
  <c r="Y20" i="36"/>
  <c r="D10" i="40"/>
  <c r="Y14" i="40"/>
  <c r="AA24" i="40"/>
  <c r="AB24" i="40" s="1"/>
  <c r="Y27" i="40"/>
  <c r="Y13" i="40"/>
  <c r="AA8" i="40"/>
  <c r="D14" i="40"/>
  <c r="Y18" i="40"/>
  <c r="AA27" i="39"/>
  <c r="AB27" i="39" s="1"/>
  <c r="AA22" i="39"/>
  <c r="AB22" i="39" s="1"/>
  <c r="AA24" i="39"/>
  <c r="AB24" i="39" s="1"/>
  <c r="Y14" i="39"/>
  <c r="Y23" i="39"/>
  <c r="Y13" i="39"/>
  <c r="D8" i="39"/>
  <c r="Y12" i="39"/>
  <c r="AA18" i="39"/>
  <c r="Y21" i="39"/>
  <c r="AA16" i="39"/>
  <c r="AB16" i="39" s="1"/>
  <c r="Y20" i="39"/>
  <c r="Y15" i="39"/>
  <c r="Y25" i="39"/>
  <c r="AA29" i="39"/>
  <c r="AB29" i="39" s="1"/>
  <c r="Y28" i="39"/>
  <c r="Y30" i="39"/>
  <c r="AA12" i="36"/>
  <c r="AB12" i="36" s="1"/>
  <c r="Y15" i="36"/>
  <c r="Y32" i="36"/>
  <c r="Y35" i="36"/>
  <c r="AA52" i="36"/>
  <c r="AB52" i="36" s="1"/>
  <c r="AA54" i="36"/>
  <c r="AB54" i="36" s="1"/>
  <c r="Y19" i="36"/>
  <c r="Y40" i="36"/>
  <c r="AA28" i="36"/>
  <c r="AB28" i="36" s="1"/>
  <c r="Y34" i="36"/>
  <c r="Y16" i="36"/>
  <c r="AA37" i="36"/>
  <c r="AB37" i="36" s="1"/>
  <c r="Y47" i="36"/>
  <c r="AA45" i="36"/>
  <c r="AB45" i="36" s="1"/>
  <c r="Y30" i="36"/>
  <c r="AA30" i="36"/>
  <c r="AB30" i="36" s="1"/>
  <c r="Y42" i="36"/>
  <c r="Y44" i="36"/>
  <c r="AA44" i="36"/>
  <c r="AB44" i="36" s="1"/>
  <c r="Y51" i="36"/>
  <c r="Y53" i="36"/>
  <c r="AA55" i="36"/>
  <c r="AB55" i="36" s="1"/>
  <c r="Y39" i="36"/>
  <c r="AA22" i="36"/>
  <c r="AB22" i="36" s="1"/>
  <c r="Y22" i="36"/>
  <c r="Y49" i="36"/>
  <c r="Y26" i="36"/>
  <c r="Y14" i="36"/>
  <c r="AA14" i="36"/>
  <c r="AB14" i="36" s="1"/>
  <c r="Y23" i="36"/>
  <c r="Y46" i="36"/>
  <c r="AA13" i="36"/>
  <c r="AB13" i="36" s="1"/>
  <c r="Y13" i="36"/>
  <c r="Y21" i="36"/>
  <c r="AA36" i="36"/>
  <c r="AB36" i="36" s="1"/>
  <c r="AA50" i="36"/>
  <c r="AB50" i="36" s="1"/>
  <c r="Y50" i="36"/>
  <c r="AA41" i="36"/>
  <c r="AB41" i="36" s="1"/>
  <c r="Y41" i="36"/>
  <c r="Y43" i="36"/>
  <c r="AA48" i="36"/>
  <c r="AB48" i="36" s="1"/>
  <c r="Y48" i="36"/>
  <c r="AA17" i="36"/>
  <c r="AB17" i="36" s="1"/>
  <c r="Y38" i="36"/>
  <c r="Y25" i="40" l="1"/>
  <c r="AA20" i="40"/>
  <c r="AB20" i="40" s="1"/>
  <c r="Y28" i="40"/>
  <c r="AA12" i="40"/>
  <c r="AB12" i="40" s="1"/>
  <c r="F17" i="40"/>
  <c r="Y22" i="40"/>
  <c r="Y31" i="40" s="1"/>
  <c r="AA16" i="40"/>
  <c r="AB16" i="40" s="1"/>
  <c r="Y23" i="40"/>
  <c r="F32" i="39"/>
  <c r="Z32" i="39"/>
  <c r="F32" i="40"/>
  <c r="Y32" i="40"/>
  <c r="D43" i="40"/>
  <c r="D70" i="40" s="1"/>
  <c r="E71" i="40" s="1"/>
  <c r="F71" i="40" s="1"/>
  <c r="C70" i="40"/>
  <c r="Y32" i="39"/>
  <c r="D94" i="36"/>
  <c r="E95" i="36" s="1"/>
  <c r="F95" i="36" s="1"/>
  <c r="Y31" i="39"/>
  <c r="AB18" i="40"/>
  <c r="AA31" i="40"/>
  <c r="AB31" i="40" s="1"/>
  <c r="AB18" i="39"/>
  <c r="AA31" i="39"/>
  <c r="AB31" i="39" s="1"/>
  <c r="Z32" i="40"/>
  <c r="AM6" i="45"/>
  <c r="AL6" i="45"/>
  <c r="Y57" i="36"/>
  <c r="Z57" i="36"/>
  <c r="Y56" i="36"/>
  <c r="F57" i="36"/>
  <c r="AB32" i="36"/>
  <c r="AA56" i="36"/>
  <c r="AB56" i="36" s="1"/>
  <c r="Y17" i="39"/>
  <c r="AA17" i="39"/>
  <c r="AA31" i="36"/>
  <c r="AB31" i="36" s="1"/>
  <c r="Y31" i="36"/>
  <c r="AB8" i="36"/>
  <c r="Q103" i="7"/>
  <c r="P140" i="7"/>
  <c r="AB8" i="40"/>
  <c r="C94" i="36"/>
  <c r="AA17" i="40" l="1"/>
  <c r="AB17" i="40"/>
  <c r="AA32" i="40"/>
  <c r="AB32" i="40" s="1"/>
  <c r="AB17" i="39"/>
  <c r="AA32" i="39"/>
  <c r="AB32" i="39" s="1"/>
  <c r="AA57" i="36"/>
  <c r="AB57" i="36" s="1"/>
  <c r="F126" i="28"/>
  <c r="F123" i="28"/>
  <c r="F118" i="28"/>
  <c r="F115" i="28"/>
  <c r="F114" i="28"/>
  <c r="F111" i="28"/>
  <c r="F32" i="28"/>
  <c r="F22" i="28"/>
  <c r="F17" i="28"/>
  <c r="F10" i="28"/>
  <c r="D17" i="28"/>
  <c r="F28" i="28"/>
  <c r="F18" i="28"/>
  <c r="F13" i="28"/>
  <c r="F9" i="28"/>
  <c r="F121" i="28"/>
  <c r="F117" i="28"/>
  <c r="F116" i="28"/>
  <c r="F113" i="28"/>
  <c r="F112" i="28"/>
  <c r="F109" i="28"/>
  <c r="F108" i="28"/>
  <c r="F44" i="28"/>
  <c r="F24" i="28"/>
  <c r="F15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98" i="28"/>
  <c r="D99" i="28"/>
  <c r="D100" i="28"/>
  <c r="D101" i="28"/>
  <c r="D102" i="28"/>
  <c r="D103" i="28"/>
  <c r="D104" i="28"/>
  <c r="D105" i="28"/>
  <c r="D106" i="28"/>
  <c r="D87" i="28"/>
  <c r="D88" i="28"/>
  <c r="D89" i="28"/>
  <c r="D90" i="28"/>
  <c r="D91" i="28"/>
  <c r="D92" i="28"/>
  <c r="D93" i="28"/>
  <c r="D94" i="28"/>
  <c r="D95" i="28"/>
  <c r="D96" i="28"/>
  <c r="D97" i="28"/>
  <c r="D77" i="28"/>
  <c r="D78" i="28"/>
  <c r="D79" i="28"/>
  <c r="D80" i="28"/>
  <c r="D81" i="28"/>
  <c r="D83" i="28"/>
  <c r="D84" i="28"/>
  <c r="D85" i="28"/>
  <c r="D86" i="28"/>
  <c r="D60" i="28"/>
  <c r="D62" i="28"/>
  <c r="D63" i="28"/>
  <c r="D64" i="28"/>
  <c r="D65" i="28"/>
  <c r="D66" i="28"/>
  <c r="D67" i="28"/>
  <c r="D68" i="28"/>
  <c r="D69" i="28"/>
  <c r="D70" i="28"/>
  <c r="D71" i="28"/>
  <c r="D72" i="28"/>
  <c r="D74" i="28"/>
  <c r="D75" i="28"/>
  <c r="D76" i="28"/>
  <c r="B4" i="7"/>
  <c r="B8" i="7"/>
  <c r="C8" i="7"/>
  <c r="D8" i="7" s="1"/>
  <c r="F8" i="7"/>
  <c r="D9" i="7"/>
  <c r="F9" i="7"/>
  <c r="N9" i="7" s="1"/>
  <c r="D10" i="7"/>
  <c r="F10" i="7"/>
  <c r="N10" i="7" s="1"/>
  <c r="D11" i="7"/>
  <c r="F11" i="7"/>
  <c r="N11" i="7" s="1"/>
  <c r="D12" i="7"/>
  <c r="F12" i="7"/>
  <c r="N12" i="7" s="1"/>
  <c r="D13" i="7"/>
  <c r="F13" i="7"/>
  <c r="D14" i="7"/>
  <c r="F14" i="7"/>
  <c r="D15" i="7"/>
  <c r="F15" i="7"/>
  <c r="D16" i="7"/>
  <c r="F16" i="7"/>
  <c r="D17" i="7"/>
  <c r="F17" i="7"/>
  <c r="D18" i="7"/>
  <c r="F18" i="7"/>
  <c r="D19" i="7"/>
  <c r="F19" i="7"/>
  <c r="D20" i="7"/>
  <c r="F20" i="7"/>
  <c r="D21" i="7"/>
  <c r="F21" i="7"/>
  <c r="D22" i="7"/>
  <c r="F22" i="7"/>
  <c r="D23" i="7"/>
  <c r="F23" i="7"/>
  <c r="D24" i="7"/>
  <c r="F24" i="7"/>
  <c r="D25" i="7"/>
  <c r="F25" i="7"/>
  <c r="D26" i="7"/>
  <c r="F26" i="7"/>
  <c r="D27" i="7"/>
  <c r="F27" i="7"/>
  <c r="D28" i="7"/>
  <c r="F28" i="7"/>
  <c r="D29" i="7"/>
  <c r="F29" i="7"/>
  <c r="D30" i="7"/>
  <c r="F30" i="7"/>
  <c r="D31" i="7"/>
  <c r="F31" i="7"/>
  <c r="D32" i="7"/>
  <c r="F32" i="7"/>
  <c r="D33" i="7"/>
  <c r="F33" i="7"/>
  <c r="D34" i="7"/>
  <c r="F34" i="7"/>
  <c r="D35" i="7"/>
  <c r="F35" i="7"/>
  <c r="D36" i="7"/>
  <c r="F36" i="7"/>
  <c r="C156" i="7" l="1"/>
  <c r="D156" i="7" s="1"/>
  <c r="C162" i="7"/>
  <c r="D162" i="7" s="1"/>
  <c r="C153" i="7"/>
  <c r="D153" i="7" s="1"/>
  <c r="C151" i="7"/>
  <c r="D151" i="7" s="1"/>
  <c r="C170" i="7"/>
  <c r="C160" i="7"/>
  <c r="D160" i="7" s="1"/>
  <c r="C175" i="7"/>
  <c r="C174" i="7"/>
  <c r="C169" i="7"/>
  <c r="D169" i="7" s="1"/>
  <c r="C157" i="7"/>
  <c r="D157" i="7" s="1"/>
  <c r="C172" i="7"/>
  <c r="C168" i="7"/>
  <c r="D168" i="7" s="1"/>
  <c r="C163" i="7"/>
  <c r="D163" i="7" s="1"/>
  <c r="C158" i="7"/>
  <c r="D158" i="7" s="1"/>
  <c r="C155" i="7"/>
  <c r="D155" i="7" s="1"/>
  <c r="C167" i="7"/>
  <c r="D167" i="7" s="1"/>
  <c r="C176" i="7"/>
  <c r="C154" i="7"/>
  <c r="D154" i="7" s="1"/>
  <c r="C166" i="7"/>
  <c r="D166" i="7" s="1"/>
  <c r="C165" i="7"/>
  <c r="D165" i="7" s="1"/>
  <c r="C164" i="7"/>
  <c r="D164" i="7" s="1"/>
  <c r="C161" i="7"/>
  <c r="D161" i="7" s="1"/>
  <c r="C177" i="7"/>
  <c r="C159" i="7"/>
  <c r="D159" i="7" s="1"/>
  <c r="C171" i="7"/>
  <c r="C173" i="7"/>
  <c r="C152" i="7"/>
  <c r="D152" i="7" s="1"/>
  <c r="N8" i="7"/>
  <c r="B3" i="15"/>
  <c r="B7" i="45" s="1"/>
  <c r="E9" i="44" l="1"/>
  <c r="I7" i="45"/>
  <c r="L7" i="45" s="1"/>
  <c r="C178" i="7"/>
  <c r="N141" i="7"/>
  <c r="P32" i="7"/>
  <c r="Q32" i="7" s="1"/>
  <c r="P25" i="7"/>
  <c r="Q25" i="7" s="1"/>
  <c r="P18" i="7"/>
  <c r="Q18" i="7" s="1"/>
  <c r="P11" i="7"/>
  <c r="Q11" i="7" s="1"/>
  <c r="P10" i="7"/>
  <c r="Q10" i="7" s="1"/>
  <c r="P9" i="7"/>
  <c r="Q9" i="7" s="1"/>
  <c r="P8" i="7"/>
  <c r="O32" i="7"/>
  <c r="O25" i="7"/>
  <c r="O18" i="7"/>
  <c r="O9" i="7"/>
  <c r="O11" i="7"/>
  <c r="O10" i="7"/>
  <c r="O8" i="7"/>
  <c r="AK7" i="45" l="1"/>
  <c r="N130" i="45"/>
  <c r="N132" i="45" s="1"/>
  <c r="N133" i="45" s="1"/>
  <c r="N135" i="45" s="1"/>
  <c r="Q8" i="7"/>
  <c r="C3" i="15"/>
  <c r="D3" i="15" s="1"/>
  <c r="D26" i="28"/>
  <c r="D33" i="28"/>
  <c r="D19" i="28"/>
  <c r="D11" i="28"/>
  <c r="D10" i="28"/>
  <c r="D9" i="28"/>
  <c r="D8" i="28"/>
  <c r="O135" i="45" l="1"/>
  <c r="O137" i="45" s="1"/>
  <c r="N137" i="45"/>
  <c r="AM7" i="45"/>
  <c r="AL7" i="45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102" i="7" l="1"/>
  <c r="F141" i="7" s="1"/>
  <c r="D48" i="28"/>
  <c r="D38" i="28"/>
  <c r="F51" i="15" l="1"/>
  <c r="F50" i="15"/>
  <c r="F49" i="15"/>
  <c r="F48" i="15"/>
  <c r="F47" i="15"/>
  <c r="F46" i="15"/>
  <c r="F45" i="15"/>
  <c r="F44" i="15"/>
  <c r="F43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6" i="15"/>
  <c r="F25" i="15"/>
  <c r="F24" i="15"/>
  <c r="F23" i="15"/>
  <c r="F22" i="15"/>
  <c r="F21" i="15"/>
  <c r="F19" i="15"/>
  <c r="F18" i="15"/>
  <c r="F17" i="15"/>
  <c r="F16" i="15"/>
  <c r="F15" i="15"/>
  <c r="F14" i="15"/>
  <c r="F12" i="15"/>
  <c r="F11" i="15"/>
  <c r="F10" i="15"/>
  <c r="F9" i="15"/>
  <c r="F8" i="15"/>
  <c r="F7" i="15"/>
  <c r="O56" i="7" l="1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1" i="7"/>
  <c r="O40" i="7"/>
  <c r="O39" i="7"/>
  <c r="O38" i="7"/>
  <c r="O37" i="7"/>
  <c r="O36" i="7"/>
  <c r="O35" i="7"/>
  <c r="O34" i="7"/>
  <c r="O33" i="7"/>
  <c r="O31" i="7"/>
  <c r="O30" i="7"/>
  <c r="O29" i="7"/>
  <c r="O28" i="7"/>
  <c r="O27" i="7"/>
  <c r="O26" i="7"/>
  <c r="O24" i="7"/>
  <c r="O23" i="7"/>
  <c r="O22" i="7"/>
  <c r="O21" i="7"/>
  <c r="O20" i="7"/>
  <c r="O19" i="7"/>
  <c r="O17" i="7"/>
  <c r="O16" i="7"/>
  <c r="O15" i="7"/>
  <c r="O14" i="7"/>
  <c r="O13" i="7"/>
  <c r="O12" i="7"/>
  <c r="P56" i="7"/>
  <c r="P55" i="7"/>
  <c r="P53" i="7"/>
  <c r="N52" i="7"/>
  <c r="N51" i="7"/>
  <c r="P50" i="7"/>
  <c r="P49" i="7"/>
  <c r="P48" i="7"/>
  <c r="P47" i="7"/>
  <c r="P45" i="7"/>
  <c r="P44" i="7"/>
  <c r="N43" i="7"/>
  <c r="P41" i="7"/>
  <c r="N40" i="7"/>
  <c r="P39" i="7"/>
  <c r="P38" i="7"/>
  <c r="P36" i="7"/>
  <c r="P35" i="7"/>
  <c r="P34" i="7"/>
  <c r="P33" i="7"/>
  <c r="N31" i="7"/>
  <c r="N30" i="7"/>
  <c r="P29" i="7"/>
  <c r="N28" i="7"/>
  <c r="P27" i="7"/>
  <c r="P26" i="7"/>
  <c r="P24" i="7"/>
  <c r="P23" i="7"/>
  <c r="N22" i="7"/>
  <c r="N21" i="7"/>
  <c r="N20" i="7"/>
  <c r="N19" i="7"/>
  <c r="N17" i="7"/>
  <c r="N16" i="7"/>
  <c r="P15" i="7"/>
  <c r="P14" i="7"/>
  <c r="N13" i="7"/>
  <c r="P42" i="7"/>
  <c r="Q35" i="7" l="1"/>
  <c r="Q45" i="7"/>
  <c r="P40" i="7"/>
  <c r="Q40" i="7" s="1"/>
  <c r="Q33" i="7"/>
  <c r="Q41" i="7"/>
  <c r="N41" i="7"/>
  <c r="Q47" i="7"/>
  <c r="Q48" i="7"/>
  <c r="Q56" i="7"/>
  <c r="P31" i="7"/>
  <c r="Q31" i="7" s="1"/>
  <c r="Q38" i="7"/>
  <c r="Q55" i="7"/>
  <c r="N49" i="7"/>
  <c r="Q34" i="7"/>
  <c r="P13" i="7"/>
  <c r="Q13" i="7" s="1"/>
  <c r="N50" i="7"/>
  <c r="Q36" i="7"/>
  <c r="Q53" i="7"/>
  <c r="N14" i="7"/>
  <c r="N35" i="7"/>
  <c r="N44" i="7"/>
  <c r="P17" i="7"/>
  <c r="Q17" i="7" s="1"/>
  <c r="P52" i="7"/>
  <c r="Q52" i="7" s="1"/>
  <c r="N53" i="7"/>
  <c r="N36" i="7"/>
  <c r="N45" i="7"/>
  <c r="Q39" i="7"/>
  <c r="N27" i="7"/>
  <c r="N33" i="7"/>
  <c r="N26" i="7"/>
  <c r="Q23" i="7"/>
  <c r="Q50" i="7"/>
  <c r="P16" i="7"/>
  <c r="Q16" i="7" s="1"/>
  <c r="P22" i="7"/>
  <c r="Q22" i="7" s="1"/>
  <c r="P51" i="7"/>
  <c r="Q51" i="7" s="1"/>
  <c r="Q29" i="7"/>
  <c r="Q14" i="7"/>
  <c r="Q15" i="7"/>
  <c r="Q24" i="7"/>
  <c r="N23" i="7"/>
  <c r="P43" i="7"/>
  <c r="Q43" i="7" s="1"/>
  <c r="N37" i="7"/>
  <c r="P37" i="7"/>
  <c r="Q37" i="7" s="1"/>
  <c r="N46" i="7"/>
  <c r="P46" i="7"/>
  <c r="Q46" i="7" s="1"/>
  <c r="N54" i="7"/>
  <c r="P54" i="7"/>
  <c r="Q54" i="7" s="1"/>
  <c r="P28" i="7"/>
  <c r="Q28" i="7" s="1"/>
  <c r="P19" i="7"/>
  <c r="Q19" i="7" s="1"/>
  <c r="N29" i="7"/>
  <c r="Q26" i="7"/>
  <c r="N38" i="7"/>
  <c r="Q49" i="7"/>
  <c r="N55" i="7"/>
  <c r="P20" i="7"/>
  <c r="Q20" i="7" s="1"/>
  <c r="N15" i="7"/>
  <c r="Q27" i="7"/>
  <c r="N34" i="7"/>
  <c r="N48" i="7"/>
  <c r="P12" i="7"/>
  <c r="P21" i="7"/>
  <c r="Q21" i="7" s="1"/>
  <c r="P30" i="7"/>
  <c r="Q30" i="7" s="1"/>
  <c r="N47" i="7"/>
  <c r="Q44" i="7"/>
  <c r="N24" i="7"/>
  <c r="N39" i="7"/>
  <c r="N56" i="7"/>
  <c r="N42" i="7"/>
  <c r="N102" i="7" l="1"/>
  <c r="P102" i="7"/>
  <c r="Q12" i="7"/>
  <c r="P141" i="7" l="1"/>
  <c r="Q141" i="7" s="1"/>
  <c r="Q102" i="7"/>
  <c r="Q140" i="7"/>
  <c r="O42" i="7" l="1"/>
  <c r="O102" i="7" s="1"/>
  <c r="O141" i="7" s="1"/>
  <c r="D56" i="7"/>
  <c r="D55" i="7"/>
  <c r="D54" i="7"/>
  <c r="D53" i="7"/>
  <c r="D52" i="7"/>
  <c r="D177" i="7" l="1"/>
  <c r="D176" i="7"/>
  <c r="D175" i="7"/>
  <c r="Q42" i="7"/>
  <c r="D173" i="7"/>
  <c r="D172" i="7"/>
  <c r="D174" i="7"/>
  <c r="D171" i="7"/>
  <c r="D170" i="7"/>
  <c r="D58" i="28"/>
  <c r="D57" i="28"/>
  <c r="D56" i="28"/>
  <c r="D54" i="28"/>
  <c r="D53" i="28"/>
  <c r="D52" i="28"/>
  <c r="D51" i="28"/>
  <c r="D50" i="28"/>
  <c r="D49" i="28"/>
  <c r="D47" i="28"/>
  <c r="D46" i="28"/>
  <c r="D45" i="28"/>
  <c r="D44" i="28"/>
  <c r="D43" i="28"/>
  <c r="D42" i="28"/>
  <c r="D41" i="28"/>
  <c r="D40" i="28"/>
  <c r="D37" i="28"/>
  <c r="D36" i="28"/>
  <c r="D35" i="28"/>
  <c r="D34" i="28"/>
  <c r="D32" i="28"/>
  <c r="D31" i="28"/>
  <c r="D30" i="28"/>
  <c r="D29" i="28"/>
  <c r="D28" i="28"/>
  <c r="D27" i="28"/>
  <c r="D25" i="28"/>
  <c r="D24" i="28"/>
  <c r="D23" i="28"/>
  <c r="D22" i="28"/>
  <c r="D21" i="28"/>
  <c r="D20" i="28"/>
  <c r="D18" i="28"/>
  <c r="D16" i="28"/>
  <c r="D15" i="28"/>
  <c r="D14" i="28"/>
  <c r="D13" i="28"/>
  <c r="D12" i="28"/>
  <c r="D178" i="7" l="1"/>
  <c r="E179" i="7" s="1"/>
  <c r="F179" i="7" s="1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B3" i="24" l="1"/>
  <c r="B3" i="25"/>
  <c r="B3" i="23"/>
  <c r="B3" i="22"/>
  <c r="B3" i="21"/>
  <c r="B3" i="20"/>
  <c r="B3" i="19"/>
  <c r="B3" i="18"/>
  <c r="B3" i="14"/>
  <c r="B3" i="13"/>
  <c r="B3" i="12"/>
  <c r="B3" i="11"/>
  <c r="B3" i="10"/>
  <c r="B3" i="9"/>
  <c r="B3" i="8"/>
  <c r="V22" i="29"/>
  <c r="V18" i="29"/>
  <c r="V16" i="29"/>
  <c r="V15" i="29"/>
  <c r="V12" i="29"/>
  <c r="V11" i="29"/>
  <c r="V10" i="29"/>
  <c r="V9" i="29"/>
  <c r="V8" i="29"/>
  <c r="V7" i="29"/>
  <c r="V6" i="29"/>
  <c r="V5" i="29"/>
  <c r="V3" i="29"/>
  <c r="V2" i="29"/>
  <c r="B4" i="24"/>
  <c r="B4" i="25"/>
  <c r="B4" i="23"/>
  <c r="B4" i="22"/>
  <c r="B4" i="20"/>
  <c r="B4" i="19"/>
  <c r="B4" i="18"/>
  <c r="B4" i="14"/>
  <c r="B4" i="13"/>
  <c r="B4" i="12"/>
  <c r="B4" i="10"/>
  <c r="B4" i="9"/>
  <c r="B4" i="8"/>
  <c r="T8" i="6" l="1"/>
  <c r="P8" i="6"/>
  <c r="L8" i="6"/>
  <c r="I8" i="6"/>
  <c r="H8" i="6"/>
  <c r="G8" i="6"/>
  <c r="F8" i="6"/>
  <c r="U46" i="25"/>
  <c r="P46" i="25"/>
  <c r="L46" i="25"/>
  <c r="H46" i="25"/>
  <c r="U45" i="25"/>
  <c r="P45" i="25"/>
  <c r="L45" i="25"/>
  <c r="H45" i="25"/>
  <c r="U44" i="25"/>
  <c r="P44" i="25"/>
  <c r="L44" i="25"/>
  <c r="H44" i="25"/>
  <c r="U43" i="25"/>
  <c r="P43" i="25"/>
  <c r="L43" i="25"/>
  <c r="H43" i="25"/>
  <c r="U42" i="25"/>
  <c r="P42" i="25"/>
  <c r="L42" i="25"/>
  <c r="H42" i="25"/>
  <c r="U41" i="25"/>
  <c r="P41" i="25"/>
  <c r="L41" i="25"/>
  <c r="H41" i="25"/>
  <c r="U40" i="25"/>
  <c r="P40" i="25"/>
  <c r="L40" i="25"/>
  <c r="H40" i="25"/>
  <c r="U39" i="25"/>
  <c r="P39" i="25"/>
  <c r="L39" i="25"/>
  <c r="H39" i="25"/>
  <c r="U38" i="25"/>
  <c r="P38" i="25"/>
  <c r="L38" i="25"/>
  <c r="H38" i="25"/>
  <c r="U37" i="25"/>
  <c r="P37" i="25"/>
  <c r="L37" i="25"/>
  <c r="H37" i="25"/>
  <c r="U36" i="25"/>
  <c r="P36" i="25"/>
  <c r="L36" i="25"/>
  <c r="H36" i="25"/>
  <c r="U35" i="25"/>
  <c r="P35" i="25"/>
  <c r="L35" i="25"/>
  <c r="H35" i="25"/>
  <c r="U34" i="25"/>
  <c r="P34" i="25"/>
  <c r="L34" i="25"/>
  <c r="H34" i="25"/>
  <c r="U33" i="25"/>
  <c r="P33" i="25"/>
  <c r="L33" i="25"/>
  <c r="H33" i="25"/>
  <c r="U32" i="25"/>
  <c r="P32" i="25"/>
  <c r="L32" i="25"/>
  <c r="H32" i="25"/>
  <c r="U31" i="25"/>
  <c r="P31" i="25"/>
  <c r="L31" i="25"/>
  <c r="H31" i="25"/>
  <c r="U30" i="25"/>
  <c r="P30" i="25"/>
  <c r="L30" i="25"/>
  <c r="H30" i="25"/>
  <c r="U29" i="25"/>
  <c r="P29" i="25"/>
  <c r="L29" i="25"/>
  <c r="H29" i="25"/>
  <c r="U28" i="25"/>
  <c r="P28" i="25"/>
  <c r="L28" i="25"/>
  <c r="H28" i="25"/>
  <c r="U26" i="25"/>
  <c r="P26" i="25"/>
  <c r="L26" i="25"/>
  <c r="H26" i="25"/>
  <c r="U25" i="25"/>
  <c r="P25" i="25"/>
  <c r="L25" i="25"/>
  <c r="H25" i="25"/>
  <c r="U24" i="25"/>
  <c r="P24" i="25"/>
  <c r="L24" i="25"/>
  <c r="H24" i="25"/>
  <c r="U23" i="25"/>
  <c r="P23" i="25"/>
  <c r="L23" i="25"/>
  <c r="H23" i="25"/>
  <c r="U22" i="25"/>
  <c r="P22" i="25"/>
  <c r="L22" i="25"/>
  <c r="H22" i="25"/>
  <c r="U21" i="25"/>
  <c r="P21" i="25"/>
  <c r="L21" i="25"/>
  <c r="H21" i="25"/>
  <c r="U20" i="25"/>
  <c r="P20" i="25"/>
  <c r="L20" i="25"/>
  <c r="H20" i="25"/>
  <c r="U19" i="25"/>
  <c r="P19" i="25"/>
  <c r="L19" i="25"/>
  <c r="H19" i="25"/>
  <c r="U18" i="25"/>
  <c r="P18" i="25"/>
  <c r="L18" i="25"/>
  <c r="H18" i="25"/>
  <c r="U17" i="25"/>
  <c r="P17" i="25"/>
  <c r="L17" i="25"/>
  <c r="H17" i="25"/>
  <c r="U16" i="25"/>
  <c r="P16" i="25"/>
  <c r="L16" i="25"/>
  <c r="H16" i="25"/>
  <c r="U15" i="25"/>
  <c r="P15" i="25"/>
  <c r="L15" i="25"/>
  <c r="H15" i="25"/>
  <c r="U14" i="25"/>
  <c r="P14" i="25"/>
  <c r="L14" i="25"/>
  <c r="H14" i="25"/>
  <c r="U13" i="25"/>
  <c r="P13" i="25"/>
  <c r="L13" i="25"/>
  <c r="H13" i="25"/>
  <c r="U12" i="25"/>
  <c r="P12" i="25"/>
  <c r="L12" i="25"/>
  <c r="H12" i="25"/>
  <c r="U11" i="25"/>
  <c r="P11" i="25"/>
  <c r="L11" i="25"/>
  <c r="H11" i="25"/>
  <c r="U10" i="25"/>
  <c r="P10" i="25"/>
  <c r="L10" i="25"/>
  <c r="H10" i="25"/>
  <c r="U9" i="25"/>
  <c r="P9" i="25"/>
  <c r="L9" i="25"/>
  <c r="H9" i="25"/>
  <c r="U8" i="25"/>
  <c r="R8" i="25"/>
  <c r="P8" i="25"/>
  <c r="L8" i="25"/>
  <c r="H8" i="25"/>
  <c r="W46" i="24"/>
  <c r="R46" i="24"/>
  <c r="N46" i="24"/>
  <c r="J46" i="24"/>
  <c r="W45" i="24"/>
  <c r="R45" i="24"/>
  <c r="N45" i="24"/>
  <c r="J45" i="24"/>
  <c r="W44" i="24"/>
  <c r="R44" i="24"/>
  <c r="N44" i="24"/>
  <c r="J44" i="24"/>
  <c r="W43" i="24"/>
  <c r="R43" i="24"/>
  <c r="N43" i="24"/>
  <c r="J43" i="24"/>
  <c r="W42" i="24"/>
  <c r="R42" i="24"/>
  <c r="N42" i="24"/>
  <c r="J42" i="24"/>
  <c r="W41" i="24"/>
  <c r="R41" i="24"/>
  <c r="N41" i="24"/>
  <c r="J41" i="24"/>
  <c r="W40" i="24"/>
  <c r="R40" i="24"/>
  <c r="N40" i="24"/>
  <c r="J40" i="24"/>
  <c r="W39" i="24"/>
  <c r="R39" i="24"/>
  <c r="N39" i="24"/>
  <c r="J39" i="24"/>
  <c r="W38" i="24"/>
  <c r="R38" i="24"/>
  <c r="N38" i="24"/>
  <c r="J38" i="24"/>
  <c r="W37" i="24"/>
  <c r="R37" i="24"/>
  <c r="N37" i="24"/>
  <c r="J37" i="24"/>
  <c r="W36" i="24"/>
  <c r="R36" i="24"/>
  <c r="N36" i="24"/>
  <c r="J36" i="24"/>
  <c r="W35" i="24"/>
  <c r="R35" i="24"/>
  <c r="N35" i="24"/>
  <c r="J35" i="24"/>
  <c r="W34" i="24"/>
  <c r="R34" i="24"/>
  <c r="N34" i="24"/>
  <c r="J34" i="24"/>
  <c r="W33" i="24"/>
  <c r="R33" i="24"/>
  <c r="N33" i="24"/>
  <c r="J33" i="24"/>
  <c r="W32" i="24"/>
  <c r="R32" i="24"/>
  <c r="N32" i="24"/>
  <c r="J32" i="24"/>
  <c r="W31" i="24"/>
  <c r="R31" i="24"/>
  <c r="N31" i="24"/>
  <c r="J31" i="24"/>
  <c r="W30" i="24"/>
  <c r="R30" i="24"/>
  <c r="N30" i="24"/>
  <c r="J30" i="24"/>
  <c r="W29" i="24"/>
  <c r="R29" i="24"/>
  <c r="N29" i="24"/>
  <c r="J29" i="24"/>
  <c r="W28" i="24"/>
  <c r="R28" i="24"/>
  <c r="N28" i="24"/>
  <c r="J28" i="24"/>
  <c r="W26" i="24"/>
  <c r="R26" i="24"/>
  <c r="N26" i="24"/>
  <c r="J26" i="24"/>
  <c r="W25" i="24"/>
  <c r="R25" i="24"/>
  <c r="N25" i="24"/>
  <c r="J25" i="24"/>
  <c r="W24" i="24"/>
  <c r="R24" i="24"/>
  <c r="N24" i="24"/>
  <c r="J24" i="24"/>
  <c r="W23" i="24"/>
  <c r="R23" i="24"/>
  <c r="N23" i="24"/>
  <c r="J23" i="24"/>
  <c r="W22" i="24"/>
  <c r="R22" i="24"/>
  <c r="N22" i="24"/>
  <c r="J22" i="24"/>
  <c r="W21" i="24"/>
  <c r="R21" i="24"/>
  <c r="N21" i="24"/>
  <c r="J21" i="24"/>
  <c r="W20" i="24"/>
  <c r="R20" i="24"/>
  <c r="N20" i="24"/>
  <c r="J20" i="24"/>
  <c r="W19" i="24"/>
  <c r="R19" i="24"/>
  <c r="N19" i="24"/>
  <c r="J19" i="24"/>
  <c r="W18" i="24"/>
  <c r="R18" i="24"/>
  <c r="N18" i="24"/>
  <c r="J18" i="24"/>
  <c r="W17" i="24"/>
  <c r="R17" i="24"/>
  <c r="N17" i="24"/>
  <c r="J17" i="24"/>
  <c r="W16" i="24"/>
  <c r="R16" i="24"/>
  <c r="N16" i="24"/>
  <c r="J16" i="24"/>
  <c r="W15" i="24"/>
  <c r="R15" i="24"/>
  <c r="N15" i="24"/>
  <c r="J15" i="24"/>
  <c r="W14" i="24"/>
  <c r="R14" i="24"/>
  <c r="N14" i="24"/>
  <c r="J14" i="24"/>
  <c r="W13" i="24"/>
  <c r="R13" i="24"/>
  <c r="N13" i="24"/>
  <c r="J13" i="24"/>
  <c r="W12" i="24"/>
  <c r="R12" i="24"/>
  <c r="N12" i="24"/>
  <c r="J12" i="24"/>
  <c r="W11" i="24"/>
  <c r="R11" i="24"/>
  <c r="N11" i="24"/>
  <c r="J11" i="24"/>
  <c r="W10" i="24"/>
  <c r="R10" i="24"/>
  <c r="N10" i="24"/>
  <c r="J10" i="24"/>
  <c r="W9" i="24"/>
  <c r="R9" i="24"/>
  <c r="N9" i="24"/>
  <c r="J9" i="24"/>
  <c r="W8" i="24"/>
  <c r="T8" i="24"/>
  <c r="R8" i="24"/>
  <c r="N8" i="24"/>
  <c r="Q8" i="6" s="1"/>
  <c r="J8" i="24"/>
  <c r="M8" i="6" s="1"/>
  <c r="W27" i="24" l="1"/>
  <c r="U47" i="25"/>
  <c r="W47" i="24"/>
  <c r="U27" i="25"/>
  <c r="V8" i="6"/>
  <c r="K8" i="6"/>
  <c r="U46" i="23"/>
  <c r="P46" i="23"/>
  <c r="L46" i="23"/>
  <c r="H46" i="23"/>
  <c r="U45" i="23"/>
  <c r="P45" i="23"/>
  <c r="L45" i="23"/>
  <c r="H45" i="23"/>
  <c r="U44" i="23"/>
  <c r="P44" i="23"/>
  <c r="L44" i="23"/>
  <c r="H44" i="23"/>
  <c r="U43" i="23"/>
  <c r="P43" i="23"/>
  <c r="L43" i="23"/>
  <c r="H43" i="23"/>
  <c r="U42" i="23"/>
  <c r="P42" i="23"/>
  <c r="L42" i="23"/>
  <c r="H42" i="23"/>
  <c r="U41" i="23"/>
  <c r="P41" i="23"/>
  <c r="L41" i="23"/>
  <c r="H41" i="23"/>
  <c r="U40" i="23"/>
  <c r="P40" i="23"/>
  <c r="L40" i="23"/>
  <c r="H40" i="23"/>
  <c r="U39" i="23"/>
  <c r="P39" i="23"/>
  <c r="L39" i="23"/>
  <c r="H39" i="23"/>
  <c r="U38" i="23"/>
  <c r="P38" i="23"/>
  <c r="L38" i="23"/>
  <c r="H38" i="23"/>
  <c r="U37" i="23"/>
  <c r="P37" i="23"/>
  <c r="L37" i="23"/>
  <c r="H37" i="23"/>
  <c r="U36" i="23"/>
  <c r="P36" i="23"/>
  <c r="L36" i="23"/>
  <c r="H36" i="23"/>
  <c r="U35" i="23"/>
  <c r="P35" i="23"/>
  <c r="L35" i="23"/>
  <c r="H35" i="23"/>
  <c r="U34" i="23"/>
  <c r="P34" i="23"/>
  <c r="L34" i="23"/>
  <c r="H34" i="23"/>
  <c r="U33" i="23"/>
  <c r="P33" i="23"/>
  <c r="L33" i="23"/>
  <c r="H33" i="23"/>
  <c r="U32" i="23"/>
  <c r="P32" i="23"/>
  <c r="L32" i="23"/>
  <c r="H32" i="23"/>
  <c r="U31" i="23"/>
  <c r="P31" i="23"/>
  <c r="L31" i="23"/>
  <c r="H31" i="23"/>
  <c r="U30" i="23"/>
  <c r="P30" i="23"/>
  <c r="L30" i="23"/>
  <c r="H30" i="23"/>
  <c r="U29" i="23"/>
  <c r="P29" i="23"/>
  <c r="L29" i="23"/>
  <c r="H29" i="23"/>
  <c r="U28" i="23"/>
  <c r="P28" i="23"/>
  <c r="L28" i="23"/>
  <c r="H28" i="23"/>
  <c r="U26" i="23"/>
  <c r="P26" i="23"/>
  <c r="L26" i="23"/>
  <c r="H26" i="23"/>
  <c r="U25" i="23"/>
  <c r="P25" i="23"/>
  <c r="L25" i="23"/>
  <c r="H25" i="23"/>
  <c r="U24" i="23"/>
  <c r="P24" i="23"/>
  <c r="L24" i="23"/>
  <c r="H24" i="23"/>
  <c r="U23" i="23"/>
  <c r="P23" i="23"/>
  <c r="L23" i="23"/>
  <c r="H23" i="23"/>
  <c r="U22" i="23"/>
  <c r="P22" i="23"/>
  <c r="L22" i="23"/>
  <c r="H22" i="23"/>
  <c r="U21" i="23"/>
  <c r="P21" i="23"/>
  <c r="L21" i="23"/>
  <c r="H21" i="23"/>
  <c r="U20" i="23"/>
  <c r="P20" i="23"/>
  <c r="L20" i="23"/>
  <c r="H20" i="23"/>
  <c r="U19" i="23"/>
  <c r="P19" i="23"/>
  <c r="L19" i="23"/>
  <c r="H19" i="23"/>
  <c r="U18" i="23"/>
  <c r="P18" i="23"/>
  <c r="L18" i="23"/>
  <c r="H18" i="23"/>
  <c r="U17" i="23"/>
  <c r="P17" i="23"/>
  <c r="L17" i="23"/>
  <c r="H17" i="23"/>
  <c r="U16" i="23"/>
  <c r="P16" i="23"/>
  <c r="L16" i="23"/>
  <c r="H16" i="23"/>
  <c r="U15" i="23"/>
  <c r="P15" i="23"/>
  <c r="L15" i="23"/>
  <c r="H15" i="23"/>
  <c r="U14" i="23"/>
  <c r="P14" i="23"/>
  <c r="L14" i="23"/>
  <c r="H14" i="23"/>
  <c r="U13" i="23"/>
  <c r="P13" i="23"/>
  <c r="L13" i="23"/>
  <c r="H13" i="23"/>
  <c r="U12" i="23"/>
  <c r="P12" i="23"/>
  <c r="L12" i="23"/>
  <c r="H12" i="23"/>
  <c r="U11" i="23"/>
  <c r="P11" i="23"/>
  <c r="L11" i="23"/>
  <c r="H11" i="23"/>
  <c r="U10" i="23"/>
  <c r="P10" i="23"/>
  <c r="L10" i="23"/>
  <c r="H10" i="23"/>
  <c r="U9" i="23"/>
  <c r="P9" i="23"/>
  <c r="L9" i="23"/>
  <c r="H9" i="23"/>
  <c r="U8" i="23"/>
  <c r="R8" i="23"/>
  <c r="P8" i="23"/>
  <c r="L8" i="23"/>
  <c r="H8" i="23"/>
  <c r="U46" i="22"/>
  <c r="P46" i="22"/>
  <c r="L46" i="22"/>
  <c r="H46" i="22"/>
  <c r="U45" i="22"/>
  <c r="P45" i="22"/>
  <c r="L45" i="22"/>
  <c r="H45" i="22"/>
  <c r="U44" i="22"/>
  <c r="P44" i="22"/>
  <c r="L44" i="22"/>
  <c r="H44" i="22"/>
  <c r="U43" i="22"/>
  <c r="P43" i="22"/>
  <c r="L43" i="22"/>
  <c r="H43" i="22"/>
  <c r="U42" i="22"/>
  <c r="P42" i="22"/>
  <c r="L42" i="22"/>
  <c r="H42" i="22"/>
  <c r="U41" i="22"/>
  <c r="P41" i="22"/>
  <c r="L41" i="22"/>
  <c r="H41" i="22"/>
  <c r="U40" i="22"/>
  <c r="P40" i="22"/>
  <c r="L40" i="22"/>
  <c r="H40" i="22"/>
  <c r="U39" i="22"/>
  <c r="P39" i="22"/>
  <c r="L39" i="22"/>
  <c r="H39" i="22"/>
  <c r="U38" i="22"/>
  <c r="P38" i="22"/>
  <c r="L38" i="22"/>
  <c r="H38" i="22"/>
  <c r="U37" i="22"/>
  <c r="P37" i="22"/>
  <c r="L37" i="22"/>
  <c r="H37" i="22"/>
  <c r="U36" i="22"/>
  <c r="P36" i="22"/>
  <c r="L36" i="22"/>
  <c r="H36" i="22"/>
  <c r="U35" i="22"/>
  <c r="P35" i="22"/>
  <c r="L35" i="22"/>
  <c r="H35" i="22"/>
  <c r="U34" i="22"/>
  <c r="P34" i="22"/>
  <c r="L34" i="22"/>
  <c r="H34" i="22"/>
  <c r="U33" i="22"/>
  <c r="P33" i="22"/>
  <c r="L33" i="22"/>
  <c r="H33" i="22"/>
  <c r="U32" i="22"/>
  <c r="P32" i="22"/>
  <c r="L32" i="22"/>
  <c r="H32" i="22"/>
  <c r="U31" i="22"/>
  <c r="P31" i="22"/>
  <c r="L31" i="22"/>
  <c r="H31" i="22"/>
  <c r="U30" i="22"/>
  <c r="P30" i="22"/>
  <c r="L30" i="22"/>
  <c r="H30" i="22"/>
  <c r="U29" i="22"/>
  <c r="P29" i="22"/>
  <c r="L29" i="22"/>
  <c r="H29" i="22"/>
  <c r="U28" i="22"/>
  <c r="P28" i="22"/>
  <c r="L28" i="22"/>
  <c r="H28" i="22"/>
  <c r="U26" i="22"/>
  <c r="P26" i="22"/>
  <c r="L26" i="22"/>
  <c r="H26" i="22"/>
  <c r="U25" i="22"/>
  <c r="P25" i="22"/>
  <c r="L25" i="22"/>
  <c r="H25" i="22"/>
  <c r="U24" i="22"/>
  <c r="P24" i="22"/>
  <c r="L24" i="22"/>
  <c r="H24" i="22"/>
  <c r="U23" i="22"/>
  <c r="P23" i="22"/>
  <c r="L23" i="22"/>
  <c r="H23" i="22"/>
  <c r="U22" i="22"/>
  <c r="P22" i="22"/>
  <c r="L22" i="22"/>
  <c r="H22" i="22"/>
  <c r="U21" i="22"/>
  <c r="P21" i="22"/>
  <c r="L21" i="22"/>
  <c r="H21" i="22"/>
  <c r="U20" i="22"/>
  <c r="P20" i="22"/>
  <c r="L20" i="22"/>
  <c r="H20" i="22"/>
  <c r="U19" i="22"/>
  <c r="P19" i="22"/>
  <c r="L19" i="22"/>
  <c r="H19" i="22"/>
  <c r="U18" i="22"/>
  <c r="P18" i="22"/>
  <c r="L18" i="22"/>
  <c r="H18" i="22"/>
  <c r="U17" i="22"/>
  <c r="P17" i="22"/>
  <c r="L17" i="22"/>
  <c r="H17" i="22"/>
  <c r="U16" i="22"/>
  <c r="P16" i="22"/>
  <c r="L16" i="22"/>
  <c r="H16" i="22"/>
  <c r="U15" i="22"/>
  <c r="P15" i="22"/>
  <c r="L15" i="22"/>
  <c r="H15" i="22"/>
  <c r="U14" i="22"/>
  <c r="P14" i="22"/>
  <c r="L14" i="22"/>
  <c r="H14" i="22"/>
  <c r="U13" i="22"/>
  <c r="P13" i="22"/>
  <c r="L13" i="22"/>
  <c r="H13" i="22"/>
  <c r="U12" i="22"/>
  <c r="P12" i="22"/>
  <c r="L12" i="22"/>
  <c r="H12" i="22"/>
  <c r="U11" i="22"/>
  <c r="P11" i="22"/>
  <c r="L11" i="22"/>
  <c r="H11" i="22"/>
  <c r="U10" i="22"/>
  <c r="P10" i="22"/>
  <c r="L10" i="22"/>
  <c r="H10" i="22"/>
  <c r="U9" i="22"/>
  <c r="P9" i="22"/>
  <c r="L9" i="22"/>
  <c r="H9" i="22"/>
  <c r="U8" i="22"/>
  <c r="R8" i="22"/>
  <c r="P8" i="22"/>
  <c r="L8" i="22"/>
  <c r="H8" i="22"/>
  <c r="U46" i="21"/>
  <c r="P46" i="21"/>
  <c r="L46" i="21"/>
  <c r="H46" i="21"/>
  <c r="U45" i="21"/>
  <c r="P45" i="21"/>
  <c r="L45" i="21"/>
  <c r="H45" i="21"/>
  <c r="U44" i="21"/>
  <c r="P44" i="21"/>
  <c r="L44" i="21"/>
  <c r="H44" i="21"/>
  <c r="U43" i="21"/>
  <c r="P43" i="21"/>
  <c r="L43" i="21"/>
  <c r="H43" i="21"/>
  <c r="U42" i="21"/>
  <c r="P42" i="21"/>
  <c r="L42" i="21"/>
  <c r="H42" i="21"/>
  <c r="U41" i="21"/>
  <c r="P41" i="21"/>
  <c r="L41" i="21"/>
  <c r="H41" i="21"/>
  <c r="U40" i="21"/>
  <c r="P40" i="21"/>
  <c r="L40" i="21"/>
  <c r="H40" i="21"/>
  <c r="U39" i="21"/>
  <c r="P39" i="21"/>
  <c r="L39" i="21"/>
  <c r="H39" i="21"/>
  <c r="U38" i="21"/>
  <c r="P38" i="21"/>
  <c r="L38" i="21"/>
  <c r="H38" i="21"/>
  <c r="U37" i="21"/>
  <c r="P37" i="21"/>
  <c r="L37" i="21"/>
  <c r="H37" i="21"/>
  <c r="U36" i="21"/>
  <c r="P36" i="21"/>
  <c r="L36" i="21"/>
  <c r="H36" i="21"/>
  <c r="U35" i="21"/>
  <c r="P35" i="21"/>
  <c r="L35" i="21"/>
  <c r="H35" i="21"/>
  <c r="U34" i="21"/>
  <c r="P34" i="21"/>
  <c r="L34" i="21"/>
  <c r="H34" i="21"/>
  <c r="U33" i="21"/>
  <c r="P33" i="21"/>
  <c r="L33" i="21"/>
  <c r="H33" i="21"/>
  <c r="U32" i="21"/>
  <c r="P32" i="21"/>
  <c r="L32" i="21"/>
  <c r="H32" i="21"/>
  <c r="U31" i="21"/>
  <c r="P31" i="21"/>
  <c r="L31" i="21"/>
  <c r="H31" i="21"/>
  <c r="U30" i="21"/>
  <c r="P30" i="21"/>
  <c r="L30" i="21"/>
  <c r="H30" i="21"/>
  <c r="U29" i="21"/>
  <c r="P29" i="21"/>
  <c r="L29" i="21"/>
  <c r="H29" i="21"/>
  <c r="U28" i="21"/>
  <c r="P28" i="21"/>
  <c r="L28" i="21"/>
  <c r="H28" i="21"/>
  <c r="U26" i="21"/>
  <c r="P26" i="21"/>
  <c r="L26" i="21"/>
  <c r="H26" i="21"/>
  <c r="U25" i="21"/>
  <c r="P25" i="21"/>
  <c r="L25" i="21"/>
  <c r="H25" i="21"/>
  <c r="U24" i="21"/>
  <c r="P24" i="21"/>
  <c r="L24" i="21"/>
  <c r="H24" i="21"/>
  <c r="U23" i="21"/>
  <c r="P23" i="21"/>
  <c r="L23" i="21"/>
  <c r="H23" i="21"/>
  <c r="U22" i="21"/>
  <c r="P22" i="21"/>
  <c r="L22" i="21"/>
  <c r="H22" i="21"/>
  <c r="U21" i="21"/>
  <c r="P21" i="21"/>
  <c r="L21" i="21"/>
  <c r="H21" i="21"/>
  <c r="U20" i="21"/>
  <c r="P20" i="21"/>
  <c r="L20" i="21"/>
  <c r="H20" i="21"/>
  <c r="U19" i="21"/>
  <c r="P19" i="21"/>
  <c r="L19" i="21"/>
  <c r="H19" i="21"/>
  <c r="U18" i="21"/>
  <c r="P18" i="21"/>
  <c r="L18" i="21"/>
  <c r="H18" i="21"/>
  <c r="U17" i="21"/>
  <c r="P17" i="21"/>
  <c r="L17" i="21"/>
  <c r="H17" i="21"/>
  <c r="U16" i="21"/>
  <c r="P16" i="21"/>
  <c r="L16" i="21"/>
  <c r="H16" i="21"/>
  <c r="U15" i="21"/>
  <c r="P15" i="21"/>
  <c r="L15" i="21"/>
  <c r="H15" i="21"/>
  <c r="U14" i="21"/>
  <c r="P14" i="21"/>
  <c r="L14" i="21"/>
  <c r="H14" i="21"/>
  <c r="U13" i="21"/>
  <c r="P13" i="21"/>
  <c r="L13" i="21"/>
  <c r="H13" i="21"/>
  <c r="U12" i="21"/>
  <c r="P12" i="21"/>
  <c r="L12" i="21"/>
  <c r="H12" i="21"/>
  <c r="U11" i="21"/>
  <c r="P11" i="21"/>
  <c r="L11" i="21"/>
  <c r="H11" i="21"/>
  <c r="U10" i="21"/>
  <c r="P10" i="21"/>
  <c r="L10" i="21"/>
  <c r="H10" i="21"/>
  <c r="U9" i="21"/>
  <c r="P9" i="21"/>
  <c r="L9" i="21"/>
  <c r="H9" i="21"/>
  <c r="U8" i="21"/>
  <c r="R8" i="21"/>
  <c r="P8" i="21"/>
  <c r="L8" i="21"/>
  <c r="H8" i="21"/>
  <c r="U46" i="20"/>
  <c r="P46" i="20"/>
  <c r="L46" i="20"/>
  <c r="H46" i="20"/>
  <c r="U45" i="20"/>
  <c r="P45" i="20"/>
  <c r="L45" i="20"/>
  <c r="H45" i="20"/>
  <c r="U44" i="20"/>
  <c r="P44" i="20"/>
  <c r="L44" i="20"/>
  <c r="H44" i="20"/>
  <c r="U43" i="20"/>
  <c r="P43" i="20"/>
  <c r="L43" i="20"/>
  <c r="H43" i="20"/>
  <c r="U42" i="20"/>
  <c r="P42" i="20"/>
  <c r="L42" i="20"/>
  <c r="H42" i="20"/>
  <c r="U41" i="20"/>
  <c r="P41" i="20"/>
  <c r="L41" i="20"/>
  <c r="H41" i="20"/>
  <c r="U40" i="20"/>
  <c r="P40" i="20"/>
  <c r="L40" i="20"/>
  <c r="H40" i="20"/>
  <c r="U39" i="20"/>
  <c r="P39" i="20"/>
  <c r="L39" i="20"/>
  <c r="H39" i="20"/>
  <c r="U38" i="20"/>
  <c r="P38" i="20"/>
  <c r="L38" i="20"/>
  <c r="H38" i="20"/>
  <c r="U37" i="20"/>
  <c r="P37" i="20"/>
  <c r="L37" i="20"/>
  <c r="H37" i="20"/>
  <c r="U36" i="20"/>
  <c r="P36" i="20"/>
  <c r="L36" i="20"/>
  <c r="H36" i="20"/>
  <c r="U35" i="20"/>
  <c r="P35" i="20"/>
  <c r="L35" i="20"/>
  <c r="H35" i="20"/>
  <c r="U34" i="20"/>
  <c r="P34" i="20"/>
  <c r="L34" i="20"/>
  <c r="H34" i="20"/>
  <c r="U33" i="20"/>
  <c r="P33" i="20"/>
  <c r="L33" i="20"/>
  <c r="H33" i="20"/>
  <c r="U32" i="20"/>
  <c r="P32" i="20"/>
  <c r="L32" i="20"/>
  <c r="H32" i="20"/>
  <c r="U31" i="20"/>
  <c r="P31" i="20"/>
  <c r="L31" i="20"/>
  <c r="H31" i="20"/>
  <c r="U30" i="20"/>
  <c r="P30" i="20"/>
  <c r="L30" i="20"/>
  <c r="H30" i="20"/>
  <c r="U29" i="20"/>
  <c r="P29" i="20"/>
  <c r="L29" i="20"/>
  <c r="H29" i="20"/>
  <c r="U28" i="20"/>
  <c r="P28" i="20"/>
  <c r="L28" i="20"/>
  <c r="H28" i="20"/>
  <c r="U26" i="20"/>
  <c r="P26" i="20"/>
  <c r="L26" i="20"/>
  <c r="H26" i="20"/>
  <c r="U25" i="20"/>
  <c r="P25" i="20"/>
  <c r="L25" i="20"/>
  <c r="H25" i="20"/>
  <c r="U24" i="20"/>
  <c r="P24" i="20"/>
  <c r="L24" i="20"/>
  <c r="H24" i="20"/>
  <c r="U23" i="20"/>
  <c r="P23" i="20"/>
  <c r="L23" i="20"/>
  <c r="H23" i="20"/>
  <c r="U22" i="20"/>
  <c r="P22" i="20"/>
  <c r="L22" i="20"/>
  <c r="H22" i="20"/>
  <c r="U21" i="20"/>
  <c r="P21" i="20"/>
  <c r="L21" i="20"/>
  <c r="H21" i="20"/>
  <c r="U20" i="20"/>
  <c r="P20" i="20"/>
  <c r="L20" i="20"/>
  <c r="H20" i="20"/>
  <c r="U19" i="20"/>
  <c r="P19" i="20"/>
  <c r="L19" i="20"/>
  <c r="H19" i="20"/>
  <c r="U18" i="20"/>
  <c r="P18" i="20"/>
  <c r="L18" i="20"/>
  <c r="H18" i="20"/>
  <c r="U17" i="20"/>
  <c r="P17" i="20"/>
  <c r="L17" i="20"/>
  <c r="H17" i="20"/>
  <c r="U16" i="20"/>
  <c r="P16" i="20"/>
  <c r="L16" i="20"/>
  <c r="H16" i="20"/>
  <c r="U15" i="20"/>
  <c r="P15" i="20"/>
  <c r="L15" i="20"/>
  <c r="H15" i="20"/>
  <c r="U14" i="20"/>
  <c r="P14" i="20"/>
  <c r="L14" i="20"/>
  <c r="H14" i="20"/>
  <c r="U13" i="20"/>
  <c r="P13" i="20"/>
  <c r="L13" i="20"/>
  <c r="H13" i="20"/>
  <c r="U12" i="20"/>
  <c r="P12" i="20"/>
  <c r="L12" i="20"/>
  <c r="H12" i="20"/>
  <c r="U11" i="20"/>
  <c r="P11" i="20"/>
  <c r="L11" i="20"/>
  <c r="H11" i="20"/>
  <c r="U10" i="20"/>
  <c r="P10" i="20"/>
  <c r="L10" i="20"/>
  <c r="H10" i="20"/>
  <c r="U9" i="20"/>
  <c r="P9" i="20"/>
  <c r="L9" i="20"/>
  <c r="H9" i="20"/>
  <c r="U8" i="20"/>
  <c r="R8" i="20"/>
  <c r="P8" i="20"/>
  <c r="L8" i="20"/>
  <c r="H8" i="20"/>
  <c r="U46" i="19"/>
  <c r="P46" i="19"/>
  <c r="L46" i="19"/>
  <c r="H46" i="19"/>
  <c r="U45" i="19"/>
  <c r="P45" i="19"/>
  <c r="L45" i="19"/>
  <c r="H45" i="19"/>
  <c r="U44" i="19"/>
  <c r="P44" i="19"/>
  <c r="L44" i="19"/>
  <c r="H44" i="19"/>
  <c r="U43" i="19"/>
  <c r="P43" i="19"/>
  <c r="L43" i="19"/>
  <c r="H43" i="19"/>
  <c r="U42" i="19"/>
  <c r="P42" i="19"/>
  <c r="L42" i="19"/>
  <c r="H42" i="19"/>
  <c r="U41" i="19"/>
  <c r="P41" i="19"/>
  <c r="L41" i="19"/>
  <c r="H41" i="19"/>
  <c r="U40" i="19"/>
  <c r="P40" i="19"/>
  <c r="L40" i="19"/>
  <c r="H40" i="19"/>
  <c r="U39" i="19"/>
  <c r="P39" i="19"/>
  <c r="L39" i="19"/>
  <c r="H39" i="19"/>
  <c r="U38" i="19"/>
  <c r="P38" i="19"/>
  <c r="L38" i="19"/>
  <c r="H38" i="19"/>
  <c r="U37" i="19"/>
  <c r="P37" i="19"/>
  <c r="L37" i="19"/>
  <c r="H37" i="19"/>
  <c r="U36" i="19"/>
  <c r="P36" i="19"/>
  <c r="L36" i="19"/>
  <c r="H36" i="19"/>
  <c r="U35" i="19"/>
  <c r="P35" i="19"/>
  <c r="L35" i="19"/>
  <c r="H35" i="19"/>
  <c r="U34" i="19"/>
  <c r="P34" i="19"/>
  <c r="L34" i="19"/>
  <c r="H34" i="19"/>
  <c r="U33" i="19"/>
  <c r="P33" i="19"/>
  <c r="L33" i="19"/>
  <c r="H33" i="19"/>
  <c r="U32" i="19"/>
  <c r="P32" i="19"/>
  <c r="L32" i="19"/>
  <c r="H32" i="19"/>
  <c r="U31" i="19"/>
  <c r="P31" i="19"/>
  <c r="L31" i="19"/>
  <c r="H31" i="19"/>
  <c r="U30" i="19"/>
  <c r="P30" i="19"/>
  <c r="L30" i="19"/>
  <c r="H30" i="19"/>
  <c r="U29" i="19"/>
  <c r="P29" i="19"/>
  <c r="L29" i="19"/>
  <c r="H29" i="19"/>
  <c r="U28" i="19"/>
  <c r="P28" i="19"/>
  <c r="L28" i="19"/>
  <c r="H28" i="19"/>
  <c r="U26" i="19"/>
  <c r="P26" i="19"/>
  <c r="L26" i="19"/>
  <c r="H26" i="19"/>
  <c r="U25" i="19"/>
  <c r="P25" i="19"/>
  <c r="L25" i="19"/>
  <c r="H25" i="19"/>
  <c r="U24" i="19"/>
  <c r="P24" i="19"/>
  <c r="L24" i="19"/>
  <c r="H24" i="19"/>
  <c r="U23" i="19"/>
  <c r="P23" i="19"/>
  <c r="L23" i="19"/>
  <c r="H23" i="19"/>
  <c r="U22" i="19"/>
  <c r="P22" i="19"/>
  <c r="L22" i="19"/>
  <c r="H22" i="19"/>
  <c r="U21" i="19"/>
  <c r="P21" i="19"/>
  <c r="L21" i="19"/>
  <c r="H21" i="19"/>
  <c r="U20" i="19"/>
  <c r="P20" i="19"/>
  <c r="L20" i="19"/>
  <c r="H20" i="19"/>
  <c r="U19" i="19"/>
  <c r="P19" i="19"/>
  <c r="L19" i="19"/>
  <c r="H19" i="19"/>
  <c r="U18" i="19"/>
  <c r="P18" i="19"/>
  <c r="L18" i="19"/>
  <c r="H18" i="19"/>
  <c r="U17" i="19"/>
  <c r="P17" i="19"/>
  <c r="L17" i="19"/>
  <c r="H17" i="19"/>
  <c r="U16" i="19"/>
  <c r="P16" i="19"/>
  <c r="L16" i="19"/>
  <c r="H16" i="19"/>
  <c r="U15" i="19"/>
  <c r="P15" i="19"/>
  <c r="L15" i="19"/>
  <c r="H15" i="19"/>
  <c r="U14" i="19"/>
  <c r="P14" i="19"/>
  <c r="L14" i="19"/>
  <c r="H14" i="19"/>
  <c r="U13" i="19"/>
  <c r="P13" i="19"/>
  <c r="L13" i="19"/>
  <c r="H13" i="19"/>
  <c r="U12" i="19"/>
  <c r="P12" i="19"/>
  <c r="L12" i="19"/>
  <c r="H12" i="19"/>
  <c r="U11" i="19"/>
  <c r="P11" i="19"/>
  <c r="L11" i="19"/>
  <c r="H11" i="19"/>
  <c r="U10" i="19"/>
  <c r="P10" i="19"/>
  <c r="L10" i="19"/>
  <c r="H10" i="19"/>
  <c r="U9" i="19"/>
  <c r="P9" i="19"/>
  <c r="L9" i="19"/>
  <c r="H9" i="19"/>
  <c r="U8" i="19"/>
  <c r="R8" i="19"/>
  <c r="P8" i="19"/>
  <c r="L8" i="19"/>
  <c r="H8" i="19"/>
  <c r="U46" i="18"/>
  <c r="P46" i="18"/>
  <c r="L46" i="18"/>
  <c r="H46" i="18"/>
  <c r="U45" i="18"/>
  <c r="P45" i="18"/>
  <c r="L45" i="18"/>
  <c r="H45" i="18"/>
  <c r="U44" i="18"/>
  <c r="P44" i="18"/>
  <c r="L44" i="18"/>
  <c r="H44" i="18"/>
  <c r="U43" i="18"/>
  <c r="P43" i="18"/>
  <c r="L43" i="18"/>
  <c r="H43" i="18"/>
  <c r="U42" i="18"/>
  <c r="P42" i="18"/>
  <c r="L42" i="18"/>
  <c r="H42" i="18"/>
  <c r="U41" i="18"/>
  <c r="P41" i="18"/>
  <c r="L41" i="18"/>
  <c r="H41" i="18"/>
  <c r="U40" i="18"/>
  <c r="P40" i="18"/>
  <c r="L40" i="18"/>
  <c r="H40" i="18"/>
  <c r="U39" i="18"/>
  <c r="P39" i="18"/>
  <c r="L39" i="18"/>
  <c r="H39" i="18"/>
  <c r="U38" i="18"/>
  <c r="P38" i="18"/>
  <c r="L38" i="18"/>
  <c r="H38" i="18"/>
  <c r="U37" i="18"/>
  <c r="P37" i="18"/>
  <c r="L37" i="18"/>
  <c r="H37" i="18"/>
  <c r="U36" i="18"/>
  <c r="P36" i="18"/>
  <c r="L36" i="18"/>
  <c r="H36" i="18"/>
  <c r="U35" i="18"/>
  <c r="P35" i="18"/>
  <c r="L35" i="18"/>
  <c r="H35" i="18"/>
  <c r="U34" i="18"/>
  <c r="P34" i="18"/>
  <c r="L34" i="18"/>
  <c r="H34" i="18"/>
  <c r="U33" i="18"/>
  <c r="P33" i="18"/>
  <c r="L33" i="18"/>
  <c r="H33" i="18"/>
  <c r="U32" i="18"/>
  <c r="P32" i="18"/>
  <c r="L32" i="18"/>
  <c r="H32" i="18"/>
  <c r="U31" i="18"/>
  <c r="P31" i="18"/>
  <c r="L31" i="18"/>
  <c r="H31" i="18"/>
  <c r="U30" i="18"/>
  <c r="P30" i="18"/>
  <c r="L30" i="18"/>
  <c r="H30" i="18"/>
  <c r="U29" i="18"/>
  <c r="P29" i="18"/>
  <c r="L29" i="18"/>
  <c r="H29" i="18"/>
  <c r="U28" i="18"/>
  <c r="P28" i="18"/>
  <c r="L28" i="18"/>
  <c r="H28" i="18"/>
  <c r="U26" i="18"/>
  <c r="P26" i="18"/>
  <c r="L26" i="18"/>
  <c r="H26" i="18"/>
  <c r="U25" i="18"/>
  <c r="P25" i="18"/>
  <c r="L25" i="18"/>
  <c r="H25" i="18"/>
  <c r="U24" i="18"/>
  <c r="P24" i="18"/>
  <c r="L24" i="18"/>
  <c r="H24" i="18"/>
  <c r="U23" i="18"/>
  <c r="P23" i="18"/>
  <c r="L23" i="18"/>
  <c r="H23" i="18"/>
  <c r="U22" i="18"/>
  <c r="P22" i="18"/>
  <c r="L22" i="18"/>
  <c r="H22" i="18"/>
  <c r="U21" i="18"/>
  <c r="P21" i="18"/>
  <c r="L21" i="18"/>
  <c r="H21" i="18"/>
  <c r="U20" i="18"/>
  <c r="P20" i="18"/>
  <c r="L20" i="18"/>
  <c r="H20" i="18"/>
  <c r="U19" i="18"/>
  <c r="P19" i="18"/>
  <c r="L19" i="18"/>
  <c r="H19" i="18"/>
  <c r="U18" i="18"/>
  <c r="P18" i="18"/>
  <c r="L18" i="18"/>
  <c r="H18" i="18"/>
  <c r="U17" i="18"/>
  <c r="P17" i="18"/>
  <c r="L17" i="18"/>
  <c r="H17" i="18"/>
  <c r="U16" i="18"/>
  <c r="P16" i="18"/>
  <c r="L16" i="18"/>
  <c r="H16" i="18"/>
  <c r="U15" i="18"/>
  <c r="P15" i="18"/>
  <c r="L15" i="18"/>
  <c r="H15" i="18"/>
  <c r="U14" i="18"/>
  <c r="P14" i="18"/>
  <c r="L14" i="18"/>
  <c r="H14" i="18"/>
  <c r="U13" i="18"/>
  <c r="P13" i="18"/>
  <c r="L13" i="18"/>
  <c r="H13" i="18"/>
  <c r="U12" i="18"/>
  <c r="P12" i="18"/>
  <c r="L12" i="18"/>
  <c r="H12" i="18"/>
  <c r="U11" i="18"/>
  <c r="P11" i="18"/>
  <c r="L11" i="18"/>
  <c r="H11" i="18"/>
  <c r="U10" i="18"/>
  <c r="P10" i="18"/>
  <c r="L10" i="18"/>
  <c r="H10" i="18"/>
  <c r="U9" i="18"/>
  <c r="P9" i="18"/>
  <c r="L9" i="18"/>
  <c r="H9" i="18"/>
  <c r="U8" i="18"/>
  <c r="R8" i="18"/>
  <c r="P8" i="18"/>
  <c r="L8" i="18"/>
  <c r="H8" i="18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R46" i="16"/>
  <c r="N46" i="16"/>
  <c r="J46" i="16"/>
  <c r="R45" i="16"/>
  <c r="N45" i="16"/>
  <c r="J45" i="16"/>
  <c r="R44" i="16"/>
  <c r="N44" i="16"/>
  <c r="J44" i="16"/>
  <c r="R43" i="16"/>
  <c r="N43" i="16"/>
  <c r="J43" i="16"/>
  <c r="R42" i="16"/>
  <c r="N42" i="16"/>
  <c r="J42" i="16"/>
  <c r="R41" i="16"/>
  <c r="N41" i="16"/>
  <c r="J41" i="16"/>
  <c r="R40" i="16"/>
  <c r="N40" i="16"/>
  <c r="J40" i="16"/>
  <c r="R39" i="16"/>
  <c r="N39" i="16"/>
  <c r="J39" i="16"/>
  <c r="R38" i="16"/>
  <c r="N38" i="16"/>
  <c r="J38" i="16"/>
  <c r="R37" i="16"/>
  <c r="N37" i="16"/>
  <c r="J37" i="16"/>
  <c r="R36" i="16"/>
  <c r="N36" i="16"/>
  <c r="J36" i="16"/>
  <c r="R35" i="16"/>
  <c r="N35" i="16"/>
  <c r="J35" i="16"/>
  <c r="R34" i="16"/>
  <c r="N34" i="16"/>
  <c r="J34" i="16"/>
  <c r="R33" i="16"/>
  <c r="N33" i="16"/>
  <c r="J33" i="16"/>
  <c r="R32" i="16"/>
  <c r="N32" i="16"/>
  <c r="J32" i="16"/>
  <c r="R31" i="16"/>
  <c r="N31" i="16"/>
  <c r="J31" i="16"/>
  <c r="R30" i="16"/>
  <c r="N30" i="16"/>
  <c r="J30" i="16"/>
  <c r="R29" i="16"/>
  <c r="N29" i="16"/>
  <c r="J29" i="16"/>
  <c r="R28" i="16"/>
  <c r="N28" i="16"/>
  <c r="J28" i="16"/>
  <c r="R26" i="16"/>
  <c r="N26" i="16"/>
  <c r="J26" i="16"/>
  <c r="R25" i="16"/>
  <c r="N25" i="16"/>
  <c r="J25" i="16"/>
  <c r="R24" i="16"/>
  <c r="N24" i="16"/>
  <c r="J24" i="16"/>
  <c r="R23" i="16"/>
  <c r="N23" i="16"/>
  <c r="J23" i="16"/>
  <c r="R22" i="16"/>
  <c r="N22" i="16"/>
  <c r="J22" i="16"/>
  <c r="R21" i="16"/>
  <c r="N21" i="16"/>
  <c r="J21" i="16"/>
  <c r="R20" i="16"/>
  <c r="N20" i="16"/>
  <c r="J20" i="16"/>
  <c r="R19" i="16"/>
  <c r="N19" i="16"/>
  <c r="J19" i="16"/>
  <c r="R18" i="16"/>
  <c r="N18" i="16"/>
  <c r="J18" i="16"/>
  <c r="R17" i="16"/>
  <c r="N17" i="16"/>
  <c r="J17" i="16"/>
  <c r="R16" i="16"/>
  <c r="N16" i="16"/>
  <c r="J16" i="16"/>
  <c r="R15" i="16"/>
  <c r="N15" i="16"/>
  <c r="J15" i="16"/>
  <c r="R14" i="16"/>
  <c r="N14" i="16"/>
  <c r="J14" i="16"/>
  <c r="R13" i="16"/>
  <c r="N13" i="16"/>
  <c r="J13" i="16"/>
  <c r="R12" i="16"/>
  <c r="N12" i="16"/>
  <c r="J12" i="16"/>
  <c r="R11" i="16"/>
  <c r="N11" i="16"/>
  <c r="J11" i="16"/>
  <c r="R10" i="16"/>
  <c r="N10" i="16"/>
  <c r="J10" i="16"/>
  <c r="R9" i="16"/>
  <c r="N9" i="16"/>
  <c r="J9" i="16"/>
  <c r="T8" i="16"/>
  <c r="R8" i="16"/>
  <c r="N8" i="16"/>
  <c r="J8" i="16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P46" i="14"/>
  <c r="L46" i="14"/>
  <c r="H46" i="14"/>
  <c r="P45" i="14"/>
  <c r="L45" i="14"/>
  <c r="H45" i="14"/>
  <c r="P44" i="14"/>
  <c r="L44" i="14"/>
  <c r="H44" i="14"/>
  <c r="P43" i="14"/>
  <c r="L43" i="14"/>
  <c r="H43" i="14"/>
  <c r="P42" i="14"/>
  <c r="L42" i="14"/>
  <c r="H42" i="14"/>
  <c r="P41" i="14"/>
  <c r="L41" i="14"/>
  <c r="H41" i="14"/>
  <c r="P40" i="14"/>
  <c r="L40" i="14"/>
  <c r="H40" i="14"/>
  <c r="P39" i="14"/>
  <c r="L39" i="14"/>
  <c r="H39" i="14"/>
  <c r="P38" i="14"/>
  <c r="L38" i="14"/>
  <c r="H38" i="14"/>
  <c r="P37" i="14"/>
  <c r="L37" i="14"/>
  <c r="H37" i="14"/>
  <c r="P36" i="14"/>
  <c r="L36" i="14"/>
  <c r="H36" i="14"/>
  <c r="P35" i="14"/>
  <c r="L35" i="14"/>
  <c r="H35" i="14"/>
  <c r="P34" i="14"/>
  <c r="L34" i="14"/>
  <c r="H34" i="14"/>
  <c r="P33" i="14"/>
  <c r="L33" i="14"/>
  <c r="H33" i="14"/>
  <c r="P32" i="14"/>
  <c r="L32" i="14"/>
  <c r="H32" i="14"/>
  <c r="P31" i="14"/>
  <c r="L31" i="14"/>
  <c r="H31" i="14"/>
  <c r="P30" i="14"/>
  <c r="L30" i="14"/>
  <c r="H30" i="14"/>
  <c r="P29" i="14"/>
  <c r="L29" i="14"/>
  <c r="H29" i="14"/>
  <c r="P28" i="14"/>
  <c r="L28" i="14"/>
  <c r="H28" i="14"/>
  <c r="P26" i="14"/>
  <c r="L26" i="14"/>
  <c r="H26" i="14"/>
  <c r="P25" i="14"/>
  <c r="L25" i="14"/>
  <c r="H25" i="14"/>
  <c r="P24" i="14"/>
  <c r="L24" i="14"/>
  <c r="H24" i="14"/>
  <c r="P23" i="14"/>
  <c r="L23" i="14"/>
  <c r="H23" i="14"/>
  <c r="P22" i="14"/>
  <c r="L22" i="14"/>
  <c r="H22" i="14"/>
  <c r="P21" i="14"/>
  <c r="L21" i="14"/>
  <c r="H21" i="14"/>
  <c r="P20" i="14"/>
  <c r="L20" i="14"/>
  <c r="H20" i="14"/>
  <c r="P19" i="14"/>
  <c r="L19" i="14"/>
  <c r="H19" i="14"/>
  <c r="P18" i="14"/>
  <c r="L18" i="14"/>
  <c r="H18" i="14"/>
  <c r="P17" i="14"/>
  <c r="L17" i="14"/>
  <c r="H17" i="14"/>
  <c r="P16" i="14"/>
  <c r="L16" i="14"/>
  <c r="H16" i="14"/>
  <c r="P15" i="14"/>
  <c r="L15" i="14"/>
  <c r="H15" i="14"/>
  <c r="P14" i="14"/>
  <c r="L14" i="14"/>
  <c r="H14" i="14"/>
  <c r="P13" i="14"/>
  <c r="L13" i="14"/>
  <c r="H13" i="14"/>
  <c r="P12" i="14"/>
  <c r="L12" i="14"/>
  <c r="H12" i="14"/>
  <c r="P11" i="14"/>
  <c r="L11" i="14"/>
  <c r="H11" i="14"/>
  <c r="P10" i="14"/>
  <c r="L10" i="14"/>
  <c r="H10" i="14"/>
  <c r="P9" i="14"/>
  <c r="L9" i="14"/>
  <c r="H9" i="14"/>
  <c r="R8" i="14"/>
  <c r="P8" i="14"/>
  <c r="L8" i="14"/>
  <c r="H8" i="14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P46" i="13"/>
  <c r="L46" i="13"/>
  <c r="H46" i="13"/>
  <c r="P45" i="13"/>
  <c r="L45" i="13"/>
  <c r="H45" i="13"/>
  <c r="P44" i="13"/>
  <c r="L44" i="13"/>
  <c r="H44" i="13"/>
  <c r="P43" i="13"/>
  <c r="L43" i="13"/>
  <c r="H43" i="13"/>
  <c r="P42" i="13"/>
  <c r="L42" i="13"/>
  <c r="H42" i="13"/>
  <c r="P41" i="13"/>
  <c r="L41" i="13"/>
  <c r="H41" i="13"/>
  <c r="P40" i="13"/>
  <c r="L40" i="13"/>
  <c r="H40" i="13"/>
  <c r="P39" i="13"/>
  <c r="L39" i="13"/>
  <c r="H39" i="13"/>
  <c r="P38" i="13"/>
  <c r="L38" i="13"/>
  <c r="H38" i="13"/>
  <c r="P37" i="13"/>
  <c r="L37" i="13"/>
  <c r="H37" i="13"/>
  <c r="P36" i="13"/>
  <c r="L36" i="13"/>
  <c r="H36" i="13"/>
  <c r="P35" i="13"/>
  <c r="L35" i="13"/>
  <c r="H35" i="13"/>
  <c r="P34" i="13"/>
  <c r="L34" i="13"/>
  <c r="H34" i="13"/>
  <c r="P33" i="13"/>
  <c r="L33" i="13"/>
  <c r="H33" i="13"/>
  <c r="P32" i="13"/>
  <c r="L32" i="13"/>
  <c r="H32" i="13"/>
  <c r="P31" i="13"/>
  <c r="L31" i="13"/>
  <c r="H31" i="13"/>
  <c r="P30" i="13"/>
  <c r="L30" i="13"/>
  <c r="H30" i="13"/>
  <c r="P29" i="13"/>
  <c r="L29" i="13"/>
  <c r="H29" i="13"/>
  <c r="P28" i="13"/>
  <c r="L28" i="13"/>
  <c r="H28" i="13"/>
  <c r="P26" i="13"/>
  <c r="L26" i="13"/>
  <c r="H26" i="13"/>
  <c r="P25" i="13"/>
  <c r="L25" i="13"/>
  <c r="H25" i="13"/>
  <c r="P24" i="13"/>
  <c r="L24" i="13"/>
  <c r="H24" i="13"/>
  <c r="P23" i="13"/>
  <c r="L23" i="13"/>
  <c r="H23" i="13"/>
  <c r="P22" i="13"/>
  <c r="L22" i="13"/>
  <c r="H22" i="13"/>
  <c r="P21" i="13"/>
  <c r="L21" i="13"/>
  <c r="H21" i="13"/>
  <c r="P20" i="13"/>
  <c r="L20" i="13"/>
  <c r="H20" i="13"/>
  <c r="P19" i="13"/>
  <c r="L19" i="13"/>
  <c r="H19" i="13"/>
  <c r="P18" i="13"/>
  <c r="L18" i="13"/>
  <c r="H18" i="13"/>
  <c r="P17" i="13"/>
  <c r="L17" i="13"/>
  <c r="H17" i="13"/>
  <c r="P16" i="13"/>
  <c r="L16" i="13"/>
  <c r="H16" i="13"/>
  <c r="P15" i="13"/>
  <c r="L15" i="13"/>
  <c r="H15" i="13"/>
  <c r="P14" i="13"/>
  <c r="L14" i="13"/>
  <c r="H14" i="13"/>
  <c r="P13" i="13"/>
  <c r="L13" i="13"/>
  <c r="H13" i="13"/>
  <c r="P12" i="13"/>
  <c r="L12" i="13"/>
  <c r="H12" i="13"/>
  <c r="P11" i="13"/>
  <c r="L11" i="13"/>
  <c r="H11" i="13"/>
  <c r="P10" i="13"/>
  <c r="L10" i="13"/>
  <c r="H10" i="13"/>
  <c r="P9" i="13"/>
  <c r="L9" i="13"/>
  <c r="H9" i="13"/>
  <c r="R8" i="13"/>
  <c r="P8" i="13"/>
  <c r="L8" i="13"/>
  <c r="H8" i="13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P46" i="12"/>
  <c r="L46" i="12"/>
  <c r="H46" i="12"/>
  <c r="P45" i="12"/>
  <c r="L45" i="12"/>
  <c r="H45" i="12"/>
  <c r="P44" i="12"/>
  <c r="L44" i="12"/>
  <c r="H44" i="12"/>
  <c r="P43" i="12"/>
  <c r="L43" i="12"/>
  <c r="H43" i="12"/>
  <c r="P42" i="12"/>
  <c r="L42" i="12"/>
  <c r="H42" i="12"/>
  <c r="P41" i="12"/>
  <c r="L41" i="12"/>
  <c r="H41" i="12"/>
  <c r="P40" i="12"/>
  <c r="L40" i="12"/>
  <c r="H40" i="12"/>
  <c r="P39" i="12"/>
  <c r="L39" i="12"/>
  <c r="H39" i="12"/>
  <c r="P38" i="12"/>
  <c r="L38" i="12"/>
  <c r="H38" i="12"/>
  <c r="P37" i="12"/>
  <c r="L37" i="12"/>
  <c r="H37" i="12"/>
  <c r="P36" i="12"/>
  <c r="L36" i="12"/>
  <c r="H36" i="12"/>
  <c r="P35" i="12"/>
  <c r="L35" i="12"/>
  <c r="H35" i="12"/>
  <c r="P34" i="12"/>
  <c r="L34" i="12"/>
  <c r="H34" i="12"/>
  <c r="P33" i="12"/>
  <c r="L33" i="12"/>
  <c r="H33" i="12"/>
  <c r="P32" i="12"/>
  <c r="L32" i="12"/>
  <c r="H32" i="12"/>
  <c r="P31" i="12"/>
  <c r="L31" i="12"/>
  <c r="H31" i="12"/>
  <c r="P30" i="12"/>
  <c r="L30" i="12"/>
  <c r="H30" i="12"/>
  <c r="P29" i="12"/>
  <c r="L29" i="12"/>
  <c r="H29" i="12"/>
  <c r="P28" i="12"/>
  <c r="L28" i="12"/>
  <c r="H28" i="12"/>
  <c r="P26" i="12"/>
  <c r="L26" i="12"/>
  <c r="H26" i="12"/>
  <c r="P25" i="12"/>
  <c r="L25" i="12"/>
  <c r="H25" i="12"/>
  <c r="P24" i="12"/>
  <c r="L24" i="12"/>
  <c r="H24" i="12"/>
  <c r="P23" i="12"/>
  <c r="L23" i="12"/>
  <c r="H23" i="12"/>
  <c r="P22" i="12"/>
  <c r="L22" i="12"/>
  <c r="H22" i="12"/>
  <c r="P21" i="12"/>
  <c r="L21" i="12"/>
  <c r="H21" i="12"/>
  <c r="P20" i="12"/>
  <c r="L20" i="12"/>
  <c r="H20" i="12"/>
  <c r="P19" i="12"/>
  <c r="L19" i="12"/>
  <c r="H19" i="12"/>
  <c r="P18" i="12"/>
  <c r="L18" i="12"/>
  <c r="H18" i="12"/>
  <c r="P17" i="12"/>
  <c r="L17" i="12"/>
  <c r="H17" i="12"/>
  <c r="P16" i="12"/>
  <c r="L16" i="12"/>
  <c r="H16" i="12"/>
  <c r="P15" i="12"/>
  <c r="L15" i="12"/>
  <c r="H15" i="12"/>
  <c r="P14" i="12"/>
  <c r="L14" i="12"/>
  <c r="H14" i="12"/>
  <c r="P13" i="12"/>
  <c r="L13" i="12"/>
  <c r="H13" i="12"/>
  <c r="P12" i="12"/>
  <c r="L12" i="12"/>
  <c r="H12" i="12"/>
  <c r="P11" i="12"/>
  <c r="L11" i="12"/>
  <c r="H11" i="12"/>
  <c r="P10" i="12"/>
  <c r="L10" i="12"/>
  <c r="H10" i="12"/>
  <c r="P9" i="12"/>
  <c r="L9" i="12"/>
  <c r="H9" i="12"/>
  <c r="R8" i="12"/>
  <c r="P8" i="12"/>
  <c r="L8" i="12"/>
  <c r="H8" i="12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P46" i="11"/>
  <c r="L46" i="11"/>
  <c r="H46" i="11"/>
  <c r="P45" i="11"/>
  <c r="L45" i="11"/>
  <c r="H45" i="11"/>
  <c r="P44" i="11"/>
  <c r="L44" i="11"/>
  <c r="H44" i="11"/>
  <c r="P43" i="11"/>
  <c r="L43" i="11"/>
  <c r="H43" i="11"/>
  <c r="P42" i="11"/>
  <c r="L42" i="11"/>
  <c r="H42" i="11"/>
  <c r="P41" i="11"/>
  <c r="L41" i="11"/>
  <c r="H41" i="11"/>
  <c r="P40" i="11"/>
  <c r="L40" i="11"/>
  <c r="H40" i="11"/>
  <c r="P39" i="11"/>
  <c r="L39" i="11"/>
  <c r="H39" i="11"/>
  <c r="P38" i="11"/>
  <c r="L38" i="11"/>
  <c r="H38" i="11"/>
  <c r="P37" i="11"/>
  <c r="L37" i="11"/>
  <c r="H37" i="11"/>
  <c r="P36" i="11"/>
  <c r="L36" i="11"/>
  <c r="H36" i="11"/>
  <c r="P35" i="11"/>
  <c r="L35" i="11"/>
  <c r="H35" i="11"/>
  <c r="P34" i="11"/>
  <c r="L34" i="11"/>
  <c r="H34" i="11"/>
  <c r="P33" i="11"/>
  <c r="L33" i="11"/>
  <c r="H33" i="11"/>
  <c r="P32" i="11"/>
  <c r="L32" i="11"/>
  <c r="H32" i="11"/>
  <c r="P31" i="11"/>
  <c r="L31" i="11"/>
  <c r="H31" i="11"/>
  <c r="P30" i="11"/>
  <c r="L30" i="11"/>
  <c r="H30" i="11"/>
  <c r="P29" i="11"/>
  <c r="L29" i="11"/>
  <c r="H29" i="11"/>
  <c r="P28" i="11"/>
  <c r="L28" i="11"/>
  <c r="H28" i="11"/>
  <c r="P26" i="11"/>
  <c r="L26" i="11"/>
  <c r="H26" i="11"/>
  <c r="P25" i="11"/>
  <c r="L25" i="11"/>
  <c r="H25" i="11"/>
  <c r="P24" i="11"/>
  <c r="L24" i="11"/>
  <c r="H24" i="11"/>
  <c r="P23" i="11"/>
  <c r="L23" i="11"/>
  <c r="H23" i="11"/>
  <c r="P22" i="11"/>
  <c r="L22" i="11"/>
  <c r="H22" i="11"/>
  <c r="P21" i="11"/>
  <c r="L21" i="11"/>
  <c r="H21" i="11"/>
  <c r="P20" i="11"/>
  <c r="L20" i="11"/>
  <c r="H20" i="11"/>
  <c r="P19" i="11"/>
  <c r="L19" i="11"/>
  <c r="H19" i="11"/>
  <c r="P18" i="11"/>
  <c r="L18" i="11"/>
  <c r="H18" i="11"/>
  <c r="P17" i="11"/>
  <c r="L17" i="11"/>
  <c r="H17" i="11"/>
  <c r="P16" i="11"/>
  <c r="L16" i="11"/>
  <c r="H16" i="11"/>
  <c r="P15" i="11"/>
  <c r="L15" i="11"/>
  <c r="H15" i="11"/>
  <c r="P14" i="11"/>
  <c r="L14" i="11"/>
  <c r="H14" i="11"/>
  <c r="P13" i="11"/>
  <c r="L13" i="11"/>
  <c r="H13" i="11"/>
  <c r="P12" i="11"/>
  <c r="L12" i="11"/>
  <c r="H12" i="11"/>
  <c r="P11" i="11"/>
  <c r="L11" i="11"/>
  <c r="H11" i="11"/>
  <c r="P10" i="11"/>
  <c r="L10" i="11"/>
  <c r="H10" i="11"/>
  <c r="P9" i="11"/>
  <c r="L9" i="11"/>
  <c r="H9" i="11"/>
  <c r="R8" i="11"/>
  <c r="P8" i="11"/>
  <c r="L8" i="11"/>
  <c r="H8" i="11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P46" i="10"/>
  <c r="L46" i="10"/>
  <c r="H46" i="10"/>
  <c r="P45" i="10"/>
  <c r="L45" i="10"/>
  <c r="H45" i="10"/>
  <c r="P44" i="10"/>
  <c r="L44" i="10"/>
  <c r="H44" i="10"/>
  <c r="P43" i="10"/>
  <c r="L43" i="10"/>
  <c r="H43" i="10"/>
  <c r="P42" i="10"/>
  <c r="L42" i="10"/>
  <c r="H42" i="10"/>
  <c r="P41" i="10"/>
  <c r="L41" i="10"/>
  <c r="H41" i="10"/>
  <c r="P40" i="10"/>
  <c r="L40" i="10"/>
  <c r="H40" i="10"/>
  <c r="P39" i="10"/>
  <c r="L39" i="10"/>
  <c r="H39" i="10"/>
  <c r="P38" i="10"/>
  <c r="L38" i="10"/>
  <c r="H38" i="10"/>
  <c r="P37" i="10"/>
  <c r="L37" i="10"/>
  <c r="H37" i="10"/>
  <c r="P36" i="10"/>
  <c r="L36" i="10"/>
  <c r="H36" i="10"/>
  <c r="P35" i="10"/>
  <c r="L35" i="10"/>
  <c r="H35" i="10"/>
  <c r="P34" i="10"/>
  <c r="L34" i="10"/>
  <c r="H34" i="10"/>
  <c r="P33" i="10"/>
  <c r="L33" i="10"/>
  <c r="H33" i="10"/>
  <c r="P32" i="10"/>
  <c r="L32" i="10"/>
  <c r="H32" i="10"/>
  <c r="P31" i="10"/>
  <c r="L31" i="10"/>
  <c r="H31" i="10"/>
  <c r="P30" i="10"/>
  <c r="L30" i="10"/>
  <c r="H30" i="10"/>
  <c r="P29" i="10"/>
  <c r="L29" i="10"/>
  <c r="H29" i="10"/>
  <c r="P28" i="10"/>
  <c r="L28" i="10"/>
  <c r="H28" i="10"/>
  <c r="P26" i="10"/>
  <c r="L26" i="10"/>
  <c r="H26" i="10"/>
  <c r="P25" i="10"/>
  <c r="L25" i="10"/>
  <c r="H25" i="10"/>
  <c r="P24" i="10"/>
  <c r="L24" i="10"/>
  <c r="H24" i="10"/>
  <c r="P23" i="10"/>
  <c r="L23" i="10"/>
  <c r="H23" i="10"/>
  <c r="P22" i="10"/>
  <c r="L22" i="10"/>
  <c r="H22" i="10"/>
  <c r="P21" i="10"/>
  <c r="L21" i="10"/>
  <c r="H21" i="10"/>
  <c r="P20" i="10"/>
  <c r="L20" i="10"/>
  <c r="H20" i="10"/>
  <c r="P19" i="10"/>
  <c r="L19" i="10"/>
  <c r="H19" i="10"/>
  <c r="P18" i="10"/>
  <c r="L18" i="10"/>
  <c r="H18" i="10"/>
  <c r="P17" i="10"/>
  <c r="L17" i="10"/>
  <c r="H17" i="10"/>
  <c r="P16" i="10"/>
  <c r="L16" i="10"/>
  <c r="H16" i="10"/>
  <c r="P15" i="10"/>
  <c r="L15" i="10"/>
  <c r="H15" i="10"/>
  <c r="P14" i="10"/>
  <c r="L14" i="10"/>
  <c r="H14" i="10"/>
  <c r="P13" i="10"/>
  <c r="L13" i="10"/>
  <c r="H13" i="10"/>
  <c r="P12" i="10"/>
  <c r="L12" i="10"/>
  <c r="H12" i="10"/>
  <c r="P11" i="10"/>
  <c r="L11" i="10"/>
  <c r="H11" i="10"/>
  <c r="P10" i="10"/>
  <c r="L10" i="10"/>
  <c r="H10" i="10"/>
  <c r="P9" i="10"/>
  <c r="L9" i="10"/>
  <c r="H9" i="10"/>
  <c r="R8" i="10"/>
  <c r="P8" i="10"/>
  <c r="L8" i="10"/>
  <c r="H8" i="10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P46" i="9"/>
  <c r="L46" i="9"/>
  <c r="H46" i="9"/>
  <c r="P45" i="9"/>
  <c r="L45" i="9"/>
  <c r="H45" i="9"/>
  <c r="P44" i="9"/>
  <c r="L44" i="9"/>
  <c r="H44" i="9"/>
  <c r="P43" i="9"/>
  <c r="L43" i="9"/>
  <c r="H43" i="9"/>
  <c r="P42" i="9"/>
  <c r="L42" i="9"/>
  <c r="H42" i="9"/>
  <c r="P41" i="9"/>
  <c r="L41" i="9"/>
  <c r="H41" i="9"/>
  <c r="P40" i="9"/>
  <c r="L40" i="9"/>
  <c r="H40" i="9"/>
  <c r="P39" i="9"/>
  <c r="L39" i="9"/>
  <c r="H39" i="9"/>
  <c r="P38" i="9"/>
  <c r="L38" i="9"/>
  <c r="H38" i="9"/>
  <c r="P37" i="9"/>
  <c r="L37" i="9"/>
  <c r="H37" i="9"/>
  <c r="P36" i="9"/>
  <c r="L36" i="9"/>
  <c r="H36" i="9"/>
  <c r="P35" i="9"/>
  <c r="L35" i="9"/>
  <c r="H35" i="9"/>
  <c r="P34" i="9"/>
  <c r="L34" i="9"/>
  <c r="H34" i="9"/>
  <c r="P33" i="9"/>
  <c r="L33" i="9"/>
  <c r="H33" i="9"/>
  <c r="P32" i="9"/>
  <c r="L32" i="9"/>
  <c r="H32" i="9"/>
  <c r="P31" i="9"/>
  <c r="L31" i="9"/>
  <c r="H31" i="9"/>
  <c r="P30" i="9"/>
  <c r="L30" i="9"/>
  <c r="H30" i="9"/>
  <c r="P29" i="9"/>
  <c r="L29" i="9"/>
  <c r="H29" i="9"/>
  <c r="P28" i="9"/>
  <c r="L28" i="9"/>
  <c r="H28" i="9"/>
  <c r="P26" i="9"/>
  <c r="L26" i="9"/>
  <c r="H26" i="9"/>
  <c r="P25" i="9"/>
  <c r="L25" i="9"/>
  <c r="H25" i="9"/>
  <c r="P24" i="9"/>
  <c r="L24" i="9"/>
  <c r="H24" i="9"/>
  <c r="P23" i="9"/>
  <c r="L23" i="9"/>
  <c r="H23" i="9"/>
  <c r="P22" i="9"/>
  <c r="L22" i="9"/>
  <c r="H22" i="9"/>
  <c r="P21" i="9"/>
  <c r="L21" i="9"/>
  <c r="H21" i="9"/>
  <c r="P20" i="9"/>
  <c r="L20" i="9"/>
  <c r="H20" i="9"/>
  <c r="P19" i="9"/>
  <c r="L19" i="9"/>
  <c r="H19" i="9"/>
  <c r="P18" i="9"/>
  <c r="L18" i="9"/>
  <c r="H18" i="9"/>
  <c r="P17" i="9"/>
  <c r="L17" i="9"/>
  <c r="H17" i="9"/>
  <c r="P16" i="9"/>
  <c r="L16" i="9"/>
  <c r="H16" i="9"/>
  <c r="P15" i="9"/>
  <c r="L15" i="9"/>
  <c r="H15" i="9"/>
  <c r="P14" i="9"/>
  <c r="L14" i="9"/>
  <c r="H14" i="9"/>
  <c r="P13" i="9"/>
  <c r="L13" i="9"/>
  <c r="H13" i="9"/>
  <c r="P12" i="9"/>
  <c r="L12" i="9"/>
  <c r="H12" i="9"/>
  <c r="P11" i="9"/>
  <c r="L11" i="9"/>
  <c r="H11" i="9"/>
  <c r="P10" i="9"/>
  <c r="L10" i="9"/>
  <c r="H10" i="9"/>
  <c r="P9" i="9"/>
  <c r="L9" i="9"/>
  <c r="H9" i="9"/>
  <c r="R8" i="9"/>
  <c r="P8" i="9"/>
  <c r="L8" i="9"/>
  <c r="H8" i="9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P46" i="8"/>
  <c r="L46" i="8"/>
  <c r="H46" i="8"/>
  <c r="P45" i="8"/>
  <c r="L45" i="8"/>
  <c r="H45" i="8"/>
  <c r="P44" i="8"/>
  <c r="L44" i="8"/>
  <c r="H44" i="8"/>
  <c r="P43" i="8"/>
  <c r="L43" i="8"/>
  <c r="H43" i="8"/>
  <c r="P42" i="8"/>
  <c r="L42" i="8"/>
  <c r="H42" i="8"/>
  <c r="P41" i="8"/>
  <c r="L41" i="8"/>
  <c r="H41" i="8"/>
  <c r="P40" i="8"/>
  <c r="L40" i="8"/>
  <c r="H40" i="8"/>
  <c r="P39" i="8"/>
  <c r="L39" i="8"/>
  <c r="H39" i="8"/>
  <c r="P38" i="8"/>
  <c r="L38" i="8"/>
  <c r="H38" i="8"/>
  <c r="P37" i="8"/>
  <c r="L37" i="8"/>
  <c r="H37" i="8"/>
  <c r="P36" i="8"/>
  <c r="L36" i="8"/>
  <c r="H36" i="8"/>
  <c r="P35" i="8"/>
  <c r="L35" i="8"/>
  <c r="H35" i="8"/>
  <c r="P34" i="8"/>
  <c r="L34" i="8"/>
  <c r="H34" i="8"/>
  <c r="P33" i="8"/>
  <c r="L33" i="8"/>
  <c r="H33" i="8"/>
  <c r="P32" i="8"/>
  <c r="L32" i="8"/>
  <c r="H32" i="8"/>
  <c r="P31" i="8"/>
  <c r="L31" i="8"/>
  <c r="H31" i="8"/>
  <c r="P30" i="8"/>
  <c r="L30" i="8"/>
  <c r="H30" i="8"/>
  <c r="P29" i="8"/>
  <c r="L29" i="8"/>
  <c r="H29" i="8"/>
  <c r="P28" i="8"/>
  <c r="L28" i="8"/>
  <c r="H28" i="8"/>
  <c r="P26" i="8"/>
  <c r="L26" i="8"/>
  <c r="H26" i="8"/>
  <c r="P25" i="8"/>
  <c r="L25" i="8"/>
  <c r="H25" i="8"/>
  <c r="P24" i="8"/>
  <c r="L24" i="8"/>
  <c r="H24" i="8"/>
  <c r="P23" i="8"/>
  <c r="L23" i="8"/>
  <c r="H23" i="8"/>
  <c r="P22" i="8"/>
  <c r="L22" i="8"/>
  <c r="H22" i="8"/>
  <c r="P21" i="8"/>
  <c r="L21" i="8"/>
  <c r="H21" i="8"/>
  <c r="P20" i="8"/>
  <c r="L20" i="8"/>
  <c r="H20" i="8"/>
  <c r="P19" i="8"/>
  <c r="L19" i="8"/>
  <c r="H19" i="8"/>
  <c r="P18" i="8"/>
  <c r="L18" i="8"/>
  <c r="H18" i="8"/>
  <c r="P17" i="8"/>
  <c r="L17" i="8"/>
  <c r="H17" i="8"/>
  <c r="P16" i="8"/>
  <c r="L16" i="8"/>
  <c r="H16" i="8"/>
  <c r="P15" i="8"/>
  <c r="L15" i="8"/>
  <c r="H15" i="8"/>
  <c r="P14" i="8"/>
  <c r="L14" i="8"/>
  <c r="H14" i="8"/>
  <c r="P13" i="8"/>
  <c r="L13" i="8"/>
  <c r="H13" i="8"/>
  <c r="P12" i="8"/>
  <c r="L12" i="8"/>
  <c r="H12" i="8"/>
  <c r="P11" i="8"/>
  <c r="L11" i="8"/>
  <c r="H11" i="8"/>
  <c r="P10" i="8"/>
  <c r="L10" i="8"/>
  <c r="H10" i="8"/>
  <c r="P9" i="8"/>
  <c r="L9" i="8"/>
  <c r="H9" i="8"/>
  <c r="R8" i="8"/>
  <c r="P8" i="8"/>
  <c r="L8" i="8"/>
  <c r="H8" i="8"/>
  <c r="U8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S8" i="6"/>
  <c r="O8" i="6"/>
  <c r="R8" i="1"/>
  <c r="H8" i="1"/>
  <c r="L8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W48" i="24" l="1"/>
  <c r="U48" i="25"/>
  <c r="U47" i="13"/>
  <c r="U47" i="12"/>
  <c r="U48" i="12" s="1"/>
  <c r="U47" i="11"/>
  <c r="U27" i="9"/>
  <c r="U27" i="11"/>
  <c r="U27" i="1"/>
  <c r="U47" i="9"/>
  <c r="U48" i="9" s="1"/>
  <c r="U27" i="12"/>
  <c r="U47" i="1"/>
  <c r="W47" i="16"/>
  <c r="U27" i="13"/>
  <c r="U48" i="13" s="1"/>
  <c r="U47" i="8"/>
  <c r="X47" i="6"/>
  <c r="W27" i="16"/>
  <c r="U47" i="23"/>
  <c r="U47" i="22"/>
  <c r="U27" i="20"/>
  <c r="U47" i="19"/>
  <c r="U27" i="10"/>
  <c r="U47" i="21"/>
  <c r="U27" i="23"/>
  <c r="U48" i="23" s="1"/>
  <c r="U27" i="22"/>
  <c r="U48" i="22" s="1"/>
  <c r="U27" i="21"/>
  <c r="U48" i="21" s="1"/>
  <c r="U47" i="20"/>
  <c r="U48" i="20" s="1"/>
  <c r="U27" i="19"/>
  <c r="U48" i="19" s="1"/>
  <c r="U47" i="18"/>
  <c r="U27" i="18"/>
  <c r="U47" i="14"/>
  <c r="U27" i="14"/>
  <c r="U8" i="6"/>
  <c r="U47" i="10"/>
  <c r="Y8" i="6"/>
  <c r="U27" i="8"/>
  <c r="X8" i="6"/>
  <c r="X27" i="6" s="1"/>
  <c r="U48" i="1" l="1"/>
  <c r="X48" i="6"/>
  <c r="U48" i="8"/>
  <c r="U48" i="11"/>
  <c r="W48" i="16"/>
  <c r="U48" i="10"/>
  <c r="U48" i="18"/>
  <c r="U48" i="14"/>
  <c r="C71" i="39" l="1"/>
  <c r="D71" i="39"/>
  <c r="E72" i="39" s="1"/>
  <c r="F72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<sst xmlns="http://schemas.openxmlformats.org/spreadsheetml/2006/main" count="3420" uniqueCount="616">
  <si>
    <t>Heure théorique départ</t>
  </si>
  <si>
    <t>Heure réelle départ</t>
  </si>
  <si>
    <t>Arrêt 1</t>
  </si>
  <si>
    <t>Nbre personnes +</t>
  </si>
  <si>
    <t>Nbre personnes -</t>
  </si>
  <si>
    <t>Heure arrivée arrêt 1</t>
  </si>
  <si>
    <t>Arrêt 2</t>
  </si>
  <si>
    <t>Arrêt 3</t>
  </si>
  <si>
    <t>VAHIBE</t>
  </si>
  <si>
    <t>Heure arrivée arrêt 2</t>
  </si>
  <si>
    <t>Heure arrivée arrêt 3</t>
  </si>
  <si>
    <t>PEM PASSAMAINTY</t>
  </si>
  <si>
    <t>Commentaires</t>
  </si>
  <si>
    <t>CHAUFFEUR</t>
  </si>
  <si>
    <t>DATE</t>
  </si>
  <si>
    <t>Signature Chauffeur</t>
  </si>
  <si>
    <t>Signature Coordinateur</t>
  </si>
  <si>
    <t>Heure arrivée finale</t>
  </si>
  <si>
    <t>TYPE</t>
  </si>
  <si>
    <t>Délai</t>
  </si>
  <si>
    <t>Temps Aller</t>
  </si>
  <si>
    <t>TYPE CHAUFFEUR</t>
  </si>
  <si>
    <t>Nbre personnes descente</t>
  </si>
  <si>
    <t>Nbre personnes montée</t>
  </si>
  <si>
    <t>C1</t>
  </si>
  <si>
    <t>Type chauffeur prévu</t>
  </si>
  <si>
    <t>Nom chauffeur prévu</t>
  </si>
  <si>
    <t>C3</t>
  </si>
  <si>
    <t>Lieu départ</t>
  </si>
  <si>
    <t>Nom chauffeur remplacé</t>
  </si>
  <si>
    <t>Cause remplacement</t>
  </si>
  <si>
    <t>C15</t>
  </si>
  <si>
    <t>Astreinte</t>
  </si>
  <si>
    <t>Type chauffeur</t>
  </si>
  <si>
    <t>Nom chauffeur</t>
  </si>
  <si>
    <t>Prénom Chauffeur</t>
  </si>
  <si>
    <t>C2</t>
  </si>
  <si>
    <t>C8</t>
  </si>
  <si>
    <t>Nbre personnes moyenne</t>
  </si>
  <si>
    <t>Capacité max</t>
  </si>
  <si>
    <t>Taux Fréquentation</t>
  </si>
  <si>
    <t>C9</t>
  </si>
  <si>
    <t>C10</t>
  </si>
  <si>
    <t>C11</t>
  </si>
  <si>
    <t>C12</t>
  </si>
  <si>
    <t>C13</t>
  </si>
  <si>
    <t>C14</t>
  </si>
  <si>
    <t>C16</t>
  </si>
  <si>
    <t>C4</t>
  </si>
  <si>
    <t>C5</t>
  </si>
  <si>
    <t>C6</t>
  </si>
  <si>
    <t>C7</t>
  </si>
  <si>
    <t>Astreinte 1</t>
  </si>
  <si>
    <t>Nom Chauffeur astreinte 1</t>
  </si>
  <si>
    <t>Astreinte 2</t>
  </si>
  <si>
    <t>Nom Chauffeur astreinte 2</t>
  </si>
  <si>
    <t>Modalité facturation</t>
  </si>
  <si>
    <t>Journée</t>
  </si>
  <si>
    <t>Trajet</t>
  </si>
  <si>
    <t>ABDOU MINIHADJI</t>
  </si>
  <si>
    <t>Amada</t>
  </si>
  <si>
    <t>ADINANI</t>
  </si>
  <si>
    <t>Zoubert</t>
  </si>
  <si>
    <t>Inzoudine</t>
  </si>
  <si>
    <t>ALLAOUI</t>
  </si>
  <si>
    <t>Soibrane</t>
  </si>
  <si>
    <t>N° telephone</t>
  </si>
  <si>
    <t>BINA HALIDI</t>
  </si>
  <si>
    <t>Bina</t>
  </si>
  <si>
    <t xml:space="preserve">COMBO </t>
  </si>
  <si>
    <t>Said</t>
  </si>
  <si>
    <t>Hamada</t>
  </si>
  <si>
    <t>ELANZIZE SALIM</t>
  </si>
  <si>
    <t>OUSSENI</t>
  </si>
  <si>
    <t>Soula</t>
  </si>
  <si>
    <t>RENE</t>
  </si>
  <si>
    <t>Assanati</t>
  </si>
  <si>
    <t>SANDI</t>
  </si>
  <si>
    <t>Maanrouf</t>
  </si>
  <si>
    <t>TOUMBOU</t>
  </si>
  <si>
    <t>Toibourani</t>
  </si>
  <si>
    <t xml:space="preserve">N° </t>
  </si>
  <si>
    <t>CADEMA</t>
  </si>
  <si>
    <t>STATUT</t>
  </si>
  <si>
    <t xml:space="preserve">LICENCE TRANSPORTEUR </t>
  </si>
  <si>
    <t>SIREN LICENCE</t>
  </si>
  <si>
    <t>VALIDITE LICENCE TRANSP</t>
  </si>
  <si>
    <t>N°</t>
  </si>
  <si>
    <t>N° Chauffeur</t>
  </si>
  <si>
    <t>Nom</t>
  </si>
  <si>
    <t>Prénom</t>
  </si>
  <si>
    <t>Téléphone</t>
  </si>
  <si>
    <t>Mail</t>
  </si>
  <si>
    <t>Siret</t>
  </si>
  <si>
    <t>Secteur d'activité</t>
  </si>
  <si>
    <t>N° licence</t>
  </si>
  <si>
    <t>CARTE CONDUCTEUR</t>
  </si>
  <si>
    <t>VALIDITE CARTE CONDUCTEUR</t>
  </si>
  <si>
    <t>N° IMMATRICULATION CARTE GRISE</t>
  </si>
  <si>
    <t>DATE IMMATRICULATION</t>
  </si>
  <si>
    <t>AGE DU VEHICULE</t>
  </si>
  <si>
    <t>Type de vehicule</t>
  </si>
  <si>
    <t>ETAT VEHICULE</t>
  </si>
  <si>
    <t>RDV MAY EQUIP</t>
  </si>
  <si>
    <t>HABILLAGE</t>
  </si>
  <si>
    <t>REGLT HABILLAGE</t>
  </si>
  <si>
    <t>EQUIPEMENT</t>
  </si>
  <si>
    <t>HABILLAGE 2021</t>
  </si>
  <si>
    <t>HABILLAGE 2023</t>
  </si>
  <si>
    <t>IDENTITE</t>
  </si>
  <si>
    <t>NATIONALITE</t>
  </si>
  <si>
    <t>VALIDITE CARTE SEJOUR</t>
  </si>
  <si>
    <t>CARTE VITALE</t>
  </si>
  <si>
    <t>ASSURANCES</t>
  </si>
  <si>
    <t>FACTURE _3 MOIS</t>
  </si>
  <si>
    <t>IMPOTS</t>
  </si>
  <si>
    <t>PHOTO</t>
  </si>
  <si>
    <t>N° AGC</t>
  </si>
  <si>
    <t>Capital souscrit</t>
  </si>
  <si>
    <t>Année de souscription</t>
  </si>
  <si>
    <t>Cotisations versées en 2021</t>
  </si>
  <si>
    <t>COTISATIONS 2023</t>
  </si>
  <si>
    <t>COTISATIONS 2024</t>
  </si>
  <si>
    <t>N° Rue</t>
  </si>
  <si>
    <t>Adresse</t>
  </si>
  <si>
    <t>Code postal</t>
  </si>
  <si>
    <t>Commune</t>
  </si>
  <si>
    <t>REMARQUES</t>
  </si>
  <si>
    <t>CADEMA 1</t>
  </si>
  <si>
    <t>AO</t>
  </si>
  <si>
    <t>NON</t>
  </si>
  <si>
    <t>-</t>
  </si>
  <si>
    <t xml:space="preserve">0639 65 03 93 </t>
  </si>
  <si>
    <t>abdouminihadjiamada@hotmail.com</t>
  </si>
  <si>
    <t>066 311 101 000 19</t>
  </si>
  <si>
    <t>Centre Sud</t>
  </si>
  <si>
    <t>976-CS-057</t>
  </si>
  <si>
    <t>FY-654-BF</t>
  </si>
  <si>
    <t>9 PLACES</t>
  </si>
  <si>
    <t>BON</t>
  </si>
  <si>
    <t>OUI</t>
  </si>
  <si>
    <t>_</t>
  </si>
  <si>
    <t>F</t>
  </si>
  <si>
    <t>2020/13</t>
  </si>
  <si>
    <t>Avenue de rassi</t>
  </si>
  <si>
    <t>Chiconi</t>
  </si>
  <si>
    <t>ancien gérant - Habillage 2021</t>
  </si>
  <si>
    <t>0639 25 77 76</t>
  </si>
  <si>
    <t>zoubert.adinani2@gmail.com</t>
  </si>
  <si>
    <t>799 358 700 00018</t>
  </si>
  <si>
    <t>Mamoudzou</t>
  </si>
  <si>
    <t>976-M-447</t>
  </si>
  <si>
    <t>GR-407-DV</t>
  </si>
  <si>
    <t>A venir</t>
  </si>
  <si>
    <t>2022</t>
  </si>
  <si>
    <t>Tahiti plage route de poroani</t>
  </si>
  <si>
    <t>Sada</t>
  </si>
  <si>
    <t xml:space="preserve">attente débolacge prêt </t>
  </si>
  <si>
    <t>ALI ATTOUMANI</t>
  </si>
  <si>
    <t>Bacar</t>
  </si>
  <si>
    <t>0639 87 21 88</t>
  </si>
  <si>
    <t>aattoumani.bacar@gmail.com</t>
  </si>
  <si>
    <t>024 068 413 00020</t>
  </si>
  <si>
    <t>976-M-116</t>
  </si>
  <si>
    <t>FJ-886-VX</t>
  </si>
  <si>
    <t>A MOITIE</t>
  </si>
  <si>
    <t>OUI PAS PAYE</t>
  </si>
  <si>
    <t>Chemin ma ali andy</t>
  </si>
  <si>
    <t>Voiture endommagé d'un coté et la tete de taxi aussi habillé en 2021</t>
  </si>
  <si>
    <t>0639 075923/0639 26 27 78</t>
  </si>
  <si>
    <t>ambdihoumadi976@gmail.com</t>
  </si>
  <si>
    <t>024 078 396 000 41</t>
  </si>
  <si>
    <t>976-M-049</t>
  </si>
  <si>
    <t>GH-790-LS</t>
  </si>
  <si>
    <t>? Pas payé</t>
  </si>
  <si>
    <t>2020/44</t>
  </si>
  <si>
    <t>Rue younoussa bamana</t>
  </si>
  <si>
    <t>a une voiture neuve</t>
  </si>
  <si>
    <t>voiture en panne</t>
  </si>
  <si>
    <t xml:space="preserve">ALLAOUI </t>
  </si>
  <si>
    <t>0639 65 31 82</t>
  </si>
  <si>
    <t>stt653182@hotmail.com</t>
  </si>
  <si>
    <t>024 043 30 000 11</t>
  </si>
  <si>
    <t>976-CS-048</t>
  </si>
  <si>
    <t>FZ_148_HW</t>
  </si>
  <si>
    <t>OK</t>
  </si>
  <si>
    <t>Quartier Kami case impasse mavandzani</t>
  </si>
  <si>
    <t>Kani kéli</t>
  </si>
  <si>
    <t>Il est pas eligible pour la demande de subvention</t>
  </si>
  <si>
    <t xml:space="preserve">AMBDI </t>
  </si>
  <si>
    <t>Houmadi</t>
  </si>
  <si>
    <t>0639 23 55 69</t>
  </si>
  <si>
    <t>066 312 224 000 26</t>
  </si>
  <si>
    <t>Sud</t>
  </si>
  <si>
    <t>976-S-023</t>
  </si>
  <si>
    <t>GC-122-QA</t>
  </si>
  <si>
    <t>2020/46</t>
  </si>
  <si>
    <t>Route nationale Mbouanatsa</t>
  </si>
  <si>
    <t>BOUENI</t>
  </si>
  <si>
    <t>Habillage 2023</t>
  </si>
  <si>
    <t>BINA HALADI</t>
  </si>
  <si>
    <t>0639 06 05 82</t>
  </si>
  <si>
    <t>wonamaore@gmail.com</t>
  </si>
  <si>
    <t>853 690 428 000 18</t>
  </si>
  <si>
    <t>976-S-045</t>
  </si>
  <si>
    <t>GE-883-ES</t>
  </si>
  <si>
    <t>9 places</t>
  </si>
  <si>
    <t>2020/61</t>
  </si>
  <si>
    <t xml:space="preserve">Rue Said Fatima </t>
  </si>
  <si>
    <t>SADA</t>
  </si>
  <si>
    <t>Habillage juin 2023</t>
  </si>
  <si>
    <t>BOINARIZIKI</t>
  </si>
  <si>
    <t>Zena Dhurari</t>
  </si>
  <si>
    <t>0639 66 36 94
06 50 45 94 42</t>
  </si>
  <si>
    <t>dhurari.transport@gmail.com</t>
  </si>
  <si>
    <t>500 894 043 000 16</t>
  </si>
  <si>
    <t>976-CS-071</t>
  </si>
  <si>
    <t>FF-569-NF</t>
  </si>
  <si>
    <t xml:space="preserve">Rue du commerce </t>
  </si>
  <si>
    <t>voiture pas habillée</t>
  </si>
  <si>
    <t>0639 68 37 93</t>
  </si>
  <si>
    <t>combosaid5@gmail.cpm</t>
  </si>
  <si>
    <t>054 394 853 00029</t>
  </si>
  <si>
    <t>976-M-164</t>
  </si>
  <si>
    <t>GB-965-EQ</t>
  </si>
  <si>
    <t>NEUF</t>
  </si>
  <si>
    <t>2020/70</t>
  </si>
  <si>
    <t>Route Départementale</t>
  </si>
  <si>
    <t>Mtsamboro</t>
  </si>
  <si>
    <t>Il a reçu sa subvention et il a rien payé, et il a utiliser l'argent</t>
  </si>
  <si>
    <t>EL ANZIZE SALIM</t>
  </si>
  <si>
    <t>0639 22 81 28</t>
  </si>
  <si>
    <t>elsalimhamada@hotmail.com</t>
  </si>
  <si>
    <t>024 076 531 00011</t>
  </si>
  <si>
    <t>976_M_209</t>
  </si>
  <si>
    <t>GM_515_YL</t>
  </si>
  <si>
    <t>G</t>
  </si>
  <si>
    <t>2022/198</t>
  </si>
  <si>
    <t>Rue de mjinpia</t>
  </si>
  <si>
    <t>Mtsangamoudji</t>
  </si>
  <si>
    <t>habillage 9 place 2023</t>
  </si>
  <si>
    <t>HADHURAMI</t>
  </si>
  <si>
    <t>Makinedine</t>
  </si>
  <si>
    <t>0639 94 46 40</t>
  </si>
  <si>
    <t>Hadhuramimakinedine976@gmail.com</t>
  </si>
  <si>
    <t>054 397 211 00019</t>
  </si>
  <si>
    <t>SUD</t>
  </si>
  <si>
    <t>976_S_069</t>
  </si>
  <si>
    <t>FZ-411-ZD</t>
  </si>
  <si>
    <t>2020/82</t>
  </si>
  <si>
    <t>Rue foundi hamada m'zé</t>
  </si>
  <si>
    <t>Habillage 2021 aurait 2 véhicules</t>
  </si>
  <si>
    <t>MADI BOINA</t>
  </si>
  <si>
    <t>Mkidachi</t>
  </si>
  <si>
    <t>0639 22 08 67</t>
  </si>
  <si>
    <t>madiboinamkidachi@hotmail.com</t>
  </si>
  <si>
    <t>500 793 526 00012</t>
  </si>
  <si>
    <t>NORD</t>
  </si>
  <si>
    <t>976-N-63</t>
  </si>
  <si>
    <t>GS-501-ZK</t>
  </si>
  <si>
    <t>pas de vitre</t>
  </si>
  <si>
    <t>Rue d'andimaka</t>
  </si>
  <si>
    <t>Mtsangamouji</t>
  </si>
  <si>
    <t>MOISSULI HIMIDI</t>
  </si>
  <si>
    <t>Enly</t>
  </si>
  <si>
    <t>0639 94 58 14</t>
  </si>
  <si>
    <t>enlymoissuli@gmail.com</t>
  </si>
  <si>
    <t>853 881 084 000 18</t>
  </si>
  <si>
    <t>976-N-015</t>
  </si>
  <si>
    <t>GW-003-JA</t>
  </si>
  <si>
    <t>att May Equip</t>
  </si>
  <si>
    <t>Quartier mronobaban sidi , Hamjago</t>
  </si>
  <si>
    <t>Il attend sa subvention , justine lui a dit d'aller harceler le CD pour qui'il debloque sa subvention</t>
  </si>
  <si>
    <t>soucis de famille</t>
  </si>
  <si>
    <t>0639 69 03 87</t>
  </si>
  <si>
    <t>soulaousseni415@gmail.com</t>
  </si>
  <si>
    <t>066 307 372 000 12</t>
  </si>
  <si>
    <t>Centre NORD</t>
  </si>
  <si>
    <t>976-CN-003</t>
  </si>
  <si>
    <t>GP_813_HX</t>
  </si>
  <si>
    <t>TBE</t>
  </si>
  <si>
    <t>2021/181</t>
  </si>
  <si>
    <t>Rue mnadzi moja quartier baitil mali</t>
  </si>
  <si>
    <t xml:space="preserve">Pas de voiture </t>
  </si>
  <si>
    <t>0639 07 82 51</t>
  </si>
  <si>
    <t>024 065 633 000 18</t>
  </si>
  <si>
    <t>976-N-032</t>
  </si>
  <si>
    <t>GR-921-XZ</t>
  </si>
  <si>
    <t>Rue bacar tsimanda</t>
  </si>
  <si>
    <t>0639 40 58 85</t>
  </si>
  <si>
    <t>maanroufsandi@laposte.net</t>
  </si>
  <si>
    <t>024 069 635 000 19</t>
  </si>
  <si>
    <t>976-S-006</t>
  </si>
  <si>
    <t>GW-255-NY</t>
  </si>
  <si>
    <t>A VENIR</t>
  </si>
  <si>
    <t>Quartier ecole primaire</t>
  </si>
  <si>
    <t>Chirongui</t>
  </si>
  <si>
    <t xml:space="preserve">Pas habillé en attente rendez-vous mayotte equipement </t>
  </si>
  <si>
    <t xml:space="preserve">TOUMBOU </t>
  </si>
  <si>
    <t>0639 19 14 22</t>
  </si>
  <si>
    <t>toumboutoibourani@outlook.fr / anlia.toumbou97620@gmail.com</t>
  </si>
  <si>
    <t>024 054 710 000 25</t>
  </si>
  <si>
    <t>976-M-177</t>
  </si>
  <si>
    <t>GF_215_AQ</t>
  </si>
  <si>
    <t>2020/158</t>
  </si>
  <si>
    <t>Rue Bambou</t>
  </si>
  <si>
    <t>Gérant</t>
  </si>
  <si>
    <t>ACHIRAFFI  pas de chauffeur</t>
  </si>
  <si>
    <t>Assad</t>
  </si>
  <si>
    <t>0639 29 01 58</t>
  </si>
  <si>
    <t>achiraffis@gmail.com</t>
  </si>
  <si>
    <t>024 046 617 000 15</t>
  </si>
  <si>
    <t>976-M-045</t>
  </si>
  <si>
    <t>FY-973-FL</t>
  </si>
  <si>
    <t>2020/20</t>
  </si>
  <si>
    <t>Route départemental</t>
  </si>
  <si>
    <t>M'tsamboro</t>
  </si>
  <si>
    <t>a une voiture - Travaille au Sud</t>
  </si>
  <si>
    <t>Secteur</t>
  </si>
  <si>
    <t>N° Licence</t>
  </si>
  <si>
    <t>N° immatriculation</t>
  </si>
  <si>
    <t>Date première immatriculation</t>
  </si>
  <si>
    <t>Capacité</t>
  </si>
  <si>
    <t>SIRET</t>
  </si>
  <si>
    <t>N° Carte conducteur</t>
  </si>
  <si>
    <t>Validité carte conducteur</t>
  </si>
  <si>
    <t xml:space="preserve">Type </t>
  </si>
  <si>
    <t>Depart</t>
  </si>
  <si>
    <t>+</t>
  </si>
  <si>
    <t>COMBO SOUFFOU (RENE ASSANATI)</t>
  </si>
  <si>
    <t>MOHAMED (BOINA RIEZIKI ZENA DHURARI)</t>
  </si>
  <si>
    <t>Nbre personnes  montantes</t>
  </si>
  <si>
    <t>MOHAMED</t>
  </si>
  <si>
    <t>Centre Sud
Mamoudzou</t>
  </si>
  <si>
    <t>976-CS-048
976_M_079</t>
  </si>
  <si>
    <t>FZ_148_HW
GP_645_QW</t>
  </si>
  <si>
    <t>20/05/2021
20/06/2023</t>
  </si>
  <si>
    <t>C17</t>
  </si>
  <si>
    <t>C18</t>
  </si>
  <si>
    <t>C19</t>
  </si>
  <si>
    <t>C20</t>
  </si>
  <si>
    <t>Horaire</t>
  </si>
  <si>
    <t>Chauffeur</t>
  </si>
  <si>
    <t>Trajet non effectué</t>
  </si>
  <si>
    <t>Départ avec plus de 10 mns retard</t>
  </si>
  <si>
    <t xml:space="preserve">BARAKA </t>
  </si>
  <si>
    <t>Soumaila</t>
  </si>
  <si>
    <t xml:space="preserve"> 0639 24 71 32</t>
  </si>
  <si>
    <t>barakasoumaila6@gmail.com</t>
  </si>
  <si>
    <t>801 318 460 000 12</t>
  </si>
  <si>
    <t>976-M-382</t>
  </si>
  <si>
    <t>DA-546-VX</t>
  </si>
  <si>
    <t>Ali (laglace)</t>
  </si>
  <si>
    <t>0639 01 04 89</t>
  </si>
  <si>
    <t>samirahanie1@gmail.com</t>
  </si>
  <si>
    <t>499 987 972 000 19</t>
  </si>
  <si>
    <t>976-M-322</t>
  </si>
  <si>
    <t>GR-558_LA</t>
  </si>
  <si>
    <t>REMPLACEMENT</t>
  </si>
  <si>
    <t>C</t>
  </si>
  <si>
    <t>ARRIVEE</t>
  </si>
  <si>
    <t>TOURNANT</t>
  </si>
  <si>
    <t>BOURA MIRADJI</t>
  </si>
  <si>
    <t>Issoufe</t>
  </si>
  <si>
    <t>0639 03 18 92</t>
  </si>
  <si>
    <t>bmiradjy.issouf@gmail.com</t>
  </si>
  <si>
    <t>508 780 632 000 32</t>
  </si>
  <si>
    <t>976-S-050</t>
  </si>
  <si>
    <t>GC-763-ES</t>
  </si>
  <si>
    <t>C22</t>
  </si>
  <si>
    <t>ABDOU HAMIDOUNE</t>
  </si>
  <si>
    <t>Nassabia</t>
  </si>
  <si>
    <t>0639 23 54 34</t>
  </si>
  <si>
    <t>abdouhamidoune.nassabia@gmail.com</t>
  </si>
  <si>
    <t>099 385 932 000 19</t>
  </si>
  <si>
    <t>976-M-189</t>
  </si>
  <si>
    <t>GY-652-NV</t>
  </si>
  <si>
    <t>C23</t>
  </si>
  <si>
    <t>ALILOIFFA</t>
  </si>
  <si>
    <t>Said Siradj</t>
  </si>
  <si>
    <t>tpm.aliloiffa@gmail.com</t>
  </si>
  <si>
    <t>024 084 527 00043</t>
  </si>
  <si>
    <t>Mamoudzou
Centre Sud</t>
  </si>
  <si>
    <t>C24</t>
  </si>
  <si>
    <t>ABDOURAHIM</t>
  </si>
  <si>
    <t>Mohamed</t>
  </si>
  <si>
    <t>C25</t>
  </si>
  <si>
    <t>ISSOUF</t>
  </si>
  <si>
    <t>Dailami</t>
  </si>
  <si>
    <t>Observations :</t>
  </si>
  <si>
    <t xml:space="preserve">Absences : </t>
  </si>
  <si>
    <t>Signature Coordinateur 1 :</t>
  </si>
  <si>
    <t>Trajets non effectués :</t>
  </si>
  <si>
    <r>
      <t xml:space="preserve">Nom Chauffeur </t>
    </r>
    <r>
      <rPr>
        <b/>
        <sz val="14"/>
        <color theme="1"/>
        <rFont val="Aptos Narrow"/>
        <family val="2"/>
        <scheme val="minor"/>
      </rPr>
      <t>réel</t>
    </r>
    <r>
      <rPr>
        <sz val="14"/>
        <color theme="1"/>
        <rFont val="Aptos Narrow"/>
        <family val="2"/>
        <scheme val="minor"/>
      </rPr>
      <t xml:space="preserve">
 ( si différent)</t>
    </r>
  </si>
  <si>
    <t>ASSANATI</t>
  </si>
  <si>
    <t>Renée</t>
  </si>
  <si>
    <t>VELOU M'COLO</t>
  </si>
  <si>
    <t>Delai entre 2 départs</t>
  </si>
  <si>
    <t>Nbre trajets</t>
  </si>
  <si>
    <t>Délai avant</t>
  </si>
  <si>
    <t>VAHIBE 2</t>
  </si>
  <si>
    <t>Statistiques</t>
  </si>
  <si>
    <t>nbre de trajets planifiés</t>
  </si>
  <si>
    <t>Nbre trajets non effectués</t>
  </si>
  <si>
    <t>Nbre trajets effectués non planifiés</t>
  </si>
  <si>
    <t>M'Berou</t>
  </si>
  <si>
    <t>AHAMADI</t>
  </si>
  <si>
    <t>Laydine</t>
  </si>
  <si>
    <t>AHAMADI Bacar</t>
  </si>
  <si>
    <t>Raenmouddine</t>
  </si>
  <si>
    <t>SOULAIMANA</t>
  </si>
  <si>
    <t>Ben</t>
  </si>
  <si>
    <t>NOVEMBRE</t>
  </si>
  <si>
    <t>n</t>
  </si>
  <si>
    <t>DEPART</t>
  </si>
  <si>
    <t>ABDALLAH</t>
  </si>
  <si>
    <t>KAMARDINE</t>
  </si>
  <si>
    <t>Mansour</t>
  </si>
  <si>
    <t>HAMIDOU</t>
  </si>
  <si>
    <t>Dahalani</t>
  </si>
  <si>
    <t>976-MD-207</t>
  </si>
  <si>
    <t>499 252 468 00032</t>
  </si>
  <si>
    <t>HC-007-YA</t>
  </si>
  <si>
    <t>0639024054</t>
  </si>
  <si>
    <t>ahamadi.rahim@gmail.com</t>
  </si>
  <si>
    <t>ISSIHAKA</t>
  </si>
  <si>
    <t>M'Changama</t>
  </si>
  <si>
    <t>GM-253-PW</t>
  </si>
  <si>
    <t>976-M-247</t>
  </si>
  <si>
    <t>750529018</t>
  </si>
  <si>
    <t>0639978304</t>
  </si>
  <si>
    <t>kaquicha.habiba.assia@gmail.com</t>
  </si>
  <si>
    <t>89891536800010</t>
  </si>
  <si>
    <t>976-MD-233</t>
  </si>
  <si>
    <t>EB-387-HJ</t>
  </si>
  <si>
    <t>PASSAMAINTY</t>
  </si>
  <si>
    <t>Ben (Taxi Vanille)</t>
  </si>
  <si>
    <t>Lieu de départ</t>
  </si>
  <si>
    <t xml:space="preserve">NOM COORDINATEUR </t>
  </si>
  <si>
    <t>COORDINATEUR MATIN LIGNE 4 NAVETTES CARIBUS MARS 2026 (DIMANCHE 2)</t>
  </si>
  <si>
    <t>*</t>
  </si>
  <si>
    <t>Mansour (Salarié)</t>
  </si>
  <si>
    <t>WW-629-KR</t>
  </si>
  <si>
    <t>LISTE DES INTERVENANTS SUR LA LIGNE 4</t>
  </si>
  <si>
    <t>Coordinateur matin</t>
  </si>
  <si>
    <t>Coordinateur PM</t>
  </si>
  <si>
    <t>Coordinateur Samedi et dimanche matin</t>
  </si>
  <si>
    <t>976-N-261</t>
  </si>
  <si>
    <t>WW-661-KR</t>
  </si>
  <si>
    <t>Toibranne</t>
  </si>
  <si>
    <t>Coordinateur Samedi PM</t>
  </si>
  <si>
    <t>Coordinateur Dimanche PM</t>
  </si>
  <si>
    <t>976-M-079</t>
  </si>
  <si>
    <t>FZ-148-HW</t>
  </si>
  <si>
    <t>976-C-006</t>
  </si>
  <si>
    <t>GS-608-GG</t>
  </si>
  <si>
    <t>WW-654-KR</t>
  </si>
  <si>
    <t>Arrêts</t>
  </si>
  <si>
    <t xml:space="preserve">COORDINATEUR  LIGNE4 NAVETTES CARIBUS </t>
  </si>
  <si>
    <t>COORDINATEUR  LIGNE 4 NAVETTES CARIBUS  (SAMEDI)</t>
  </si>
  <si>
    <t>COORDINATEUR LIGNE 4 NAVETTES CARIBUS MARS 2026 (DIMANCHE 1)</t>
  </si>
  <si>
    <t>HAMADA</t>
  </si>
  <si>
    <t>Babou</t>
  </si>
  <si>
    <t>D9</t>
  </si>
  <si>
    <t>RENEE</t>
  </si>
  <si>
    <t>D14</t>
  </si>
  <si>
    <t>ahamadilaydine@gmail.com</t>
  </si>
  <si>
    <t>79468048800018</t>
  </si>
  <si>
    <t>Mamoudzou 
Centre Nord</t>
  </si>
  <si>
    <t>976-M-422
976-CN-030</t>
  </si>
  <si>
    <t>WW-620-KR</t>
  </si>
  <si>
    <t>ST1</t>
  </si>
  <si>
    <t>ST2</t>
  </si>
  <si>
    <t>ST3</t>
  </si>
  <si>
    <t>Nbre trajets dont départ &gt; 10 minutes en retard</t>
  </si>
  <si>
    <t>C21</t>
  </si>
  <si>
    <t>ORGANISATION LIGNE 4 VAHIBE &lt;-&gt; PASSAMAINTY</t>
  </si>
  <si>
    <t>N° Code</t>
  </si>
  <si>
    <t>Nom Chauffeur</t>
  </si>
  <si>
    <t>Ligne + contraintes de travail</t>
  </si>
  <si>
    <t>Horaire AM jours de semaine</t>
  </si>
  <si>
    <t>Horaire PM jours de semaine</t>
  </si>
  <si>
    <t>Nombre de trajets</t>
  </si>
  <si>
    <t>CA par mois environ</t>
  </si>
  <si>
    <t>Cout location véhicule</t>
  </si>
  <si>
    <t>El Anziz Hamada</t>
  </si>
  <si>
    <t>Ligne 4 : Jour de semaine matin 6:00/jour</t>
  </si>
  <si>
    <t>Voiture</t>
  </si>
  <si>
    <t>Bina Haladi Bina</t>
  </si>
  <si>
    <t>Ligne 4 : Jour de semaine matin et AM 7:30/jour</t>
  </si>
  <si>
    <t>Abdou Minihadji Hamada</t>
  </si>
  <si>
    <t>Ligne 4 : Jour de semaine matin 8:00/jour</t>
  </si>
  <si>
    <t>Toumbou Toibrane</t>
  </si>
  <si>
    <t>Ligne 4 : Jour de semaine matin et soir 5:00/jour+ 2 heures d'astreinte</t>
  </si>
  <si>
    <t>Ahamadi Bacar Raenmmouddine</t>
  </si>
  <si>
    <t>Ligne 4 : Jour de semaine matin et soirée 8:00/jour+
 1 dimanche sur 2 (5:00)</t>
  </si>
  <si>
    <t>Ousseni Soula</t>
  </si>
  <si>
    <t>Hadhrurami Manikedine</t>
  </si>
  <si>
    <t>Ligne 4 : Jour de semaine matin 3:00/jour+ Samedi 8:00 + 1 Dimanche sur 2 (5:00)</t>
  </si>
  <si>
    <t>Sandi Maanrouf</t>
  </si>
  <si>
    <t xml:space="preserve">Ligne 4 : Jour de semaine matin 3:00/jour+ Samedi 7:00 </t>
  </si>
  <si>
    <t>M'changama</t>
  </si>
  <si>
    <t>Ligne 4 : Jour de semaine matin 3:00/jour+ Samedi 7:00 + 1 Dimanche sur 2 (5:00)</t>
  </si>
  <si>
    <t>Madi Boina Mkidachi ?</t>
  </si>
  <si>
    <t xml:space="preserve">Ligne 4 : Jour de semaine matin 4:30/jour+ Samedi 7:00 </t>
  </si>
  <si>
    <t>Alliloiffa Said Siradj</t>
  </si>
  <si>
    <t>Ligne 4 : Jour de semaine matin 2:30/jour+ 1h00 après-midi</t>
  </si>
  <si>
    <t>Salarié Taxi Vanille : Ben</t>
  </si>
  <si>
    <t>Ligne 4 : Jour de semaine matin 2:30/jour</t>
  </si>
  <si>
    <t>Ligne 4 : Jour de semaine matin 1:30 par jour+Dimanche</t>
  </si>
  <si>
    <t xml:space="preserve">Hamidou Dahalani </t>
  </si>
  <si>
    <t>Ligne 4 : Jour de semaine matin 2:00+4:00 d'astreinte</t>
  </si>
  <si>
    <t>Coordinateur 1</t>
  </si>
  <si>
    <t>Allaoui Soibrane</t>
  </si>
  <si>
    <t xml:space="preserve">Coordinateur matin 5 jours 5:00-&gt; 12:00 </t>
  </si>
  <si>
    <t>Coordinateur 2</t>
  </si>
  <si>
    <t xml:space="preserve">Coordinateur après-midi 5 jours 12:00-&gt; 19:00 </t>
  </si>
  <si>
    <t>Astreinte samedi matin</t>
  </si>
  <si>
    <t>Salarié Mansour (D10)</t>
  </si>
  <si>
    <t>Astreinte samedi matin 5:00-&gt; 13:00</t>
  </si>
  <si>
    <t>Astreinte samedi après-midi</t>
  </si>
  <si>
    <t>Astreinte samedi après_midi 13:00-&gt; 19:00</t>
  </si>
  <si>
    <t>Astreinte dimanche matin</t>
  </si>
  <si>
    <t>Mansour Kamardine</t>
  </si>
  <si>
    <t>Astreinte dimanche matin 8:00-&gt; 13:00</t>
  </si>
  <si>
    <t>Astreinte dimanche après-midi</t>
  </si>
  <si>
    <t>Astreinte dimanche après-midi 13:00-&gt; 19:00</t>
  </si>
  <si>
    <t>Nombre de minutes</t>
  </si>
  <si>
    <t>Jours de semaine</t>
  </si>
  <si>
    <t>Samedi</t>
  </si>
  <si>
    <t>Dimanche</t>
  </si>
  <si>
    <t>Valeur annuelle</t>
  </si>
  <si>
    <t>Nbre chauffeures</t>
  </si>
  <si>
    <t>Dont trajets en heures pleine</t>
  </si>
  <si>
    <t>Dont trajets de nuit</t>
  </si>
  <si>
    <t>Heure astreinte</t>
  </si>
  <si>
    <t>Cout</t>
  </si>
  <si>
    <t>Valeur</t>
  </si>
  <si>
    <t>Cout/mois</t>
  </si>
  <si>
    <t>Nhre heure/an</t>
  </si>
  <si>
    <t>Cout à l'heure</t>
  </si>
  <si>
    <t>Temps de trajet moyen</t>
  </si>
  <si>
    <t>Nombre de km/an</t>
  </si>
  <si>
    <t>Forfait domicile</t>
  </si>
  <si>
    <t>Nbre km /an</t>
  </si>
  <si>
    <t>Nombre km/ mois</t>
  </si>
  <si>
    <t>SOUSAM</t>
  </si>
  <si>
    <t>SOUD1</t>
  </si>
  <si>
    <t>TOTAL</t>
  </si>
  <si>
    <t>km/mois</t>
  </si>
  <si>
    <t>km/an</t>
  </si>
  <si>
    <t>SOUD</t>
  </si>
  <si>
    <t>D1</t>
  </si>
  <si>
    <t>D2</t>
  </si>
  <si>
    <t>D3</t>
  </si>
  <si>
    <t>D4</t>
  </si>
  <si>
    <t>D5</t>
  </si>
  <si>
    <t>D6</t>
  </si>
  <si>
    <t>D7</t>
  </si>
  <si>
    <t>D8</t>
  </si>
  <si>
    <t>D10</t>
  </si>
  <si>
    <t>D11</t>
  </si>
  <si>
    <t>D12</t>
  </si>
  <si>
    <t>D13</t>
  </si>
  <si>
    <t>S1</t>
  </si>
  <si>
    <t>S2</t>
  </si>
  <si>
    <t>Nbre 1/2 journée</t>
  </si>
  <si>
    <t>Prix 1/2 journéee</t>
  </si>
  <si>
    <t>Nbre heures conduite</t>
  </si>
  <si>
    <t>Valeur journée</t>
  </si>
  <si>
    <t>Nbre heure annexe</t>
  </si>
  <si>
    <t>Total</t>
  </si>
  <si>
    <t>Nbre de jours</t>
  </si>
  <si>
    <t>Nbre heure totale/an</t>
  </si>
  <si>
    <t>Nbre ETP/an</t>
  </si>
  <si>
    <t>Nbre ETP 35 h</t>
  </si>
  <si>
    <t>Nbre ETP 50h00</t>
  </si>
  <si>
    <t>Prix heure</t>
  </si>
  <si>
    <t>Nbre heure en surcout</t>
  </si>
  <si>
    <t>Veleur surcout</t>
  </si>
  <si>
    <t>Valeur journée+surcout</t>
  </si>
  <si>
    <t>Nombre de jours</t>
  </si>
  <si>
    <t>Nbre jours</t>
  </si>
  <si>
    <t>Nombre de dimanche</t>
  </si>
  <si>
    <t>Nombre de jours fériés</t>
  </si>
  <si>
    <t>Nombre de jours normaux</t>
  </si>
  <si>
    <t>Valeur journée normal</t>
  </si>
  <si>
    <t>Nombre de dimanche et jours fériés</t>
  </si>
  <si>
    <t>Valeur dimanche</t>
  </si>
  <si>
    <t>Valeur du Lot 1</t>
  </si>
  <si>
    <t>Cout de gestion/mois</t>
  </si>
  <si>
    <t>Dir. Exploitation</t>
  </si>
  <si>
    <t>Coordinateur</t>
  </si>
  <si>
    <t>Assitant. Exploitation</t>
  </si>
  <si>
    <t>Gestion+comptabilité</t>
  </si>
  <si>
    <t>Informatique</t>
  </si>
  <si>
    <t>My Cloud</t>
  </si>
  <si>
    <t>Direction+animation</t>
  </si>
  <si>
    <t>Cout total</t>
  </si>
  <si>
    <t>Cout annuel</t>
  </si>
  <si>
    <t>au trajet</t>
  </si>
  <si>
    <t>% affecté lot1</t>
  </si>
  <si>
    <t>Cout affecté lot 1</t>
  </si>
  <si>
    <t>Cout total lot 1</t>
  </si>
  <si>
    <t>Nombre de trajet normaux</t>
  </si>
  <si>
    <t>Nombre de trajets nuit</t>
  </si>
  <si>
    <t>Nombre de trajets samedi</t>
  </si>
  <si>
    <t>Nombre de dimanche et jrs fériés</t>
  </si>
  <si>
    <t>Nombre de dimanche et jrs fériés nuit</t>
  </si>
  <si>
    <t xml:space="preserve">Trajets </t>
  </si>
  <si>
    <t>Suppléments Trajets de nuits</t>
  </si>
  <si>
    <t>Suppléments Trajets dimanche et jours fériés</t>
  </si>
  <si>
    <t>Suppléments Trajets nuit dimanche</t>
  </si>
  <si>
    <t>Dimanche1</t>
  </si>
  <si>
    <t>Dimanche2</t>
  </si>
  <si>
    <t>Hamada Babou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</si>
</sst>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#,##0\ &quot;€&quot;;[Red]\-#,##0\ &quot;€&quot;"/>
    <numFmt numFmtId="8" formatCode="#,##0.00\ &quot;€&quot;;[Red]\-#,##0.00\ &quot;€&quot;"/>
    <numFmt numFmtId="164" formatCode="0.0"/>
    <numFmt numFmtId="165" formatCode="[$-F800]dddd\,\ mmmm\ dd\,\ yyyy"/>
    <numFmt numFmtId="166" formatCode="#,##0\ &quot;€&quot;"/>
    <numFmt numFmtId="167" formatCode="yyyy"/>
    <numFmt numFmtId="168" formatCode="0#&quot; &quot;##&quot; &quot;##&quot; &quot;##&quot; &quot;##"/>
    <numFmt numFmtId="169" formatCode="h:mm;@"/>
    <numFmt numFmtId="170" formatCode="[$-F400]h:mm:ss\ AM/PM"/>
    <numFmt numFmtId="171" formatCode="#,##0.00\ &quot;€&quot;"/>
    <numFmt numFmtId="172" formatCode="_-* #,##0.00\ [$€-40C]_-;\-* #,##0.00\ [$€-40C]_-;_-* &quot;-&quot;??\ [$€-40C]_-;_-@_-"/>
  </numFmts>
  <fonts count="5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2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u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u/>
      <sz val="12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2"/>
      <color theme="4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8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i/>
      <sz val="16"/>
      <name val="Aptos Narrow"/>
      <family val="2"/>
      <scheme val="minor"/>
    </font>
    <font>
      <sz val="22"/>
      <color theme="1"/>
      <name val="Calibri"/>
      <family val="2"/>
    </font>
    <font>
      <b/>
      <sz val="34"/>
      <color theme="1"/>
      <name val="Aptos Narrow"/>
      <family val="2"/>
      <scheme val="minor"/>
    </font>
    <font>
      <b/>
      <sz val="34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12"/>
      <color rgb="FF0070C0"/>
      <name val="Aptos Narrow"/>
      <family val="2"/>
      <scheme val="minor"/>
    </font>
    <font>
      <sz val="10"/>
      <color rgb="FF0070C0"/>
      <name val="Aptos Narrow"/>
      <family val="2"/>
      <scheme val="minor"/>
    </font>
    <font>
      <i/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0" fontId="12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515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/>
    <xf numFmtId="21" fontId="0" fillId="0" borderId="5" xfId="0" applyNumberFormat="1" applyBorder="1"/>
    <xf numFmtId="0" fontId="0" fillId="2" borderId="9" xfId="0" applyFill="1" applyBorder="1"/>
    <xf numFmtId="0" fontId="0" fillId="2" borderId="0" xfId="0" applyFill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4" xfId="0" applyBorder="1"/>
    <xf numFmtId="0" fontId="0" fillId="0" borderId="13" xfId="0" applyBorder="1"/>
    <xf numFmtId="0" fontId="2" fillId="0" borderId="9" xfId="0" applyFont="1" applyBorder="1"/>
    <xf numFmtId="0" fontId="2" fillId="0" borderId="4" xfId="0" applyFont="1" applyBorder="1"/>
    <xf numFmtId="0" fontId="0" fillId="0" borderId="10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20" fontId="0" fillId="0" borderId="0" xfId="0" applyNumberFormat="1"/>
    <xf numFmtId="20" fontId="0" fillId="0" borderId="12" xfId="0" applyNumberFormat="1" applyBorder="1"/>
    <xf numFmtId="20" fontId="0" fillId="0" borderId="5" xfId="0" applyNumberFormat="1" applyBorder="1"/>
    <xf numFmtId="20" fontId="0" fillId="0" borderId="11" xfId="0" applyNumberFormat="1" applyBorder="1"/>
    <xf numFmtId="20" fontId="0" fillId="2" borderId="12" xfId="0" applyNumberFormat="1" applyFill="1" applyBorder="1"/>
    <xf numFmtId="0" fontId="0" fillId="0" borderId="10" xfId="0" applyBorder="1" applyAlignment="1">
      <alignment horizontal="center"/>
    </xf>
    <xf numFmtId="0" fontId="0" fillId="2" borderId="10" xfId="0" applyFill="1" applyBorder="1"/>
    <xf numFmtId="0" fontId="0" fillId="0" borderId="6" xfId="0" applyBorder="1"/>
    <xf numFmtId="0" fontId="0" fillId="2" borderId="12" xfId="0" applyFill="1" applyBorder="1"/>
    <xf numFmtId="20" fontId="0" fillId="0" borderId="10" xfId="0" applyNumberFormat="1" applyBorder="1"/>
    <xf numFmtId="20" fontId="0" fillId="2" borderId="10" xfId="0" applyNumberFormat="1" applyFill="1" applyBorder="1"/>
    <xf numFmtId="20" fontId="0" fillId="0" borderId="6" xfId="0" applyNumberFormat="1" applyBorder="1"/>
    <xf numFmtId="20" fontId="0" fillId="0" borderId="14" xfId="0" applyNumberFormat="1" applyBorder="1"/>
    <xf numFmtId="20" fontId="0" fillId="2" borderId="0" xfId="0" applyNumberFormat="1" applyFill="1"/>
    <xf numFmtId="0" fontId="2" fillId="0" borderId="0" xfId="0" applyFont="1"/>
    <xf numFmtId="0" fontId="2" fillId="0" borderId="5" xfId="0" applyFont="1" applyBorder="1"/>
    <xf numFmtId="0" fontId="0" fillId="0" borderId="0" xfId="0" applyAlignment="1">
      <alignment wrapText="1"/>
    </xf>
    <xf numFmtId="20" fontId="0" fillId="0" borderId="10" xfId="0" applyNumberFormat="1" applyBorder="1" applyAlignment="1">
      <alignment horizontal="center"/>
    </xf>
    <xf numFmtId="1" fontId="0" fillId="0" borderId="0" xfId="0" applyNumberFormat="1"/>
    <xf numFmtId="20" fontId="0" fillId="0" borderId="1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0" xfId="0" applyNumberFormat="1"/>
    <xf numFmtId="164" fontId="0" fillId="0" borderId="1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8" xfId="0" applyBorder="1"/>
    <xf numFmtId="20" fontId="0" fillId="0" borderId="0" xfId="0" applyNumberFormat="1" applyAlignment="1">
      <alignment horizontal="center"/>
    </xf>
    <xf numFmtId="165" fontId="0" fillId="0" borderId="13" xfId="0" applyNumberFormat="1" applyBorder="1"/>
    <xf numFmtId="1" fontId="9" fillId="0" borderId="0" xfId="1" applyNumberFormat="1" applyFont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49" fontId="10" fillId="0" borderId="32" xfId="1" applyNumberFormat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right" vertical="center" wrapText="1"/>
    </xf>
    <xf numFmtId="0" fontId="9" fillId="0" borderId="0" xfId="1" applyFont="1" applyAlignment="1">
      <alignment horizontal="center" vertical="center"/>
    </xf>
    <xf numFmtId="1" fontId="11" fillId="0" borderId="0" xfId="1" applyNumberFormat="1" applyFont="1" applyAlignment="1">
      <alignment vertical="center"/>
    </xf>
    <xf numFmtId="0" fontId="11" fillId="0" borderId="32" xfId="1" applyFont="1" applyBorder="1" applyAlignment="1">
      <alignment horizontal="left" vertical="center" wrapText="1"/>
    </xf>
    <xf numFmtId="0" fontId="13" fillId="0" borderId="32" xfId="2" applyFont="1" applyFill="1" applyBorder="1" applyAlignment="1">
      <alignment horizontal="left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right" vertical="center" wrapText="1"/>
    </xf>
    <xf numFmtId="14" fontId="11" fillId="0" borderId="32" xfId="1" applyNumberFormat="1" applyFont="1" applyBorder="1" applyAlignment="1">
      <alignment horizontal="right" vertical="center" wrapText="1"/>
    </xf>
    <xf numFmtId="0" fontId="14" fillId="0" borderId="32" xfId="1" applyFont="1" applyBorder="1" applyAlignment="1">
      <alignment horizontal="right" vertical="center"/>
    </xf>
    <xf numFmtId="14" fontId="14" fillId="0" borderId="32" xfId="1" applyNumberFormat="1" applyFont="1" applyBorder="1" applyAlignment="1">
      <alignment horizontal="right" vertical="center"/>
    </xf>
    <xf numFmtId="1" fontId="11" fillId="0" borderId="32" xfId="1" applyNumberFormat="1" applyFont="1" applyBorder="1" applyAlignment="1">
      <alignment horizontal="right" vertical="center" wrapText="1"/>
    </xf>
    <xf numFmtId="0" fontId="11" fillId="0" borderId="32" xfId="1" applyFont="1" applyBorder="1" applyAlignment="1">
      <alignment horizontal="center" vertical="center"/>
    </xf>
    <xf numFmtId="14" fontId="10" fillId="0" borderId="32" xfId="1" applyNumberFormat="1" applyFont="1" applyBorder="1" applyAlignment="1">
      <alignment horizontal="center" vertical="center" wrapText="1"/>
    </xf>
    <xf numFmtId="166" fontId="11" fillId="0" borderId="32" xfId="1" applyNumberFormat="1" applyFont="1" applyBorder="1" applyAlignment="1">
      <alignment horizontal="center" vertical="center" wrapText="1"/>
    </xf>
    <xf numFmtId="167" fontId="11" fillId="0" borderId="32" xfId="1" applyNumberFormat="1" applyFont="1" applyBorder="1" applyAlignment="1">
      <alignment horizontal="center" vertical="center" wrapText="1"/>
    </xf>
    <xf numFmtId="0" fontId="11" fillId="0" borderId="32" xfId="1" applyFont="1" applyBorder="1" applyAlignment="1">
      <alignment vertical="center" wrapText="1"/>
    </xf>
    <xf numFmtId="0" fontId="11" fillId="0" borderId="0" xfId="1" applyFont="1" applyAlignment="1">
      <alignment vertical="center"/>
    </xf>
    <xf numFmtId="0" fontId="15" fillId="0" borderId="32" xfId="2" applyFont="1" applyFill="1" applyBorder="1" applyAlignment="1">
      <alignment horizontal="left" vertical="center" wrapText="1"/>
    </xf>
    <xf numFmtId="3" fontId="11" fillId="0" borderId="32" xfId="1" quotePrefix="1" applyNumberFormat="1" applyFont="1" applyBorder="1" applyAlignment="1">
      <alignment horizontal="left" vertical="center" wrapText="1"/>
    </xf>
    <xf numFmtId="0" fontId="11" fillId="0" borderId="32" xfId="1" applyFont="1" applyBorder="1" applyAlignment="1">
      <alignment horizontal="right" vertical="center"/>
    </xf>
    <xf numFmtId="14" fontId="11" fillId="0" borderId="32" xfId="1" applyNumberFormat="1" applyFont="1" applyBorder="1" applyAlignment="1">
      <alignment horizontal="right" vertical="center"/>
    </xf>
    <xf numFmtId="166" fontId="11" fillId="0" borderId="32" xfId="1" applyNumberFormat="1" applyFont="1" applyBorder="1" applyAlignment="1">
      <alignment horizontal="left" vertical="center" wrapText="1"/>
    </xf>
    <xf numFmtId="16" fontId="11" fillId="0" borderId="32" xfId="1" applyNumberFormat="1" applyFont="1" applyBorder="1" applyAlignment="1">
      <alignment horizontal="left" vertical="center" wrapText="1"/>
    </xf>
    <xf numFmtId="0" fontId="16" fillId="0" borderId="32" xfId="1" applyFont="1" applyBorder="1" applyAlignment="1">
      <alignment horizontal="right" vertical="center" wrapText="1"/>
    </xf>
    <xf numFmtId="166" fontId="11" fillId="0" borderId="32" xfId="1" applyNumberFormat="1" applyFont="1" applyBorder="1" applyAlignment="1">
      <alignment horizontal="center" vertical="center"/>
    </xf>
    <xf numFmtId="0" fontId="17" fillId="0" borderId="32" xfId="1" applyFont="1" applyBorder="1" applyAlignment="1">
      <alignment horizontal="left" vertical="center" wrapText="1"/>
    </xf>
    <xf numFmtId="166" fontId="17" fillId="0" borderId="32" xfId="1" applyNumberFormat="1" applyFont="1" applyBorder="1" applyAlignment="1">
      <alignment horizontal="left" vertical="center" wrapText="1"/>
    </xf>
    <xf numFmtId="0" fontId="18" fillId="0" borderId="32" xfId="2" applyFont="1" applyFill="1" applyBorder="1" applyAlignment="1">
      <alignment horizontal="left" vertical="center" wrapText="1"/>
    </xf>
    <xf numFmtId="3" fontId="17" fillId="0" borderId="32" xfId="1" quotePrefix="1" applyNumberFormat="1" applyFont="1" applyBorder="1" applyAlignment="1">
      <alignment horizontal="left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right" vertical="center" wrapText="1"/>
    </xf>
    <xf numFmtId="14" fontId="17" fillId="0" borderId="32" xfId="1" applyNumberFormat="1" applyFont="1" applyBorder="1" applyAlignment="1">
      <alignment horizontal="right" vertical="center" wrapText="1"/>
    </xf>
    <xf numFmtId="0" fontId="19" fillId="0" borderId="32" xfId="1" applyFont="1" applyBorder="1" applyAlignment="1">
      <alignment horizontal="center" vertical="center" wrapText="1"/>
    </xf>
    <xf numFmtId="14" fontId="19" fillId="0" borderId="32" xfId="1" applyNumberFormat="1" applyFont="1" applyBorder="1" applyAlignment="1">
      <alignment horizontal="center" vertical="center" wrapText="1"/>
    </xf>
    <xf numFmtId="16" fontId="17" fillId="0" borderId="32" xfId="1" applyNumberFormat="1" applyFont="1" applyBorder="1" applyAlignment="1">
      <alignment horizontal="right" vertical="center" wrapText="1"/>
    </xf>
    <xf numFmtId="166" fontId="17" fillId="0" borderId="32" xfId="1" applyNumberFormat="1" applyFont="1" applyBorder="1" applyAlignment="1">
      <alignment horizontal="center" vertical="center"/>
    </xf>
    <xf numFmtId="49" fontId="19" fillId="0" borderId="32" xfId="1" applyNumberFormat="1" applyFont="1" applyBorder="1" applyAlignment="1">
      <alignment horizontal="center" vertical="center" wrapText="1"/>
    </xf>
    <xf numFmtId="166" fontId="17" fillId="0" borderId="32" xfId="1" applyNumberFormat="1" applyFont="1" applyBorder="1" applyAlignment="1">
      <alignment horizontal="center" vertical="center" wrapText="1"/>
    </xf>
    <xf numFmtId="167" fontId="17" fillId="0" borderId="32" xfId="1" applyNumberFormat="1" applyFont="1" applyBorder="1" applyAlignment="1">
      <alignment horizontal="center" vertical="center" wrapText="1"/>
    </xf>
    <xf numFmtId="0" fontId="17" fillId="0" borderId="32" xfId="1" applyFont="1" applyBorder="1" applyAlignment="1">
      <alignment vertical="center" wrapText="1"/>
    </xf>
    <xf numFmtId="0" fontId="12" fillId="0" borderId="32" xfId="2" applyFill="1" applyBorder="1" applyAlignment="1">
      <alignment horizontal="left" vertical="center" wrapText="1"/>
    </xf>
    <xf numFmtId="0" fontId="14" fillId="0" borderId="32" xfId="1" applyFont="1" applyBorder="1" applyAlignment="1">
      <alignment horizontal="right" vertical="center" wrapText="1"/>
    </xf>
    <xf numFmtId="14" fontId="14" fillId="0" borderId="32" xfId="1" applyNumberFormat="1" applyFont="1" applyBorder="1" applyAlignment="1">
      <alignment horizontal="right" vertical="center" wrapText="1"/>
    </xf>
    <xf numFmtId="3" fontId="11" fillId="0" borderId="32" xfId="1" applyNumberFormat="1" applyFont="1" applyBorder="1" applyAlignment="1">
      <alignment horizontal="left" vertical="center"/>
    </xf>
    <xf numFmtId="0" fontId="11" fillId="0" borderId="32" xfId="3" applyFont="1" applyBorder="1" applyAlignment="1">
      <alignment horizontal="right" vertical="center" wrapText="1"/>
    </xf>
    <xf numFmtId="3" fontId="11" fillId="0" borderId="32" xfId="1" applyNumberFormat="1" applyFont="1" applyBorder="1" applyAlignment="1">
      <alignment horizontal="left" vertical="center" wrapText="1"/>
    </xf>
    <xf numFmtId="166" fontId="14" fillId="0" borderId="32" xfId="1" applyNumberFormat="1" applyFont="1" applyBorder="1" applyAlignment="1">
      <alignment horizontal="right" vertical="center"/>
    </xf>
    <xf numFmtId="17" fontId="10" fillId="0" borderId="32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vertical="center"/>
    </xf>
    <xf numFmtId="0" fontId="20" fillId="0" borderId="32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/>
    </xf>
    <xf numFmtId="14" fontId="9" fillId="0" borderId="32" xfId="1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49" fontId="10" fillId="0" borderId="0" xfId="1" applyNumberFormat="1" applyFont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8" fillId="0" borderId="0" xfId="2" applyFont="1" applyFill="1" applyBorder="1" applyAlignment="1">
      <alignment horizontal="left" vertical="center" wrapText="1"/>
    </xf>
    <xf numFmtId="3" fontId="17" fillId="0" borderId="0" xfId="1" quotePrefix="1" applyNumberFormat="1" applyFont="1" applyAlignment="1">
      <alignment horizontal="left" vertical="center" wrapText="1"/>
    </xf>
    <xf numFmtId="0" fontId="17" fillId="0" borderId="0" xfId="1" applyFont="1" applyAlignment="1">
      <alignment horizontal="center" vertical="center" wrapText="1"/>
    </xf>
    <xf numFmtId="0" fontId="17" fillId="0" borderId="0" xfId="1" applyFont="1" applyAlignment="1">
      <alignment horizontal="right" vertical="center" wrapText="1"/>
    </xf>
    <xf numFmtId="14" fontId="17" fillId="0" borderId="0" xfId="1" applyNumberFormat="1" applyFont="1" applyAlignment="1">
      <alignment horizontal="right" vertical="center" wrapText="1"/>
    </xf>
    <xf numFmtId="0" fontId="19" fillId="0" borderId="0" xfId="1" applyFont="1" applyAlignment="1">
      <alignment horizontal="center" vertical="center" wrapText="1"/>
    </xf>
    <xf numFmtId="14" fontId="19" fillId="0" borderId="0" xfId="1" applyNumberFormat="1" applyFont="1" applyAlignment="1">
      <alignment horizontal="center" vertical="center" wrapText="1"/>
    </xf>
    <xf numFmtId="166" fontId="17" fillId="0" borderId="0" xfId="1" applyNumberFormat="1" applyFont="1" applyAlignment="1">
      <alignment horizontal="left" vertical="center" wrapText="1"/>
    </xf>
    <xf numFmtId="166" fontId="17" fillId="0" borderId="0" xfId="1" applyNumberFormat="1" applyFont="1" applyAlignment="1">
      <alignment horizontal="center" vertical="center"/>
    </xf>
    <xf numFmtId="49" fontId="19" fillId="0" borderId="0" xfId="1" applyNumberFormat="1" applyFont="1" applyAlignment="1">
      <alignment horizontal="center" vertical="center" wrapText="1"/>
    </xf>
    <xf numFmtId="166" fontId="17" fillId="0" borderId="0" xfId="1" applyNumberFormat="1" applyFont="1" applyAlignment="1">
      <alignment horizontal="center" vertical="center" wrapText="1"/>
    </xf>
    <xf numFmtId="167" fontId="17" fillId="0" borderId="0" xfId="1" applyNumberFormat="1" applyFont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8" fillId="0" borderId="0" xfId="1"/>
    <xf numFmtId="0" fontId="0" fillId="0" borderId="0" xfId="0" applyAlignment="1">
      <alignment vertical="center"/>
    </xf>
    <xf numFmtId="20" fontId="0" fillId="0" borderId="20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9" xfId="0" applyBorder="1" applyAlignment="1">
      <alignment vertical="center"/>
    </xf>
    <xf numFmtId="20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9" xfId="0" applyBorder="1" applyAlignment="1">
      <alignment vertical="center"/>
    </xf>
    <xf numFmtId="20" fontId="0" fillId="0" borderId="0" xfId="0" applyNumberFormat="1" applyAlignment="1">
      <alignment vertical="center"/>
    </xf>
    <xf numFmtId="20" fontId="0" fillId="0" borderId="12" xfId="0" applyNumberForma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vertical="center"/>
    </xf>
    <xf numFmtId="20" fontId="0" fillId="2" borderId="12" xfId="0" applyNumberForma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4" xfId="0" applyFont="1" applyBorder="1" applyAlignment="1">
      <alignment vertical="center"/>
    </xf>
    <xf numFmtId="20" fontId="0" fillId="0" borderId="5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21" fontId="0" fillId="0" borderId="5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23" xfId="0" applyFont="1" applyBorder="1" applyAlignment="1">
      <alignment vertical="center"/>
    </xf>
    <xf numFmtId="20" fontId="0" fillId="0" borderId="24" xfId="0" applyNumberFormat="1" applyBorder="1" applyAlignment="1">
      <alignment vertical="center"/>
    </xf>
    <xf numFmtId="20" fontId="0" fillId="0" borderId="25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0" borderId="22" xfId="0" applyNumberFormat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0" fillId="0" borderId="10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vertical="center"/>
    </xf>
    <xf numFmtId="20" fontId="0" fillId="2" borderId="10" xfId="0" applyNumberFormat="1" applyFill="1" applyBorder="1" applyAlignment="1">
      <alignment vertical="center"/>
    </xf>
    <xf numFmtId="20" fontId="0" fillId="2" borderId="0" xfId="0" applyNumberFormat="1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20" fontId="0" fillId="0" borderId="26" xfId="0" applyNumberForma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6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20" fontId="0" fillId="0" borderId="14" xfId="0" applyNumberFormat="1" applyBorder="1" applyAlignment="1">
      <alignment vertical="center"/>
    </xf>
    <xf numFmtId="20" fontId="0" fillId="0" borderId="13" xfId="0" applyNumberForma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4" fillId="0" borderId="9" xfId="0" applyFont="1" applyBorder="1" applyAlignment="1">
      <alignment vertical="center"/>
    </xf>
    <xf numFmtId="20" fontId="3" fillId="0" borderId="0" xfId="0" applyNumberFormat="1" applyFont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0" fontId="3" fillId="0" borderId="5" xfId="0" applyNumberFormat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7" fillId="0" borderId="0" xfId="0" applyFont="1"/>
    <xf numFmtId="0" fontId="0" fillId="0" borderId="15" xfId="0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20" fontId="8" fillId="0" borderId="13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20" fontId="1" fillId="0" borderId="13" xfId="0" applyNumberFormat="1" applyFont="1" applyBorder="1" applyAlignment="1">
      <alignment vertical="center"/>
    </xf>
    <xf numFmtId="165" fontId="0" fillId="0" borderId="15" xfId="0" applyNumberForma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5" fillId="0" borderId="32" xfId="1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25" fillId="0" borderId="32" xfId="2" applyFont="1" applyFill="1" applyBorder="1" applyAlignment="1">
      <alignment horizontal="left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right" vertical="center" wrapText="1"/>
    </xf>
    <xf numFmtId="14" fontId="24" fillId="0" borderId="32" xfId="0" applyNumberFormat="1" applyFont="1" applyBorder="1" applyAlignment="1">
      <alignment horizontal="right" vertical="center" wrapText="1"/>
    </xf>
    <xf numFmtId="0" fontId="26" fillId="0" borderId="32" xfId="0" applyFont="1" applyBorder="1" applyAlignment="1">
      <alignment horizontal="center" vertical="center" wrapText="1"/>
    </xf>
    <xf numFmtId="14" fontId="26" fillId="0" borderId="32" xfId="0" applyNumberFormat="1" applyFont="1" applyBorder="1" applyAlignment="1">
      <alignment horizontal="center" vertical="center" wrapText="1"/>
    </xf>
    <xf numFmtId="20" fontId="8" fillId="0" borderId="15" xfId="0" applyNumberFormat="1" applyFont="1" applyBorder="1" applyAlignment="1">
      <alignment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right" vertical="center" wrapText="1"/>
    </xf>
    <xf numFmtId="14" fontId="11" fillId="0" borderId="32" xfId="0" applyNumberFormat="1" applyFont="1" applyBorder="1" applyAlignment="1">
      <alignment horizontal="right" vertical="center" wrapText="1"/>
    </xf>
    <xf numFmtId="0" fontId="27" fillId="0" borderId="32" xfId="0" applyFont="1" applyBorder="1" applyAlignment="1">
      <alignment horizontal="center" vertical="center" wrapText="1"/>
    </xf>
    <xf numFmtId="14" fontId="27" fillId="0" borderId="32" xfId="0" applyNumberFormat="1" applyFont="1" applyBorder="1" applyAlignment="1">
      <alignment horizontal="center" vertical="center" wrapText="1"/>
    </xf>
    <xf numFmtId="0" fontId="28" fillId="0" borderId="32" xfId="2" applyFont="1" applyFill="1" applyBorder="1" applyAlignment="1">
      <alignment horizontal="left" vertical="center" wrapText="1"/>
    </xf>
    <xf numFmtId="0" fontId="11" fillId="0" borderId="32" xfId="0" applyFont="1" applyBorder="1" applyAlignment="1">
      <alignment horizontal="center" vertical="center" wrapText="1"/>
    </xf>
    <xf numFmtId="166" fontId="6" fillId="0" borderId="32" xfId="0" applyNumberFormat="1" applyFont="1" applyBorder="1" applyAlignment="1">
      <alignment horizontal="right" vertical="center"/>
    </xf>
    <xf numFmtId="14" fontId="14" fillId="0" borderId="32" xfId="0" applyNumberFormat="1" applyFont="1" applyBorder="1" applyAlignment="1">
      <alignment horizontal="right" vertical="center"/>
    </xf>
    <xf numFmtId="0" fontId="29" fillId="0" borderId="0" xfId="0" applyFont="1" applyAlignment="1">
      <alignment vertical="center"/>
    </xf>
    <xf numFmtId="0" fontId="17" fillId="0" borderId="32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right" vertical="center" wrapText="1"/>
    </xf>
    <xf numFmtId="14" fontId="17" fillId="0" borderId="32" xfId="0" applyNumberFormat="1" applyFont="1" applyBorder="1" applyAlignment="1">
      <alignment horizontal="right" vertical="center" wrapText="1"/>
    </xf>
    <xf numFmtId="0" fontId="19" fillId="0" borderId="32" xfId="0" applyFont="1" applyBorder="1" applyAlignment="1">
      <alignment horizontal="center" vertical="center" wrapText="1"/>
    </xf>
    <xf numFmtId="14" fontId="19" fillId="0" borderId="3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33" xfId="0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34" xfId="0" applyFont="1" applyBorder="1" applyAlignment="1">
      <alignment horizontal="center" vertical="center" wrapText="1"/>
    </xf>
    <xf numFmtId="20" fontId="0" fillId="0" borderId="34" xfId="0" applyNumberForma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14" fillId="2" borderId="34" xfId="0" applyFont="1" applyFill="1" applyBorder="1" applyAlignment="1">
      <alignment horizontal="center" vertical="center"/>
    </xf>
    <xf numFmtId="9" fontId="14" fillId="2" borderId="34" xfId="0" applyNumberFormat="1" applyFont="1" applyFill="1" applyBorder="1" applyAlignment="1">
      <alignment horizontal="center" vertical="center"/>
    </xf>
    <xf numFmtId="20" fontId="0" fillId="3" borderId="34" xfId="0" applyNumberFormat="1" applyFill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1" fillId="0" borderId="34" xfId="0" applyFont="1" applyBorder="1" applyAlignment="1">
      <alignment vertical="center"/>
    </xf>
    <xf numFmtId="0" fontId="14" fillId="0" borderId="34" xfId="0" applyFont="1" applyBorder="1" applyAlignment="1">
      <alignment wrapText="1"/>
    </xf>
    <xf numFmtId="20" fontId="32" fillId="0" borderId="34" xfId="0" applyNumberFormat="1" applyFont="1" applyBorder="1" applyAlignment="1">
      <alignment horizontal="center" vertical="center"/>
    </xf>
    <xf numFmtId="20" fontId="11" fillId="0" borderId="34" xfId="0" applyNumberFormat="1" applyFont="1" applyBorder="1" applyAlignment="1">
      <alignment vertical="center"/>
    </xf>
    <xf numFmtId="20" fontId="14" fillId="0" borderId="34" xfId="0" applyNumberFormat="1" applyFont="1" applyBorder="1" applyAlignment="1">
      <alignment vertical="center"/>
    </xf>
    <xf numFmtId="0" fontId="14" fillId="0" borderId="34" xfId="0" applyFont="1" applyBorder="1" applyAlignment="1">
      <alignment horizontal="center" vertical="center"/>
    </xf>
    <xf numFmtId="20" fontId="14" fillId="0" borderId="34" xfId="0" applyNumberFormat="1" applyFont="1" applyBorder="1" applyAlignment="1">
      <alignment horizontal="center" vertical="center"/>
    </xf>
    <xf numFmtId="9" fontId="14" fillId="0" borderId="34" xfId="4" applyFont="1" applyBorder="1" applyAlignment="1">
      <alignment horizontal="center" vertical="center"/>
    </xf>
    <xf numFmtId="9" fontId="14" fillId="0" borderId="34" xfId="0" applyNumberFormat="1" applyFont="1" applyBorder="1" applyAlignment="1">
      <alignment horizontal="center" vertical="center"/>
    </xf>
    <xf numFmtId="0" fontId="14" fillId="2" borderId="34" xfId="0" applyFont="1" applyFill="1" applyBorder="1" applyAlignment="1">
      <alignment vertical="center"/>
    </xf>
    <xf numFmtId="20" fontId="14" fillId="2" borderId="34" xfId="0" applyNumberFormat="1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20" fontId="11" fillId="2" borderId="34" xfId="0" applyNumberFormat="1" applyFont="1" applyFill="1" applyBorder="1" applyAlignment="1">
      <alignment vertical="center"/>
    </xf>
    <xf numFmtId="0" fontId="0" fillId="0" borderId="34" xfId="0" applyBorder="1" applyAlignment="1">
      <alignment horizontal="left" vertical="center"/>
    </xf>
    <xf numFmtId="20" fontId="33" fillId="0" borderId="13" xfId="0" applyNumberFormat="1" applyFont="1" applyBorder="1" applyAlignment="1">
      <alignment vertical="center"/>
    </xf>
    <xf numFmtId="49" fontId="0" fillId="0" borderId="34" xfId="0" applyNumberFormat="1" applyBorder="1" applyAlignment="1">
      <alignment vertical="center"/>
    </xf>
    <xf numFmtId="0" fontId="21" fillId="0" borderId="34" xfId="0" applyFont="1" applyBorder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35" fillId="0" borderId="34" xfId="0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 vertical="center" wrapText="1"/>
    </xf>
    <xf numFmtId="20" fontId="22" fillId="0" borderId="34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21" fillId="0" borderId="34" xfId="0" applyFont="1" applyBorder="1" applyAlignment="1">
      <alignment horizontal="right" vertical="center"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3" borderId="0" xfId="0" applyFill="1" applyAlignment="1">
      <alignment horizontal="center" wrapText="1"/>
    </xf>
    <xf numFmtId="20" fontId="0" fillId="3" borderId="0" xfId="0" applyNumberFormat="1" applyFill="1" applyAlignment="1">
      <alignment horizontal="center"/>
    </xf>
    <xf numFmtId="20" fontId="0" fillId="4" borderId="0" xfId="0" applyNumberFormat="1" applyFill="1"/>
    <xf numFmtId="20" fontId="0" fillId="3" borderId="0" xfId="0" applyNumberFormat="1" applyFill="1"/>
    <xf numFmtId="0" fontId="21" fillId="0" borderId="0" xfId="0" applyFont="1" applyAlignment="1">
      <alignment horizontal="center" vertical="center" wrapText="1"/>
    </xf>
    <xf numFmtId="0" fontId="37" fillId="0" borderId="34" xfId="0" applyFont="1" applyBorder="1" applyAlignment="1">
      <alignment vertical="center"/>
    </xf>
    <xf numFmtId="20" fontId="38" fillId="0" borderId="34" xfId="0" applyNumberFormat="1" applyFont="1" applyBorder="1" applyAlignment="1">
      <alignment horizontal="center" vertical="center"/>
    </xf>
    <xf numFmtId="20" fontId="37" fillId="0" borderId="34" xfId="0" applyNumberFormat="1" applyFont="1" applyBorder="1" applyAlignment="1">
      <alignment vertical="center"/>
    </xf>
    <xf numFmtId="1" fontId="0" fillId="0" borderId="0" xfId="0" applyNumberFormat="1" applyAlignment="1">
      <alignment vertical="center"/>
    </xf>
    <xf numFmtId="20" fontId="7" fillId="3" borderId="0" xfId="0" applyNumberFormat="1" applyFont="1" applyFill="1" applyAlignment="1">
      <alignment horizontal="center"/>
    </xf>
    <xf numFmtId="20" fontId="0" fillId="2" borderId="0" xfId="0" applyNumberFormat="1" applyFill="1" applyAlignment="1">
      <alignment wrapText="1"/>
    </xf>
    <xf numFmtId="0" fontId="11" fillId="0" borderId="34" xfId="0" applyFont="1" applyBorder="1" applyAlignment="1" applyProtection="1">
      <alignment horizontal="center" vertical="center" wrapText="1"/>
      <protection locked="0"/>
    </xf>
    <xf numFmtId="0" fontId="31" fillId="0" borderId="34" xfId="0" applyFont="1" applyBorder="1" applyAlignment="1" applyProtection="1">
      <alignment vertical="center" wrapText="1"/>
      <protection locked="0"/>
    </xf>
    <xf numFmtId="0" fontId="14" fillId="0" borderId="34" xfId="0" applyFont="1" applyBorder="1" applyAlignment="1" applyProtection="1">
      <alignment vertical="center" wrapText="1"/>
      <protection locked="0"/>
    </xf>
    <xf numFmtId="0" fontId="11" fillId="0" borderId="34" xfId="0" applyFont="1" applyBorder="1" applyAlignment="1" applyProtection="1">
      <alignment vertical="center"/>
      <protection locked="0"/>
    </xf>
    <xf numFmtId="20" fontId="14" fillId="0" borderId="34" xfId="0" applyNumberFormat="1" applyFont="1" applyBorder="1" applyAlignment="1" applyProtection="1">
      <alignment vertical="center"/>
      <protection locked="0"/>
    </xf>
    <xf numFmtId="1" fontId="14" fillId="0" borderId="34" xfId="0" applyNumberFormat="1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vertical="center"/>
      <protection locked="0"/>
    </xf>
    <xf numFmtId="20" fontId="14" fillId="2" borderId="34" xfId="0" applyNumberFormat="1" applyFont="1" applyFill="1" applyBorder="1" applyAlignment="1" applyProtection="1">
      <alignment vertical="center"/>
      <protection locked="0"/>
    </xf>
    <xf numFmtId="0" fontId="14" fillId="2" borderId="34" xfId="0" applyFont="1" applyFill="1" applyBorder="1" applyAlignment="1" applyProtection="1">
      <alignment vertical="center"/>
      <protection locked="0"/>
    </xf>
    <xf numFmtId="0" fontId="14" fillId="2" borderId="34" xfId="0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 vertical="center"/>
    </xf>
    <xf numFmtId="20" fontId="39" fillId="0" borderId="34" xfId="0" applyNumberFormat="1" applyFont="1" applyBorder="1" applyAlignment="1">
      <alignment vertical="center"/>
    </xf>
    <xf numFmtId="0" fontId="40" fillId="0" borderId="34" xfId="0" applyFont="1" applyBorder="1" applyAlignment="1">
      <alignment horizontal="right" vertical="center" wrapText="1"/>
    </xf>
    <xf numFmtId="20" fontId="41" fillId="0" borderId="34" xfId="0" applyNumberFormat="1" applyFont="1" applyBorder="1" applyAlignment="1">
      <alignment horizontal="center" vertical="center"/>
    </xf>
    <xf numFmtId="20" fontId="0" fillId="3" borderId="0" xfId="0" applyNumberFormat="1" applyFill="1" applyAlignment="1">
      <alignment wrapText="1"/>
    </xf>
    <xf numFmtId="0" fontId="37" fillId="2" borderId="34" xfId="0" applyFont="1" applyFill="1" applyBorder="1" applyAlignment="1">
      <alignment vertical="center"/>
    </xf>
    <xf numFmtId="20" fontId="38" fillId="2" borderId="34" xfId="0" applyNumberFormat="1" applyFont="1" applyFill="1" applyBorder="1" applyAlignment="1">
      <alignment horizontal="center" vertical="center"/>
    </xf>
    <xf numFmtId="1" fontId="14" fillId="2" borderId="34" xfId="0" applyNumberFormat="1" applyFont="1" applyFill="1" applyBorder="1" applyAlignment="1" applyProtection="1">
      <alignment horizontal="center" vertical="center"/>
      <protection locked="0"/>
    </xf>
    <xf numFmtId="1" fontId="11" fillId="0" borderId="34" xfId="0" applyNumberFormat="1" applyFont="1" applyBorder="1" applyAlignment="1" applyProtection="1">
      <alignment vertical="center" wrapText="1"/>
      <protection locked="0"/>
    </xf>
    <xf numFmtId="0" fontId="11" fillId="0" borderId="34" xfId="0" applyFont="1" applyBorder="1" applyAlignment="1" applyProtection="1">
      <alignment vertical="center" wrapText="1"/>
      <protection locked="0"/>
    </xf>
    <xf numFmtId="1" fontId="14" fillId="0" borderId="34" xfId="0" applyNumberFormat="1" applyFont="1" applyBorder="1" applyAlignment="1" applyProtection="1">
      <alignment vertical="center"/>
      <protection locked="0"/>
    </xf>
    <xf numFmtId="20" fontId="0" fillId="2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35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35" fillId="0" borderId="34" xfId="0" applyFont="1" applyBorder="1" applyAlignment="1">
      <alignment vertical="center" wrapText="1"/>
    </xf>
    <xf numFmtId="0" fontId="30" fillId="0" borderId="34" xfId="0" applyFont="1" applyBorder="1" applyAlignment="1">
      <alignment horizontal="left" vertical="center"/>
    </xf>
    <xf numFmtId="20" fontId="41" fillId="2" borderId="34" xfId="0" applyNumberFormat="1" applyFont="1" applyFill="1" applyBorder="1" applyAlignment="1">
      <alignment horizontal="center" vertical="center"/>
    </xf>
    <xf numFmtId="20" fontId="41" fillId="4" borderId="34" xfId="0" applyNumberFormat="1" applyFont="1" applyFill="1" applyBorder="1" applyAlignment="1">
      <alignment horizontal="center" vertical="center"/>
    </xf>
    <xf numFmtId="20" fontId="40" fillId="0" borderId="34" xfId="0" applyNumberFormat="1" applyFont="1" applyBorder="1" applyAlignment="1">
      <alignment horizontal="right" vertical="center" wrapText="1"/>
    </xf>
    <xf numFmtId="20" fontId="41" fillId="3" borderId="34" xfId="0" applyNumberFormat="1" applyFont="1" applyFill="1" applyBorder="1" applyAlignment="1">
      <alignment horizontal="center" vertical="center"/>
    </xf>
    <xf numFmtId="2" fontId="14" fillId="0" borderId="38" xfId="1" applyNumberFormat="1" applyFont="1" applyBorder="1" applyAlignment="1">
      <alignment horizontal="right" vertical="center"/>
    </xf>
    <xf numFmtId="0" fontId="0" fillId="0" borderId="33" xfId="0" applyBorder="1"/>
    <xf numFmtId="0" fontId="0" fillId="0" borderId="33" xfId="0" applyBorder="1" applyAlignment="1">
      <alignment wrapText="1"/>
    </xf>
    <xf numFmtId="49" fontId="10" fillId="0" borderId="33" xfId="1" applyNumberFormat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left" vertical="center" wrapText="1"/>
    </xf>
    <xf numFmtId="0" fontId="15" fillId="0" borderId="33" xfId="2" applyFont="1" applyFill="1" applyBorder="1" applyAlignment="1">
      <alignment horizontal="left" vertical="center" wrapText="1"/>
    </xf>
    <xf numFmtId="3" fontId="11" fillId="0" borderId="33" xfId="1" quotePrefix="1" applyNumberFormat="1" applyFont="1" applyBorder="1" applyAlignment="1">
      <alignment horizontal="left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right" vertical="center" wrapText="1"/>
    </xf>
    <xf numFmtId="14" fontId="11" fillId="0" borderId="33" xfId="1" applyNumberFormat="1" applyFont="1" applyBorder="1" applyAlignment="1">
      <alignment horizontal="right" vertical="center" wrapText="1"/>
    </xf>
    <xf numFmtId="0" fontId="13" fillId="0" borderId="33" xfId="2" applyFont="1" applyFill="1" applyBorder="1" applyAlignment="1">
      <alignment horizontal="left" vertical="center" wrapText="1"/>
    </xf>
    <xf numFmtId="14" fontId="0" fillId="0" borderId="33" xfId="0" applyNumberFormat="1" applyBorder="1"/>
    <xf numFmtId="0" fontId="12" fillId="0" borderId="33" xfId="2" applyFill="1" applyBorder="1" applyAlignment="1">
      <alignment horizontal="left" vertical="center" wrapText="1"/>
    </xf>
    <xf numFmtId="0" fontId="42" fillId="0" borderId="33" xfId="5" applyBorder="1"/>
    <xf numFmtId="0" fontId="11" fillId="0" borderId="33" xfId="1" quotePrefix="1" applyFont="1" applyBorder="1" applyAlignment="1">
      <alignment horizontal="left" vertical="center" wrapText="1"/>
    </xf>
    <xf numFmtId="0" fontId="42" fillId="0" borderId="33" xfId="5" applyFill="1" applyBorder="1" applyAlignment="1">
      <alignment horizontal="left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14" fillId="0" borderId="33" xfId="1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wrapText="1"/>
    </xf>
    <xf numFmtId="14" fontId="11" fillId="0" borderId="33" xfId="0" applyNumberFormat="1" applyFont="1" applyBorder="1" applyAlignment="1">
      <alignment horizontal="center" vertical="center" wrapText="1"/>
    </xf>
    <xf numFmtId="14" fontId="0" fillId="0" borderId="33" xfId="0" applyNumberFormat="1" applyBorder="1" applyAlignment="1">
      <alignment horizontal="center" vertical="center"/>
    </xf>
    <xf numFmtId="14" fontId="14" fillId="0" borderId="33" xfId="1" applyNumberFormat="1" applyFont="1" applyBorder="1" applyAlignment="1">
      <alignment horizontal="center" vertical="center"/>
    </xf>
    <xf numFmtId="0" fontId="0" fillId="0" borderId="33" xfId="0" applyBorder="1" applyAlignment="1">
      <alignment horizontal="right" wrapText="1"/>
    </xf>
    <xf numFmtId="0" fontId="34" fillId="0" borderId="33" xfId="0" applyFont="1" applyBorder="1"/>
    <xf numFmtId="0" fontId="43" fillId="0" borderId="33" xfId="1" applyFont="1" applyBorder="1" applyAlignment="1">
      <alignment horizontal="center" vertical="center" wrapText="1"/>
    </xf>
    <xf numFmtId="168" fontId="43" fillId="0" borderId="33" xfId="1" applyNumberFormat="1" applyFont="1" applyBorder="1" applyAlignment="1">
      <alignment horizontal="center" vertical="center" wrapText="1"/>
    </xf>
    <xf numFmtId="168" fontId="33" fillId="0" borderId="33" xfId="0" applyNumberFormat="1" applyFont="1" applyBorder="1" applyAlignment="1">
      <alignment horizontal="center" vertical="center"/>
    </xf>
    <xf numFmtId="168" fontId="33" fillId="0" borderId="33" xfId="0" applyNumberFormat="1" applyFont="1" applyBorder="1" applyAlignment="1">
      <alignment horizontal="center"/>
    </xf>
    <xf numFmtId="0" fontId="33" fillId="0" borderId="33" xfId="0" applyFont="1" applyBorder="1" applyAlignment="1">
      <alignment horizontal="center" vertical="center"/>
    </xf>
    <xf numFmtId="0" fontId="43" fillId="0" borderId="33" xfId="1" applyFont="1" applyBorder="1" applyAlignment="1">
      <alignment horizontal="center" vertical="center"/>
    </xf>
    <xf numFmtId="0" fontId="33" fillId="0" borderId="0" xfId="0" applyFont="1"/>
    <xf numFmtId="0" fontId="44" fillId="0" borderId="33" xfId="0" applyFont="1" applyBorder="1" applyAlignment="1">
      <alignment wrapText="1"/>
    </xf>
    <xf numFmtId="0" fontId="45" fillId="0" borderId="33" xfId="1" applyFont="1" applyBorder="1" applyAlignment="1">
      <alignment horizontal="left" vertical="center" wrapText="1"/>
    </xf>
    <xf numFmtId="168" fontId="46" fillId="0" borderId="33" xfId="1" applyNumberFormat="1" applyFont="1" applyBorder="1" applyAlignment="1">
      <alignment horizontal="center" vertical="center" wrapText="1"/>
    </xf>
    <xf numFmtId="0" fontId="45" fillId="0" borderId="33" xfId="1" applyFont="1" applyBorder="1" applyAlignment="1">
      <alignment horizontal="center" vertical="center" wrapText="1"/>
    </xf>
    <xf numFmtId="0" fontId="45" fillId="0" borderId="33" xfId="1" applyFont="1" applyBorder="1" applyAlignment="1">
      <alignment horizontal="right" vertical="center" wrapText="1"/>
    </xf>
    <xf numFmtId="14" fontId="45" fillId="0" borderId="33" xfId="1" applyNumberFormat="1" applyFont="1" applyBorder="1" applyAlignment="1">
      <alignment horizontal="right" vertical="center" wrapText="1"/>
    </xf>
    <xf numFmtId="0" fontId="46" fillId="0" borderId="33" xfId="1" applyFont="1" applyBorder="1" applyAlignment="1">
      <alignment horizontal="center" vertical="center" wrapText="1"/>
    </xf>
    <xf numFmtId="14" fontId="47" fillId="0" borderId="33" xfId="1" applyNumberFormat="1" applyFont="1" applyBorder="1" applyAlignment="1">
      <alignment horizontal="center" vertical="center" wrapText="1"/>
    </xf>
    <xf numFmtId="0" fontId="44" fillId="0" borderId="33" xfId="0" applyFont="1" applyBorder="1" applyAlignment="1">
      <alignment vertical="center" wrapText="1"/>
    </xf>
    <xf numFmtId="0" fontId="48" fillId="0" borderId="33" xfId="2" applyFont="1" applyFill="1" applyBorder="1" applyAlignment="1">
      <alignment horizontal="left" vertical="center" wrapText="1"/>
    </xf>
    <xf numFmtId="3" fontId="45" fillId="0" borderId="33" xfId="1" quotePrefix="1" applyNumberFormat="1" applyFont="1" applyBorder="1" applyAlignment="1">
      <alignment horizontal="left" vertical="center" wrapText="1"/>
    </xf>
    <xf numFmtId="14" fontId="49" fillId="0" borderId="33" xfId="1" applyNumberFormat="1" applyFont="1" applyBorder="1" applyAlignment="1">
      <alignment horizontal="center" vertical="center" wrapText="1"/>
    </xf>
    <xf numFmtId="0" fontId="21" fillId="0" borderId="35" xfId="0" applyFont="1" applyBorder="1" applyAlignment="1">
      <alignment horizontal="left" vertical="center"/>
    </xf>
    <xf numFmtId="0" fontId="0" fillId="0" borderId="40" xfId="0" applyBorder="1" applyAlignment="1">
      <alignment vertical="center"/>
    </xf>
    <xf numFmtId="20" fontId="50" fillId="0" borderId="34" xfId="0" applyNumberFormat="1" applyFont="1" applyBorder="1" applyAlignment="1">
      <alignment vertical="center"/>
    </xf>
    <xf numFmtId="0" fontId="30" fillId="5" borderId="34" xfId="0" applyFont="1" applyFill="1" applyBorder="1" applyAlignment="1">
      <alignment horizontal="left" vertical="center"/>
    </xf>
    <xf numFmtId="20" fontId="41" fillId="5" borderId="34" xfId="0" applyNumberFormat="1" applyFont="1" applyFill="1" applyBorder="1" applyAlignment="1">
      <alignment horizontal="center" vertical="center"/>
    </xf>
    <xf numFmtId="0" fontId="40" fillId="5" borderId="34" xfId="0" applyFont="1" applyFill="1" applyBorder="1" applyAlignment="1">
      <alignment horizontal="right" vertical="center" wrapText="1"/>
    </xf>
    <xf numFmtId="20" fontId="39" fillId="5" borderId="34" xfId="0" applyNumberFormat="1" applyFont="1" applyFill="1" applyBorder="1" applyAlignment="1">
      <alignment vertical="center"/>
    </xf>
    <xf numFmtId="20" fontId="22" fillId="5" borderId="34" xfId="0" applyNumberFormat="1" applyFont="1" applyFill="1" applyBorder="1" applyAlignment="1">
      <alignment vertical="center"/>
    </xf>
    <xf numFmtId="0" fontId="21" fillId="5" borderId="34" xfId="0" applyFont="1" applyFill="1" applyBorder="1" applyAlignment="1">
      <alignment horizontal="center" vertical="center" wrapText="1"/>
    </xf>
    <xf numFmtId="20" fontId="0" fillId="5" borderId="34" xfId="0" applyNumberFormat="1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17" fontId="36" fillId="0" borderId="0" xfId="0" applyNumberFormat="1" applyFont="1" applyAlignment="1">
      <alignment vertical="center"/>
    </xf>
    <xf numFmtId="20" fontId="22" fillId="0" borderId="34" xfId="0" applyNumberFormat="1" applyFont="1" applyBorder="1" applyAlignment="1">
      <alignment horizontal="center" vertical="center"/>
    </xf>
    <xf numFmtId="20" fontId="22" fillId="5" borderId="34" xfId="0" applyNumberFormat="1" applyFont="1" applyFill="1" applyBorder="1" applyAlignment="1">
      <alignment horizontal="center" vertical="center"/>
    </xf>
    <xf numFmtId="20" fontId="40" fillId="5" borderId="34" xfId="0" applyNumberFormat="1" applyFont="1" applyFill="1" applyBorder="1" applyAlignment="1">
      <alignment horizontal="right" vertical="center" wrapText="1"/>
    </xf>
    <xf numFmtId="0" fontId="42" fillId="0" borderId="33" xfId="5" applyBorder="1" applyAlignment="1">
      <alignment wrapText="1"/>
    </xf>
    <xf numFmtId="0" fontId="0" fillId="0" borderId="33" xfId="0" quotePrefix="1" applyBorder="1"/>
    <xf numFmtId="0" fontId="0" fillId="0" borderId="33" xfId="0" applyBorder="1" applyAlignment="1">
      <alignment horizontal="center" vertical="center" wrapText="1"/>
    </xf>
    <xf numFmtId="0" fontId="33" fillId="0" borderId="33" xfId="0" applyFont="1" applyBorder="1" applyAlignment="1">
      <alignment horizontal="center" wrapText="1"/>
    </xf>
    <xf numFmtId="1" fontId="14" fillId="2" borderId="34" xfId="0" applyNumberFormat="1" applyFont="1" applyFill="1" applyBorder="1" applyAlignment="1" applyProtection="1">
      <alignment vertical="center"/>
      <protection locked="0"/>
    </xf>
    <xf numFmtId="0" fontId="11" fillId="2" borderId="34" xfId="0" applyFont="1" applyFill="1" applyBorder="1" applyAlignment="1" applyProtection="1">
      <alignment vertical="center"/>
      <protection locked="0"/>
    </xf>
    <xf numFmtId="0" fontId="5" fillId="2" borderId="34" xfId="0" applyFont="1" applyFill="1" applyBorder="1" applyAlignment="1">
      <alignment vertical="center"/>
    </xf>
    <xf numFmtId="20" fontId="32" fillId="2" borderId="34" xfId="0" applyNumberFormat="1" applyFont="1" applyFill="1" applyBorder="1" applyAlignment="1">
      <alignment horizontal="center" vertical="center"/>
    </xf>
    <xf numFmtId="20" fontId="14" fillId="2" borderId="34" xfId="0" applyNumberFormat="1" applyFont="1" applyFill="1" applyBorder="1" applyAlignment="1">
      <alignment vertical="center"/>
    </xf>
    <xf numFmtId="1" fontId="14" fillId="2" borderId="34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36" fillId="0" borderId="41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169" fontId="0" fillId="0" borderId="14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3" borderId="7" xfId="0" applyFill="1" applyBorder="1"/>
    <xf numFmtId="0" fontId="0" fillId="3" borderId="8" xfId="0" applyFill="1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6" fontId="0" fillId="0" borderId="0" xfId="0" applyNumberFormat="1"/>
    <xf numFmtId="166" fontId="0" fillId="0" borderId="0" xfId="0" applyNumberFormat="1"/>
    <xf numFmtId="9" fontId="0" fillId="0" borderId="0" xfId="4" applyFont="1"/>
    <xf numFmtId="170" fontId="0" fillId="0" borderId="0" xfId="0" applyNumberFormat="1"/>
    <xf numFmtId="2" fontId="0" fillId="0" borderId="0" xfId="0" applyNumberFormat="1"/>
    <xf numFmtId="171" fontId="0" fillId="0" borderId="10" xfId="0" applyNumberFormat="1" applyBorder="1"/>
    <xf numFmtId="171" fontId="0" fillId="0" borderId="0" xfId="0" applyNumberFormat="1"/>
    <xf numFmtId="164" fontId="0" fillId="6" borderId="0" xfId="0" applyNumberFormat="1" applyFill="1"/>
    <xf numFmtId="2" fontId="0" fillId="0" borderId="10" xfId="0" applyNumberFormat="1" applyBorder="1"/>
    <xf numFmtId="8" fontId="0" fillId="0" borderId="10" xfId="0" applyNumberFormat="1" applyBorder="1"/>
    <xf numFmtId="8" fontId="0" fillId="0" borderId="9" xfId="0" applyNumberFormat="1" applyBorder="1"/>
    <xf numFmtId="8" fontId="0" fillId="0" borderId="0" xfId="0" applyNumberFormat="1"/>
    <xf numFmtId="171" fontId="0" fillId="0" borderId="9" xfId="0" applyNumberFormat="1" applyBorder="1"/>
    <xf numFmtId="8" fontId="0" fillId="0" borderId="4" xfId="0" applyNumberFormat="1" applyBorder="1"/>
    <xf numFmtId="8" fontId="0" fillId="0" borderId="5" xfId="0" applyNumberFormat="1" applyBorder="1"/>
    <xf numFmtId="8" fontId="0" fillId="0" borderId="6" xfId="0" applyNumberFormat="1" applyBorder="1"/>
    <xf numFmtId="171" fontId="0" fillId="0" borderId="4" xfId="0" applyNumberFormat="1" applyBorder="1"/>
    <xf numFmtId="171" fontId="0" fillId="0" borderId="5" xfId="0" applyNumberFormat="1" applyBorder="1"/>
    <xf numFmtId="171" fontId="0" fillId="0" borderId="6" xfId="0" applyNumberFormat="1" applyBorder="1"/>
    <xf numFmtId="8" fontId="0" fillId="0" borderId="1" xfId="0" applyNumberFormat="1" applyBorder="1"/>
    <xf numFmtId="8" fontId="0" fillId="0" borderId="2" xfId="0" applyNumberFormat="1" applyBorder="1"/>
    <xf numFmtId="10" fontId="0" fillId="0" borderId="5" xfId="0" applyNumberFormat="1" applyBorder="1"/>
    <xf numFmtId="172" fontId="7" fillId="0" borderId="0" xfId="0" applyNumberFormat="1" applyFont="1"/>
    <xf numFmtId="1" fontId="7" fillId="0" borderId="0" xfId="0" applyNumberFormat="1" applyFont="1"/>
    <xf numFmtId="9" fontId="0" fillId="0" borderId="0" xfId="0" applyNumberFormat="1"/>
    <xf numFmtId="164" fontId="0" fillId="0" borderId="0" xfId="0" applyNumberFormat="1" applyAlignment="1">
      <alignment horizontal="center" vertical="center"/>
    </xf>
    <xf numFmtId="172" fontId="0" fillId="0" borderId="0" xfId="0" applyNumberFormat="1"/>
    <xf numFmtId="0" fontId="0" fillId="0" borderId="42" xfId="0" applyBorder="1"/>
    <xf numFmtId="171" fontId="0" fillId="0" borderId="42" xfId="0" applyNumberFormat="1" applyBorder="1"/>
    <xf numFmtId="171" fontId="0" fillId="0" borderId="43" xfId="0" applyNumberFormat="1" applyBorder="1"/>
    <xf numFmtId="171" fontId="0" fillId="0" borderId="44" xfId="0" applyNumberFormat="1" applyBorder="1"/>
    <xf numFmtId="0" fontId="0" fillId="0" borderId="45" xfId="0" applyBorder="1"/>
    <xf numFmtId="171" fontId="0" fillId="0" borderId="45" xfId="0" applyNumberFormat="1" applyBorder="1"/>
    <xf numFmtId="171" fontId="0" fillId="0" borderId="46" xfId="0" applyNumberFormat="1" applyBorder="1"/>
    <xf numFmtId="0" fontId="14" fillId="3" borderId="9" xfId="0" applyFont="1" applyFill="1" applyBorder="1"/>
    <xf numFmtId="0" fontId="14" fillId="3" borderId="0" xfId="0" applyFont="1" applyFill="1"/>
    <xf numFmtId="0" fontId="0" fillId="3" borderId="0" xfId="0" applyFill="1"/>
    <xf numFmtId="20" fontId="7" fillId="0" borderId="0" xfId="0" applyNumberFormat="1" applyFont="1"/>
    <xf numFmtId="20" fontId="11" fillId="0" borderId="34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/>
    <xf numFmtId="20" fontId="7" fillId="3" borderId="0" xfId="0" applyNumberFormat="1" applyFont="1" applyFill="1"/>
    <xf numFmtId="0" fontId="30" fillId="3" borderId="34" xfId="0" applyFont="1" applyFill="1" applyBorder="1" applyAlignment="1">
      <alignment horizontal="left" vertical="center"/>
    </xf>
    <xf numFmtId="0" fontId="40" fillId="3" borderId="34" xfId="0" applyFont="1" applyFill="1" applyBorder="1" applyAlignment="1">
      <alignment horizontal="right" vertical="center" wrapText="1"/>
    </xf>
    <xf numFmtId="20" fontId="39" fillId="3" borderId="34" xfId="0" applyNumberFormat="1" applyFont="1" applyFill="1" applyBorder="1" applyAlignment="1">
      <alignment vertical="center"/>
    </xf>
    <xf numFmtId="20" fontId="22" fillId="3" borderId="34" xfId="0" applyNumberFormat="1" applyFon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" fontId="36" fillId="0" borderId="41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6" fontId="0" fillId="0" borderId="7" xfId="0" applyNumberFormat="1" applyBorder="1" applyAlignment="1">
      <alignment vertical="center"/>
    </xf>
    <xf numFmtId="6" fontId="0" fillId="0" borderId="8" xfId="0" applyNumberForma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</cellXfs>
  <cellStyles count="6">
    <cellStyle name="Lien hypertexte" xfId="5" builtinId="8"/>
    <cellStyle name="Lien hypertexte 2" xfId="2" xr:uid="{CB9192C5-247C-4657-B0D4-03DB6A1A6610}"/>
    <cellStyle name="Normal" xfId="0" builtinId="0"/>
    <cellStyle name="Normal 2" xfId="1" xr:uid="{06D7257F-227E-451F-9208-6F80BE8BA3D5}"/>
    <cellStyle name="Normal 2 2" xfId="3" xr:uid="{06D3C21D-69BA-429C-A037-C293BC293F29}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OMPTA/CADEMA%20N&#176;%202%20CARIBUS/VDEF-v11032026-estimation%20charge%20%20ligne%203%20et%204%20CADEMA2V022026.xlsx" TargetMode="External"/><Relationship Id="rId2" Type="http://schemas.openxmlformats.org/officeDocument/2006/relationships/externalLinkPath" Target="https://taxivanille.sharepoint.com/sites/GPE-TAXIVANILLE/GPETAXIVANILLE/PROD/COMPTA/CADEMA%20N&#176;%202%20CARIBUS/VDEF-v11032026-estimation%20charge%20%20ligne%203%20et%204%20CADEMA2V022026.xlsx" TargetMode="External"/><Relationship Id="rId1" Type="http://schemas.openxmlformats.org/officeDocument/2006/relationships/externalLinkPath" Target="/sites/GPE-TAXIVANILLE/GPETAXIVANILLE/PROD/COMPTA/CADEMA%20N&#176;%202%20CARIBUS/VDEF-v11032026-estimation%20charge%20%20ligne%203%20et%204%20CADEMA2V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e chauffeurs"/>
      <sheetName val="PLANNING GENERAL"/>
      <sheetName val="TARIF"/>
      <sheetName val="Organisation L3"/>
      <sheetName val="Recap par chauffeur K3"/>
      <sheetName val="Organisation L4"/>
      <sheetName val="Recap par chauffeur-L4"/>
      <sheetName val="Lot3-Ligne4"/>
      <sheetName val="Synthsemaine"/>
      <sheetName val="Synthsamedi"/>
      <sheetName val="syntdimanche"/>
      <sheetName val="Synthligne4"/>
      <sheetName val="recap ligne 4"/>
      <sheetName val="recap ligne 3"/>
      <sheetName val="recap ligne 3+4"/>
      <sheetName val="Lot3-Ligne 3"/>
      <sheetName val="SynthsemaineL3"/>
      <sheetName val="SynthsamediL3"/>
      <sheetName val="syntdimancheL3"/>
      <sheetName val="Synthligne3=Lot3 "/>
      <sheetName val="Calcul prix unitaires"/>
      <sheetName val="Feuil1"/>
      <sheetName val="Feuil2"/>
      <sheetName val="Graphique"/>
      <sheetName val="Feuil3"/>
      <sheetName val="Ligne3=Lot3 (2)"/>
      <sheetName val="SynthsemaineL3 (2)"/>
      <sheetName val="Ligne3=Lot3-2027"/>
      <sheetName val="SynthsemaineL3-20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21">
          <cell r="M121">
            <v>0.20833333333333334</v>
          </cell>
        </row>
        <row r="122">
          <cell r="M122">
            <v>10.355555555555554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2</v>
          </cell>
          <cell r="G137">
            <v>0</v>
          </cell>
          <cell r="H137">
            <v>0</v>
          </cell>
          <cell r="I137">
            <v>4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9">
          <cell r="V139">
            <v>1880</v>
          </cell>
        </row>
        <row r="141">
          <cell r="G141">
            <v>17</v>
          </cell>
        </row>
        <row r="153">
          <cell r="A153">
            <v>13.5</v>
          </cell>
        </row>
        <row r="155">
          <cell r="A155">
            <v>4</v>
          </cell>
        </row>
        <row r="156">
          <cell r="A156">
            <v>15</v>
          </cell>
        </row>
      </sheetData>
      <sheetData sheetId="9">
        <row r="59">
          <cell r="C59">
            <v>0.30208333333333359</v>
          </cell>
          <cell r="D59">
            <v>0.30208333333333331</v>
          </cell>
          <cell r="E59">
            <v>0.28125000000000056</v>
          </cell>
          <cell r="F59">
            <v>0.30208333333333359</v>
          </cell>
          <cell r="G59">
            <v>0</v>
          </cell>
          <cell r="H59">
            <v>0.41666666666666669</v>
          </cell>
        </row>
        <row r="62">
          <cell r="G62">
            <v>0</v>
          </cell>
        </row>
        <row r="64">
          <cell r="L64">
            <v>1060</v>
          </cell>
        </row>
        <row r="67">
          <cell r="G67">
            <v>0</v>
          </cell>
        </row>
      </sheetData>
      <sheetData sheetId="10">
        <row r="46">
          <cell r="C46">
            <v>0.21874999999999822</v>
          </cell>
          <cell r="D46">
            <v>0</v>
          </cell>
          <cell r="E46">
            <v>0.23958333333333365</v>
          </cell>
          <cell r="F46">
            <v>0.41666666666666669</v>
          </cell>
        </row>
        <row r="51">
          <cell r="S51">
            <v>670</v>
          </cell>
        </row>
        <row r="53">
          <cell r="D53">
            <v>0</v>
          </cell>
          <cell r="G53">
            <v>0</v>
          </cell>
        </row>
        <row r="59">
          <cell r="A59">
            <v>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lsalimhamada@hotmail.com" TargetMode="External"/><Relationship Id="rId13" Type="http://schemas.openxmlformats.org/officeDocument/2006/relationships/hyperlink" Target="mailto:aattoumani.bacar@gmail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ambdihoumadi976@gmail.com" TargetMode="External"/><Relationship Id="rId7" Type="http://schemas.openxmlformats.org/officeDocument/2006/relationships/hyperlink" Target="mailto:combosaid5@gmail.cpm" TargetMode="External"/><Relationship Id="rId12" Type="http://schemas.openxmlformats.org/officeDocument/2006/relationships/hyperlink" Target="mailto:achiraffis@gmail.com" TargetMode="External"/><Relationship Id="rId17" Type="http://schemas.openxmlformats.org/officeDocument/2006/relationships/hyperlink" Target="mailto:dhurari.transport@gmail.com" TargetMode="External"/><Relationship Id="rId2" Type="http://schemas.openxmlformats.org/officeDocument/2006/relationships/hyperlink" Target="mailto:zoubert.adinani2@gmail.com" TargetMode="External"/><Relationship Id="rId16" Type="http://schemas.openxmlformats.org/officeDocument/2006/relationships/hyperlink" Target="mailto:maanroufsandi@laposte.net" TargetMode="External"/><Relationship Id="rId1" Type="http://schemas.openxmlformats.org/officeDocument/2006/relationships/hyperlink" Target="mailto:abdouminihadjiamada@hotmail.com" TargetMode="External"/><Relationship Id="rId6" Type="http://schemas.openxmlformats.org/officeDocument/2006/relationships/hyperlink" Target="mailto:wonamaore@gmail.com" TargetMode="External"/><Relationship Id="rId11" Type="http://schemas.openxmlformats.org/officeDocument/2006/relationships/hyperlink" Target="mailto:toumboutoibourani@outlook.fr" TargetMode="External"/><Relationship Id="rId5" Type="http://schemas.openxmlformats.org/officeDocument/2006/relationships/hyperlink" Target="mailto:ambdihoumadi976@gmail.com" TargetMode="External"/><Relationship Id="rId15" Type="http://schemas.openxmlformats.org/officeDocument/2006/relationships/hyperlink" Target="mailto:enlymoissuli@gmail.com" TargetMode="External"/><Relationship Id="rId10" Type="http://schemas.openxmlformats.org/officeDocument/2006/relationships/hyperlink" Target="mailto:soulaousseni415@gmail.com" TargetMode="External"/><Relationship Id="rId4" Type="http://schemas.openxmlformats.org/officeDocument/2006/relationships/hyperlink" Target="mailto:stt653182@hotmail.com" TargetMode="External"/><Relationship Id="rId9" Type="http://schemas.openxmlformats.org/officeDocument/2006/relationships/hyperlink" Target="mailto:Hadhuramimakinedine976@gmail.com" TargetMode="External"/><Relationship Id="rId14" Type="http://schemas.openxmlformats.org/officeDocument/2006/relationships/hyperlink" Target="mailto:madiboinamkidachi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tt653182@hotmail.com" TargetMode="External"/><Relationship Id="rId13" Type="http://schemas.openxmlformats.org/officeDocument/2006/relationships/hyperlink" Target="mailto:barakasoumaila6@gmail.com" TargetMode="External"/><Relationship Id="rId18" Type="http://schemas.openxmlformats.org/officeDocument/2006/relationships/hyperlink" Target="mailto:elsalimhamada@hotmail.com" TargetMode="External"/><Relationship Id="rId3" Type="http://schemas.openxmlformats.org/officeDocument/2006/relationships/hyperlink" Target="mailto:wonamaore@gmail.com" TargetMode="External"/><Relationship Id="rId21" Type="http://schemas.openxmlformats.org/officeDocument/2006/relationships/hyperlink" Target="mailto:abdouminihadjiamada@hotmail.com" TargetMode="External"/><Relationship Id="rId7" Type="http://schemas.openxmlformats.org/officeDocument/2006/relationships/hyperlink" Target="mailto:madiboinamkidachi@hotmail.com" TargetMode="External"/><Relationship Id="rId12" Type="http://schemas.openxmlformats.org/officeDocument/2006/relationships/hyperlink" Target="mailto:abdouminihadjiamada@hotmail.com" TargetMode="External"/><Relationship Id="rId17" Type="http://schemas.openxmlformats.org/officeDocument/2006/relationships/hyperlink" Target="mailto:kaquicha.habiba.assia@gmail.com" TargetMode="External"/><Relationship Id="rId25" Type="http://schemas.openxmlformats.org/officeDocument/2006/relationships/printerSettings" Target="../printerSettings/printerSettings11.bin"/><Relationship Id="rId2" Type="http://schemas.openxmlformats.org/officeDocument/2006/relationships/hyperlink" Target="mailto:soulaousseni415@gmail.com" TargetMode="External"/><Relationship Id="rId16" Type="http://schemas.openxmlformats.org/officeDocument/2006/relationships/hyperlink" Target="mailto:ahamadi.rahim@gmail.com" TargetMode="External"/><Relationship Id="rId20" Type="http://schemas.openxmlformats.org/officeDocument/2006/relationships/hyperlink" Target="mailto:elsalimhamada@hotmail.com" TargetMode="External"/><Relationship Id="rId1" Type="http://schemas.openxmlformats.org/officeDocument/2006/relationships/hyperlink" Target="mailto:abdouminihadjiamada@hotmail.com" TargetMode="External"/><Relationship Id="rId6" Type="http://schemas.openxmlformats.org/officeDocument/2006/relationships/hyperlink" Target="mailto:Hadhuramimakinedine976@gmail.com" TargetMode="External"/><Relationship Id="rId11" Type="http://schemas.openxmlformats.org/officeDocument/2006/relationships/hyperlink" Target="mailto:bmiradjy.issouf@gmail.com" TargetMode="External"/><Relationship Id="rId24" Type="http://schemas.openxmlformats.org/officeDocument/2006/relationships/hyperlink" Target="mailto:ahamadilaydine@gmail.com" TargetMode="External"/><Relationship Id="rId5" Type="http://schemas.openxmlformats.org/officeDocument/2006/relationships/hyperlink" Target="mailto:ambdihoumadi976@gmail.com" TargetMode="External"/><Relationship Id="rId15" Type="http://schemas.openxmlformats.org/officeDocument/2006/relationships/hyperlink" Target="mailto:Hadhuramimakinedine976@gmail.com" TargetMode="External"/><Relationship Id="rId23" Type="http://schemas.openxmlformats.org/officeDocument/2006/relationships/hyperlink" Target="mailto:elsalimhamada@hotmail.com" TargetMode="External"/><Relationship Id="rId10" Type="http://schemas.openxmlformats.org/officeDocument/2006/relationships/hyperlink" Target="mailto:samirahanie1@gmail.com" TargetMode="External"/><Relationship Id="rId19" Type="http://schemas.openxmlformats.org/officeDocument/2006/relationships/hyperlink" Target="mailto:wonamaore@gmail.com" TargetMode="External"/><Relationship Id="rId4" Type="http://schemas.openxmlformats.org/officeDocument/2006/relationships/hyperlink" Target="mailto:combosaid5@gmail.cpm" TargetMode="External"/><Relationship Id="rId9" Type="http://schemas.openxmlformats.org/officeDocument/2006/relationships/hyperlink" Target="mailto:barakasoumaila6@gmail.com" TargetMode="External"/><Relationship Id="rId14" Type="http://schemas.openxmlformats.org/officeDocument/2006/relationships/hyperlink" Target="mailto:soulaousseni415@gmail.com" TargetMode="External"/><Relationship Id="rId22" Type="http://schemas.openxmlformats.org/officeDocument/2006/relationships/hyperlink" Target="mailto:elsalimhamada@hot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62F8-D110-43B8-A463-D1A8B7712205}">
  <sheetPr>
    <pageSetUpPr fitToPage="1"/>
  </sheetPr>
  <dimension ref="A3:U49"/>
  <sheetViews>
    <sheetView workbookViewId="0">
      <selection activeCell="B3" sqref="B3"/>
    </sheetView>
  </sheetViews>
  <sheetFormatPr baseColWidth="10" defaultRowHeight="14.25" x14ac:dyDescent="0.45"/>
  <cols>
    <col min="1" max="1" width="11.796875" customWidth="1"/>
    <col min="2" max="2" width="13.796875" bestFit="1" customWidth="1"/>
    <col min="8" max="8" width="10.796875" hidden="1" customWidth="1"/>
    <col min="12" max="12" width="10.796875" hidden="1" customWidth="1"/>
    <col min="16" max="16" width="10.796875" hidden="1" customWidth="1"/>
    <col min="18" max="18" width="0" hidden="1" customWidth="1"/>
    <col min="20" max="20" width="34.796875" customWidth="1"/>
  </cols>
  <sheetData>
    <row r="3" spans="1:21" x14ac:dyDescent="0.45">
      <c r="A3" t="s">
        <v>14</v>
      </c>
      <c r="B3" s="63"/>
      <c r="C3" s="20"/>
    </row>
    <row r="4" spans="1:21" x14ac:dyDescent="0.45">
      <c r="A4" t="s">
        <v>13</v>
      </c>
      <c r="B4" s="21"/>
      <c r="C4" s="20"/>
    </row>
    <row r="6" spans="1:21" x14ac:dyDescent="0.45">
      <c r="A6" s="7"/>
      <c r="B6" s="9"/>
      <c r="C6" s="9"/>
      <c r="D6" s="10"/>
      <c r="E6" s="489" t="s">
        <v>2</v>
      </c>
      <c r="F6" s="490"/>
      <c r="G6" s="491"/>
      <c r="H6" s="1"/>
      <c r="I6" s="489" t="s">
        <v>6</v>
      </c>
      <c r="J6" s="490"/>
      <c r="K6" s="491"/>
      <c r="L6" s="1"/>
      <c r="M6" s="489" t="s">
        <v>7</v>
      </c>
      <c r="N6" s="490"/>
      <c r="O6" s="491"/>
      <c r="P6" s="1"/>
      <c r="Q6" s="13" t="s">
        <v>11</v>
      </c>
      <c r="R6" s="12"/>
      <c r="S6" s="10"/>
      <c r="T6" s="7"/>
      <c r="U6" s="5"/>
    </row>
    <row r="7" spans="1:21" ht="42.75" x14ac:dyDescent="0.45">
      <c r="A7" s="8"/>
      <c r="B7" s="3" t="s">
        <v>0</v>
      </c>
      <c r="C7" s="18" t="s">
        <v>1</v>
      </c>
      <c r="D7" s="4" t="s">
        <v>3</v>
      </c>
      <c r="E7" s="2" t="s">
        <v>3</v>
      </c>
      <c r="F7" s="18" t="s">
        <v>4</v>
      </c>
      <c r="G7" s="4" t="s">
        <v>5</v>
      </c>
      <c r="H7" s="3" t="s">
        <v>19</v>
      </c>
      <c r="I7" s="2" t="s">
        <v>3</v>
      </c>
      <c r="J7" s="18" t="s">
        <v>4</v>
      </c>
      <c r="K7" s="4" t="s">
        <v>9</v>
      </c>
      <c r="L7" s="3" t="s">
        <v>19</v>
      </c>
      <c r="M7" s="2" t="s">
        <v>3</v>
      </c>
      <c r="N7" s="18" t="s">
        <v>4</v>
      </c>
      <c r="O7" s="4" t="s">
        <v>10</v>
      </c>
      <c r="P7" s="3" t="s">
        <v>19</v>
      </c>
      <c r="Q7" s="2" t="s">
        <v>4</v>
      </c>
      <c r="R7" s="3"/>
      <c r="S7" s="4" t="s">
        <v>17</v>
      </c>
      <c r="T7" s="8" t="s">
        <v>12</v>
      </c>
      <c r="U7" s="6" t="s">
        <v>20</v>
      </c>
    </row>
    <row r="8" spans="1:21" ht="40.049999999999997" customHeight="1" x14ac:dyDescent="0.45">
      <c r="A8" s="14" t="s">
        <v>8</v>
      </c>
      <c r="B8" s="35">
        <v>0.20833333333333334</v>
      </c>
      <c r="C8" s="36"/>
      <c r="D8" s="40"/>
      <c r="E8" s="26"/>
      <c r="F8" s="27"/>
      <c r="G8" s="44"/>
      <c r="H8" s="35">
        <f>G8-C8</f>
        <v>0</v>
      </c>
      <c r="I8" s="26"/>
      <c r="J8" s="27"/>
      <c r="K8" s="44"/>
      <c r="L8" s="35">
        <f>K8-G8</f>
        <v>0</v>
      </c>
      <c r="M8" s="26"/>
      <c r="N8" s="27"/>
      <c r="O8" s="44"/>
      <c r="P8" s="35">
        <f>O8-K8</f>
        <v>0</v>
      </c>
      <c r="Q8" s="26"/>
      <c r="R8" s="32" t="str">
        <f>IF(D8+E8-F8+I8-J8+M8-N8=Q8,"OK",D8+E8-F8+I8-J8+M8-N8-Q8)</f>
        <v>OK</v>
      </c>
      <c r="S8" s="44"/>
      <c r="T8" s="14"/>
      <c r="U8" s="44">
        <f>S8-C8</f>
        <v>0</v>
      </c>
    </row>
    <row r="9" spans="1:21" ht="40.049999999999997" customHeight="1" x14ac:dyDescent="0.45">
      <c r="A9" s="14" t="s">
        <v>8</v>
      </c>
      <c r="B9" s="35">
        <v>0.21527777777777779</v>
      </c>
      <c r="C9" s="36"/>
      <c r="D9" s="40"/>
      <c r="E9" s="26"/>
      <c r="F9" s="27"/>
      <c r="G9" s="44"/>
      <c r="H9" s="35">
        <f t="shared" ref="H9:H46" si="0">G9-C9</f>
        <v>0</v>
      </c>
      <c r="I9" s="26"/>
      <c r="J9" s="27"/>
      <c r="K9" s="44"/>
      <c r="L9" s="35">
        <f t="shared" ref="L9:L26" si="1">K9-G9</f>
        <v>0</v>
      </c>
      <c r="M9" s="26"/>
      <c r="N9" s="27"/>
      <c r="O9" s="44"/>
      <c r="P9" s="35">
        <f t="shared" ref="P9:P26" si="2">O9-K9</f>
        <v>0</v>
      </c>
      <c r="Q9" s="26"/>
      <c r="R9" s="32"/>
      <c r="S9" s="44"/>
      <c r="T9" s="14"/>
      <c r="U9" s="44">
        <f t="shared" ref="U9:U46" si="3">S9-C9</f>
        <v>0</v>
      </c>
    </row>
    <row r="10" spans="1:21" ht="40.049999999999997" customHeight="1" x14ac:dyDescent="0.45">
      <c r="A10" s="14" t="s">
        <v>8</v>
      </c>
      <c r="B10" s="35">
        <v>0.22222222222222199</v>
      </c>
      <c r="C10" s="36"/>
      <c r="D10" s="40"/>
      <c r="E10" s="26"/>
      <c r="F10" s="27"/>
      <c r="G10" s="44"/>
      <c r="H10" s="35">
        <f t="shared" si="0"/>
        <v>0</v>
      </c>
      <c r="I10" s="26"/>
      <c r="J10" s="27"/>
      <c r="K10" s="44"/>
      <c r="L10" s="35">
        <f t="shared" si="1"/>
        <v>0</v>
      </c>
      <c r="M10" s="26"/>
      <c r="N10" s="27"/>
      <c r="O10" s="44"/>
      <c r="P10" s="35">
        <f t="shared" si="2"/>
        <v>0</v>
      </c>
      <c r="Q10" s="26"/>
      <c r="R10" s="32"/>
      <c r="S10" s="44"/>
      <c r="T10" s="14"/>
      <c r="U10" s="44">
        <f t="shared" si="3"/>
        <v>0</v>
      </c>
    </row>
    <row r="11" spans="1:21" ht="40.049999999999997" customHeight="1" x14ac:dyDescent="0.45">
      <c r="A11" s="14" t="s">
        <v>8</v>
      </c>
      <c r="B11" s="35">
        <v>0.22916666666666699</v>
      </c>
      <c r="C11" s="36"/>
      <c r="D11" s="40"/>
      <c r="E11" s="26"/>
      <c r="F11" s="27"/>
      <c r="G11" s="44"/>
      <c r="H11" s="35">
        <f t="shared" si="0"/>
        <v>0</v>
      </c>
      <c r="I11" s="26"/>
      <c r="J11" s="27"/>
      <c r="K11" s="44"/>
      <c r="L11" s="35">
        <f t="shared" si="1"/>
        <v>0</v>
      </c>
      <c r="M11" s="26"/>
      <c r="N11" s="27"/>
      <c r="O11" s="44"/>
      <c r="P11" s="35">
        <f t="shared" si="2"/>
        <v>0</v>
      </c>
      <c r="Q11" s="26"/>
      <c r="R11" s="32"/>
      <c r="S11" s="44"/>
      <c r="T11" s="14"/>
      <c r="U11" s="44">
        <f t="shared" si="3"/>
        <v>0</v>
      </c>
    </row>
    <row r="12" spans="1:21" ht="40.049999999999997" customHeight="1" x14ac:dyDescent="0.45">
      <c r="A12" s="14" t="s">
        <v>8</v>
      </c>
      <c r="B12" s="35">
        <v>0.23611111111111099</v>
      </c>
      <c r="C12" s="36"/>
      <c r="D12" s="40"/>
      <c r="E12" s="26"/>
      <c r="F12" s="27"/>
      <c r="G12" s="44"/>
      <c r="H12" s="35">
        <f t="shared" si="0"/>
        <v>0</v>
      </c>
      <c r="I12" s="26"/>
      <c r="J12" s="27"/>
      <c r="K12" s="44"/>
      <c r="L12" s="35">
        <f t="shared" si="1"/>
        <v>0</v>
      </c>
      <c r="M12" s="26"/>
      <c r="N12" s="27"/>
      <c r="O12" s="44"/>
      <c r="P12" s="35">
        <f t="shared" si="2"/>
        <v>0</v>
      </c>
      <c r="Q12" s="26"/>
      <c r="R12" s="32"/>
      <c r="S12" s="44"/>
      <c r="T12" s="14"/>
      <c r="U12" s="44">
        <f t="shared" si="3"/>
        <v>0</v>
      </c>
    </row>
    <row r="13" spans="1:21" ht="40.049999999999997" customHeight="1" x14ac:dyDescent="0.45">
      <c r="A13" s="14" t="s">
        <v>8</v>
      </c>
      <c r="B13" s="35">
        <v>0.243055555555556</v>
      </c>
      <c r="C13" s="36"/>
      <c r="D13" s="40"/>
      <c r="E13" s="26"/>
      <c r="F13" s="27"/>
      <c r="G13" s="44"/>
      <c r="H13" s="35">
        <f t="shared" si="0"/>
        <v>0</v>
      </c>
      <c r="I13" s="26"/>
      <c r="J13" s="27"/>
      <c r="K13" s="44"/>
      <c r="L13" s="35">
        <f t="shared" si="1"/>
        <v>0</v>
      </c>
      <c r="M13" s="26"/>
      <c r="N13" s="27"/>
      <c r="O13" s="44"/>
      <c r="P13" s="35">
        <f t="shared" si="2"/>
        <v>0</v>
      </c>
      <c r="Q13" s="26"/>
      <c r="R13" s="32"/>
      <c r="S13" s="44"/>
      <c r="T13" s="14"/>
      <c r="U13" s="44">
        <f t="shared" si="3"/>
        <v>0</v>
      </c>
    </row>
    <row r="14" spans="1:21" ht="40.049999999999997" customHeight="1" x14ac:dyDescent="0.45">
      <c r="A14" s="14" t="s">
        <v>8</v>
      </c>
      <c r="B14" s="35">
        <v>0.25</v>
      </c>
      <c r="C14" s="36"/>
      <c r="D14" s="40"/>
      <c r="E14" s="26"/>
      <c r="F14" s="27"/>
      <c r="G14" s="44"/>
      <c r="H14" s="35">
        <f t="shared" si="0"/>
        <v>0</v>
      </c>
      <c r="I14" s="26"/>
      <c r="J14" s="27"/>
      <c r="K14" s="44"/>
      <c r="L14" s="35">
        <f t="shared" si="1"/>
        <v>0</v>
      </c>
      <c r="M14" s="26"/>
      <c r="N14" s="27"/>
      <c r="O14" s="44"/>
      <c r="P14" s="35">
        <f t="shared" si="2"/>
        <v>0</v>
      </c>
      <c r="Q14" s="26"/>
      <c r="R14" s="32"/>
      <c r="S14" s="44"/>
      <c r="T14" s="14"/>
      <c r="U14" s="44">
        <f t="shared" si="3"/>
        <v>0</v>
      </c>
    </row>
    <row r="15" spans="1:21" ht="40.049999999999997" customHeight="1" x14ac:dyDescent="0.45">
      <c r="A15" s="14" t="s">
        <v>8</v>
      </c>
      <c r="B15" s="35">
        <v>0.25694444444444398</v>
      </c>
      <c r="C15" s="36"/>
      <c r="D15" s="40"/>
      <c r="E15" s="26"/>
      <c r="F15" s="27"/>
      <c r="G15" s="44"/>
      <c r="H15" s="35">
        <f t="shared" si="0"/>
        <v>0</v>
      </c>
      <c r="I15" s="26"/>
      <c r="J15" s="27"/>
      <c r="K15" s="44"/>
      <c r="L15" s="35">
        <f t="shared" si="1"/>
        <v>0</v>
      </c>
      <c r="M15" s="26"/>
      <c r="N15" s="27"/>
      <c r="O15" s="44"/>
      <c r="P15" s="35">
        <f t="shared" si="2"/>
        <v>0</v>
      </c>
      <c r="Q15" s="26"/>
      <c r="R15" s="32"/>
      <c r="S15" s="44"/>
      <c r="T15" s="14"/>
      <c r="U15" s="44">
        <f t="shared" si="3"/>
        <v>0</v>
      </c>
    </row>
    <row r="16" spans="1:21" ht="40.049999999999997" customHeight="1" x14ac:dyDescent="0.45">
      <c r="A16" s="14" t="s">
        <v>8</v>
      </c>
      <c r="B16" s="35">
        <v>0.26388888888888901</v>
      </c>
      <c r="C16" s="36"/>
      <c r="D16" s="40"/>
      <c r="E16" s="26"/>
      <c r="F16" s="27"/>
      <c r="G16" s="44"/>
      <c r="H16" s="35">
        <f t="shared" si="0"/>
        <v>0</v>
      </c>
      <c r="I16" s="26"/>
      <c r="J16" s="27"/>
      <c r="K16" s="44"/>
      <c r="L16" s="35">
        <f t="shared" si="1"/>
        <v>0</v>
      </c>
      <c r="M16" s="26"/>
      <c r="N16" s="27"/>
      <c r="O16" s="44"/>
      <c r="P16" s="35">
        <f t="shared" si="2"/>
        <v>0</v>
      </c>
      <c r="Q16" s="26"/>
      <c r="R16" s="32"/>
      <c r="S16" s="44"/>
      <c r="T16" s="14"/>
      <c r="U16" s="44">
        <f t="shared" si="3"/>
        <v>0</v>
      </c>
    </row>
    <row r="17" spans="1:21" ht="40.049999999999997" customHeight="1" x14ac:dyDescent="0.45">
      <c r="A17" s="14" t="s">
        <v>8</v>
      </c>
      <c r="B17" s="35">
        <v>0.27083333333333298</v>
      </c>
      <c r="C17" s="36"/>
      <c r="D17" s="40"/>
      <c r="E17" s="26"/>
      <c r="F17" s="27"/>
      <c r="G17" s="44"/>
      <c r="H17" s="35">
        <f t="shared" si="0"/>
        <v>0</v>
      </c>
      <c r="I17" s="26"/>
      <c r="J17" s="27"/>
      <c r="K17" s="44"/>
      <c r="L17" s="35">
        <f t="shared" si="1"/>
        <v>0</v>
      </c>
      <c r="M17" s="26"/>
      <c r="N17" s="27"/>
      <c r="O17" s="44"/>
      <c r="P17" s="35">
        <f t="shared" si="2"/>
        <v>0</v>
      </c>
      <c r="Q17" s="26"/>
      <c r="R17" s="32"/>
      <c r="S17" s="44"/>
      <c r="T17" s="14"/>
      <c r="U17" s="44">
        <f t="shared" si="3"/>
        <v>0</v>
      </c>
    </row>
    <row r="18" spans="1:21" ht="40.049999999999997" customHeight="1" x14ac:dyDescent="0.45">
      <c r="A18" s="14" t="s">
        <v>8</v>
      </c>
      <c r="B18" s="35">
        <v>0.27777777777777801</v>
      </c>
      <c r="C18" s="36"/>
      <c r="D18" s="40"/>
      <c r="E18" s="26"/>
      <c r="F18" s="27"/>
      <c r="G18" s="44"/>
      <c r="H18" s="35">
        <f t="shared" si="0"/>
        <v>0</v>
      </c>
      <c r="I18" s="26"/>
      <c r="J18" s="27"/>
      <c r="K18" s="44"/>
      <c r="L18" s="35">
        <f t="shared" si="1"/>
        <v>0</v>
      </c>
      <c r="M18" s="26"/>
      <c r="N18" s="27"/>
      <c r="O18" s="44"/>
      <c r="P18" s="35">
        <f t="shared" si="2"/>
        <v>0</v>
      </c>
      <c r="Q18" s="26"/>
      <c r="R18" s="32"/>
      <c r="S18" s="44"/>
      <c r="T18" s="14"/>
      <c r="U18" s="44">
        <f t="shared" si="3"/>
        <v>0</v>
      </c>
    </row>
    <row r="19" spans="1:21" ht="40.049999999999997" customHeight="1" x14ac:dyDescent="0.45">
      <c r="A19" s="14" t="s">
        <v>8</v>
      </c>
      <c r="B19" s="35">
        <v>0.28472222222222199</v>
      </c>
      <c r="C19" s="36"/>
      <c r="D19" s="40"/>
      <c r="E19" s="26"/>
      <c r="F19" s="27"/>
      <c r="G19" s="44"/>
      <c r="H19" s="35">
        <f t="shared" si="0"/>
        <v>0</v>
      </c>
      <c r="I19" s="26"/>
      <c r="J19" s="27"/>
      <c r="K19" s="44"/>
      <c r="L19" s="35">
        <f t="shared" si="1"/>
        <v>0</v>
      </c>
      <c r="M19" s="26"/>
      <c r="N19" s="27"/>
      <c r="O19" s="44"/>
      <c r="P19" s="35">
        <f t="shared" si="2"/>
        <v>0</v>
      </c>
      <c r="Q19" s="26"/>
      <c r="R19" s="32"/>
      <c r="S19" s="44"/>
      <c r="T19" s="14"/>
      <c r="U19" s="44">
        <f t="shared" si="3"/>
        <v>0</v>
      </c>
    </row>
    <row r="20" spans="1:21" ht="40.049999999999997" customHeight="1" x14ac:dyDescent="0.45">
      <c r="A20" s="14" t="s">
        <v>8</v>
      </c>
      <c r="B20" s="35">
        <v>0.29166666666666702</v>
      </c>
      <c r="C20" s="36"/>
      <c r="D20" s="40"/>
      <c r="E20" s="26"/>
      <c r="F20" s="27"/>
      <c r="G20" s="44"/>
      <c r="H20" s="35">
        <f t="shared" si="0"/>
        <v>0</v>
      </c>
      <c r="I20" s="26"/>
      <c r="J20" s="27"/>
      <c r="K20" s="44"/>
      <c r="L20" s="35">
        <f t="shared" si="1"/>
        <v>0</v>
      </c>
      <c r="M20" s="26"/>
      <c r="N20" s="27"/>
      <c r="O20" s="44"/>
      <c r="P20" s="35">
        <f t="shared" si="2"/>
        <v>0</v>
      </c>
      <c r="Q20" s="26"/>
      <c r="R20" s="32"/>
      <c r="S20" s="44"/>
      <c r="T20" s="14"/>
      <c r="U20" s="44">
        <f t="shared" si="3"/>
        <v>0</v>
      </c>
    </row>
    <row r="21" spans="1:21" ht="40.049999999999997" customHeight="1" x14ac:dyDescent="0.45">
      <c r="A21" s="14" t="s">
        <v>8</v>
      </c>
      <c r="B21" s="35">
        <v>0.29861111111111099</v>
      </c>
      <c r="C21" s="36"/>
      <c r="D21" s="40"/>
      <c r="E21" s="26"/>
      <c r="F21" s="27"/>
      <c r="G21" s="44"/>
      <c r="H21" s="35">
        <f t="shared" si="0"/>
        <v>0</v>
      </c>
      <c r="I21" s="26"/>
      <c r="J21" s="27"/>
      <c r="K21" s="44"/>
      <c r="L21" s="35">
        <f t="shared" si="1"/>
        <v>0</v>
      </c>
      <c r="M21" s="26"/>
      <c r="N21" s="27"/>
      <c r="O21" s="44"/>
      <c r="P21" s="35">
        <f t="shared" si="2"/>
        <v>0</v>
      </c>
      <c r="Q21" s="26"/>
      <c r="R21" s="32"/>
      <c r="S21" s="44"/>
      <c r="T21" s="14"/>
      <c r="U21" s="44">
        <f t="shared" si="3"/>
        <v>0</v>
      </c>
    </row>
    <row r="22" spans="1:21" ht="40.049999999999997" customHeight="1" x14ac:dyDescent="0.45">
      <c r="A22" s="14" t="s">
        <v>8</v>
      </c>
      <c r="B22" s="35">
        <v>0.30555555555555602</v>
      </c>
      <c r="C22" s="36"/>
      <c r="D22" s="40"/>
      <c r="E22" s="26"/>
      <c r="F22" s="27"/>
      <c r="G22" s="44"/>
      <c r="H22" s="35">
        <f t="shared" si="0"/>
        <v>0</v>
      </c>
      <c r="I22" s="26"/>
      <c r="J22" s="27"/>
      <c r="K22" s="44"/>
      <c r="L22" s="35">
        <f t="shared" si="1"/>
        <v>0</v>
      </c>
      <c r="M22" s="26"/>
      <c r="N22" s="27"/>
      <c r="O22" s="44"/>
      <c r="P22" s="35">
        <f t="shared" si="2"/>
        <v>0</v>
      </c>
      <c r="Q22" s="26"/>
      <c r="R22" s="32"/>
      <c r="S22" s="44"/>
      <c r="T22" s="14"/>
      <c r="U22" s="44">
        <f t="shared" si="3"/>
        <v>0</v>
      </c>
    </row>
    <row r="23" spans="1:21" ht="40.049999999999997" customHeight="1" x14ac:dyDescent="0.45">
      <c r="A23" s="14" t="s">
        <v>8</v>
      </c>
      <c r="B23" s="35">
        <v>0.3125</v>
      </c>
      <c r="C23" s="36"/>
      <c r="D23" s="40"/>
      <c r="E23" s="26"/>
      <c r="F23" s="27"/>
      <c r="G23" s="44"/>
      <c r="H23" s="35">
        <f t="shared" si="0"/>
        <v>0</v>
      </c>
      <c r="I23" s="26"/>
      <c r="J23" s="27"/>
      <c r="K23" s="44"/>
      <c r="L23" s="35">
        <f t="shared" si="1"/>
        <v>0</v>
      </c>
      <c r="M23" s="26"/>
      <c r="N23" s="27"/>
      <c r="O23" s="44"/>
      <c r="P23" s="35">
        <f t="shared" si="2"/>
        <v>0</v>
      </c>
      <c r="Q23" s="26"/>
      <c r="R23" s="32"/>
      <c r="S23" s="44"/>
      <c r="T23" s="14"/>
      <c r="U23" s="44">
        <f t="shared" si="3"/>
        <v>0</v>
      </c>
    </row>
    <row r="24" spans="1:21" ht="40.049999999999997" customHeight="1" x14ac:dyDescent="0.45">
      <c r="A24" s="14" t="s">
        <v>8</v>
      </c>
      <c r="B24" s="35">
        <v>0.31944444444444398</v>
      </c>
      <c r="C24" s="36"/>
      <c r="D24" s="40"/>
      <c r="E24" s="26"/>
      <c r="F24" s="27"/>
      <c r="G24" s="44"/>
      <c r="H24" s="35">
        <f t="shared" si="0"/>
        <v>0</v>
      </c>
      <c r="I24" s="26"/>
      <c r="J24" s="27"/>
      <c r="K24" s="44"/>
      <c r="L24" s="35">
        <f t="shared" si="1"/>
        <v>0</v>
      </c>
      <c r="M24" s="26"/>
      <c r="N24" s="27"/>
      <c r="O24" s="44"/>
      <c r="P24" s="35">
        <f t="shared" si="2"/>
        <v>0</v>
      </c>
      <c r="Q24" s="26"/>
      <c r="R24" s="32"/>
      <c r="S24" s="44"/>
      <c r="T24" s="14"/>
      <c r="U24" s="44">
        <f t="shared" si="3"/>
        <v>0</v>
      </c>
    </row>
    <row r="25" spans="1:21" ht="40.049999999999997" customHeight="1" x14ac:dyDescent="0.45">
      <c r="A25" s="14" t="s">
        <v>8</v>
      </c>
      <c r="B25" s="35">
        <v>0.32638888888888901</v>
      </c>
      <c r="C25" s="36"/>
      <c r="D25" s="40"/>
      <c r="E25" s="26"/>
      <c r="F25" s="27"/>
      <c r="G25" s="44"/>
      <c r="H25" s="35">
        <f t="shared" si="0"/>
        <v>0</v>
      </c>
      <c r="I25" s="26"/>
      <c r="J25" s="27"/>
      <c r="K25" s="44"/>
      <c r="L25" s="35">
        <f t="shared" si="1"/>
        <v>0</v>
      </c>
      <c r="M25" s="26"/>
      <c r="N25" s="27"/>
      <c r="O25" s="44"/>
      <c r="P25" s="35">
        <f t="shared" si="2"/>
        <v>0</v>
      </c>
      <c r="Q25" s="26"/>
      <c r="R25" s="32"/>
      <c r="S25" s="44"/>
      <c r="T25" s="14"/>
      <c r="U25" s="44">
        <f t="shared" si="3"/>
        <v>0</v>
      </c>
    </row>
    <row r="26" spans="1:21" ht="40.049999999999997" customHeight="1" x14ac:dyDescent="0.45">
      <c r="A26" s="14" t="s">
        <v>8</v>
      </c>
      <c r="B26" s="35">
        <v>0.33333333333333298</v>
      </c>
      <c r="C26" s="36"/>
      <c r="D26" s="40"/>
      <c r="E26" s="26"/>
      <c r="F26" s="27"/>
      <c r="G26" s="44"/>
      <c r="H26" s="35">
        <f t="shared" si="0"/>
        <v>0</v>
      </c>
      <c r="I26" s="26"/>
      <c r="J26" s="27"/>
      <c r="K26" s="44"/>
      <c r="L26" s="35">
        <f t="shared" si="1"/>
        <v>0</v>
      </c>
      <c r="M26" s="26"/>
      <c r="N26" s="27"/>
      <c r="O26" s="44"/>
      <c r="P26" s="35">
        <f t="shared" si="2"/>
        <v>0</v>
      </c>
      <c r="Q26" s="26"/>
      <c r="R26" s="32"/>
      <c r="S26" s="44"/>
      <c r="T26" s="14"/>
      <c r="U26" s="44">
        <f t="shared" si="3"/>
        <v>0</v>
      </c>
    </row>
    <row r="27" spans="1:21" ht="29.55" customHeight="1" x14ac:dyDescent="0.45">
      <c r="A27" s="16"/>
      <c r="B27" s="17"/>
      <c r="C27" s="39"/>
      <c r="D27" s="41"/>
      <c r="E27" s="16"/>
      <c r="F27" s="43"/>
      <c r="G27" s="45"/>
      <c r="H27" s="48"/>
      <c r="I27" s="28"/>
      <c r="J27" s="29"/>
      <c r="K27" s="45"/>
      <c r="L27" s="17"/>
      <c r="M27" s="28"/>
      <c r="N27" s="29"/>
      <c r="O27" s="45"/>
      <c r="P27" s="17"/>
      <c r="Q27" s="28" t="s">
        <v>8</v>
      </c>
      <c r="R27" s="33"/>
      <c r="S27" s="45"/>
      <c r="T27" s="16"/>
      <c r="U27" s="45">
        <f>SUM(U8:U26)</f>
        <v>0</v>
      </c>
    </row>
    <row r="28" spans="1:21" ht="39.5" customHeight="1" x14ac:dyDescent="0.45">
      <c r="A28" s="22" t="s">
        <v>11</v>
      </c>
      <c r="B28" s="35">
        <v>0.625</v>
      </c>
      <c r="C28" s="36"/>
      <c r="D28" s="24"/>
      <c r="E28" s="14"/>
      <c r="F28" s="25"/>
      <c r="G28" s="44"/>
      <c r="H28" s="35">
        <f t="shared" si="0"/>
        <v>0</v>
      </c>
      <c r="I28" s="26"/>
      <c r="J28" s="27"/>
      <c r="K28" s="44"/>
      <c r="L28" s="35">
        <f t="shared" ref="L28:L46" si="4">K28-G28</f>
        <v>0</v>
      </c>
      <c r="M28" s="26"/>
      <c r="N28" s="27"/>
      <c r="O28" s="44"/>
      <c r="P28" s="35">
        <f t="shared" ref="P28:P46" si="5">O28-K28</f>
        <v>0</v>
      </c>
      <c r="Q28" s="26"/>
      <c r="R28" s="32"/>
      <c r="S28" s="44"/>
      <c r="T28" s="14"/>
      <c r="U28" s="44">
        <f t="shared" si="3"/>
        <v>0</v>
      </c>
    </row>
    <row r="29" spans="1:21" ht="39.5" customHeight="1" x14ac:dyDescent="0.45">
      <c r="A29" s="22" t="s">
        <v>11</v>
      </c>
      <c r="B29" s="35">
        <v>0.63194444444444442</v>
      </c>
      <c r="C29" s="36"/>
      <c r="D29" s="24"/>
      <c r="E29" s="14"/>
      <c r="F29" s="25"/>
      <c r="G29" s="44"/>
      <c r="H29" s="35">
        <f t="shared" si="0"/>
        <v>0</v>
      </c>
      <c r="I29" s="26"/>
      <c r="J29" s="27"/>
      <c r="K29" s="44"/>
      <c r="L29" s="35">
        <f t="shared" si="4"/>
        <v>0</v>
      </c>
      <c r="M29" s="26"/>
      <c r="N29" s="27"/>
      <c r="O29" s="44"/>
      <c r="P29" s="35">
        <f t="shared" si="5"/>
        <v>0</v>
      </c>
      <c r="Q29" s="26"/>
      <c r="R29" s="32"/>
      <c r="S29" s="44"/>
      <c r="T29" s="14"/>
      <c r="U29" s="44">
        <f t="shared" si="3"/>
        <v>0</v>
      </c>
    </row>
    <row r="30" spans="1:21" ht="39.5" customHeight="1" x14ac:dyDescent="0.45">
      <c r="A30" s="22" t="s">
        <v>11</v>
      </c>
      <c r="B30" s="35">
        <v>0.63888888888888895</v>
      </c>
      <c r="C30" s="36"/>
      <c r="D30" s="24"/>
      <c r="E30" s="14"/>
      <c r="F30" s="25"/>
      <c r="G30" s="44"/>
      <c r="H30" s="35">
        <f t="shared" si="0"/>
        <v>0</v>
      </c>
      <c r="I30" s="26"/>
      <c r="J30" s="27"/>
      <c r="K30" s="44"/>
      <c r="L30" s="35">
        <f t="shared" si="4"/>
        <v>0</v>
      </c>
      <c r="M30" s="26"/>
      <c r="N30" s="27"/>
      <c r="O30" s="44"/>
      <c r="P30" s="35">
        <f t="shared" si="5"/>
        <v>0</v>
      </c>
      <c r="Q30" s="26"/>
      <c r="R30" s="32"/>
      <c r="S30" s="44"/>
      <c r="T30" s="14"/>
      <c r="U30" s="44">
        <f t="shared" si="3"/>
        <v>0</v>
      </c>
    </row>
    <row r="31" spans="1:21" ht="39.5" customHeight="1" x14ac:dyDescent="0.45">
      <c r="A31" s="22" t="s">
        <v>11</v>
      </c>
      <c r="B31" s="35">
        <v>0.64583333333333304</v>
      </c>
      <c r="C31" s="36"/>
      <c r="D31" s="24"/>
      <c r="E31" s="14"/>
      <c r="F31" s="25"/>
      <c r="G31" s="44"/>
      <c r="H31" s="35">
        <f t="shared" si="0"/>
        <v>0</v>
      </c>
      <c r="I31" s="26"/>
      <c r="J31" s="27"/>
      <c r="K31" s="44"/>
      <c r="L31" s="35">
        <f t="shared" si="4"/>
        <v>0</v>
      </c>
      <c r="M31" s="26"/>
      <c r="N31" s="27"/>
      <c r="O31" s="44"/>
      <c r="P31" s="35">
        <f t="shared" si="5"/>
        <v>0</v>
      </c>
      <c r="Q31" s="26"/>
      <c r="R31" s="32"/>
      <c r="S31" s="44"/>
      <c r="T31" s="14"/>
      <c r="U31" s="44">
        <f t="shared" si="3"/>
        <v>0</v>
      </c>
    </row>
    <row r="32" spans="1:21" ht="39.5" customHeight="1" x14ac:dyDescent="0.45">
      <c r="A32" s="22" t="s">
        <v>11</v>
      </c>
      <c r="B32" s="35">
        <v>0.65277777777777801</v>
      </c>
      <c r="C32" s="36"/>
      <c r="D32" s="24"/>
      <c r="E32" s="14"/>
      <c r="F32" s="25"/>
      <c r="G32" s="44"/>
      <c r="H32" s="35">
        <f t="shared" si="0"/>
        <v>0</v>
      </c>
      <c r="I32" s="26"/>
      <c r="J32" s="27"/>
      <c r="K32" s="44"/>
      <c r="L32" s="35">
        <f t="shared" si="4"/>
        <v>0</v>
      </c>
      <c r="M32" s="26"/>
      <c r="N32" s="27"/>
      <c r="O32" s="44"/>
      <c r="P32" s="35">
        <f t="shared" si="5"/>
        <v>0</v>
      </c>
      <c r="Q32" s="26"/>
      <c r="R32" s="32"/>
      <c r="S32" s="44"/>
      <c r="T32" s="14"/>
      <c r="U32" s="44">
        <f t="shared" si="3"/>
        <v>0</v>
      </c>
    </row>
    <row r="33" spans="1:21" ht="39.5" customHeight="1" x14ac:dyDescent="0.45">
      <c r="A33" s="22" t="s">
        <v>11</v>
      </c>
      <c r="B33" s="35">
        <v>0.65972222222222199</v>
      </c>
      <c r="C33" s="36"/>
      <c r="D33" s="24"/>
      <c r="E33" s="14"/>
      <c r="F33" s="25"/>
      <c r="G33" s="44"/>
      <c r="H33" s="35">
        <f t="shared" si="0"/>
        <v>0</v>
      </c>
      <c r="I33" s="26"/>
      <c r="J33" s="27"/>
      <c r="K33" s="44"/>
      <c r="L33" s="35">
        <f t="shared" si="4"/>
        <v>0</v>
      </c>
      <c r="M33" s="26"/>
      <c r="N33" s="27"/>
      <c r="O33" s="44"/>
      <c r="P33" s="35">
        <f t="shared" si="5"/>
        <v>0</v>
      </c>
      <c r="Q33" s="26"/>
      <c r="R33" s="32"/>
      <c r="S33" s="44"/>
      <c r="T33" s="14"/>
      <c r="U33" s="44">
        <f t="shared" si="3"/>
        <v>0</v>
      </c>
    </row>
    <row r="34" spans="1:21" ht="39.5" customHeight="1" x14ac:dyDescent="0.45">
      <c r="A34" s="22" t="s">
        <v>11</v>
      </c>
      <c r="B34" s="35">
        <v>0.66666666666666696</v>
      </c>
      <c r="C34" s="36"/>
      <c r="D34" s="24"/>
      <c r="E34" s="14"/>
      <c r="F34" s="25"/>
      <c r="G34" s="44"/>
      <c r="H34" s="35">
        <f t="shared" si="0"/>
        <v>0</v>
      </c>
      <c r="I34" s="26"/>
      <c r="J34" s="27"/>
      <c r="K34" s="44"/>
      <c r="L34" s="35">
        <f t="shared" si="4"/>
        <v>0</v>
      </c>
      <c r="M34" s="26"/>
      <c r="N34" s="27"/>
      <c r="O34" s="44"/>
      <c r="P34" s="35">
        <f t="shared" si="5"/>
        <v>0</v>
      </c>
      <c r="Q34" s="26"/>
      <c r="R34" s="32"/>
      <c r="S34" s="44"/>
      <c r="T34" s="14"/>
      <c r="U34" s="44">
        <f t="shared" si="3"/>
        <v>0</v>
      </c>
    </row>
    <row r="35" spans="1:21" ht="39.5" customHeight="1" x14ac:dyDescent="0.45">
      <c r="A35" s="22" t="s">
        <v>11</v>
      </c>
      <c r="B35" s="35">
        <v>0.67361111111111105</v>
      </c>
      <c r="C35" s="36"/>
      <c r="D35" s="24"/>
      <c r="E35" s="14"/>
      <c r="F35" s="25"/>
      <c r="G35" s="44"/>
      <c r="H35" s="35">
        <f t="shared" si="0"/>
        <v>0</v>
      </c>
      <c r="I35" s="26"/>
      <c r="J35" s="27"/>
      <c r="K35" s="44"/>
      <c r="L35" s="35">
        <f t="shared" si="4"/>
        <v>0</v>
      </c>
      <c r="M35" s="26"/>
      <c r="N35" s="27"/>
      <c r="O35" s="44"/>
      <c r="P35" s="35">
        <f t="shared" si="5"/>
        <v>0</v>
      </c>
      <c r="Q35" s="26"/>
      <c r="R35" s="32"/>
      <c r="S35" s="44"/>
      <c r="T35" s="14"/>
      <c r="U35" s="44">
        <f t="shared" si="3"/>
        <v>0</v>
      </c>
    </row>
    <row r="36" spans="1:21" ht="39.5" customHeight="1" x14ac:dyDescent="0.45">
      <c r="A36" s="22" t="s">
        <v>11</v>
      </c>
      <c r="B36" s="35">
        <v>0.68055555555555503</v>
      </c>
      <c r="C36" s="36"/>
      <c r="D36" s="24"/>
      <c r="E36" s="14"/>
      <c r="F36" s="25"/>
      <c r="G36" s="44"/>
      <c r="H36" s="35">
        <f t="shared" si="0"/>
        <v>0</v>
      </c>
      <c r="I36" s="26"/>
      <c r="J36" s="27"/>
      <c r="K36" s="44"/>
      <c r="L36" s="35">
        <f t="shared" si="4"/>
        <v>0</v>
      </c>
      <c r="M36" s="26"/>
      <c r="N36" s="27"/>
      <c r="O36" s="44"/>
      <c r="P36" s="35">
        <f t="shared" si="5"/>
        <v>0</v>
      </c>
      <c r="Q36" s="26"/>
      <c r="R36" s="32"/>
      <c r="S36" s="44"/>
      <c r="T36" s="14"/>
      <c r="U36" s="44">
        <f t="shared" si="3"/>
        <v>0</v>
      </c>
    </row>
    <row r="37" spans="1:21" ht="39.5" customHeight="1" x14ac:dyDescent="0.45">
      <c r="A37" s="22" t="s">
        <v>11</v>
      </c>
      <c r="B37" s="35">
        <v>0.6875</v>
      </c>
      <c r="C37" s="36"/>
      <c r="D37" s="24"/>
      <c r="E37" s="14"/>
      <c r="F37" s="25"/>
      <c r="G37" s="44"/>
      <c r="H37" s="35">
        <f t="shared" si="0"/>
        <v>0</v>
      </c>
      <c r="I37" s="26"/>
      <c r="J37" s="27"/>
      <c r="K37" s="44"/>
      <c r="L37" s="35">
        <f t="shared" si="4"/>
        <v>0</v>
      </c>
      <c r="M37" s="26"/>
      <c r="N37" s="27"/>
      <c r="O37" s="44"/>
      <c r="P37" s="35">
        <f t="shared" si="5"/>
        <v>0</v>
      </c>
      <c r="Q37" s="26"/>
      <c r="R37" s="32"/>
      <c r="S37" s="44"/>
      <c r="T37" s="14"/>
      <c r="U37" s="44">
        <f t="shared" si="3"/>
        <v>0</v>
      </c>
    </row>
    <row r="38" spans="1:21" ht="39.5" customHeight="1" x14ac:dyDescent="0.45">
      <c r="A38" s="22" t="s">
        <v>11</v>
      </c>
      <c r="B38" s="35">
        <v>0.69444444444444398</v>
      </c>
      <c r="C38" s="36"/>
      <c r="D38" s="24"/>
      <c r="E38" s="14"/>
      <c r="F38" s="25"/>
      <c r="G38" s="44"/>
      <c r="H38" s="35">
        <f t="shared" si="0"/>
        <v>0</v>
      </c>
      <c r="I38" s="26"/>
      <c r="J38" s="27"/>
      <c r="K38" s="44"/>
      <c r="L38" s="35">
        <f t="shared" si="4"/>
        <v>0</v>
      </c>
      <c r="M38" s="26"/>
      <c r="N38" s="27"/>
      <c r="O38" s="44"/>
      <c r="P38" s="35">
        <f t="shared" si="5"/>
        <v>0</v>
      </c>
      <c r="Q38" s="26"/>
      <c r="R38" s="32"/>
      <c r="S38" s="44"/>
      <c r="T38" s="14"/>
      <c r="U38" s="44">
        <f t="shared" si="3"/>
        <v>0</v>
      </c>
    </row>
    <row r="39" spans="1:21" ht="39.5" customHeight="1" x14ac:dyDescent="0.45">
      <c r="A39" s="22" t="s">
        <v>11</v>
      </c>
      <c r="B39" s="35">
        <v>0.70138888888888895</v>
      </c>
      <c r="C39" s="36"/>
      <c r="D39" s="24"/>
      <c r="E39" s="14"/>
      <c r="F39" s="25"/>
      <c r="G39" s="44"/>
      <c r="H39" s="35">
        <f t="shared" si="0"/>
        <v>0</v>
      </c>
      <c r="I39" s="26"/>
      <c r="J39" s="27"/>
      <c r="K39" s="44"/>
      <c r="L39" s="35">
        <f t="shared" si="4"/>
        <v>0</v>
      </c>
      <c r="M39" s="26"/>
      <c r="N39" s="27"/>
      <c r="O39" s="44"/>
      <c r="P39" s="35">
        <f t="shared" si="5"/>
        <v>0</v>
      </c>
      <c r="Q39" s="26"/>
      <c r="R39" s="32"/>
      <c r="S39" s="44"/>
      <c r="T39" s="14"/>
      <c r="U39" s="44">
        <f t="shared" si="3"/>
        <v>0</v>
      </c>
    </row>
    <row r="40" spans="1:21" ht="39.5" customHeight="1" x14ac:dyDescent="0.45">
      <c r="A40" s="22" t="s">
        <v>11</v>
      </c>
      <c r="B40" s="35">
        <v>0.70833333333333304</v>
      </c>
      <c r="C40" s="36"/>
      <c r="D40" s="24"/>
      <c r="E40" s="14"/>
      <c r="F40" s="25"/>
      <c r="G40" s="44"/>
      <c r="H40" s="35">
        <f t="shared" si="0"/>
        <v>0</v>
      </c>
      <c r="I40" s="26"/>
      <c r="J40" s="27"/>
      <c r="K40" s="44"/>
      <c r="L40" s="35">
        <f t="shared" si="4"/>
        <v>0</v>
      </c>
      <c r="M40" s="26"/>
      <c r="N40" s="27"/>
      <c r="O40" s="44"/>
      <c r="P40" s="35">
        <f t="shared" si="5"/>
        <v>0</v>
      </c>
      <c r="Q40" s="26"/>
      <c r="R40" s="32"/>
      <c r="S40" s="44"/>
      <c r="T40" s="14"/>
      <c r="U40" s="44">
        <f t="shared" si="3"/>
        <v>0</v>
      </c>
    </row>
    <row r="41" spans="1:21" ht="39.5" customHeight="1" x14ac:dyDescent="0.45">
      <c r="A41" s="22" t="s">
        <v>11</v>
      </c>
      <c r="B41" s="35">
        <v>0.71527777777777701</v>
      </c>
      <c r="C41" s="36"/>
      <c r="D41" s="24"/>
      <c r="E41" s="14"/>
      <c r="F41" s="25"/>
      <c r="G41" s="44"/>
      <c r="H41" s="35">
        <f t="shared" si="0"/>
        <v>0</v>
      </c>
      <c r="I41" s="26"/>
      <c r="J41" s="27"/>
      <c r="K41" s="44"/>
      <c r="L41" s="35">
        <f t="shared" si="4"/>
        <v>0</v>
      </c>
      <c r="M41" s="26"/>
      <c r="N41" s="27"/>
      <c r="O41" s="44"/>
      <c r="P41" s="35">
        <f t="shared" si="5"/>
        <v>0</v>
      </c>
      <c r="Q41" s="26"/>
      <c r="R41" s="32"/>
      <c r="S41" s="44"/>
      <c r="T41" s="14"/>
      <c r="U41" s="44">
        <f t="shared" si="3"/>
        <v>0</v>
      </c>
    </row>
    <row r="42" spans="1:21" ht="39.5" customHeight="1" x14ac:dyDescent="0.45">
      <c r="A42" s="22" t="s">
        <v>11</v>
      </c>
      <c r="B42" s="35">
        <v>0.72222222222222199</v>
      </c>
      <c r="C42" s="36"/>
      <c r="D42" s="24"/>
      <c r="E42" s="14"/>
      <c r="F42" s="25"/>
      <c r="G42" s="44"/>
      <c r="H42" s="35">
        <f t="shared" si="0"/>
        <v>0</v>
      </c>
      <c r="I42" s="26"/>
      <c r="J42" s="27"/>
      <c r="K42" s="44"/>
      <c r="L42" s="35">
        <f t="shared" si="4"/>
        <v>0</v>
      </c>
      <c r="M42" s="26"/>
      <c r="N42" s="27"/>
      <c r="O42" s="44"/>
      <c r="P42" s="35">
        <f t="shared" si="5"/>
        <v>0</v>
      </c>
      <c r="Q42" s="26"/>
      <c r="R42" s="32"/>
      <c r="S42" s="44"/>
      <c r="T42" s="14"/>
      <c r="U42" s="44">
        <f t="shared" si="3"/>
        <v>0</v>
      </c>
    </row>
    <row r="43" spans="1:21" ht="39.5" customHeight="1" x14ac:dyDescent="0.45">
      <c r="A43" s="22" t="s">
        <v>11</v>
      </c>
      <c r="B43" s="35">
        <v>0.72916666666666596</v>
      </c>
      <c r="C43" s="36"/>
      <c r="D43" s="24"/>
      <c r="E43" s="14"/>
      <c r="F43" s="25"/>
      <c r="G43" s="44"/>
      <c r="H43" s="35">
        <f t="shared" si="0"/>
        <v>0</v>
      </c>
      <c r="I43" s="26"/>
      <c r="J43" s="27"/>
      <c r="K43" s="44"/>
      <c r="L43" s="35">
        <f t="shared" si="4"/>
        <v>0</v>
      </c>
      <c r="M43" s="26"/>
      <c r="N43" s="27"/>
      <c r="O43" s="44"/>
      <c r="P43" s="35">
        <f t="shared" si="5"/>
        <v>0</v>
      </c>
      <c r="Q43" s="26"/>
      <c r="R43" s="32"/>
      <c r="S43" s="44"/>
      <c r="T43" s="14"/>
      <c r="U43" s="44">
        <f t="shared" si="3"/>
        <v>0</v>
      </c>
    </row>
    <row r="44" spans="1:21" ht="39.5" customHeight="1" x14ac:dyDescent="0.45">
      <c r="A44" s="22" t="s">
        <v>11</v>
      </c>
      <c r="B44" s="35">
        <v>0.73611111111111105</v>
      </c>
      <c r="C44" s="36"/>
      <c r="D44" s="24"/>
      <c r="E44" s="14"/>
      <c r="F44" s="25"/>
      <c r="G44" s="44"/>
      <c r="H44" s="35">
        <f t="shared" si="0"/>
        <v>0</v>
      </c>
      <c r="I44" s="26"/>
      <c r="J44" s="27"/>
      <c r="K44" s="44"/>
      <c r="L44" s="35">
        <f t="shared" si="4"/>
        <v>0</v>
      </c>
      <c r="M44" s="26"/>
      <c r="N44" s="27"/>
      <c r="O44" s="44"/>
      <c r="P44" s="35">
        <f t="shared" si="5"/>
        <v>0</v>
      </c>
      <c r="Q44" s="26"/>
      <c r="R44" s="32"/>
      <c r="S44" s="44"/>
      <c r="T44" s="14"/>
      <c r="U44" s="44">
        <f t="shared" si="3"/>
        <v>0</v>
      </c>
    </row>
    <row r="45" spans="1:21" ht="39.5" customHeight="1" x14ac:dyDescent="0.45">
      <c r="A45" s="22" t="s">
        <v>11</v>
      </c>
      <c r="B45" s="35">
        <v>0.74305555555555503</v>
      </c>
      <c r="C45" s="36"/>
      <c r="D45" s="24"/>
      <c r="E45" s="14"/>
      <c r="F45" s="25"/>
      <c r="G45" s="44"/>
      <c r="H45" s="35">
        <f t="shared" si="0"/>
        <v>0</v>
      </c>
      <c r="I45" s="26"/>
      <c r="J45" s="27"/>
      <c r="K45" s="44"/>
      <c r="L45" s="35">
        <f t="shared" si="4"/>
        <v>0</v>
      </c>
      <c r="M45" s="26"/>
      <c r="N45" s="27"/>
      <c r="O45" s="44"/>
      <c r="P45" s="35">
        <f t="shared" si="5"/>
        <v>0</v>
      </c>
      <c r="Q45" s="26"/>
      <c r="R45" s="32"/>
      <c r="S45" s="44"/>
      <c r="T45" s="14"/>
      <c r="U45" s="44">
        <f t="shared" si="3"/>
        <v>0</v>
      </c>
    </row>
    <row r="46" spans="1:21" ht="39.5" customHeight="1" x14ac:dyDescent="0.45">
      <c r="A46" s="23" t="s">
        <v>11</v>
      </c>
      <c r="B46" s="37">
        <v>0.75</v>
      </c>
      <c r="C46" s="38"/>
      <c r="D46" s="42"/>
      <c r="E46" s="8"/>
      <c r="F46" s="19"/>
      <c r="G46" s="46"/>
      <c r="H46" s="35">
        <f t="shared" si="0"/>
        <v>0</v>
      </c>
      <c r="I46" s="30"/>
      <c r="J46" s="31"/>
      <c r="K46" s="46"/>
      <c r="L46" s="35">
        <f t="shared" si="4"/>
        <v>0</v>
      </c>
      <c r="M46" s="30"/>
      <c r="N46" s="31"/>
      <c r="O46" s="46"/>
      <c r="P46" s="35">
        <f t="shared" si="5"/>
        <v>0</v>
      </c>
      <c r="Q46" s="30"/>
      <c r="R46" s="34"/>
      <c r="S46" s="46"/>
      <c r="T46" s="8"/>
      <c r="U46" s="44">
        <f t="shared" si="3"/>
        <v>0</v>
      </c>
    </row>
    <row r="47" spans="1:21" x14ac:dyDescent="0.45">
      <c r="A47" s="8"/>
      <c r="B47" s="15"/>
      <c r="C47" s="19"/>
      <c r="D47" s="42"/>
      <c r="E47" s="8"/>
      <c r="F47" s="19"/>
      <c r="G47" s="46"/>
      <c r="H47" s="11"/>
      <c r="I47" s="30"/>
      <c r="J47" s="31"/>
      <c r="K47" s="46"/>
      <c r="L47" s="11"/>
      <c r="M47" s="30"/>
      <c r="N47" s="31"/>
      <c r="O47" s="46"/>
      <c r="P47" s="11"/>
      <c r="Q47" s="30"/>
      <c r="R47" s="34"/>
      <c r="S47" s="46"/>
      <c r="T47" s="8"/>
      <c r="U47" s="47">
        <f>SUM(U28:U46)</f>
        <v>0</v>
      </c>
    </row>
    <row r="48" spans="1:21" x14ac:dyDescent="0.45">
      <c r="U48" s="35">
        <f>U47+U27</f>
        <v>0</v>
      </c>
    </row>
    <row r="49" spans="3:9" x14ac:dyDescent="0.45">
      <c r="C49" t="s">
        <v>15</v>
      </c>
      <c r="I49" t="s">
        <v>16</v>
      </c>
    </row>
  </sheetData>
  <mergeCells count="3">
    <mergeCell ref="E6:G6"/>
    <mergeCell ref="I6:K6"/>
    <mergeCell ref="M6:O6"/>
  </mergeCells>
  <pageMargins left="0.25" right="0.25" top="0.75" bottom="0.75" header="0.3" footer="0.3"/>
  <pageSetup paperSize="9" scale="2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9EEE-E149-48A7-BC19-5CB134BAF03D}">
  <sheetPr>
    <pageSetUpPr fitToPage="1"/>
  </sheetPr>
  <dimension ref="A1:AW22"/>
  <sheetViews>
    <sheetView topLeftCell="Q1" zoomScale="120" zoomScaleNormal="120" workbookViewId="0">
      <pane ySplit="1" topLeftCell="A3" activePane="bottomLeft" state="frozen"/>
      <selection pane="bottomLeft" activeCell="K9" sqref="K9:U9"/>
    </sheetView>
  </sheetViews>
  <sheetFormatPr baseColWidth="10" defaultColWidth="10.796875" defaultRowHeight="15.75" x14ac:dyDescent="0.5"/>
  <cols>
    <col min="1" max="1" width="3.46484375" style="136" hidden="1" customWidth="1"/>
    <col min="2" max="7" width="0" style="136" hidden="1" customWidth="1"/>
    <col min="8" max="8" width="3.46484375" style="136" bestFit="1" customWidth="1"/>
    <col min="9" max="9" width="11.6640625" style="136" hidden="1" customWidth="1"/>
    <col min="10" max="10" width="11.6640625" style="136" customWidth="1"/>
    <col min="11" max="11" width="24.33203125" style="136" customWidth="1"/>
    <col min="12" max="12" width="14.33203125" style="136" customWidth="1"/>
    <col min="13" max="13" width="16.796875" style="136" customWidth="1"/>
    <col min="14" max="14" width="20.1328125" style="136" customWidth="1"/>
    <col min="15" max="15" width="22.46484375" style="136" customWidth="1"/>
    <col min="16" max="16" width="18.33203125" style="136" customWidth="1"/>
    <col min="17" max="17" width="10.796875" style="136"/>
    <col min="18" max="18" width="11.1328125" style="136" customWidth="1"/>
    <col min="19" max="19" width="11.796875" style="136" customWidth="1"/>
    <col min="20" max="21" width="10.796875" style="136"/>
    <col min="22" max="23" width="11.796875" style="136" customWidth="1"/>
    <col min="24" max="25" width="8.6640625" style="136" customWidth="1"/>
    <col min="26" max="26" width="7.33203125" style="136" customWidth="1"/>
    <col min="27" max="27" width="6.33203125" style="136" customWidth="1"/>
    <col min="28" max="28" width="8.33203125" style="136" customWidth="1"/>
    <col min="29" max="30" width="8.1328125" style="136" customWidth="1"/>
    <col min="31" max="31" width="10.46484375" style="136" customWidth="1"/>
    <col min="32" max="32" width="6.33203125" style="136" customWidth="1"/>
    <col min="33" max="33" width="8" style="136" customWidth="1"/>
    <col min="34" max="38" width="10.796875" style="136"/>
    <col min="39" max="39" width="9.46484375" style="136" customWidth="1"/>
    <col min="40" max="16384" width="10.796875" style="136"/>
  </cols>
  <sheetData>
    <row r="1" spans="1:49" s="68" customFormat="1" ht="52.5" x14ac:dyDescent="0.45">
      <c r="A1" s="64"/>
      <c r="B1" s="65" t="s">
        <v>81</v>
      </c>
      <c r="C1" s="65" t="s">
        <v>82</v>
      </c>
      <c r="D1" s="65" t="s">
        <v>83</v>
      </c>
      <c r="E1" s="65" t="s">
        <v>84</v>
      </c>
      <c r="F1" s="66" t="s">
        <v>85</v>
      </c>
      <c r="G1" s="65" t="s">
        <v>86</v>
      </c>
      <c r="H1" s="65" t="s">
        <v>87</v>
      </c>
      <c r="I1" s="65" t="s">
        <v>88</v>
      </c>
      <c r="J1" s="65" t="s">
        <v>326</v>
      </c>
      <c r="K1" s="65" t="s">
        <v>89</v>
      </c>
      <c r="L1" s="66" t="s">
        <v>90</v>
      </c>
      <c r="M1" s="65" t="s">
        <v>91</v>
      </c>
      <c r="N1" s="66" t="s">
        <v>92</v>
      </c>
      <c r="O1" s="65" t="s">
        <v>93</v>
      </c>
      <c r="P1" s="65" t="s">
        <v>94</v>
      </c>
      <c r="Q1" s="65" t="s">
        <v>95</v>
      </c>
      <c r="R1" s="65" t="s">
        <v>96</v>
      </c>
      <c r="S1" s="65" t="s">
        <v>97</v>
      </c>
      <c r="T1" s="65" t="s">
        <v>98</v>
      </c>
      <c r="U1" s="65" t="s">
        <v>99</v>
      </c>
      <c r="V1" s="65" t="s">
        <v>100</v>
      </c>
      <c r="W1" s="65" t="s">
        <v>101</v>
      </c>
      <c r="X1" s="65" t="s">
        <v>102</v>
      </c>
      <c r="Y1" s="65" t="s">
        <v>103</v>
      </c>
      <c r="Z1" s="67" t="s">
        <v>104</v>
      </c>
      <c r="AA1" s="67" t="s">
        <v>105</v>
      </c>
      <c r="AB1" s="67" t="s">
        <v>106</v>
      </c>
      <c r="AC1" s="65" t="s">
        <v>107</v>
      </c>
      <c r="AD1" s="65" t="s">
        <v>108</v>
      </c>
      <c r="AE1" s="65" t="s">
        <v>109</v>
      </c>
      <c r="AF1" s="65" t="s">
        <v>110</v>
      </c>
      <c r="AG1" s="65" t="s">
        <v>111</v>
      </c>
      <c r="AH1" s="65" t="s">
        <v>112</v>
      </c>
      <c r="AI1" s="65" t="s">
        <v>113</v>
      </c>
      <c r="AJ1" s="65" t="s">
        <v>114</v>
      </c>
      <c r="AK1" s="66" t="s">
        <v>115</v>
      </c>
      <c r="AL1" s="66" t="s">
        <v>116</v>
      </c>
      <c r="AM1" s="65" t="s">
        <v>117</v>
      </c>
      <c r="AN1" s="65" t="s">
        <v>118</v>
      </c>
      <c r="AO1" s="65" t="s">
        <v>119</v>
      </c>
      <c r="AP1" s="65" t="s">
        <v>120</v>
      </c>
      <c r="AQ1" s="65" t="s">
        <v>121</v>
      </c>
      <c r="AR1" s="65" t="s">
        <v>122</v>
      </c>
      <c r="AS1" s="66" t="s">
        <v>123</v>
      </c>
      <c r="AT1" s="66" t="s">
        <v>124</v>
      </c>
      <c r="AU1" s="66" t="s">
        <v>125</v>
      </c>
      <c r="AV1" s="66" t="s">
        <v>126</v>
      </c>
      <c r="AW1" s="65" t="s">
        <v>127</v>
      </c>
    </row>
    <row r="2" spans="1:49" s="83" customFormat="1" ht="47" customHeight="1" x14ac:dyDescent="0.45">
      <c r="A2" s="69">
        <v>1</v>
      </c>
      <c r="B2" s="65">
        <v>11</v>
      </c>
      <c r="C2" s="65" t="s">
        <v>128</v>
      </c>
      <c r="D2" s="65" t="s">
        <v>129</v>
      </c>
      <c r="E2" s="65" t="s">
        <v>130</v>
      </c>
      <c r="F2" s="66" t="s">
        <v>131</v>
      </c>
      <c r="G2" s="65" t="s">
        <v>131</v>
      </c>
      <c r="H2" s="70">
        <v>1</v>
      </c>
      <c r="I2" s="70" t="s">
        <v>48</v>
      </c>
      <c r="J2" s="70" t="s">
        <v>36</v>
      </c>
      <c r="K2" s="70" t="s">
        <v>59</v>
      </c>
      <c r="L2" s="70" t="s">
        <v>60</v>
      </c>
      <c r="M2" s="70" t="s">
        <v>132</v>
      </c>
      <c r="N2" s="71" t="s">
        <v>133</v>
      </c>
      <c r="O2" s="70" t="s">
        <v>134</v>
      </c>
      <c r="P2" s="72" t="s">
        <v>135</v>
      </c>
      <c r="Q2" s="73" t="s">
        <v>136</v>
      </c>
      <c r="R2" s="73">
        <v>505</v>
      </c>
      <c r="S2" s="74">
        <v>45305</v>
      </c>
      <c r="T2" s="75" t="s">
        <v>137</v>
      </c>
      <c r="U2" s="76">
        <v>44279</v>
      </c>
      <c r="V2" s="77">
        <f>2024-YEAR(U2)</f>
        <v>3</v>
      </c>
      <c r="W2" s="70" t="s">
        <v>138</v>
      </c>
      <c r="X2" s="70" t="s">
        <v>139</v>
      </c>
      <c r="Y2" s="70"/>
      <c r="Z2" s="73" t="s">
        <v>140</v>
      </c>
      <c r="AA2" s="73" t="s">
        <v>141</v>
      </c>
      <c r="AB2" s="73" t="s">
        <v>130</v>
      </c>
      <c r="AC2" s="78" t="s">
        <v>140</v>
      </c>
      <c r="AD2" s="70"/>
      <c r="AE2" s="79">
        <v>43262</v>
      </c>
      <c r="AF2" s="65" t="s">
        <v>142</v>
      </c>
      <c r="AG2" s="65" t="s">
        <v>141</v>
      </c>
      <c r="AH2" s="65" t="s">
        <v>130</v>
      </c>
      <c r="AI2" s="65" t="s">
        <v>130</v>
      </c>
      <c r="AJ2" s="65">
        <v>2020</v>
      </c>
      <c r="AK2" s="66"/>
      <c r="AL2" s="66" t="s">
        <v>140</v>
      </c>
      <c r="AM2" s="70" t="s">
        <v>143</v>
      </c>
      <c r="AN2" s="80">
        <v>510</v>
      </c>
      <c r="AO2" s="81">
        <v>43466</v>
      </c>
      <c r="AP2" s="80">
        <v>450</v>
      </c>
      <c r="AQ2" s="80"/>
      <c r="AR2" s="80"/>
      <c r="AS2" s="70">
        <v>64</v>
      </c>
      <c r="AT2" s="70" t="s">
        <v>144</v>
      </c>
      <c r="AU2" s="82">
        <v>97670</v>
      </c>
      <c r="AV2" s="82" t="s">
        <v>145</v>
      </c>
      <c r="AW2" s="70" t="s">
        <v>146</v>
      </c>
    </row>
    <row r="3" spans="1:49" s="83" customFormat="1" ht="47" customHeight="1" x14ac:dyDescent="0.45">
      <c r="A3" s="69">
        <v>33</v>
      </c>
      <c r="B3" s="65">
        <v>17</v>
      </c>
      <c r="C3" s="65" t="s">
        <v>128</v>
      </c>
      <c r="D3" s="65" t="s">
        <v>129</v>
      </c>
      <c r="E3" s="65" t="s">
        <v>130</v>
      </c>
      <c r="F3" s="66" t="s">
        <v>131</v>
      </c>
      <c r="G3" s="65" t="s">
        <v>131</v>
      </c>
      <c r="H3" s="70">
        <v>2</v>
      </c>
      <c r="I3" s="70" t="s">
        <v>50</v>
      </c>
      <c r="J3" s="70" t="s">
        <v>42</v>
      </c>
      <c r="K3" s="70" t="s">
        <v>61</v>
      </c>
      <c r="L3" s="70" t="s">
        <v>62</v>
      </c>
      <c r="M3" s="70" t="s">
        <v>147</v>
      </c>
      <c r="N3" s="84" t="s">
        <v>148</v>
      </c>
      <c r="O3" s="85" t="s">
        <v>149</v>
      </c>
      <c r="P3" s="72" t="s">
        <v>150</v>
      </c>
      <c r="Q3" s="73" t="s">
        <v>151</v>
      </c>
      <c r="R3" s="73">
        <v>1050</v>
      </c>
      <c r="S3" s="74">
        <v>46342</v>
      </c>
      <c r="T3" s="86" t="s">
        <v>152</v>
      </c>
      <c r="U3" s="87">
        <v>45182</v>
      </c>
      <c r="V3" s="77">
        <f>2024-YEAR(U3)</f>
        <v>1</v>
      </c>
      <c r="W3" s="88" t="s">
        <v>138</v>
      </c>
      <c r="X3" s="70" t="s">
        <v>139</v>
      </c>
      <c r="Y3" s="89">
        <v>45406</v>
      </c>
      <c r="Z3" s="90" t="s">
        <v>130</v>
      </c>
      <c r="AA3" s="73" t="s">
        <v>140</v>
      </c>
      <c r="AB3" s="73" t="s">
        <v>130</v>
      </c>
      <c r="AC3" s="91" t="s">
        <v>130</v>
      </c>
      <c r="AD3" s="88" t="s">
        <v>153</v>
      </c>
      <c r="AE3" s="79">
        <v>48415</v>
      </c>
      <c r="AF3" s="65" t="s">
        <v>142</v>
      </c>
      <c r="AG3" s="65" t="s">
        <v>141</v>
      </c>
      <c r="AH3" s="65" t="s">
        <v>140</v>
      </c>
      <c r="AI3" s="65" t="s">
        <v>140</v>
      </c>
      <c r="AJ3" s="65" t="s">
        <v>140</v>
      </c>
      <c r="AK3" s="66" t="s">
        <v>154</v>
      </c>
      <c r="AL3" s="66" t="s">
        <v>140</v>
      </c>
      <c r="AM3" s="70"/>
      <c r="AN3" s="80">
        <v>510</v>
      </c>
      <c r="AO3" s="81">
        <v>43466</v>
      </c>
      <c r="AP3" s="80">
        <v>250</v>
      </c>
      <c r="AQ3" s="80" t="s">
        <v>130</v>
      </c>
      <c r="AR3" s="80" t="s">
        <v>130</v>
      </c>
      <c r="AS3" s="70"/>
      <c r="AT3" s="70" t="s">
        <v>155</v>
      </c>
      <c r="AU3" s="82">
        <v>97640</v>
      </c>
      <c r="AV3" s="82" t="s">
        <v>156</v>
      </c>
      <c r="AW3" s="88" t="s">
        <v>157</v>
      </c>
    </row>
    <row r="4" spans="1:49" s="83" customFormat="1" ht="47" customHeight="1" x14ac:dyDescent="0.45">
      <c r="A4" s="69">
        <v>65</v>
      </c>
      <c r="B4" s="65">
        <v>23</v>
      </c>
      <c r="C4" s="65" t="s">
        <v>128</v>
      </c>
      <c r="D4" s="65" t="s">
        <v>129</v>
      </c>
      <c r="E4" s="65" t="s">
        <v>130</v>
      </c>
      <c r="F4" s="66" t="s">
        <v>131</v>
      </c>
      <c r="G4" s="65" t="s">
        <v>131</v>
      </c>
      <c r="H4" s="70">
        <v>3</v>
      </c>
      <c r="I4" s="70"/>
      <c r="J4" s="70" t="s">
        <v>46</v>
      </c>
      <c r="K4" s="92" t="s">
        <v>158</v>
      </c>
      <c r="L4" s="93" t="s">
        <v>159</v>
      </c>
      <c r="M4" s="92" t="s">
        <v>160</v>
      </c>
      <c r="N4" s="94" t="s">
        <v>161</v>
      </c>
      <c r="O4" s="95" t="s">
        <v>162</v>
      </c>
      <c r="P4" s="96" t="s">
        <v>150</v>
      </c>
      <c r="Q4" s="97" t="s">
        <v>163</v>
      </c>
      <c r="R4" s="97">
        <v>222</v>
      </c>
      <c r="S4" s="98">
        <v>45489</v>
      </c>
      <c r="T4" s="99" t="s">
        <v>164</v>
      </c>
      <c r="U4" s="100">
        <v>43707</v>
      </c>
      <c r="V4" s="98"/>
      <c r="W4" s="93" t="s">
        <v>138</v>
      </c>
      <c r="X4" s="92"/>
      <c r="Y4" s="92"/>
      <c r="Z4" s="101" t="s">
        <v>165</v>
      </c>
      <c r="AA4" s="97" t="s">
        <v>130</v>
      </c>
      <c r="AB4" s="97"/>
      <c r="AC4" s="102" t="s">
        <v>166</v>
      </c>
      <c r="AD4" s="93"/>
      <c r="AE4" s="100">
        <v>45896</v>
      </c>
      <c r="AF4" s="99" t="s">
        <v>142</v>
      </c>
      <c r="AG4" s="99"/>
      <c r="AH4" s="99" t="s">
        <v>130</v>
      </c>
      <c r="AI4" s="99" t="s">
        <v>130</v>
      </c>
      <c r="AJ4" s="99" t="s">
        <v>130</v>
      </c>
      <c r="AK4" s="103" t="s">
        <v>130</v>
      </c>
      <c r="AL4" s="103" t="s">
        <v>140</v>
      </c>
      <c r="AM4" s="92"/>
      <c r="AN4" s="104">
        <v>510</v>
      </c>
      <c r="AO4" s="105">
        <v>43466</v>
      </c>
      <c r="AP4" s="104">
        <v>150</v>
      </c>
      <c r="AQ4" s="104" t="s">
        <v>130</v>
      </c>
      <c r="AR4" s="104" t="s">
        <v>130</v>
      </c>
      <c r="AS4" s="92">
        <v>4</v>
      </c>
      <c r="AT4" s="92" t="s">
        <v>167</v>
      </c>
      <c r="AU4" s="106">
        <v>97640</v>
      </c>
      <c r="AV4" s="106" t="s">
        <v>156</v>
      </c>
      <c r="AW4" s="92" t="s">
        <v>168</v>
      </c>
    </row>
    <row r="5" spans="1:49" s="83" customFormat="1" ht="47" customHeight="1" x14ac:dyDescent="0.45">
      <c r="A5" s="69">
        <v>129</v>
      </c>
      <c r="B5" s="65">
        <v>35</v>
      </c>
      <c r="C5" s="65" t="s">
        <v>128</v>
      </c>
      <c r="D5" s="65" t="s">
        <v>129</v>
      </c>
      <c r="E5" s="65" t="s">
        <v>130</v>
      </c>
      <c r="F5" s="66" t="s">
        <v>131</v>
      </c>
      <c r="G5" s="65" t="s">
        <v>131</v>
      </c>
      <c r="H5" s="70">
        <v>4</v>
      </c>
      <c r="I5" s="70"/>
      <c r="J5" s="70"/>
      <c r="K5" s="70" t="s">
        <v>64</v>
      </c>
      <c r="L5" s="70" t="s">
        <v>63</v>
      </c>
      <c r="M5" s="70" t="s">
        <v>169</v>
      </c>
      <c r="N5" s="107" t="s">
        <v>170</v>
      </c>
      <c r="O5" s="70" t="s">
        <v>171</v>
      </c>
      <c r="P5" s="72" t="s">
        <v>150</v>
      </c>
      <c r="Q5" s="73" t="s">
        <v>172</v>
      </c>
      <c r="R5" s="73">
        <v>1294</v>
      </c>
      <c r="S5" s="74">
        <v>43992</v>
      </c>
      <c r="T5" s="108" t="s">
        <v>173</v>
      </c>
      <c r="U5" s="109">
        <v>44753</v>
      </c>
      <c r="V5" s="77">
        <f t="shared" ref="V5:V12" si="0">2024-YEAR(U5)</f>
        <v>2</v>
      </c>
      <c r="W5" s="70" t="s">
        <v>138</v>
      </c>
      <c r="X5" s="70"/>
      <c r="Y5" s="70" t="s">
        <v>174</v>
      </c>
      <c r="Z5" s="73" t="s">
        <v>130</v>
      </c>
      <c r="AA5" s="73" t="s">
        <v>141</v>
      </c>
      <c r="AB5" s="73" t="s">
        <v>130</v>
      </c>
      <c r="AC5" s="78"/>
      <c r="AD5" s="70"/>
      <c r="AE5" s="79">
        <v>47882</v>
      </c>
      <c r="AF5" s="65" t="s">
        <v>142</v>
      </c>
      <c r="AG5" s="65" t="s">
        <v>141</v>
      </c>
      <c r="AH5" s="65" t="s">
        <v>130</v>
      </c>
      <c r="AI5" s="65" t="s">
        <v>130</v>
      </c>
      <c r="AJ5" s="65" t="s">
        <v>130</v>
      </c>
      <c r="AK5" s="66" t="s">
        <v>130</v>
      </c>
      <c r="AL5" s="66" t="s">
        <v>130</v>
      </c>
      <c r="AM5" s="70" t="s">
        <v>175</v>
      </c>
      <c r="AN5" s="80">
        <v>510</v>
      </c>
      <c r="AO5" s="81">
        <v>43466</v>
      </c>
      <c r="AP5" s="80">
        <v>450</v>
      </c>
      <c r="AQ5" s="80"/>
      <c r="AR5" s="80"/>
      <c r="AS5" s="70">
        <v>85</v>
      </c>
      <c r="AT5" s="70" t="s">
        <v>176</v>
      </c>
      <c r="AU5" s="82">
        <v>97640</v>
      </c>
      <c r="AV5" s="82" t="s">
        <v>156</v>
      </c>
      <c r="AW5" s="70" t="s">
        <v>177</v>
      </c>
    </row>
    <row r="6" spans="1:49" s="83" customFormat="1" ht="47" customHeight="1" x14ac:dyDescent="0.45">
      <c r="A6" s="69">
        <v>161</v>
      </c>
      <c r="B6" s="65">
        <v>41</v>
      </c>
      <c r="C6" s="65" t="s">
        <v>128</v>
      </c>
      <c r="D6" s="65" t="s">
        <v>129</v>
      </c>
      <c r="E6" s="65" t="s">
        <v>130</v>
      </c>
      <c r="F6" s="66" t="s">
        <v>131</v>
      </c>
      <c r="G6" s="65" t="s">
        <v>131</v>
      </c>
      <c r="H6" s="70">
        <v>5</v>
      </c>
      <c r="I6" s="70" t="s">
        <v>178</v>
      </c>
      <c r="J6" s="70"/>
      <c r="K6" s="70" t="s">
        <v>179</v>
      </c>
      <c r="L6" s="70" t="s">
        <v>65</v>
      </c>
      <c r="M6" s="70" t="s">
        <v>180</v>
      </c>
      <c r="N6" s="107" t="s">
        <v>181</v>
      </c>
      <c r="O6" s="70" t="s">
        <v>182</v>
      </c>
      <c r="P6" s="72" t="s">
        <v>135</v>
      </c>
      <c r="Q6" s="73" t="s">
        <v>183</v>
      </c>
      <c r="R6" s="73">
        <v>806</v>
      </c>
      <c r="S6" s="74">
        <v>43222</v>
      </c>
      <c r="T6" s="65" t="s">
        <v>184</v>
      </c>
      <c r="U6" s="79">
        <v>44336</v>
      </c>
      <c r="V6" s="77">
        <f t="shared" si="0"/>
        <v>3</v>
      </c>
      <c r="W6" s="70" t="s">
        <v>138</v>
      </c>
      <c r="X6" s="70" t="s">
        <v>185</v>
      </c>
      <c r="Y6" s="70" t="s">
        <v>174</v>
      </c>
      <c r="Z6" s="73" t="s">
        <v>130</v>
      </c>
      <c r="AA6" s="73"/>
      <c r="AB6" s="73" t="s">
        <v>130</v>
      </c>
      <c r="AC6" s="78" t="s">
        <v>140</v>
      </c>
      <c r="AD6" s="70"/>
      <c r="AE6" s="79">
        <v>46556</v>
      </c>
      <c r="AF6" s="65" t="s">
        <v>142</v>
      </c>
      <c r="AG6" s="65" t="s">
        <v>141</v>
      </c>
      <c r="AH6" s="65" t="s">
        <v>140</v>
      </c>
      <c r="AI6" s="65" t="s">
        <v>140</v>
      </c>
      <c r="AJ6" s="65" t="s">
        <v>140</v>
      </c>
      <c r="AK6" s="66" t="s">
        <v>140</v>
      </c>
      <c r="AL6" s="66" t="s">
        <v>140</v>
      </c>
      <c r="AM6" s="70"/>
      <c r="AN6" s="80">
        <v>510</v>
      </c>
      <c r="AO6" s="81"/>
      <c r="AP6" s="80">
        <v>450</v>
      </c>
      <c r="AQ6" s="80"/>
      <c r="AR6" s="80"/>
      <c r="AS6" s="70"/>
      <c r="AT6" s="70" t="s">
        <v>186</v>
      </c>
      <c r="AU6" s="82">
        <v>97625</v>
      </c>
      <c r="AV6" s="82" t="s">
        <v>187</v>
      </c>
      <c r="AW6" s="70" t="s">
        <v>188</v>
      </c>
    </row>
    <row r="7" spans="1:49" s="83" customFormat="1" ht="47" customHeight="1" x14ac:dyDescent="0.45">
      <c r="A7" s="69">
        <v>129</v>
      </c>
      <c r="B7" s="65">
        <v>35</v>
      </c>
      <c r="C7" s="65" t="s">
        <v>128</v>
      </c>
      <c r="D7" s="65" t="s">
        <v>129</v>
      </c>
      <c r="E7" s="65" t="s">
        <v>130</v>
      </c>
      <c r="F7" s="66" t="s">
        <v>131</v>
      </c>
      <c r="G7" s="65" t="s">
        <v>131</v>
      </c>
      <c r="H7" s="70">
        <v>6</v>
      </c>
      <c r="I7" s="70"/>
      <c r="J7" s="70" t="s">
        <v>50</v>
      </c>
      <c r="K7" s="70" t="s">
        <v>189</v>
      </c>
      <c r="L7" s="70" t="s">
        <v>190</v>
      </c>
      <c r="M7" s="70" t="s">
        <v>191</v>
      </c>
      <c r="N7" s="84" t="s">
        <v>170</v>
      </c>
      <c r="O7" s="110" t="s">
        <v>192</v>
      </c>
      <c r="P7" s="72" t="s">
        <v>193</v>
      </c>
      <c r="Q7" s="73" t="s">
        <v>194</v>
      </c>
      <c r="R7" s="73">
        <v>759</v>
      </c>
      <c r="S7" s="74">
        <v>45639</v>
      </c>
      <c r="T7" s="75" t="s">
        <v>195</v>
      </c>
      <c r="U7" s="76">
        <v>44495</v>
      </c>
      <c r="V7" s="77">
        <f t="shared" si="0"/>
        <v>3</v>
      </c>
      <c r="W7" s="70" t="s">
        <v>138</v>
      </c>
      <c r="X7" s="70" t="s">
        <v>185</v>
      </c>
      <c r="Y7" s="70"/>
      <c r="Z7" s="73" t="s">
        <v>140</v>
      </c>
      <c r="AA7" s="73"/>
      <c r="AB7" s="73" t="s">
        <v>140</v>
      </c>
      <c r="AC7" s="78"/>
      <c r="AD7" s="70" t="s">
        <v>140</v>
      </c>
      <c r="AE7" s="79">
        <v>48640</v>
      </c>
      <c r="AF7" s="65" t="s">
        <v>142</v>
      </c>
      <c r="AG7" s="65" t="s">
        <v>141</v>
      </c>
      <c r="AH7" s="65" t="s">
        <v>140</v>
      </c>
      <c r="AI7" s="65" t="s">
        <v>140</v>
      </c>
      <c r="AJ7" s="65" t="s">
        <v>130</v>
      </c>
      <c r="AK7" s="66" t="s">
        <v>154</v>
      </c>
      <c r="AL7" s="66" t="s">
        <v>140</v>
      </c>
      <c r="AM7" s="70" t="s">
        <v>196</v>
      </c>
      <c r="AN7" s="80">
        <v>510</v>
      </c>
      <c r="AO7" s="81">
        <v>43466</v>
      </c>
      <c r="AP7" s="80">
        <v>250</v>
      </c>
      <c r="AQ7" s="80" t="s">
        <v>130</v>
      </c>
      <c r="AR7" s="80" t="s">
        <v>130</v>
      </c>
      <c r="AS7" s="70"/>
      <c r="AT7" s="70" t="s">
        <v>197</v>
      </c>
      <c r="AU7" s="82">
        <v>97620</v>
      </c>
      <c r="AV7" s="82" t="s">
        <v>198</v>
      </c>
      <c r="AW7" s="70" t="s">
        <v>199</v>
      </c>
    </row>
    <row r="8" spans="1:49" s="83" customFormat="1" ht="47" customHeight="1" x14ac:dyDescent="0.45">
      <c r="A8" s="69">
        <v>193</v>
      </c>
      <c r="B8" s="65">
        <v>47</v>
      </c>
      <c r="C8" s="65" t="s">
        <v>128</v>
      </c>
      <c r="D8" s="65" t="s">
        <v>129</v>
      </c>
      <c r="E8" s="65" t="s">
        <v>130</v>
      </c>
      <c r="F8" s="66" t="s">
        <v>131</v>
      </c>
      <c r="G8" s="65" t="s">
        <v>131</v>
      </c>
      <c r="H8" s="70">
        <v>7</v>
      </c>
      <c r="I8" s="70" t="s">
        <v>41</v>
      </c>
      <c r="J8" s="70" t="s">
        <v>51</v>
      </c>
      <c r="K8" s="70" t="s">
        <v>200</v>
      </c>
      <c r="L8" s="70" t="s">
        <v>68</v>
      </c>
      <c r="M8" s="70" t="s">
        <v>201</v>
      </c>
      <c r="N8" s="71" t="s">
        <v>202</v>
      </c>
      <c r="O8" s="70" t="s">
        <v>203</v>
      </c>
      <c r="P8" s="72" t="s">
        <v>193</v>
      </c>
      <c r="Q8" s="73" t="s">
        <v>204</v>
      </c>
      <c r="R8" s="73">
        <v>1414</v>
      </c>
      <c r="S8" s="74">
        <v>45181</v>
      </c>
      <c r="T8" s="75" t="s">
        <v>205</v>
      </c>
      <c r="U8" s="76">
        <v>44581</v>
      </c>
      <c r="V8" s="77">
        <f t="shared" si="0"/>
        <v>2</v>
      </c>
      <c r="W8" s="70" t="s">
        <v>206</v>
      </c>
      <c r="X8" s="70"/>
      <c r="Y8" s="70"/>
      <c r="Z8" s="73" t="s">
        <v>140</v>
      </c>
      <c r="AA8" s="73" t="s">
        <v>141</v>
      </c>
      <c r="AB8" s="73" t="s">
        <v>140</v>
      </c>
      <c r="AC8" s="78"/>
      <c r="AD8" s="70" t="s">
        <v>140</v>
      </c>
      <c r="AE8" s="79">
        <v>45040</v>
      </c>
      <c r="AF8" s="65" t="s">
        <v>142</v>
      </c>
      <c r="AG8" s="65" t="s">
        <v>141</v>
      </c>
      <c r="AH8" s="65" t="s">
        <v>140</v>
      </c>
      <c r="AI8" s="65">
        <v>2023</v>
      </c>
      <c r="AJ8" s="65" t="s">
        <v>140</v>
      </c>
      <c r="AK8" s="66" t="s">
        <v>154</v>
      </c>
      <c r="AL8" s="66" t="s">
        <v>130</v>
      </c>
      <c r="AM8" s="111" t="s">
        <v>207</v>
      </c>
      <c r="AN8" s="88">
        <v>510</v>
      </c>
      <c r="AO8" s="81">
        <v>44285</v>
      </c>
      <c r="AP8" s="88">
        <v>450</v>
      </c>
      <c r="AQ8" s="88"/>
      <c r="AR8" s="88"/>
      <c r="AS8" s="70">
        <v>8</v>
      </c>
      <c r="AT8" s="70" t="s">
        <v>208</v>
      </c>
      <c r="AU8" s="82">
        <v>97640</v>
      </c>
      <c r="AV8" s="82" t="s">
        <v>209</v>
      </c>
      <c r="AW8" s="70" t="s">
        <v>210</v>
      </c>
    </row>
    <row r="9" spans="1:49" s="83" customFormat="1" ht="47" customHeight="1" x14ac:dyDescent="0.45">
      <c r="A9" s="69">
        <v>225</v>
      </c>
      <c r="B9" s="65">
        <v>53</v>
      </c>
      <c r="C9" s="65" t="s">
        <v>128</v>
      </c>
      <c r="D9" s="65" t="s">
        <v>129</v>
      </c>
      <c r="E9" s="65" t="s">
        <v>130</v>
      </c>
      <c r="F9" s="66" t="s">
        <v>131</v>
      </c>
      <c r="G9" s="65" t="s">
        <v>131</v>
      </c>
      <c r="H9" s="70">
        <v>8</v>
      </c>
      <c r="I9" s="70"/>
      <c r="J9" s="70" t="s">
        <v>44</v>
      </c>
      <c r="K9" s="70" t="s">
        <v>211</v>
      </c>
      <c r="L9" s="70" t="s">
        <v>212</v>
      </c>
      <c r="M9" s="112" t="s">
        <v>213</v>
      </c>
      <c r="N9" s="84" t="s">
        <v>214</v>
      </c>
      <c r="O9" s="70" t="s">
        <v>215</v>
      </c>
      <c r="P9" s="72" t="s">
        <v>135</v>
      </c>
      <c r="Q9" s="73" t="s">
        <v>216</v>
      </c>
      <c r="R9" s="73">
        <v>1000</v>
      </c>
      <c r="S9" s="74">
        <v>44349</v>
      </c>
      <c r="T9" s="113" t="s">
        <v>217</v>
      </c>
      <c r="U9" s="76">
        <v>43573</v>
      </c>
      <c r="V9" s="77">
        <f t="shared" si="0"/>
        <v>5</v>
      </c>
      <c r="W9" s="70" t="s">
        <v>138</v>
      </c>
      <c r="X9" s="70"/>
      <c r="Y9" s="70"/>
      <c r="Z9" s="73" t="s">
        <v>130</v>
      </c>
      <c r="AA9" s="73" t="s">
        <v>141</v>
      </c>
      <c r="AB9" s="73" t="s">
        <v>130</v>
      </c>
      <c r="AC9" s="78"/>
      <c r="AD9" s="70"/>
      <c r="AE9" s="79">
        <v>45177</v>
      </c>
      <c r="AF9" s="65" t="s">
        <v>142</v>
      </c>
      <c r="AG9" s="65" t="s">
        <v>141</v>
      </c>
      <c r="AH9" s="65" t="s">
        <v>140</v>
      </c>
      <c r="AI9" s="65">
        <v>2023</v>
      </c>
      <c r="AJ9" s="65" t="s">
        <v>140</v>
      </c>
      <c r="AK9" s="66" t="s">
        <v>154</v>
      </c>
      <c r="AL9" s="66" t="s">
        <v>140</v>
      </c>
      <c r="AM9" s="70"/>
      <c r="AN9" s="80">
        <v>510</v>
      </c>
      <c r="AO9" s="81">
        <v>43466</v>
      </c>
      <c r="AP9" s="80">
        <v>250</v>
      </c>
      <c r="AQ9" s="80"/>
      <c r="AR9" s="80"/>
      <c r="AS9" s="70">
        <v>97</v>
      </c>
      <c r="AT9" s="70" t="s">
        <v>218</v>
      </c>
      <c r="AU9" s="82">
        <v>97640</v>
      </c>
      <c r="AV9" s="82" t="s">
        <v>156</v>
      </c>
      <c r="AW9" s="70" t="s">
        <v>219</v>
      </c>
    </row>
    <row r="10" spans="1:49" s="83" customFormat="1" ht="47" customHeight="1" x14ac:dyDescent="0.45">
      <c r="A10" s="69">
        <v>257</v>
      </c>
      <c r="B10" s="65">
        <v>59</v>
      </c>
      <c r="C10" s="65" t="s">
        <v>128</v>
      </c>
      <c r="D10" s="65" t="s">
        <v>129</v>
      </c>
      <c r="E10" s="65" t="s">
        <v>130</v>
      </c>
      <c r="F10" s="66" t="s">
        <v>131</v>
      </c>
      <c r="G10" s="65" t="s">
        <v>131</v>
      </c>
      <c r="H10" s="70">
        <v>9</v>
      </c>
      <c r="I10" s="70" t="s">
        <v>27</v>
      </c>
      <c r="J10" s="70" t="s">
        <v>37</v>
      </c>
      <c r="K10" s="70" t="s">
        <v>69</v>
      </c>
      <c r="L10" s="70" t="s">
        <v>70</v>
      </c>
      <c r="M10" s="70" t="s">
        <v>220</v>
      </c>
      <c r="N10" s="84" t="s">
        <v>221</v>
      </c>
      <c r="O10" s="85" t="s">
        <v>222</v>
      </c>
      <c r="P10" s="72" t="s">
        <v>150</v>
      </c>
      <c r="Q10" s="73" t="s">
        <v>223</v>
      </c>
      <c r="R10" s="73">
        <v>920</v>
      </c>
      <c r="S10" s="74">
        <v>44871</v>
      </c>
      <c r="T10" s="108" t="s">
        <v>224</v>
      </c>
      <c r="U10" s="76">
        <v>44419</v>
      </c>
      <c r="V10" s="77">
        <f t="shared" si="0"/>
        <v>3</v>
      </c>
      <c r="W10" s="88" t="s">
        <v>138</v>
      </c>
      <c r="X10" s="70" t="s">
        <v>225</v>
      </c>
      <c r="Y10" s="89">
        <v>45411</v>
      </c>
      <c r="Z10" s="73" t="s">
        <v>130</v>
      </c>
      <c r="AA10" s="73" t="s">
        <v>130</v>
      </c>
      <c r="AB10" s="73" t="s">
        <v>130</v>
      </c>
      <c r="AC10" s="91" t="s">
        <v>130</v>
      </c>
      <c r="AD10" s="88" t="s">
        <v>130</v>
      </c>
      <c r="AE10" s="114">
        <v>49279</v>
      </c>
      <c r="AF10" s="65" t="s">
        <v>142</v>
      </c>
      <c r="AG10" s="65" t="s">
        <v>141</v>
      </c>
      <c r="AH10" s="65" t="s">
        <v>140</v>
      </c>
      <c r="AI10" s="65" t="s">
        <v>140</v>
      </c>
      <c r="AJ10" s="65">
        <v>2024</v>
      </c>
      <c r="AK10" s="66" t="s">
        <v>154</v>
      </c>
      <c r="AL10" s="66" t="s">
        <v>130</v>
      </c>
      <c r="AM10" s="70" t="s">
        <v>226</v>
      </c>
      <c r="AN10" s="80">
        <v>510</v>
      </c>
      <c r="AO10" s="81">
        <v>44295</v>
      </c>
      <c r="AP10" s="80">
        <v>100</v>
      </c>
      <c r="AQ10" s="80" t="s">
        <v>130</v>
      </c>
      <c r="AR10" s="80" t="s">
        <v>130</v>
      </c>
      <c r="AS10" s="70">
        <v>193</v>
      </c>
      <c r="AT10" s="70" t="s">
        <v>227</v>
      </c>
      <c r="AU10" s="82">
        <v>97630</v>
      </c>
      <c r="AV10" s="82" t="s">
        <v>228</v>
      </c>
      <c r="AW10" s="70" t="s">
        <v>229</v>
      </c>
    </row>
    <row r="11" spans="1:49" s="115" customFormat="1" ht="47" customHeight="1" x14ac:dyDescent="0.45">
      <c r="A11" s="69">
        <v>289</v>
      </c>
      <c r="B11" s="65">
        <v>65</v>
      </c>
      <c r="C11" s="65" t="s">
        <v>128</v>
      </c>
      <c r="D11" s="65" t="s">
        <v>129</v>
      </c>
      <c r="E11" s="65" t="s">
        <v>130</v>
      </c>
      <c r="F11" s="66" t="s">
        <v>131</v>
      </c>
      <c r="G11" s="65" t="s">
        <v>131</v>
      </c>
      <c r="H11" s="70">
        <v>10</v>
      </c>
      <c r="I11" s="70" t="s">
        <v>24</v>
      </c>
      <c r="J11" s="70" t="s">
        <v>24</v>
      </c>
      <c r="K11" s="70" t="s">
        <v>230</v>
      </c>
      <c r="L11" s="70" t="s">
        <v>71</v>
      </c>
      <c r="M11" s="70" t="s">
        <v>231</v>
      </c>
      <c r="N11" s="84" t="s">
        <v>232</v>
      </c>
      <c r="O11" s="85" t="s">
        <v>233</v>
      </c>
      <c r="P11" s="72" t="s">
        <v>150</v>
      </c>
      <c r="Q11" s="73" t="s">
        <v>234</v>
      </c>
      <c r="R11" s="73">
        <v>413</v>
      </c>
      <c r="S11" s="74">
        <v>46877</v>
      </c>
      <c r="T11" s="65" t="s">
        <v>235</v>
      </c>
      <c r="U11" s="79">
        <v>45012</v>
      </c>
      <c r="V11" s="77">
        <f t="shared" si="0"/>
        <v>1</v>
      </c>
      <c r="W11" s="88" t="s">
        <v>138</v>
      </c>
      <c r="X11" s="70"/>
      <c r="Y11" s="70"/>
      <c r="Z11" s="73">
        <v>2023</v>
      </c>
      <c r="AA11" s="73" t="s">
        <v>140</v>
      </c>
      <c r="AB11" s="73">
        <v>2023</v>
      </c>
      <c r="AC11" s="91"/>
      <c r="AD11" s="88" t="s">
        <v>140</v>
      </c>
      <c r="AE11" s="114">
        <v>10959</v>
      </c>
      <c r="AF11" s="65" t="s">
        <v>236</v>
      </c>
      <c r="AG11" s="65" t="s">
        <v>141</v>
      </c>
      <c r="AH11" s="65" t="s">
        <v>130</v>
      </c>
      <c r="AI11" s="65" t="s">
        <v>130</v>
      </c>
      <c r="AJ11" s="65" t="s">
        <v>130</v>
      </c>
      <c r="AK11" s="66" t="s">
        <v>130</v>
      </c>
      <c r="AL11" s="66" t="s">
        <v>140</v>
      </c>
      <c r="AM11" s="70" t="s">
        <v>237</v>
      </c>
      <c r="AN11" s="80">
        <v>510</v>
      </c>
      <c r="AO11" s="81">
        <v>43466</v>
      </c>
      <c r="AP11" s="80">
        <v>250</v>
      </c>
      <c r="AQ11" s="80"/>
      <c r="AR11" s="80"/>
      <c r="AS11" s="70">
        <v>8</v>
      </c>
      <c r="AT11" s="70" t="s">
        <v>238</v>
      </c>
      <c r="AU11" s="82">
        <v>97650</v>
      </c>
      <c r="AV11" s="82" t="s">
        <v>239</v>
      </c>
      <c r="AW11" s="88" t="s">
        <v>240</v>
      </c>
    </row>
    <row r="12" spans="1:49" s="115" customFormat="1" ht="47" customHeight="1" x14ac:dyDescent="0.45">
      <c r="A12" s="69">
        <v>353</v>
      </c>
      <c r="B12" s="65">
        <v>77</v>
      </c>
      <c r="C12" s="65" t="s">
        <v>128</v>
      </c>
      <c r="D12" s="65" t="s">
        <v>129</v>
      </c>
      <c r="E12" s="65" t="s">
        <v>130</v>
      </c>
      <c r="F12" s="66" t="s">
        <v>131</v>
      </c>
      <c r="G12" s="65" t="s">
        <v>131</v>
      </c>
      <c r="H12" s="70">
        <v>11</v>
      </c>
      <c r="I12" s="70" t="s">
        <v>49</v>
      </c>
      <c r="J12" s="70" t="s">
        <v>47</v>
      </c>
      <c r="K12" s="70" t="s">
        <v>241</v>
      </c>
      <c r="L12" s="70" t="s">
        <v>242</v>
      </c>
      <c r="M12" s="70" t="s">
        <v>243</v>
      </c>
      <c r="N12" s="71" t="s">
        <v>244</v>
      </c>
      <c r="O12" s="85" t="s">
        <v>245</v>
      </c>
      <c r="P12" s="72" t="s">
        <v>246</v>
      </c>
      <c r="Q12" s="73" t="s">
        <v>247</v>
      </c>
      <c r="R12" s="73">
        <v>150</v>
      </c>
      <c r="S12" s="74">
        <v>45874</v>
      </c>
      <c r="T12" s="75" t="s">
        <v>248</v>
      </c>
      <c r="U12" s="76">
        <v>44362</v>
      </c>
      <c r="V12" s="77">
        <f t="shared" si="0"/>
        <v>3</v>
      </c>
      <c r="W12" s="88" t="s">
        <v>138</v>
      </c>
      <c r="X12" s="70"/>
      <c r="Y12" s="70"/>
      <c r="Z12" s="73" t="s">
        <v>140</v>
      </c>
      <c r="AA12" s="73"/>
      <c r="AB12" s="73" t="s">
        <v>140</v>
      </c>
      <c r="AC12" s="91"/>
      <c r="AD12" s="88" t="s">
        <v>140</v>
      </c>
      <c r="AE12" s="114">
        <v>49522</v>
      </c>
      <c r="AF12" s="65" t="s">
        <v>142</v>
      </c>
      <c r="AG12" s="65" t="s">
        <v>141</v>
      </c>
      <c r="AH12" s="65" t="s">
        <v>140</v>
      </c>
      <c r="AI12" s="65">
        <v>2023</v>
      </c>
      <c r="AJ12" s="65" t="s">
        <v>130</v>
      </c>
      <c r="AK12" s="66" t="s">
        <v>154</v>
      </c>
      <c r="AL12" s="66" t="s">
        <v>140</v>
      </c>
      <c r="AM12" s="70" t="s">
        <v>249</v>
      </c>
      <c r="AN12" s="80">
        <v>510</v>
      </c>
      <c r="AO12" s="81">
        <v>43466</v>
      </c>
      <c r="AP12" s="80">
        <v>550</v>
      </c>
      <c r="AQ12" s="80"/>
      <c r="AR12" s="80"/>
      <c r="AS12" s="70">
        <v>14</v>
      </c>
      <c r="AT12" s="70" t="s">
        <v>250</v>
      </c>
      <c r="AU12" s="82">
        <v>97625</v>
      </c>
      <c r="AV12" s="82" t="s">
        <v>187</v>
      </c>
      <c r="AW12" s="88" t="s">
        <v>251</v>
      </c>
    </row>
    <row r="13" spans="1:49" s="115" customFormat="1" ht="47" customHeight="1" x14ac:dyDescent="0.45">
      <c r="A13" s="69">
        <v>385</v>
      </c>
      <c r="B13" s="65">
        <v>83</v>
      </c>
      <c r="C13" s="65" t="s">
        <v>128</v>
      </c>
      <c r="D13" s="65" t="s">
        <v>129</v>
      </c>
      <c r="E13" s="65" t="s">
        <v>130</v>
      </c>
      <c r="F13" s="66" t="s">
        <v>131</v>
      </c>
      <c r="G13" s="65" t="s">
        <v>131</v>
      </c>
      <c r="H13" s="70">
        <v>12</v>
      </c>
      <c r="I13" s="70"/>
      <c r="J13" s="70" t="s">
        <v>45</v>
      </c>
      <c r="K13" s="92" t="s">
        <v>252</v>
      </c>
      <c r="L13" s="92" t="s">
        <v>253</v>
      </c>
      <c r="M13" s="92" t="s">
        <v>254</v>
      </c>
      <c r="N13" s="94" t="s">
        <v>255</v>
      </c>
      <c r="O13" s="95" t="s">
        <v>256</v>
      </c>
      <c r="P13" s="96" t="s">
        <v>257</v>
      </c>
      <c r="Q13" s="97" t="s">
        <v>258</v>
      </c>
      <c r="R13" s="97">
        <v>985</v>
      </c>
      <c r="S13" s="98">
        <v>44456</v>
      </c>
      <c r="T13" s="99" t="s">
        <v>259</v>
      </c>
      <c r="U13" s="100">
        <v>45273</v>
      </c>
      <c r="V13" s="98"/>
      <c r="W13" s="93" t="s">
        <v>138</v>
      </c>
      <c r="X13" s="92" t="s">
        <v>225</v>
      </c>
      <c r="Y13" s="92" t="s">
        <v>260</v>
      </c>
      <c r="Z13" s="97" t="s">
        <v>130</v>
      </c>
      <c r="AA13" s="97" t="s">
        <v>140</v>
      </c>
      <c r="AB13" s="97" t="s">
        <v>140</v>
      </c>
      <c r="AC13" s="102" t="s">
        <v>130</v>
      </c>
      <c r="AD13" s="93" t="s">
        <v>153</v>
      </c>
      <c r="AE13" s="100">
        <v>45248</v>
      </c>
      <c r="AF13" s="99" t="s">
        <v>142</v>
      </c>
      <c r="AG13" s="99"/>
      <c r="AH13" s="99" t="s">
        <v>130</v>
      </c>
      <c r="AI13" s="99" t="s">
        <v>130</v>
      </c>
      <c r="AJ13" s="99" t="s">
        <v>130</v>
      </c>
      <c r="AK13" s="103" t="s">
        <v>130</v>
      </c>
      <c r="AL13" s="103" t="s">
        <v>130</v>
      </c>
      <c r="AM13" s="92"/>
      <c r="AN13" s="104">
        <v>510</v>
      </c>
      <c r="AO13" s="105">
        <v>43466</v>
      </c>
      <c r="AP13" s="104">
        <v>150</v>
      </c>
      <c r="AQ13" s="104" t="s">
        <v>130</v>
      </c>
      <c r="AR13" s="104" t="s">
        <v>130</v>
      </c>
      <c r="AS13" s="92">
        <v>27</v>
      </c>
      <c r="AT13" s="92" t="s">
        <v>261</v>
      </c>
      <c r="AU13" s="106">
        <v>97650</v>
      </c>
      <c r="AV13" s="106" t="s">
        <v>262</v>
      </c>
      <c r="AW13" s="93"/>
    </row>
    <row r="14" spans="1:49" s="115" customFormat="1" ht="47" customHeight="1" x14ac:dyDescent="0.45">
      <c r="A14" s="69">
        <v>417</v>
      </c>
      <c r="B14" s="65">
        <v>89</v>
      </c>
      <c r="C14" s="65" t="s">
        <v>128</v>
      </c>
      <c r="D14" s="65" t="s">
        <v>129</v>
      </c>
      <c r="E14" s="65" t="s">
        <v>130</v>
      </c>
      <c r="F14" s="66" t="s">
        <v>131</v>
      </c>
      <c r="G14" s="65" t="s">
        <v>131</v>
      </c>
      <c r="H14" s="70">
        <v>13</v>
      </c>
      <c r="I14" s="70" t="s">
        <v>51</v>
      </c>
      <c r="J14" s="70" t="s">
        <v>27</v>
      </c>
      <c r="K14" s="92" t="s">
        <v>263</v>
      </c>
      <c r="L14" s="92" t="s">
        <v>264</v>
      </c>
      <c r="M14" s="92" t="s">
        <v>265</v>
      </c>
      <c r="N14" s="94" t="s">
        <v>266</v>
      </c>
      <c r="O14" s="92" t="s">
        <v>267</v>
      </c>
      <c r="P14" s="96" t="s">
        <v>257</v>
      </c>
      <c r="Q14" s="97" t="s">
        <v>268</v>
      </c>
      <c r="R14" s="97">
        <v>994</v>
      </c>
      <c r="S14" s="98">
        <v>44263</v>
      </c>
      <c r="T14" s="116" t="s">
        <v>269</v>
      </c>
      <c r="U14" s="100">
        <v>45394</v>
      </c>
      <c r="V14" s="98"/>
      <c r="W14" s="92" t="s">
        <v>138</v>
      </c>
      <c r="X14" s="92"/>
      <c r="Y14" s="92" t="s">
        <v>270</v>
      </c>
      <c r="Z14" s="97" t="s">
        <v>130</v>
      </c>
      <c r="AA14" s="97" t="s">
        <v>130</v>
      </c>
      <c r="AB14" s="97" t="s">
        <v>130</v>
      </c>
      <c r="AC14" s="117" t="s">
        <v>130</v>
      </c>
      <c r="AD14" s="92" t="s">
        <v>130</v>
      </c>
      <c r="AE14" s="100">
        <v>47621</v>
      </c>
      <c r="AF14" s="99" t="s">
        <v>142</v>
      </c>
      <c r="AG14" s="99"/>
      <c r="AH14" s="99" t="s">
        <v>130</v>
      </c>
      <c r="AI14" s="99" t="s">
        <v>130</v>
      </c>
      <c r="AJ14" s="99" t="s">
        <v>130</v>
      </c>
      <c r="AK14" s="103" t="s">
        <v>130</v>
      </c>
      <c r="AL14" s="103" t="s">
        <v>140</v>
      </c>
      <c r="AM14" s="92"/>
      <c r="AN14" s="104">
        <v>510</v>
      </c>
      <c r="AO14" s="105">
        <v>43466</v>
      </c>
      <c r="AP14" s="104">
        <v>200</v>
      </c>
      <c r="AQ14" s="104" t="s">
        <v>130</v>
      </c>
      <c r="AR14" s="104" t="s">
        <v>130</v>
      </c>
      <c r="AS14" s="92">
        <v>5</v>
      </c>
      <c r="AT14" s="92" t="s">
        <v>271</v>
      </c>
      <c r="AU14" s="106">
        <v>97630</v>
      </c>
      <c r="AV14" s="106" t="s">
        <v>228</v>
      </c>
      <c r="AW14" s="92" t="s">
        <v>272</v>
      </c>
    </row>
    <row r="15" spans="1:49" s="83" customFormat="1" ht="47" customHeight="1" x14ac:dyDescent="0.45">
      <c r="A15" s="69">
        <v>97</v>
      </c>
      <c r="B15" s="65">
        <v>29</v>
      </c>
      <c r="C15" s="65" t="s">
        <v>128</v>
      </c>
      <c r="D15" s="65" t="s">
        <v>129</v>
      </c>
      <c r="E15" s="65" t="s">
        <v>130</v>
      </c>
      <c r="F15" s="66" t="s">
        <v>131</v>
      </c>
      <c r="G15" s="65" t="s">
        <v>131</v>
      </c>
      <c r="H15" s="70">
        <v>14</v>
      </c>
      <c r="I15" s="70" t="s">
        <v>273</v>
      </c>
      <c r="J15" s="70" t="s">
        <v>48</v>
      </c>
      <c r="K15" s="70" t="s">
        <v>73</v>
      </c>
      <c r="L15" s="70" t="s">
        <v>74</v>
      </c>
      <c r="M15" s="70" t="s">
        <v>274</v>
      </c>
      <c r="N15" s="84" t="s">
        <v>275</v>
      </c>
      <c r="O15" s="70" t="s">
        <v>276</v>
      </c>
      <c r="P15" s="72" t="s">
        <v>277</v>
      </c>
      <c r="Q15" s="73" t="s">
        <v>278</v>
      </c>
      <c r="R15" s="73">
        <v>249</v>
      </c>
      <c r="S15" s="74">
        <v>43132</v>
      </c>
      <c r="T15" s="65" t="s">
        <v>279</v>
      </c>
      <c r="U15" s="79">
        <v>45083</v>
      </c>
      <c r="V15" s="77">
        <f>2024-YEAR(U15)</f>
        <v>1</v>
      </c>
      <c r="W15" s="70" t="s">
        <v>138</v>
      </c>
      <c r="X15" s="70" t="s">
        <v>280</v>
      </c>
      <c r="Y15" s="70"/>
      <c r="Z15" s="73">
        <v>2023</v>
      </c>
      <c r="AA15" s="73" t="s">
        <v>140</v>
      </c>
      <c r="AB15" s="73">
        <v>2023</v>
      </c>
      <c r="AC15" s="78"/>
      <c r="AD15" s="70" t="s">
        <v>140</v>
      </c>
      <c r="AE15" s="118">
        <v>49496</v>
      </c>
      <c r="AF15" s="65" t="s">
        <v>142</v>
      </c>
      <c r="AG15" s="65" t="s">
        <v>141</v>
      </c>
      <c r="AH15" s="65" t="s">
        <v>140</v>
      </c>
      <c r="AI15" s="65" t="s">
        <v>140</v>
      </c>
      <c r="AJ15" s="65" t="s">
        <v>140</v>
      </c>
      <c r="AK15" s="66" t="s">
        <v>140</v>
      </c>
      <c r="AL15" s="66" t="s">
        <v>140</v>
      </c>
      <c r="AM15" s="70" t="s">
        <v>281</v>
      </c>
      <c r="AN15" s="80">
        <v>510</v>
      </c>
      <c r="AO15" s="81">
        <v>43466</v>
      </c>
      <c r="AP15" s="80">
        <v>300</v>
      </c>
      <c r="AQ15" s="80"/>
      <c r="AR15" s="80"/>
      <c r="AS15" s="70">
        <v>2</v>
      </c>
      <c r="AT15" s="70" t="s">
        <v>282</v>
      </c>
      <c r="AU15" s="82">
        <v>97600</v>
      </c>
      <c r="AV15" s="82" t="s">
        <v>150</v>
      </c>
      <c r="AW15" s="70" t="s">
        <v>283</v>
      </c>
    </row>
    <row r="16" spans="1:49" s="115" customFormat="1" ht="47" customHeight="1" x14ac:dyDescent="0.45">
      <c r="A16" s="69">
        <v>321</v>
      </c>
      <c r="B16" s="65">
        <v>71</v>
      </c>
      <c r="C16" s="65" t="s">
        <v>128</v>
      </c>
      <c r="D16" s="65" t="s">
        <v>129</v>
      </c>
      <c r="E16" s="65" t="s">
        <v>130</v>
      </c>
      <c r="F16" s="66" t="s">
        <v>131</v>
      </c>
      <c r="G16" s="65" t="s">
        <v>131</v>
      </c>
      <c r="H16" s="70">
        <v>15</v>
      </c>
      <c r="I16" s="70" t="s">
        <v>37</v>
      </c>
      <c r="J16" s="70" t="s">
        <v>49</v>
      </c>
      <c r="K16" s="70" t="s">
        <v>75</v>
      </c>
      <c r="L16" s="70" t="s">
        <v>76</v>
      </c>
      <c r="M16" s="70" t="s">
        <v>284</v>
      </c>
      <c r="N16" s="70"/>
      <c r="O16" s="70" t="s">
        <v>285</v>
      </c>
      <c r="P16" s="72" t="s">
        <v>257</v>
      </c>
      <c r="Q16" s="73" t="s">
        <v>286</v>
      </c>
      <c r="R16" s="73">
        <v>1337</v>
      </c>
      <c r="S16" s="74">
        <v>45235</v>
      </c>
      <c r="T16" s="108" t="s">
        <v>287</v>
      </c>
      <c r="U16" s="109">
        <v>45219</v>
      </c>
      <c r="V16" s="77">
        <f>2024-YEAR(U16)</f>
        <v>1</v>
      </c>
      <c r="W16" s="70" t="s">
        <v>138</v>
      </c>
      <c r="X16" s="70"/>
      <c r="Y16" s="70"/>
      <c r="Z16" s="73" t="s">
        <v>140</v>
      </c>
      <c r="AA16" s="73"/>
      <c r="AB16" s="73" t="s">
        <v>130</v>
      </c>
      <c r="AC16" s="78"/>
      <c r="AD16" s="70" t="s">
        <v>140</v>
      </c>
      <c r="AE16" s="79">
        <v>48068</v>
      </c>
      <c r="AF16" s="65" t="s">
        <v>142</v>
      </c>
      <c r="AG16" s="65" t="s">
        <v>141</v>
      </c>
      <c r="AH16" s="65" t="s">
        <v>140</v>
      </c>
      <c r="AI16" s="65">
        <v>2023</v>
      </c>
      <c r="AJ16" s="65" t="s">
        <v>140</v>
      </c>
      <c r="AK16" s="66" t="s">
        <v>154</v>
      </c>
      <c r="AL16" s="66"/>
      <c r="AM16" s="70"/>
      <c r="AN16" s="80">
        <v>510</v>
      </c>
      <c r="AO16" s="81">
        <v>44171</v>
      </c>
      <c r="AP16" s="80">
        <v>150</v>
      </c>
      <c r="AQ16" s="80"/>
      <c r="AR16" s="80"/>
      <c r="AS16" s="70">
        <v>32</v>
      </c>
      <c r="AT16" s="70" t="s">
        <v>288</v>
      </c>
      <c r="AU16" s="82">
        <v>97650</v>
      </c>
      <c r="AV16" s="82" t="s">
        <v>262</v>
      </c>
      <c r="AW16" s="70"/>
    </row>
    <row r="17" spans="1:49" s="83" customFormat="1" ht="47" customHeight="1" x14ac:dyDescent="0.45">
      <c r="A17" s="69">
        <v>49</v>
      </c>
      <c r="B17" s="65">
        <v>20</v>
      </c>
      <c r="C17" s="65" t="s">
        <v>128</v>
      </c>
      <c r="D17" s="65"/>
      <c r="E17" s="65" t="s">
        <v>130</v>
      </c>
      <c r="F17" s="66" t="s">
        <v>130</v>
      </c>
      <c r="G17" s="65" t="s">
        <v>130</v>
      </c>
      <c r="H17" s="70">
        <v>16</v>
      </c>
      <c r="I17" s="70"/>
      <c r="J17" s="70" t="s">
        <v>41</v>
      </c>
      <c r="K17" s="92" t="s">
        <v>77</v>
      </c>
      <c r="L17" s="92" t="s">
        <v>78</v>
      </c>
      <c r="M17" s="92" t="s">
        <v>289</v>
      </c>
      <c r="N17" s="94" t="s">
        <v>290</v>
      </c>
      <c r="O17" s="92" t="s">
        <v>291</v>
      </c>
      <c r="P17" s="96" t="s">
        <v>193</v>
      </c>
      <c r="Q17" s="97" t="s">
        <v>292</v>
      </c>
      <c r="R17" s="97">
        <v>1184</v>
      </c>
      <c r="S17" s="98">
        <v>45262</v>
      </c>
      <c r="T17" s="99" t="s">
        <v>293</v>
      </c>
      <c r="U17" s="100">
        <v>45406</v>
      </c>
      <c r="V17" s="98"/>
      <c r="W17" s="92" t="s">
        <v>138</v>
      </c>
      <c r="X17" s="92" t="s">
        <v>225</v>
      </c>
      <c r="Y17" s="92"/>
      <c r="Z17" s="97" t="s">
        <v>130</v>
      </c>
      <c r="AA17" s="97" t="s">
        <v>140</v>
      </c>
      <c r="AB17" s="97" t="s">
        <v>130</v>
      </c>
      <c r="AC17" s="117" t="s">
        <v>130</v>
      </c>
      <c r="AD17" s="92" t="s">
        <v>294</v>
      </c>
      <c r="AE17" s="100">
        <v>46707</v>
      </c>
      <c r="AF17" s="99" t="s">
        <v>142</v>
      </c>
      <c r="AG17" s="99"/>
      <c r="AH17" s="99" t="s">
        <v>140</v>
      </c>
      <c r="AI17" s="99" t="s">
        <v>140</v>
      </c>
      <c r="AJ17" s="99" t="s">
        <v>140</v>
      </c>
      <c r="AK17" s="103" t="s">
        <v>154</v>
      </c>
      <c r="AL17" s="103" t="s">
        <v>130</v>
      </c>
      <c r="AM17" s="92"/>
      <c r="AN17" s="104">
        <v>510</v>
      </c>
      <c r="AO17" s="105">
        <v>43466</v>
      </c>
      <c r="AP17" s="104">
        <v>300</v>
      </c>
      <c r="AQ17" s="104" t="s">
        <v>130</v>
      </c>
      <c r="AR17" s="104" t="s">
        <v>130</v>
      </c>
      <c r="AS17" s="92"/>
      <c r="AT17" s="92" t="s">
        <v>295</v>
      </c>
      <c r="AU17" s="106">
        <v>97620</v>
      </c>
      <c r="AV17" s="106" t="s">
        <v>296</v>
      </c>
      <c r="AW17" s="92" t="s">
        <v>297</v>
      </c>
    </row>
    <row r="18" spans="1:49" s="83" customFormat="1" ht="47" customHeight="1" x14ac:dyDescent="0.45">
      <c r="A18" s="69">
        <v>177</v>
      </c>
      <c r="B18" s="65">
        <v>44</v>
      </c>
      <c r="C18" s="65" t="s">
        <v>128</v>
      </c>
      <c r="D18" s="65"/>
      <c r="E18" s="65" t="s">
        <v>130</v>
      </c>
      <c r="F18" s="66" t="s">
        <v>130</v>
      </c>
      <c r="G18" s="65" t="s">
        <v>130</v>
      </c>
      <c r="H18" s="70">
        <v>17</v>
      </c>
      <c r="I18" s="70" t="s">
        <v>36</v>
      </c>
      <c r="J18" s="70" t="s">
        <v>43</v>
      </c>
      <c r="K18" s="70" t="s">
        <v>298</v>
      </c>
      <c r="L18" s="70" t="s">
        <v>80</v>
      </c>
      <c r="M18" s="70" t="s">
        <v>299</v>
      </c>
      <c r="N18" s="84" t="s">
        <v>300</v>
      </c>
      <c r="O18" s="85" t="s">
        <v>301</v>
      </c>
      <c r="P18" s="72" t="s">
        <v>150</v>
      </c>
      <c r="Q18" s="73" t="s">
        <v>302</v>
      </c>
      <c r="R18" s="73">
        <v>357</v>
      </c>
      <c r="S18" s="74">
        <v>45028</v>
      </c>
      <c r="T18" s="65" t="s">
        <v>303</v>
      </c>
      <c r="U18" s="79">
        <v>44624</v>
      </c>
      <c r="V18" s="77">
        <f>2024-YEAR(U18)</f>
        <v>2</v>
      </c>
      <c r="W18" s="88" t="s">
        <v>138</v>
      </c>
      <c r="X18" s="70" t="s">
        <v>185</v>
      </c>
      <c r="Y18" s="70"/>
      <c r="Z18" s="73">
        <v>2023</v>
      </c>
      <c r="AA18" s="73" t="s">
        <v>140</v>
      </c>
      <c r="AB18" s="73">
        <v>2023</v>
      </c>
      <c r="AC18" s="91"/>
      <c r="AD18" s="88" t="s">
        <v>140</v>
      </c>
      <c r="AE18" s="114">
        <v>45992</v>
      </c>
      <c r="AF18" s="65" t="s">
        <v>142</v>
      </c>
      <c r="AG18" s="65"/>
      <c r="AH18" s="65" t="s">
        <v>140</v>
      </c>
      <c r="AI18" s="65" t="s">
        <v>140</v>
      </c>
      <c r="AJ18" s="65" t="s">
        <v>130</v>
      </c>
      <c r="AK18" s="66" t="s">
        <v>154</v>
      </c>
      <c r="AL18" s="66" t="s">
        <v>140</v>
      </c>
      <c r="AM18" s="70" t="s">
        <v>304</v>
      </c>
      <c r="AN18" s="80">
        <v>510</v>
      </c>
      <c r="AO18" s="81">
        <v>43466</v>
      </c>
      <c r="AP18" s="80">
        <v>350</v>
      </c>
      <c r="AQ18" s="80"/>
      <c r="AR18" s="80"/>
      <c r="AS18" s="70">
        <v>9</v>
      </c>
      <c r="AT18" s="70" t="s">
        <v>305</v>
      </c>
      <c r="AU18" s="82">
        <v>97620</v>
      </c>
      <c r="AV18" s="82" t="s">
        <v>296</v>
      </c>
      <c r="AW18" s="88" t="s">
        <v>306</v>
      </c>
    </row>
    <row r="19" spans="1:49" s="83" customFormat="1" ht="47" customHeight="1" x14ac:dyDescent="0.45">
      <c r="A19" s="69"/>
      <c r="B19" s="119"/>
      <c r="C19" s="119"/>
      <c r="D19" s="119"/>
      <c r="E19" s="119"/>
      <c r="F19" s="120"/>
      <c r="G19" s="119"/>
      <c r="H19" s="121"/>
      <c r="I19" s="121"/>
      <c r="J19" s="121"/>
      <c r="K19" s="122"/>
      <c r="L19" s="122"/>
      <c r="M19" s="122"/>
      <c r="N19" s="123"/>
      <c r="O19" s="124"/>
      <c r="P19" s="125"/>
      <c r="Q19" s="126"/>
      <c r="R19" s="126"/>
      <c r="S19" s="127"/>
      <c r="T19" s="128"/>
      <c r="U19" s="129"/>
      <c r="V19" s="127"/>
      <c r="W19" s="130"/>
      <c r="X19" s="122"/>
      <c r="Y19" s="122"/>
      <c r="Z19" s="126"/>
      <c r="AA19" s="126"/>
      <c r="AB19" s="126"/>
      <c r="AC19" s="131"/>
      <c r="AD19" s="130"/>
      <c r="AE19" s="129"/>
      <c r="AF19" s="128"/>
      <c r="AG19" s="128"/>
      <c r="AH19" s="128"/>
      <c r="AI19" s="128"/>
      <c r="AJ19" s="128"/>
      <c r="AK19" s="132"/>
      <c r="AL19" s="132"/>
      <c r="AM19" s="122"/>
      <c r="AN19" s="133"/>
      <c r="AO19" s="134"/>
      <c r="AP19" s="133"/>
      <c r="AQ19" s="133"/>
      <c r="AR19" s="133"/>
      <c r="AS19" s="122"/>
      <c r="AT19" s="122"/>
      <c r="AU19" s="135"/>
      <c r="AV19" s="135"/>
      <c r="AW19" s="130"/>
    </row>
    <row r="20" spans="1:49" s="83" customFormat="1" ht="47" customHeight="1" x14ac:dyDescent="0.45">
      <c r="A20" s="69"/>
      <c r="B20" s="119"/>
      <c r="C20" s="119"/>
      <c r="D20" s="119"/>
      <c r="E20" s="119"/>
      <c r="F20" s="120"/>
      <c r="G20" s="119"/>
      <c r="H20" s="121"/>
      <c r="I20" s="121"/>
      <c r="J20" s="121"/>
      <c r="K20" s="122"/>
      <c r="L20" s="122"/>
      <c r="M20" s="122"/>
      <c r="N20" s="123"/>
      <c r="O20" s="124"/>
      <c r="P20" s="125"/>
      <c r="Q20" s="126"/>
      <c r="R20" s="126"/>
      <c r="S20" s="127"/>
      <c r="T20" s="128"/>
      <c r="U20" s="129"/>
      <c r="V20" s="127"/>
      <c r="W20" s="130"/>
      <c r="X20" s="122"/>
      <c r="Y20" s="122"/>
      <c r="Z20" s="126"/>
      <c r="AA20" s="126"/>
      <c r="AB20" s="126"/>
      <c r="AC20" s="131"/>
      <c r="AD20" s="130"/>
      <c r="AE20" s="129"/>
      <c r="AF20" s="128"/>
      <c r="AG20" s="128"/>
      <c r="AH20" s="128"/>
      <c r="AI20" s="128"/>
      <c r="AJ20" s="128"/>
      <c r="AK20" s="132"/>
      <c r="AL20" s="132"/>
      <c r="AM20" s="122"/>
      <c r="AN20" s="133"/>
      <c r="AO20" s="134"/>
      <c r="AP20" s="133"/>
      <c r="AQ20" s="133"/>
      <c r="AR20" s="133"/>
      <c r="AS20" s="122"/>
      <c r="AT20" s="122"/>
      <c r="AU20" s="135"/>
      <c r="AV20" s="135"/>
      <c r="AW20" s="130"/>
    </row>
    <row r="22" spans="1:49" s="83" customFormat="1" ht="47" customHeight="1" x14ac:dyDescent="0.45">
      <c r="A22" s="69">
        <v>17</v>
      </c>
      <c r="B22" s="65">
        <v>14</v>
      </c>
      <c r="C22" s="65" t="s">
        <v>128</v>
      </c>
      <c r="D22" s="65"/>
      <c r="E22" s="65" t="s">
        <v>130</v>
      </c>
      <c r="F22" s="66" t="s">
        <v>130</v>
      </c>
      <c r="G22" s="65" t="s">
        <v>130</v>
      </c>
      <c r="H22" s="70">
        <v>2</v>
      </c>
      <c r="I22" s="70"/>
      <c r="J22" s="70"/>
      <c r="K22" s="70" t="s">
        <v>307</v>
      </c>
      <c r="L22" s="70" t="s">
        <v>308</v>
      </c>
      <c r="M22" s="70" t="s">
        <v>309</v>
      </c>
      <c r="N22" s="84" t="s">
        <v>310</v>
      </c>
      <c r="O22" s="70" t="s">
        <v>311</v>
      </c>
      <c r="P22" s="72" t="s">
        <v>150</v>
      </c>
      <c r="Q22" s="73" t="s">
        <v>312</v>
      </c>
      <c r="R22" s="73">
        <v>90</v>
      </c>
      <c r="S22" s="74">
        <v>46916</v>
      </c>
      <c r="T22" s="73" t="s">
        <v>313</v>
      </c>
      <c r="U22" s="87">
        <v>44285</v>
      </c>
      <c r="V22" s="77">
        <f>2024-YEAR(U22)</f>
        <v>3</v>
      </c>
      <c r="W22" s="70" t="s">
        <v>138</v>
      </c>
      <c r="X22" s="70" t="s">
        <v>139</v>
      </c>
      <c r="Y22" s="70"/>
      <c r="Z22" s="73" t="s">
        <v>140</v>
      </c>
      <c r="AA22" s="73" t="s">
        <v>140</v>
      </c>
      <c r="AB22" s="73" t="s">
        <v>140</v>
      </c>
      <c r="AC22" s="78" t="s">
        <v>140</v>
      </c>
      <c r="AD22" s="70" t="s">
        <v>130</v>
      </c>
      <c r="AE22" s="79">
        <v>49237</v>
      </c>
      <c r="AF22" s="65" t="s">
        <v>142</v>
      </c>
      <c r="AG22" s="65" t="s">
        <v>141</v>
      </c>
      <c r="AH22" s="65" t="s">
        <v>140</v>
      </c>
      <c r="AI22" s="65" t="s">
        <v>140</v>
      </c>
      <c r="AJ22" s="65" t="s">
        <v>140</v>
      </c>
      <c r="AK22" s="66" t="s">
        <v>154</v>
      </c>
      <c r="AL22" s="66" t="s">
        <v>140</v>
      </c>
      <c r="AM22" s="70" t="s">
        <v>314</v>
      </c>
      <c r="AN22" s="80">
        <v>510</v>
      </c>
      <c r="AO22" s="81">
        <v>43466</v>
      </c>
      <c r="AP22" s="80">
        <v>450</v>
      </c>
      <c r="AQ22" s="80" t="s">
        <v>130</v>
      </c>
      <c r="AR22" s="80" t="s">
        <v>130</v>
      </c>
      <c r="AS22" s="70">
        <v>474</v>
      </c>
      <c r="AT22" s="70" t="s">
        <v>315</v>
      </c>
      <c r="AU22" s="82">
        <v>97630</v>
      </c>
      <c r="AV22" s="82" t="s">
        <v>316</v>
      </c>
      <c r="AW22" s="70" t="s">
        <v>317</v>
      </c>
    </row>
  </sheetData>
  <autoFilter ref="K1:AW14" xr:uid="{5814C0EE-3C01-8046-B0F7-B40F0F03751B}">
    <sortState xmlns:xlrd2="http://schemas.microsoft.com/office/spreadsheetml/2017/richdata2" ref="K2:AW14">
      <sortCondition ref="K3:K14"/>
      <sortCondition ref="L3:L14"/>
    </sortState>
  </autoFilter>
  <hyperlinks>
    <hyperlink ref="N2" r:id="rId1" xr:uid="{6B7707CF-FCA3-44C0-AD32-2AB56A1FEF22}"/>
    <hyperlink ref="N3" r:id="rId2" xr:uid="{853B27C8-A9E6-46A1-8FE4-6A374655C12F}"/>
    <hyperlink ref="N5" r:id="rId3" xr:uid="{CB565F56-02D0-4774-869B-F184C70EE1B4}"/>
    <hyperlink ref="N6" r:id="rId4" xr:uid="{E44AA1C0-AF07-47E1-BF7D-284C73FD014E}"/>
    <hyperlink ref="N7" r:id="rId5" xr:uid="{4CCA4A99-2B4D-41A7-9DB8-FE93B930F359}"/>
    <hyperlink ref="N8" r:id="rId6" xr:uid="{56F3CCE8-A9DB-44AC-9F1C-B4C2C3EB3BE3}"/>
    <hyperlink ref="N10" r:id="rId7" xr:uid="{F5730EF9-422C-4339-977F-198A2C0F1BA0}"/>
    <hyperlink ref="N11" r:id="rId8" xr:uid="{055990A7-FADD-4289-A21E-24D4B91700CF}"/>
    <hyperlink ref="N12" r:id="rId9" xr:uid="{43F2DB18-1FF0-46D4-8E8B-51EC8FA6A2F8}"/>
    <hyperlink ref="N15" r:id="rId10" xr:uid="{7F240266-6AAE-49E2-BBA6-817F3310851F}"/>
    <hyperlink ref="N18" r:id="rId11" display="toumboutoibourani@outlook.fr" xr:uid="{EB51EB94-813F-4BBD-96B6-25916049DCD7}"/>
    <hyperlink ref="N22" r:id="rId12" xr:uid="{4D2910FD-AA67-48B9-B473-D8FD67BCAF9B}"/>
    <hyperlink ref="N4" r:id="rId13" xr:uid="{9D442F91-59DF-47E4-92F0-7AC8FE0141A6}"/>
    <hyperlink ref="N13" r:id="rId14" xr:uid="{A1405A99-B6C5-4E07-AB62-CAD6411B0235}"/>
    <hyperlink ref="N14" r:id="rId15" xr:uid="{A6292EDC-7FEC-4590-89C3-B7765B75C2C7}"/>
    <hyperlink ref="N17" r:id="rId16" xr:uid="{A3E44C75-EE2B-443B-B9B2-92B011D30D96}"/>
    <hyperlink ref="N9" r:id="rId17" xr:uid="{B0E68496-E8F8-4BB0-83D6-08EAB1141527}"/>
  </hyperlinks>
  <printOptions horizontalCentered="1"/>
  <pageMargins left="0.2" right="0.2" top="0.25" bottom="0.25" header="0.3" footer="0.3"/>
  <pageSetup paperSize="9" scale="35" orientation="landscape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BBDE-33E3-4462-B288-63EC9F5FA152}">
  <sheetPr filterMode="1">
    <pageSetUpPr fitToPage="1"/>
  </sheetPr>
  <dimension ref="A2:R179"/>
  <sheetViews>
    <sheetView showGridLines="0" topLeftCell="A7" workbookViewId="0">
      <selection activeCell="A131" sqref="A131:XFD131"/>
    </sheetView>
  </sheetViews>
  <sheetFormatPr baseColWidth="10" defaultColWidth="10.796875" defaultRowHeight="14.25" outlineLevelCol="1" x14ac:dyDescent="0.45"/>
  <cols>
    <col min="1" max="1" width="14.59765625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1.86328125" style="137" customWidth="1"/>
    <col min="9" max="11" width="10.796875" style="137" hidden="1" customWidth="1"/>
    <col min="12" max="12" width="13.1328125" style="137" customWidth="1"/>
    <col min="13" max="13" width="34.796875" style="137" customWidth="1"/>
    <col min="14" max="17" width="10.796875" style="137" customWidth="1"/>
    <col min="18" max="16384" width="10.796875" style="137"/>
  </cols>
  <sheetData>
    <row r="2" spans="1:18" ht="23.25" x14ac:dyDescent="0.45">
      <c r="A2" s="137" t="s">
        <v>18</v>
      </c>
      <c r="B2" s="269" t="s">
        <v>31</v>
      </c>
      <c r="C2" s="238"/>
      <c r="D2" s="238"/>
    </row>
    <row r="3" spans="1:18" ht="22.5" hidden="1" customHeight="1" x14ac:dyDescent="0.45">
      <c r="A3" s="137" t="s">
        <v>14</v>
      </c>
      <c r="B3" s="492">
        <v>45627</v>
      </c>
      <c r="C3" s="493"/>
      <c r="D3" s="493"/>
      <c r="E3" s="249"/>
      <c r="F3" s="249"/>
      <c r="G3" s="249"/>
      <c r="H3" s="140"/>
    </row>
    <row r="4" spans="1:18" ht="28.5" customHeight="1" x14ac:dyDescent="0.45">
      <c r="A4" s="137" t="s">
        <v>13</v>
      </c>
      <c r="B4" s="306" t="str">
        <f>VLOOKUP(B2,'Liste chauffeur'!$B$5:$L$20,2,TRUE)&amp;" "&amp;VLOOKUP(B2,'Liste chauffeur'!$B$5:$L$20,3,TRUE)</f>
        <v>HAMADA Babou</v>
      </c>
      <c r="C4" s="259"/>
      <c r="D4" s="259"/>
      <c r="E4" s="139"/>
      <c r="F4" s="139"/>
      <c r="G4" s="139"/>
      <c r="H4" s="140"/>
      <c r="J4" s="276"/>
    </row>
    <row r="6" spans="1:18" ht="18" x14ac:dyDescent="0.45">
      <c r="A6" s="354"/>
      <c r="B6" s="355"/>
      <c r="C6" s="355"/>
      <c r="D6" s="355"/>
      <c r="E6" s="355"/>
      <c r="F6" s="142"/>
      <c r="G6" s="142"/>
      <c r="H6" s="355"/>
      <c r="I6" s="494" t="s">
        <v>457</v>
      </c>
      <c r="J6" s="495"/>
      <c r="K6" s="405" t="s">
        <v>360</v>
      </c>
      <c r="L6" s="406"/>
      <c r="M6" s="278"/>
      <c r="N6" s="282"/>
      <c r="O6" s="282"/>
      <c r="P6" s="282">
        <v>8</v>
      </c>
      <c r="Q6" s="282"/>
    </row>
    <row r="7" spans="1:18" ht="63" x14ac:dyDescent="0.45">
      <c r="A7" s="356" t="s">
        <v>437</v>
      </c>
      <c r="B7" s="311" t="s">
        <v>0</v>
      </c>
      <c r="C7" s="311" t="s">
        <v>341</v>
      </c>
      <c r="D7" s="311" t="s">
        <v>342</v>
      </c>
      <c r="E7" s="311" t="s">
        <v>1</v>
      </c>
      <c r="F7" s="287" t="s">
        <v>343</v>
      </c>
      <c r="G7" s="287" t="s">
        <v>344</v>
      </c>
      <c r="H7" s="311" t="s">
        <v>23</v>
      </c>
      <c r="I7" s="311" t="s">
        <v>131</v>
      </c>
      <c r="J7" s="311" t="s">
        <v>328</v>
      </c>
      <c r="K7" s="290" t="s">
        <v>22</v>
      </c>
      <c r="L7" s="311" t="s">
        <v>17</v>
      </c>
      <c r="M7" s="353" t="s">
        <v>12</v>
      </c>
      <c r="N7" s="286" t="s">
        <v>20</v>
      </c>
      <c r="O7" s="292" t="s">
        <v>38</v>
      </c>
      <c r="P7" s="292" t="s">
        <v>39</v>
      </c>
      <c r="Q7" s="292" t="s">
        <v>40</v>
      </c>
      <c r="R7" s="286"/>
    </row>
    <row r="8" spans="1:18" ht="23.25" hidden="1" x14ac:dyDescent="0.45">
      <c r="A8" s="324" t="str">
        <f>Horaire!A8</f>
        <v>VAHIBE</v>
      </c>
      <c r="B8" s="325">
        <f>Horaire!B8</f>
        <v>0.1875</v>
      </c>
      <c r="C8" s="325" t="str">
        <f>Horaire!C8</f>
        <v>C2</v>
      </c>
      <c r="D8" s="294" t="str">
        <f>VLOOKUP(C8,'Liste chauffeur'!$B$5:$L$20,2,TRUE)&amp;" "&amp;VLOOKUP(C8,'Liste chauffeur'!$B$5:$L$20,3,TRUE)</f>
        <v>BINA HALADI Bina</v>
      </c>
      <c r="E8" s="330"/>
      <c r="F8" s="335">
        <f t="shared" ref="F8:F11" si="0">COUNTBLANK(E8)</f>
        <v>1</v>
      </c>
      <c r="G8" s="348"/>
      <c r="H8" s="349"/>
      <c r="I8" s="331"/>
      <c r="J8" s="331"/>
      <c r="K8" s="332"/>
      <c r="L8" s="349"/>
      <c r="M8" s="333"/>
      <c r="N8" s="297" t="str">
        <f t="shared" ref="N8:N12" si="1">IF(F8=1,"",L8-E8)</f>
        <v/>
      </c>
      <c r="O8" s="296">
        <f t="shared" ref="O8:O39" si="2">H8+J8-I8</f>
        <v>0</v>
      </c>
      <c r="P8" s="296">
        <f t="shared" ref="P8:P39" si="3">IF(F8=1,0,P$6)</f>
        <v>0</v>
      </c>
      <c r="Q8" s="298">
        <f t="shared" ref="Q8:Q11" si="4">IF(P8=0,0,O8/P8)</f>
        <v>0</v>
      </c>
      <c r="R8" s="286"/>
    </row>
    <row r="9" spans="1:18" ht="33" hidden="1" customHeight="1" x14ac:dyDescent="0.45">
      <c r="A9" s="324" t="str">
        <f>Horaire!A9</f>
        <v>VAHIBE</v>
      </c>
      <c r="B9" s="325">
        <f>Horaire!B9</f>
        <v>0.19444444444444445</v>
      </c>
      <c r="C9" s="325" t="str">
        <f>Horaire!C9</f>
        <v>C1</v>
      </c>
      <c r="D9" s="294" t="str">
        <f>VLOOKUP(C9,'Liste chauffeur'!$B$5:$L$20,2,TRUE)&amp;" "&amp;VLOOKUP(C9,'Liste chauffeur'!$B$5:$L$20,3,TRUE)</f>
        <v>EL ANZIZE SALIM Hamada</v>
      </c>
      <c r="E9" s="330"/>
      <c r="F9" s="335">
        <f t="shared" si="0"/>
        <v>1</v>
      </c>
      <c r="G9" s="348"/>
      <c r="H9" s="349"/>
      <c r="I9" s="331"/>
      <c r="J9" s="331"/>
      <c r="K9" s="332"/>
      <c r="L9" s="349"/>
      <c r="M9" s="333"/>
      <c r="N9" s="297" t="str">
        <f t="shared" si="1"/>
        <v/>
      </c>
      <c r="O9" s="296">
        <f t="shared" si="2"/>
        <v>0</v>
      </c>
      <c r="P9" s="296">
        <f t="shared" si="3"/>
        <v>0</v>
      </c>
      <c r="Q9" s="298">
        <f t="shared" si="4"/>
        <v>0</v>
      </c>
      <c r="R9" s="286"/>
    </row>
    <row r="10" spans="1:18" ht="29" hidden="1" customHeight="1" x14ac:dyDescent="0.45">
      <c r="A10" s="324" t="str">
        <f>Horaire!A10</f>
        <v>VAHIBE</v>
      </c>
      <c r="B10" s="325">
        <f>Horaire!B10</f>
        <v>0.2013888888888889</v>
      </c>
      <c r="C10" s="325" t="str">
        <f>Horaire!C10</f>
        <v>C3</v>
      </c>
      <c r="D10" s="294" t="str">
        <f>VLOOKUP(C10,'Liste chauffeur'!$B$5:$L$20,2,TRUE)&amp;" "&amp;VLOOKUP(C10,'Liste chauffeur'!$B$5:$L$20,3,TRUE)</f>
        <v>ABDOU MINIHADJI Amada</v>
      </c>
      <c r="E10" s="330"/>
      <c r="F10" s="335">
        <f t="shared" si="0"/>
        <v>1</v>
      </c>
      <c r="G10" s="348"/>
      <c r="H10" s="349"/>
      <c r="I10" s="331"/>
      <c r="J10" s="331"/>
      <c r="K10" s="332"/>
      <c r="L10" s="349"/>
      <c r="M10" s="333"/>
      <c r="N10" s="297" t="str">
        <f t="shared" si="1"/>
        <v/>
      </c>
      <c r="O10" s="296">
        <f t="shared" si="2"/>
        <v>0</v>
      </c>
      <c r="P10" s="296">
        <f t="shared" si="3"/>
        <v>0</v>
      </c>
      <c r="Q10" s="298">
        <f t="shared" si="4"/>
        <v>0</v>
      </c>
      <c r="R10" s="286"/>
    </row>
    <row r="11" spans="1:18" ht="35.25" hidden="1" customHeight="1" x14ac:dyDescent="0.45">
      <c r="A11" s="324" t="str">
        <f>Horaire!A11</f>
        <v>PASSAMAINTY</v>
      </c>
      <c r="B11" s="325">
        <f>Horaire!B11</f>
        <v>0.2013888888888889</v>
      </c>
      <c r="C11" s="325" t="str">
        <f>Horaire!C11</f>
        <v>C2</v>
      </c>
      <c r="D11" s="294" t="str">
        <f>VLOOKUP(C11,'Liste chauffeur'!$B$5:$L$20,2,TRUE)&amp;" "&amp;VLOOKUP(C11,'Liste chauffeur'!$B$5:$L$20,3,TRUE)</f>
        <v>BINA HALADI Bina</v>
      </c>
      <c r="E11" s="330"/>
      <c r="F11" s="335">
        <f t="shared" si="0"/>
        <v>1</v>
      </c>
      <c r="G11" s="348"/>
      <c r="H11" s="349"/>
      <c r="I11" s="331"/>
      <c r="J11" s="331"/>
      <c r="K11" s="332"/>
      <c r="L11" s="349"/>
      <c r="M11" s="333"/>
      <c r="N11" s="297" t="str">
        <f t="shared" si="1"/>
        <v/>
      </c>
      <c r="O11" s="296">
        <f t="shared" si="2"/>
        <v>0</v>
      </c>
      <c r="P11" s="296">
        <f t="shared" si="3"/>
        <v>0</v>
      </c>
      <c r="Q11" s="298">
        <f t="shared" si="4"/>
        <v>0</v>
      </c>
      <c r="R11" s="286"/>
    </row>
    <row r="12" spans="1:18" ht="40.049999999999997" hidden="1" customHeight="1" x14ac:dyDescent="0.45">
      <c r="A12" s="324" t="str">
        <f>Horaire!A12</f>
        <v>VAHIBE</v>
      </c>
      <c r="B12" s="325">
        <f>Horaire!B12</f>
        <v>0.20833333333333334</v>
      </c>
      <c r="C12" s="325" t="str">
        <f>Horaire!C12</f>
        <v>C4</v>
      </c>
      <c r="D12" s="294" t="str">
        <f>VLOOKUP(C12,'Liste chauffeur'!$B$5:$L$20,2,TRUE)&amp;" "&amp;VLOOKUP(C12,'Liste chauffeur'!$B$5:$L$20,3,TRUE)</f>
        <v>TOUMBOU  Toibourani</v>
      </c>
      <c r="E12" s="334"/>
      <c r="F12" s="335">
        <f t="shared" ref="F12:F139" si="5">COUNTBLANK(E12)</f>
        <v>1</v>
      </c>
      <c r="G12" s="350"/>
      <c r="H12" s="336"/>
      <c r="I12" s="336"/>
      <c r="J12" s="336"/>
      <c r="K12" s="336"/>
      <c r="L12" s="334"/>
      <c r="M12" s="333"/>
      <c r="N12" s="297" t="str">
        <f t="shared" si="1"/>
        <v/>
      </c>
      <c r="O12" s="296">
        <f t="shared" si="2"/>
        <v>0</v>
      </c>
      <c r="P12" s="296">
        <f t="shared" si="3"/>
        <v>0</v>
      </c>
      <c r="Q12" s="298">
        <f t="shared" ref="Q12:Q41" si="6">IF(P12=0,0,O12/P12)</f>
        <v>0</v>
      </c>
      <c r="R12" s="286"/>
    </row>
    <row r="13" spans="1:18" ht="40.049999999999997" hidden="1" customHeight="1" x14ac:dyDescent="0.45">
      <c r="A13" s="324" t="str">
        <f>Horaire!A13</f>
        <v>PASSAMAINTY</v>
      </c>
      <c r="B13" s="325">
        <f>Horaire!B13</f>
        <v>0.20833333333333334</v>
      </c>
      <c r="C13" s="325" t="str">
        <f>Horaire!C13</f>
        <v>C1</v>
      </c>
      <c r="D13" s="294" t="str">
        <f>VLOOKUP(C13,'Liste chauffeur'!$B$5:$L$20,2,TRUE)&amp;" "&amp;VLOOKUP(C13,'Liste chauffeur'!$B$5:$L$20,3,TRUE)</f>
        <v>EL ANZIZE SALIM Hamada</v>
      </c>
      <c r="E13" s="334"/>
      <c r="F13" s="335">
        <f t="shared" si="5"/>
        <v>1</v>
      </c>
      <c r="G13" s="350"/>
      <c r="H13" s="336"/>
      <c r="I13" s="336"/>
      <c r="J13" s="336"/>
      <c r="K13" s="336"/>
      <c r="L13" s="334"/>
      <c r="M13" s="333"/>
      <c r="N13" s="297" t="str">
        <f t="shared" ref="N13:N17" si="7">IF(F13=1,"",L13-E13)</f>
        <v/>
      </c>
      <c r="O13" s="296">
        <f t="shared" si="2"/>
        <v>0</v>
      </c>
      <c r="P13" s="296">
        <f t="shared" si="3"/>
        <v>0</v>
      </c>
      <c r="Q13" s="299">
        <f t="shared" si="6"/>
        <v>0</v>
      </c>
      <c r="R13" s="286"/>
    </row>
    <row r="14" spans="1:18" ht="40.049999999999997" hidden="1" customHeight="1" x14ac:dyDescent="0.45">
      <c r="A14" s="324" t="str">
        <f>Horaire!A14</f>
        <v>VAHIBE 2</v>
      </c>
      <c r="B14" s="325">
        <f>Horaire!B14</f>
        <v>0.20833333333333334</v>
      </c>
      <c r="C14" s="325" t="str">
        <f>Horaire!C14</f>
        <v>C11</v>
      </c>
      <c r="D14" s="294" t="str">
        <f>VLOOKUP(C14,'Liste chauffeur'!$B$5:$L$20,2,TRUE)&amp;" "&amp;VLOOKUP(C14,'Liste chauffeur'!$B$5:$L$20,3,TRUE)</f>
        <v>MADI BOINA Mkidachi</v>
      </c>
      <c r="E14" s="334"/>
      <c r="F14" s="335">
        <f t="shared" si="5"/>
        <v>1</v>
      </c>
      <c r="G14" s="350"/>
      <c r="H14" s="336"/>
      <c r="I14" s="336"/>
      <c r="J14" s="336"/>
      <c r="K14" s="336"/>
      <c r="L14" s="334"/>
      <c r="M14" s="333"/>
      <c r="N14" s="297" t="str">
        <f t="shared" si="7"/>
        <v/>
      </c>
      <c r="O14" s="296">
        <f t="shared" si="2"/>
        <v>0</v>
      </c>
      <c r="P14" s="296">
        <f t="shared" si="3"/>
        <v>0</v>
      </c>
      <c r="Q14" s="299">
        <f t="shared" si="6"/>
        <v>0</v>
      </c>
      <c r="R14" s="286"/>
    </row>
    <row r="15" spans="1:18" ht="32.25" hidden="1" customHeight="1" x14ac:dyDescent="0.45">
      <c r="A15" s="324" t="str">
        <f>Horaire!A15</f>
        <v>VAHIBE</v>
      </c>
      <c r="B15" s="325">
        <f>Horaire!B15</f>
        <v>0.21527777777777779</v>
      </c>
      <c r="C15" s="325" t="str">
        <f>Horaire!C15</f>
        <v>C2</v>
      </c>
      <c r="D15" s="294" t="str">
        <f>VLOOKUP(C15,'Liste chauffeur'!$B$5:$L$20,2,TRUE)&amp;" "&amp;VLOOKUP(C15,'Liste chauffeur'!$B$5:$L$20,3,TRUE)</f>
        <v>BINA HALADI Bina</v>
      </c>
      <c r="E15" s="334"/>
      <c r="F15" s="335">
        <f t="shared" si="5"/>
        <v>1</v>
      </c>
      <c r="G15" s="350"/>
      <c r="H15" s="336"/>
      <c r="I15" s="336"/>
      <c r="J15" s="336"/>
      <c r="K15" s="336"/>
      <c r="L15" s="334"/>
      <c r="M15" s="333"/>
      <c r="N15" s="297" t="str">
        <f t="shared" si="7"/>
        <v/>
      </c>
      <c r="O15" s="296">
        <f t="shared" si="2"/>
        <v>0</v>
      </c>
      <c r="P15" s="296">
        <f t="shared" si="3"/>
        <v>0</v>
      </c>
      <c r="Q15" s="299">
        <f t="shared" si="6"/>
        <v>0</v>
      </c>
      <c r="R15" s="286"/>
    </row>
    <row r="16" spans="1:18" ht="40.049999999999997" hidden="1" customHeight="1" x14ac:dyDescent="0.45">
      <c r="A16" s="324" t="str">
        <f>Horaire!A16</f>
        <v>VAHIBE 2</v>
      </c>
      <c r="B16" s="325">
        <f>Horaire!B16</f>
        <v>0.21527777777777779</v>
      </c>
      <c r="C16" s="325" t="str">
        <f>Horaire!C16</f>
        <v>C8</v>
      </c>
      <c r="D16" s="294" t="str">
        <f>VLOOKUP(C16,'Liste chauffeur'!$B$5:$L$20,2,TRUE)&amp;" "&amp;VLOOKUP(C16,'Liste chauffeur'!$B$5:$L$20,3,TRUE)</f>
        <v>HADHURAMI Makinedine</v>
      </c>
      <c r="E16" s="334"/>
      <c r="F16" s="335">
        <f t="shared" si="5"/>
        <v>1</v>
      </c>
      <c r="G16" s="350"/>
      <c r="H16" s="336"/>
      <c r="I16" s="336"/>
      <c r="J16" s="336"/>
      <c r="K16" s="336"/>
      <c r="L16" s="334"/>
      <c r="M16" s="333"/>
      <c r="N16" s="297" t="str">
        <f t="shared" si="7"/>
        <v/>
      </c>
      <c r="O16" s="296">
        <f t="shared" si="2"/>
        <v>0</v>
      </c>
      <c r="P16" s="296">
        <f t="shared" si="3"/>
        <v>0</v>
      </c>
      <c r="Q16" s="299">
        <f t="shared" si="6"/>
        <v>0</v>
      </c>
      <c r="R16" s="286"/>
    </row>
    <row r="17" spans="1:18" ht="40.049999999999997" hidden="1" customHeight="1" x14ac:dyDescent="0.45">
      <c r="A17" s="324" t="str">
        <f>Horaire!A17</f>
        <v>PASSAMAINTY</v>
      </c>
      <c r="B17" s="325">
        <f>Horaire!B17</f>
        <v>0.21527777777777779</v>
      </c>
      <c r="C17" s="325" t="str">
        <f>Horaire!C17</f>
        <v>C3</v>
      </c>
      <c r="D17" s="294" t="str">
        <f>VLOOKUP(C17,'Liste chauffeur'!$B$5:$L$20,2,TRUE)&amp;" "&amp;VLOOKUP(C17,'Liste chauffeur'!$B$5:$L$20,3,TRUE)</f>
        <v>ABDOU MINIHADJI Amada</v>
      </c>
      <c r="E17" s="334"/>
      <c r="F17" s="335">
        <f t="shared" si="5"/>
        <v>1</v>
      </c>
      <c r="G17" s="350"/>
      <c r="H17" s="336"/>
      <c r="I17" s="336"/>
      <c r="J17" s="336"/>
      <c r="K17" s="336"/>
      <c r="L17" s="334"/>
      <c r="M17" s="333"/>
      <c r="N17" s="297" t="str">
        <f t="shared" si="7"/>
        <v/>
      </c>
      <c r="O17" s="296">
        <f t="shared" si="2"/>
        <v>0</v>
      </c>
      <c r="P17" s="296">
        <f t="shared" si="3"/>
        <v>0</v>
      </c>
      <c r="Q17" s="299">
        <f t="shared" si="6"/>
        <v>0</v>
      </c>
      <c r="R17" s="286"/>
    </row>
    <row r="18" spans="1:18" ht="40.049999999999997" hidden="1" customHeight="1" x14ac:dyDescent="0.45">
      <c r="A18" s="324" t="str">
        <f>Horaire!A18</f>
        <v>VAHIBE</v>
      </c>
      <c r="B18" s="325">
        <f>Horaire!B18</f>
        <v>0.22222222222222199</v>
      </c>
      <c r="C18" s="325" t="str">
        <f>Horaire!C18</f>
        <v>C1</v>
      </c>
      <c r="D18" s="326" t="str">
        <f>VLOOKUP(C18,'Liste chauffeur'!$B$5:$L$20,2,TRUE)&amp;" "&amp;VLOOKUP(C18,'Liste chauffeur'!$B$5:$L$20,3,TRUE)</f>
        <v>EL ANZIZE SALIM Hamada</v>
      </c>
      <c r="E18" s="334"/>
      <c r="F18" s="335">
        <f t="shared" si="5"/>
        <v>1</v>
      </c>
      <c r="G18" s="350"/>
      <c r="H18" s="336"/>
      <c r="I18" s="336"/>
      <c r="J18" s="336"/>
      <c r="K18" s="336"/>
      <c r="L18" s="334"/>
      <c r="M18" s="333"/>
      <c r="N18" s="297"/>
      <c r="O18" s="296">
        <f t="shared" si="2"/>
        <v>0</v>
      </c>
      <c r="P18" s="296">
        <f t="shared" si="3"/>
        <v>0</v>
      </c>
      <c r="Q18" s="299">
        <f t="shared" ref="Q18" si="8">IF(P18=0,0,O18/P18)</f>
        <v>0</v>
      </c>
      <c r="R18" s="286"/>
    </row>
    <row r="19" spans="1:18" ht="40.049999999999997" hidden="1" customHeight="1" x14ac:dyDescent="0.45">
      <c r="A19" s="324" t="str">
        <f>Horaire!A19</f>
        <v>VAHIBE 2</v>
      </c>
      <c r="B19" s="325">
        <f>Horaire!B19</f>
        <v>0.22222222222222221</v>
      </c>
      <c r="C19" s="325" t="str">
        <f>Horaire!C19</f>
        <v>C9</v>
      </c>
      <c r="D19" s="294" t="str">
        <f>VLOOKUP(C19,'Liste chauffeur'!$B$5:$L$20,2,TRUE)&amp;" "&amp;VLOOKUP(C19,'Liste chauffeur'!$B$5:$L$20,3,TRUE)</f>
        <v>SANDI Maanrouf</v>
      </c>
      <c r="E19" s="334"/>
      <c r="F19" s="335">
        <f t="shared" si="5"/>
        <v>1</v>
      </c>
      <c r="G19" s="350"/>
      <c r="H19" s="336"/>
      <c r="I19" s="336"/>
      <c r="J19" s="336"/>
      <c r="K19" s="336"/>
      <c r="L19" s="334"/>
      <c r="M19" s="333"/>
      <c r="N19" s="297" t="str">
        <f t="shared" ref="N19:N24" si="9">IF(F19=1,"",L19-E19)</f>
        <v/>
      </c>
      <c r="O19" s="296">
        <f t="shared" si="2"/>
        <v>0</v>
      </c>
      <c r="P19" s="296">
        <f t="shared" si="3"/>
        <v>0</v>
      </c>
      <c r="Q19" s="299">
        <f t="shared" si="6"/>
        <v>0</v>
      </c>
      <c r="R19" s="286"/>
    </row>
    <row r="20" spans="1:18" ht="40.049999999999997" hidden="1" customHeight="1" x14ac:dyDescent="0.45">
      <c r="A20" s="324" t="str">
        <f>Horaire!A20</f>
        <v>PASSAMAINTY</v>
      </c>
      <c r="B20" s="325">
        <f>Horaire!B20</f>
        <v>0.22222222222222221</v>
      </c>
      <c r="C20" s="325" t="str">
        <f>Horaire!C20</f>
        <v>C4</v>
      </c>
      <c r="D20" s="294" t="str">
        <f>VLOOKUP(C20,'Liste chauffeur'!$B$5:$L$20,2,TRUE)&amp;" "&amp;VLOOKUP(C20,'Liste chauffeur'!$B$5:$L$20,3,TRUE)</f>
        <v>TOUMBOU  Toibourani</v>
      </c>
      <c r="E20" s="334"/>
      <c r="F20" s="335">
        <f t="shared" si="5"/>
        <v>1</v>
      </c>
      <c r="G20" s="350"/>
      <c r="H20" s="336"/>
      <c r="I20" s="336"/>
      <c r="J20" s="336"/>
      <c r="K20" s="336"/>
      <c r="L20" s="334"/>
      <c r="M20" s="333"/>
      <c r="N20" s="297" t="str">
        <f t="shared" si="9"/>
        <v/>
      </c>
      <c r="O20" s="296">
        <f t="shared" si="2"/>
        <v>0</v>
      </c>
      <c r="P20" s="296">
        <f t="shared" si="3"/>
        <v>0</v>
      </c>
      <c r="Q20" s="299">
        <f t="shared" si="6"/>
        <v>0</v>
      </c>
      <c r="R20" s="286"/>
    </row>
    <row r="21" spans="1:18" ht="40.049999999999997" hidden="1" customHeight="1" x14ac:dyDescent="0.45">
      <c r="A21" s="324" t="str">
        <f>Horaire!A21</f>
        <v>PASSAMAINTY</v>
      </c>
      <c r="B21" s="325">
        <f>Horaire!B21</f>
        <v>0.22222222222222221</v>
      </c>
      <c r="C21" s="325" t="str">
        <f>Horaire!C21</f>
        <v>C11</v>
      </c>
      <c r="D21" s="294" t="str">
        <f>VLOOKUP(C21,'Liste chauffeur'!$B$5:$L$20,2,TRUE)&amp;" "&amp;VLOOKUP(C21,'Liste chauffeur'!$B$5:$L$20,3,TRUE)</f>
        <v>MADI BOINA Mkidachi</v>
      </c>
      <c r="E21" s="334"/>
      <c r="F21" s="335">
        <f t="shared" si="5"/>
        <v>1</v>
      </c>
      <c r="G21" s="350"/>
      <c r="H21" s="336"/>
      <c r="I21" s="336"/>
      <c r="J21" s="336"/>
      <c r="K21" s="336"/>
      <c r="L21" s="334"/>
      <c r="M21" s="333"/>
      <c r="N21" s="297" t="str">
        <f t="shared" si="9"/>
        <v/>
      </c>
      <c r="O21" s="296">
        <f t="shared" si="2"/>
        <v>0</v>
      </c>
      <c r="P21" s="296">
        <f t="shared" si="3"/>
        <v>0</v>
      </c>
      <c r="Q21" s="299">
        <f t="shared" si="6"/>
        <v>0</v>
      </c>
      <c r="R21" s="286"/>
    </row>
    <row r="22" spans="1:18" ht="40.049999999999997" hidden="1" customHeight="1" x14ac:dyDescent="0.45">
      <c r="A22" s="324" t="str">
        <f>Horaire!A22</f>
        <v>VAHIBE</v>
      </c>
      <c r="B22" s="325">
        <f>Horaire!B22</f>
        <v>0.22916666666666666</v>
      </c>
      <c r="C22" s="325" t="str">
        <f>Horaire!C22</f>
        <v>C3</v>
      </c>
      <c r="D22" s="294" t="str">
        <f>VLOOKUP(C22,'Liste chauffeur'!$B$5:$L$20,2,TRUE)&amp;" "&amp;VLOOKUP(C22,'Liste chauffeur'!$B$5:$L$20,3,TRUE)</f>
        <v>ABDOU MINIHADJI Amada</v>
      </c>
      <c r="E22" s="334"/>
      <c r="F22" s="335">
        <f t="shared" si="5"/>
        <v>1</v>
      </c>
      <c r="G22" s="350"/>
      <c r="H22" s="336"/>
      <c r="I22" s="336"/>
      <c r="J22" s="336"/>
      <c r="K22" s="336"/>
      <c r="L22" s="334"/>
      <c r="M22" s="333"/>
      <c r="N22" s="297" t="str">
        <f t="shared" si="9"/>
        <v/>
      </c>
      <c r="O22" s="296">
        <f t="shared" si="2"/>
        <v>0</v>
      </c>
      <c r="P22" s="296">
        <f t="shared" si="3"/>
        <v>0</v>
      </c>
      <c r="Q22" s="299">
        <f t="shared" si="6"/>
        <v>0</v>
      </c>
      <c r="R22" s="286"/>
    </row>
    <row r="23" spans="1:18" ht="40.049999999999997" hidden="1" customHeight="1" x14ac:dyDescent="0.45">
      <c r="A23" s="324" t="str">
        <f>Horaire!A23</f>
        <v>VAHIBE 2</v>
      </c>
      <c r="B23" s="325">
        <f>Horaire!B23</f>
        <v>0.22916666666666666</v>
      </c>
      <c r="C23" s="325" t="str">
        <f>Horaire!C23</f>
        <v>C10</v>
      </c>
      <c r="D23" s="294" t="str">
        <f>VLOOKUP(C23,'Liste chauffeur'!$B$5:$L$20,2,TRUE)&amp;" "&amp;VLOOKUP(C23,'Liste chauffeur'!$B$5:$L$20,3,TRUE)</f>
        <v>ISSIHAKA M'Changama</v>
      </c>
      <c r="E23" s="334"/>
      <c r="F23" s="335">
        <f t="shared" si="5"/>
        <v>1</v>
      </c>
      <c r="G23" s="350"/>
      <c r="H23" s="336"/>
      <c r="I23" s="336"/>
      <c r="J23" s="336"/>
      <c r="K23" s="336"/>
      <c r="L23" s="334"/>
      <c r="M23" s="333"/>
      <c r="N23" s="297" t="str">
        <f t="shared" si="9"/>
        <v/>
      </c>
      <c r="O23" s="296">
        <f t="shared" si="2"/>
        <v>0</v>
      </c>
      <c r="P23" s="296">
        <f t="shared" si="3"/>
        <v>0</v>
      </c>
      <c r="Q23" s="299">
        <f t="shared" si="6"/>
        <v>0</v>
      </c>
      <c r="R23" s="286"/>
    </row>
    <row r="24" spans="1:18" ht="40.049999999999997" hidden="1" customHeight="1" x14ac:dyDescent="0.45">
      <c r="A24" s="324" t="str">
        <f>Horaire!A24</f>
        <v>PASSAMAINTY</v>
      </c>
      <c r="B24" s="325">
        <f>Horaire!B24</f>
        <v>0.22916666666666666</v>
      </c>
      <c r="C24" s="325" t="str">
        <f>Horaire!C24</f>
        <v>C2</v>
      </c>
      <c r="D24" s="294" t="str">
        <f>VLOOKUP(C24,'Liste chauffeur'!$B$5:$L$20,2,TRUE)&amp;" "&amp;VLOOKUP(C24,'Liste chauffeur'!$B$5:$L$20,3,TRUE)</f>
        <v>BINA HALADI Bina</v>
      </c>
      <c r="E24" s="334"/>
      <c r="F24" s="335">
        <f t="shared" si="5"/>
        <v>1</v>
      </c>
      <c r="G24" s="350"/>
      <c r="H24" s="336"/>
      <c r="I24" s="336"/>
      <c r="J24" s="336"/>
      <c r="K24" s="336"/>
      <c r="L24" s="334"/>
      <c r="M24" s="333"/>
      <c r="N24" s="297" t="str">
        <f t="shared" si="9"/>
        <v/>
      </c>
      <c r="O24" s="296">
        <f t="shared" si="2"/>
        <v>0</v>
      </c>
      <c r="P24" s="296">
        <f t="shared" si="3"/>
        <v>0</v>
      </c>
      <c r="Q24" s="299">
        <f t="shared" si="6"/>
        <v>0</v>
      </c>
      <c r="R24" s="286"/>
    </row>
    <row r="25" spans="1:18" ht="40.049999999999997" hidden="1" customHeight="1" x14ac:dyDescent="0.45">
      <c r="A25" s="324" t="str">
        <f>Horaire!A25</f>
        <v>PASSAMAINTY</v>
      </c>
      <c r="B25" s="325">
        <f>Horaire!B25</f>
        <v>0.22916666666666666</v>
      </c>
      <c r="C25" s="325" t="str">
        <f>Horaire!C25</f>
        <v>C8</v>
      </c>
      <c r="D25" s="294" t="str">
        <f>VLOOKUP(C25,'Liste chauffeur'!$B$5:$L$20,2,TRUE)&amp;" "&amp;VLOOKUP(C25,'Liste chauffeur'!$B$5:$L$20,3,TRUE)</f>
        <v>HADHURAMI Makinedine</v>
      </c>
      <c r="E25" s="334"/>
      <c r="F25" s="335">
        <f t="shared" si="5"/>
        <v>1</v>
      </c>
      <c r="G25" s="350"/>
      <c r="H25" s="336"/>
      <c r="I25" s="336"/>
      <c r="J25" s="336"/>
      <c r="K25" s="336"/>
      <c r="L25" s="334"/>
      <c r="M25" s="333"/>
      <c r="N25" s="297"/>
      <c r="O25" s="296">
        <f t="shared" si="2"/>
        <v>0</v>
      </c>
      <c r="P25" s="296">
        <f t="shared" si="3"/>
        <v>0</v>
      </c>
      <c r="Q25" s="299">
        <f t="shared" ref="Q25" si="10">IF(P25=0,0,O25/P25)</f>
        <v>0</v>
      </c>
      <c r="R25" s="286"/>
    </row>
    <row r="26" spans="1:18" ht="40.049999999999997" hidden="1" customHeight="1" x14ac:dyDescent="0.45">
      <c r="A26" s="324" t="str">
        <f>Horaire!A26</f>
        <v>VAHIBE</v>
      </c>
      <c r="B26" s="325">
        <f>Horaire!B26</f>
        <v>0.2361111111111111</v>
      </c>
      <c r="C26" s="325" t="str">
        <f>Horaire!C26</f>
        <v>C4</v>
      </c>
      <c r="D26" s="294" t="str">
        <f>VLOOKUP(C26,'Liste chauffeur'!$B$5:$L$20,2,TRUE)&amp;" "&amp;VLOOKUP(C26,'Liste chauffeur'!$B$5:$L$20,3,TRUE)</f>
        <v>TOUMBOU  Toibourani</v>
      </c>
      <c r="E26" s="334"/>
      <c r="F26" s="335">
        <f t="shared" si="5"/>
        <v>1</v>
      </c>
      <c r="G26" s="350"/>
      <c r="H26" s="336"/>
      <c r="I26" s="336"/>
      <c r="J26" s="336"/>
      <c r="K26" s="336"/>
      <c r="L26" s="334"/>
      <c r="M26" s="333"/>
      <c r="N26" s="297" t="str">
        <f t="shared" ref="N26:N31" si="11">IF(F26=1,"",L26-E26)</f>
        <v/>
      </c>
      <c r="O26" s="296">
        <f t="shared" si="2"/>
        <v>0</v>
      </c>
      <c r="P26" s="296">
        <f t="shared" si="3"/>
        <v>0</v>
      </c>
      <c r="Q26" s="299">
        <f t="shared" si="6"/>
        <v>0</v>
      </c>
      <c r="R26" s="286"/>
    </row>
    <row r="27" spans="1:18" ht="40.049999999999997" hidden="1" customHeight="1" x14ac:dyDescent="0.45">
      <c r="A27" s="324" t="str">
        <f>Horaire!A27</f>
        <v>VAHIBE 2</v>
      </c>
      <c r="B27" s="325">
        <f>Horaire!B27</f>
        <v>0.2361111111111111</v>
      </c>
      <c r="C27" s="325" t="str">
        <f>Horaire!C27</f>
        <v>C11</v>
      </c>
      <c r="D27" s="294" t="str">
        <f>VLOOKUP(C27,'Liste chauffeur'!$B$5:$L$20,2,TRUE)&amp;" "&amp;VLOOKUP(C27,'Liste chauffeur'!$B$5:$L$20,3,TRUE)</f>
        <v>MADI BOINA Mkidachi</v>
      </c>
      <c r="E27" s="334"/>
      <c r="F27" s="335">
        <f t="shared" si="5"/>
        <v>1</v>
      </c>
      <c r="G27" s="350"/>
      <c r="H27" s="336"/>
      <c r="I27" s="336"/>
      <c r="J27" s="336"/>
      <c r="K27" s="336"/>
      <c r="L27" s="334"/>
      <c r="M27" s="333"/>
      <c r="N27" s="297" t="str">
        <f t="shared" si="11"/>
        <v/>
      </c>
      <c r="O27" s="296">
        <f t="shared" si="2"/>
        <v>0</v>
      </c>
      <c r="P27" s="296">
        <f t="shared" si="3"/>
        <v>0</v>
      </c>
      <c r="Q27" s="299">
        <f t="shared" si="6"/>
        <v>0</v>
      </c>
      <c r="R27" s="286"/>
    </row>
    <row r="28" spans="1:18" ht="40.049999999999997" hidden="1" customHeight="1" x14ac:dyDescent="0.45">
      <c r="A28" s="324" t="str">
        <f>Horaire!A28</f>
        <v>PASSAMAINTY</v>
      </c>
      <c r="B28" s="325">
        <f>Horaire!B28</f>
        <v>0.2361111111111111</v>
      </c>
      <c r="C28" s="325" t="str">
        <f>Horaire!C28</f>
        <v>C1</v>
      </c>
      <c r="D28" s="294" t="str">
        <f>VLOOKUP(C28,'Liste chauffeur'!$B$5:$L$20,2,TRUE)&amp;" "&amp;VLOOKUP(C28,'Liste chauffeur'!$B$5:$L$20,3,TRUE)</f>
        <v>EL ANZIZE SALIM Hamada</v>
      </c>
      <c r="E28" s="334"/>
      <c r="F28" s="335">
        <f t="shared" si="5"/>
        <v>1</v>
      </c>
      <c r="G28" s="350"/>
      <c r="H28" s="336"/>
      <c r="I28" s="336"/>
      <c r="J28" s="336"/>
      <c r="K28" s="336"/>
      <c r="L28" s="334"/>
      <c r="M28" s="333"/>
      <c r="N28" s="297" t="str">
        <f t="shared" si="11"/>
        <v/>
      </c>
      <c r="O28" s="296">
        <f t="shared" si="2"/>
        <v>0</v>
      </c>
      <c r="P28" s="296">
        <f t="shared" si="3"/>
        <v>0</v>
      </c>
      <c r="Q28" s="299">
        <f t="shared" si="6"/>
        <v>0</v>
      </c>
      <c r="R28" s="286"/>
    </row>
    <row r="29" spans="1:18" ht="40.049999999999997" hidden="1" customHeight="1" x14ac:dyDescent="0.45">
      <c r="A29" s="324" t="str">
        <f>Horaire!A29</f>
        <v>PASSAMAINTY</v>
      </c>
      <c r="B29" s="325">
        <f>Horaire!B29</f>
        <v>0.2361111111111111</v>
      </c>
      <c r="C29" s="325" t="str">
        <f>Horaire!C29</f>
        <v>C9</v>
      </c>
      <c r="D29" s="294" t="str">
        <f>VLOOKUP(C29,'Liste chauffeur'!$B$5:$L$20,2,TRUE)&amp;" "&amp;VLOOKUP(C29,'Liste chauffeur'!$B$5:$L$20,3,TRUE)</f>
        <v>SANDI Maanrouf</v>
      </c>
      <c r="E29" s="334"/>
      <c r="F29" s="335">
        <f t="shared" si="5"/>
        <v>1</v>
      </c>
      <c r="G29" s="350"/>
      <c r="H29" s="336"/>
      <c r="I29" s="336"/>
      <c r="J29" s="336"/>
      <c r="K29" s="336"/>
      <c r="L29" s="334"/>
      <c r="M29" s="333"/>
      <c r="N29" s="297" t="str">
        <f t="shared" si="11"/>
        <v/>
      </c>
      <c r="O29" s="296">
        <f t="shared" si="2"/>
        <v>0</v>
      </c>
      <c r="P29" s="296">
        <f t="shared" si="3"/>
        <v>0</v>
      </c>
      <c r="Q29" s="299">
        <f t="shared" si="6"/>
        <v>0</v>
      </c>
      <c r="R29" s="286"/>
    </row>
    <row r="30" spans="1:18" ht="40.049999999999997" hidden="1" customHeight="1" x14ac:dyDescent="0.45">
      <c r="A30" s="324" t="str">
        <f>Horaire!A30</f>
        <v>VAHIBE</v>
      </c>
      <c r="B30" s="325">
        <f>Horaire!B30</f>
        <v>0.24305555555555555</v>
      </c>
      <c r="C30" s="325" t="str">
        <f>Horaire!C30</f>
        <v>C2</v>
      </c>
      <c r="D30" s="294" t="str">
        <f>VLOOKUP(C30,'Liste chauffeur'!$B$5:$L$20,2,TRUE)&amp;" "&amp;VLOOKUP(C30,'Liste chauffeur'!$B$5:$L$20,3,TRUE)</f>
        <v>BINA HALADI Bina</v>
      </c>
      <c r="E30" s="334"/>
      <c r="F30" s="335">
        <f t="shared" si="5"/>
        <v>1</v>
      </c>
      <c r="G30" s="350"/>
      <c r="H30" s="336"/>
      <c r="I30" s="336"/>
      <c r="J30" s="336"/>
      <c r="K30" s="336"/>
      <c r="L30" s="334"/>
      <c r="M30" s="333"/>
      <c r="N30" s="297" t="str">
        <f t="shared" si="11"/>
        <v/>
      </c>
      <c r="O30" s="296">
        <f t="shared" si="2"/>
        <v>0</v>
      </c>
      <c r="P30" s="296">
        <f t="shared" si="3"/>
        <v>0</v>
      </c>
      <c r="Q30" s="299">
        <f t="shared" si="6"/>
        <v>0</v>
      </c>
      <c r="R30" s="286"/>
    </row>
    <row r="31" spans="1:18" ht="40.049999999999997" hidden="1" customHeight="1" x14ac:dyDescent="0.45">
      <c r="A31" s="324" t="str">
        <f>Horaire!A31</f>
        <v>VAHIBE 2</v>
      </c>
      <c r="B31" s="325">
        <f>Horaire!B31</f>
        <v>0.24305555555555555</v>
      </c>
      <c r="C31" s="325" t="str">
        <f>Horaire!C31</f>
        <v>C8</v>
      </c>
      <c r="D31" s="294" t="str">
        <f>VLOOKUP(C31,'Liste chauffeur'!$B$5:$L$20,2,TRUE)&amp;" "&amp;VLOOKUP(C31,'Liste chauffeur'!$B$5:$L$20,3,TRUE)</f>
        <v>HADHURAMI Makinedine</v>
      </c>
      <c r="E31" s="334"/>
      <c r="F31" s="335">
        <f t="shared" si="5"/>
        <v>1</v>
      </c>
      <c r="G31" s="350"/>
      <c r="H31" s="336"/>
      <c r="I31" s="336"/>
      <c r="J31" s="336"/>
      <c r="K31" s="336"/>
      <c r="L31" s="334"/>
      <c r="M31" s="333"/>
      <c r="N31" s="297" t="str">
        <f t="shared" si="11"/>
        <v/>
      </c>
      <c r="O31" s="296">
        <f t="shared" si="2"/>
        <v>0</v>
      </c>
      <c r="P31" s="296">
        <f t="shared" si="3"/>
        <v>0</v>
      </c>
      <c r="Q31" s="299">
        <f t="shared" si="6"/>
        <v>0</v>
      </c>
      <c r="R31" s="286"/>
    </row>
    <row r="32" spans="1:18" ht="40.049999999999997" hidden="1" customHeight="1" x14ac:dyDescent="0.45">
      <c r="A32" s="324" t="str">
        <f>Horaire!A32</f>
        <v>PASSAMAINTY</v>
      </c>
      <c r="B32" s="325">
        <f>Horaire!B32</f>
        <v>0.24305555555555555</v>
      </c>
      <c r="C32" s="325" t="str">
        <f>Horaire!C32</f>
        <v>C3</v>
      </c>
      <c r="D32" s="294" t="str">
        <f>VLOOKUP(C32,'Liste chauffeur'!$B$5:$L$20,2,TRUE)&amp;" "&amp;VLOOKUP(C32,'Liste chauffeur'!$B$5:$L$20,3,TRUE)</f>
        <v>ABDOU MINIHADJI Amada</v>
      </c>
      <c r="E32" s="334"/>
      <c r="F32" s="335">
        <f t="shared" si="5"/>
        <v>1</v>
      </c>
      <c r="G32" s="350"/>
      <c r="H32" s="336"/>
      <c r="I32" s="336"/>
      <c r="J32" s="336"/>
      <c r="K32" s="336"/>
      <c r="L32" s="334"/>
      <c r="M32" s="333"/>
      <c r="N32" s="297"/>
      <c r="O32" s="296">
        <f t="shared" si="2"/>
        <v>0</v>
      </c>
      <c r="P32" s="296">
        <f t="shared" si="3"/>
        <v>0</v>
      </c>
      <c r="Q32" s="299">
        <f t="shared" ref="Q32" si="12">IF(P32=0,0,O32/P32)</f>
        <v>0</v>
      </c>
      <c r="R32" s="286"/>
    </row>
    <row r="33" spans="1:18" ht="40.049999999999997" hidden="1" customHeight="1" x14ac:dyDescent="0.45">
      <c r="A33" s="324" t="str">
        <f>Horaire!A33</f>
        <v>PASSAMAINTY</v>
      </c>
      <c r="B33" s="325">
        <f>Horaire!B33</f>
        <v>0.24305555555555555</v>
      </c>
      <c r="C33" s="325" t="str">
        <f>Horaire!C33</f>
        <v>C10</v>
      </c>
      <c r="D33" s="294" t="str">
        <f>VLOOKUP(C33,'Liste chauffeur'!$B$5:$L$20,2,TRUE)&amp;" "&amp;VLOOKUP(C33,'Liste chauffeur'!$B$5:$L$20,3,TRUE)</f>
        <v>ISSIHAKA M'Changama</v>
      </c>
      <c r="E33" s="334"/>
      <c r="F33" s="335">
        <f t="shared" si="5"/>
        <v>1</v>
      </c>
      <c r="G33" s="350"/>
      <c r="H33" s="336"/>
      <c r="I33" s="336"/>
      <c r="J33" s="336"/>
      <c r="K33" s="336"/>
      <c r="L33" s="334"/>
      <c r="M33" s="333"/>
      <c r="N33" s="297" t="str">
        <f t="shared" ref="N33:N56" si="13">IF(F33=1,"",L33-E33)</f>
        <v/>
      </c>
      <c r="O33" s="296">
        <f t="shared" si="2"/>
        <v>0</v>
      </c>
      <c r="P33" s="296">
        <f t="shared" si="3"/>
        <v>0</v>
      </c>
      <c r="Q33" s="299">
        <f t="shared" si="6"/>
        <v>0</v>
      </c>
      <c r="R33" s="286"/>
    </row>
    <row r="34" spans="1:18" ht="40.049999999999997" hidden="1" customHeight="1" x14ac:dyDescent="0.45">
      <c r="A34" s="324" t="str">
        <f>Horaire!A34</f>
        <v>VAHIBE</v>
      </c>
      <c r="B34" s="325">
        <f>Horaire!B34</f>
        <v>0.25</v>
      </c>
      <c r="C34" s="325" t="str">
        <f>Horaire!C34</f>
        <v>C1</v>
      </c>
      <c r="D34" s="294" t="str">
        <f>VLOOKUP(C34,'Liste chauffeur'!$B$5:$L$20,2,TRUE)&amp;" "&amp;VLOOKUP(C34,'Liste chauffeur'!$B$5:$L$20,3,TRUE)</f>
        <v>EL ANZIZE SALIM Hamada</v>
      </c>
      <c r="E34" s="334"/>
      <c r="F34" s="335">
        <f t="shared" si="5"/>
        <v>1</v>
      </c>
      <c r="G34" s="350"/>
      <c r="H34" s="336"/>
      <c r="I34" s="336"/>
      <c r="J34" s="336"/>
      <c r="K34" s="336"/>
      <c r="L34" s="334"/>
      <c r="M34" s="333"/>
      <c r="N34" s="297" t="str">
        <f t="shared" si="13"/>
        <v/>
      </c>
      <c r="O34" s="296">
        <f t="shared" si="2"/>
        <v>0</v>
      </c>
      <c r="P34" s="296">
        <f t="shared" si="3"/>
        <v>0</v>
      </c>
      <c r="Q34" s="299">
        <f t="shared" si="6"/>
        <v>0</v>
      </c>
      <c r="R34" s="286"/>
    </row>
    <row r="35" spans="1:18" ht="40.049999999999997" hidden="1" customHeight="1" x14ac:dyDescent="0.45">
      <c r="A35" s="324" t="str">
        <f>Horaire!A35</f>
        <v>VAHIBE 2</v>
      </c>
      <c r="B35" s="325">
        <f>Horaire!B35</f>
        <v>0.25</v>
      </c>
      <c r="C35" s="325" t="str">
        <f>Horaire!C35</f>
        <v>C9</v>
      </c>
      <c r="D35" s="294" t="str">
        <f>VLOOKUP(C35,'Liste chauffeur'!$B$5:$L$20,2,TRUE)&amp;" "&amp;VLOOKUP(C35,'Liste chauffeur'!$B$5:$L$20,3,TRUE)</f>
        <v>SANDI Maanrouf</v>
      </c>
      <c r="E35" s="334"/>
      <c r="F35" s="335">
        <f t="shared" si="5"/>
        <v>1</v>
      </c>
      <c r="G35" s="350"/>
      <c r="H35" s="336"/>
      <c r="I35" s="336"/>
      <c r="J35" s="336"/>
      <c r="K35" s="336"/>
      <c r="L35" s="334"/>
      <c r="M35" s="333"/>
      <c r="N35" s="297" t="str">
        <f t="shared" si="13"/>
        <v/>
      </c>
      <c r="O35" s="296">
        <f t="shared" si="2"/>
        <v>0</v>
      </c>
      <c r="P35" s="296">
        <f t="shared" si="3"/>
        <v>0</v>
      </c>
      <c r="Q35" s="299">
        <f t="shared" si="6"/>
        <v>0</v>
      </c>
      <c r="R35" s="286"/>
    </row>
    <row r="36" spans="1:18" ht="40.049999999999997" hidden="1" customHeight="1" x14ac:dyDescent="0.45">
      <c r="A36" s="324" t="str">
        <f>Horaire!A36</f>
        <v>PASSAMAINTY</v>
      </c>
      <c r="B36" s="325">
        <f>Horaire!B36</f>
        <v>0.25</v>
      </c>
      <c r="C36" s="325" t="str">
        <f>Horaire!C36</f>
        <v>C5</v>
      </c>
      <c r="D36" s="294" t="str">
        <f>VLOOKUP(C36,'Liste chauffeur'!$B$5:$L$20,2,TRUE)&amp;" "&amp;VLOOKUP(C36,'Liste chauffeur'!$B$5:$L$20,3,TRUE)</f>
        <v>AHAMADI Bacar Raenmouddine</v>
      </c>
      <c r="E36" s="334"/>
      <c r="F36" s="335">
        <f t="shared" si="5"/>
        <v>1</v>
      </c>
      <c r="G36" s="350"/>
      <c r="H36" s="336"/>
      <c r="I36" s="336"/>
      <c r="J36" s="336"/>
      <c r="K36" s="336"/>
      <c r="L36" s="334"/>
      <c r="M36" s="333"/>
      <c r="N36" s="297" t="str">
        <f t="shared" si="13"/>
        <v/>
      </c>
      <c r="O36" s="296">
        <f t="shared" si="2"/>
        <v>0</v>
      </c>
      <c r="P36" s="296">
        <f t="shared" si="3"/>
        <v>0</v>
      </c>
      <c r="Q36" s="299">
        <f t="shared" si="6"/>
        <v>0</v>
      </c>
      <c r="R36" s="286"/>
    </row>
    <row r="37" spans="1:18" ht="40.049999999999997" hidden="1" customHeight="1" x14ac:dyDescent="0.45">
      <c r="A37" s="324" t="str">
        <f>Horaire!A37</f>
        <v>PASSAMAINTY</v>
      </c>
      <c r="B37" s="325">
        <f>Horaire!B37</f>
        <v>0.25</v>
      </c>
      <c r="C37" s="325" t="str">
        <f>Horaire!C37</f>
        <v>C12</v>
      </c>
      <c r="D37" s="294" t="str">
        <f>VLOOKUP(C37,'Liste chauffeur'!$B$5:$L$20,2,TRUE)&amp;" "&amp;VLOOKUP(C37,'Liste chauffeur'!$B$5:$L$20,3,TRUE)</f>
        <v>ALILOIFFA Said Siradj</v>
      </c>
      <c r="E37" s="334"/>
      <c r="F37" s="335">
        <f t="shared" si="5"/>
        <v>1</v>
      </c>
      <c r="G37" s="350"/>
      <c r="H37" s="336"/>
      <c r="I37" s="336"/>
      <c r="J37" s="336"/>
      <c r="K37" s="336"/>
      <c r="L37" s="334"/>
      <c r="M37" s="333"/>
      <c r="N37" s="297" t="str">
        <f t="shared" si="13"/>
        <v/>
      </c>
      <c r="O37" s="296">
        <f t="shared" si="2"/>
        <v>0</v>
      </c>
      <c r="P37" s="296">
        <f t="shared" si="3"/>
        <v>0</v>
      </c>
      <c r="Q37" s="299">
        <f t="shared" si="6"/>
        <v>0</v>
      </c>
      <c r="R37" s="286"/>
    </row>
    <row r="38" spans="1:18" ht="40.049999999999997" hidden="1" customHeight="1" x14ac:dyDescent="0.45">
      <c r="A38" s="324" t="str">
        <f>Horaire!A38</f>
        <v>VAHIBE</v>
      </c>
      <c r="B38" s="325">
        <f>Horaire!B38</f>
        <v>0.25694444444444442</v>
      </c>
      <c r="C38" s="325" t="str">
        <f>Horaire!C38</f>
        <v>C3</v>
      </c>
      <c r="D38" s="294" t="str">
        <f>VLOOKUP(C38,'Liste chauffeur'!$B$5:$L$20,2,TRUE)&amp;" "&amp;VLOOKUP(C38,'Liste chauffeur'!$B$5:$L$20,3,TRUE)</f>
        <v>ABDOU MINIHADJI Amada</v>
      </c>
      <c r="E38" s="334"/>
      <c r="F38" s="335">
        <f t="shared" si="5"/>
        <v>1</v>
      </c>
      <c r="G38" s="350"/>
      <c r="H38" s="336"/>
      <c r="I38" s="336"/>
      <c r="J38" s="336"/>
      <c r="K38" s="336"/>
      <c r="L38" s="334"/>
      <c r="M38" s="333"/>
      <c r="N38" s="297" t="str">
        <f t="shared" si="13"/>
        <v/>
      </c>
      <c r="O38" s="296">
        <f t="shared" si="2"/>
        <v>0</v>
      </c>
      <c r="P38" s="296">
        <f t="shared" si="3"/>
        <v>0</v>
      </c>
      <c r="Q38" s="299">
        <f t="shared" si="6"/>
        <v>0</v>
      </c>
      <c r="R38" s="286"/>
    </row>
    <row r="39" spans="1:18" ht="40.049999999999997" hidden="1" customHeight="1" x14ac:dyDescent="0.45">
      <c r="A39" s="324" t="str">
        <f>Horaire!A39</f>
        <v>VAHIBE 2</v>
      </c>
      <c r="B39" s="325">
        <f>Horaire!B39</f>
        <v>0.25694444444444442</v>
      </c>
      <c r="C39" s="325" t="str">
        <f>Horaire!C39</f>
        <v>C10</v>
      </c>
      <c r="D39" s="294" t="str">
        <f>VLOOKUP(C39,'Liste chauffeur'!$B$5:$L$20,2,TRUE)&amp;" "&amp;VLOOKUP(C39,'Liste chauffeur'!$B$5:$L$20,3,TRUE)</f>
        <v>ISSIHAKA M'Changama</v>
      </c>
      <c r="E39" s="334"/>
      <c r="F39" s="335">
        <f t="shared" si="5"/>
        <v>1</v>
      </c>
      <c r="G39" s="350"/>
      <c r="H39" s="336"/>
      <c r="I39" s="336"/>
      <c r="J39" s="336"/>
      <c r="K39" s="336"/>
      <c r="L39" s="334"/>
      <c r="M39" s="333"/>
      <c r="N39" s="297" t="str">
        <f t="shared" si="13"/>
        <v/>
      </c>
      <c r="O39" s="296">
        <f t="shared" si="2"/>
        <v>0</v>
      </c>
      <c r="P39" s="296">
        <f t="shared" si="3"/>
        <v>0</v>
      </c>
      <c r="Q39" s="299">
        <f t="shared" si="6"/>
        <v>0</v>
      </c>
      <c r="R39" s="286"/>
    </row>
    <row r="40" spans="1:18" ht="40.049999999999997" hidden="1" customHeight="1" x14ac:dyDescent="0.45">
      <c r="A40" s="324" t="str">
        <f>Horaire!A40</f>
        <v>PASSAMAINTY</v>
      </c>
      <c r="B40" s="325">
        <f>Horaire!B40</f>
        <v>0.25694444444444442</v>
      </c>
      <c r="C40" s="325" t="str">
        <f>Horaire!C40</f>
        <v>C4</v>
      </c>
      <c r="D40" s="294" t="str">
        <f>VLOOKUP(C40,'Liste chauffeur'!$B$5:$L$20,2,TRUE)&amp;" "&amp;VLOOKUP(C40,'Liste chauffeur'!$B$5:$L$20,3,TRUE)</f>
        <v>TOUMBOU  Toibourani</v>
      </c>
      <c r="E40" s="334"/>
      <c r="F40" s="335">
        <f t="shared" si="5"/>
        <v>1</v>
      </c>
      <c r="G40" s="350"/>
      <c r="H40" s="336"/>
      <c r="I40" s="336"/>
      <c r="J40" s="336"/>
      <c r="K40" s="336"/>
      <c r="L40" s="334"/>
      <c r="M40" s="333"/>
      <c r="N40" s="297" t="str">
        <f t="shared" si="13"/>
        <v/>
      </c>
      <c r="O40" s="296">
        <f t="shared" ref="O40:O71" si="14">H40+J40-I40</f>
        <v>0</v>
      </c>
      <c r="P40" s="296">
        <f t="shared" ref="P40:P71" si="15">IF(F40=1,0,P$6)</f>
        <v>0</v>
      </c>
      <c r="Q40" s="299">
        <f t="shared" si="6"/>
        <v>0</v>
      </c>
      <c r="R40" s="286"/>
    </row>
    <row r="41" spans="1:18" ht="40.049999999999997" hidden="1" customHeight="1" x14ac:dyDescent="0.45">
      <c r="A41" s="324" t="str">
        <f>Horaire!A41</f>
        <v>PASSAMAINTY</v>
      </c>
      <c r="B41" s="325">
        <f>Horaire!B41</f>
        <v>0.25694444444444442</v>
      </c>
      <c r="C41" s="325" t="str">
        <f>Horaire!C41</f>
        <v>C11</v>
      </c>
      <c r="D41" s="294" t="str">
        <f>VLOOKUP(C41,'Liste chauffeur'!$B$5:$L$20,2,TRUE)&amp;" "&amp;VLOOKUP(C41,'Liste chauffeur'!$B$5:$L$20,3,TRUE)</f>
        <v>MADI BOINA Mkidachi</v>
      </c>
      <c r="E41" s="334"/>
      <c r="F41" s="335">
        <f t="shared" si="5"/>
        <v>1</v>
      </c>
      <c r="G41" s="350"/>
      <c r="H41" s="336"/>
      <c r="I41" s="336"/>
      <c r="J41" s="336"/>
      <c r="K41" s="336"/>
      <c r="L41" s="334"/>
      <c r="M41" s="333"/>
      <c r="N41" s="297" t="str">
        <f t="shared" si="13"/>
        <v/>
      </c>
      <c r="O41" s="296">
        <f t="shared" si="14"/>
        <v>0</v>
      </c>
      <c r="P41" s="296">
        <f t="shared" si="15"/>
        <v>0</v>
      </c>
      <c r="Q41" s="299">
        <f t="shared" si="6"/>
        <v>0</v>
      </c>
      <c r="R41" s="286"/>
    </row>
    <row r="42" spans="1:18" ht="40.049999999999997" hidden="1" customHeight="1" x14ac:dyDescent="0.45">
      <c r="A42" s="324" t="str">
        <f>Horaire!A42</f>
        <v>VAHIBE</v>
      </c>
      <c r="B42" s="325">
        <f>Horaire!B42</f>
        <v>0.2638888888888889</v>
      </c>
      <c r="C42" s="325" t="str">
        <f>Horaire!C42</f>
        <v>C5</v>
      </c>
      <c r="D42" s="294" t="str">
        <f>VLOOKUP(C42,'Liste chauffeur'!$B$5:$L$20,2,TRUE)&amp;" "&amp;VLOOKUP(C42,'Liste chauffeur'!$B$5:$L$20,3,TRUE)</f>
        <v>AHAMADI Bacar Raenmouddine</v>
      </c>
      <c r="E42" s="334"/>
      <c r="F42" s="335">
        <f t="shared" si="5"/>
        <v>1</v>
      </c>
      <c r="G42" s="350"/>
      <c r="H42" s="336"/>
      <c r="I42" s="336"/>
      <c r="J42" s="336"/>
      <c r="K42" s="336"/>
      <c r="L42" s="334"/>
      <c r="M42" s="333"/>
      <c r="N42" s="297" t="str">
        <f t="shared" si="13"/>
        <v/>
      </c>
      <c r="O42" s="296">
        <f t="shared" si="14"/>
        <v>0</v>
      </c>
      <c r="P42" s="296">
        <f t="shared" si="15"/>
        <v>0</v>
      </c>
      <c r="Q42" s="299">
        <f>IF(P42=0,0,O42/P42)</f>
        <v>0</v>
      </c>
      <c r="R42" s="286"/>
    </row>
    <row r="43" spans="1:18" ht="40.049999999999997" hidden="1" customHeight="1" x14ac:dyDescent="0.45">
      <c r="A43" s="324" t="str">
        <f>Horaire!A43</f>
        <v>VAHIBE 2</v>
      </c>
      <c r="B43" s="325">
        <f>Horaire!B43</f>
        <v>0.2638888888888889</v>
      </c>
      <c r="C43" s="325" t="str">
        <f>Horaire!C43</f>
        <v>C12</v>
      </c>
      <c r="D43" s="294" t="str">
        <f>VLOOKUP(C43,'Liste chauffeur'!$B$5:$L$20,2,TRUE)&amp;" "&amp;VLOOKUP(C43,'Liste chauffeur'!$B$5:$L$20,3,TRUE)</f>
        <v>ALILOIFFA Said Siradj</v>
      </c>
      <c r="E43" s="334"/>
      <c r="F43" s="335">
        <f t="shared" si="5"/>
        <v>1</v>
      </c>
      <c r="G43" s="350"/>
      <c r="H43" s="336"/>
      <c r="I43" s="336"/>
      <c r="J43" s="336"/>
      <c r="K43" s="336"/>
      <c r="L43" s="334"/>
      <c r="M43" s="333"/>
      <c r="N43" s="297" t="str">
        <f t="shared" si="13"/>
        <v/>
      </c>
      <c r="O43" s="296">
        <f t="shared" si="14"/>
        <v>0</v>
      </c>
      <c r="P43" s="296">
        <f t="shared" si="15"/>
        <v>0</v>
      </c>
      <c r="Q43" s="299">
        <f t="shared" ref="Q43:Q56" si="16">IF(P43=0,0,O43/P43)</f>
        <v>0</v>
      </c>
      <c r="R43" s="286"/>
    </row>
    <row r="44" spans="1:18" ht="40.049999999999997" hidden="1" customHeight="1" x14ac:dyDescent="0.45">
      <c r="A44" s="324" t="str">
        <f>Horaire!A44</f>
        <v>PASSAMAINTY</v>
      </c>
      <c r="B44" s="325">
        <f>Horaire!B44</f>
        <v>0.2638888888888889</v>
      </c>
      <c r="C44" s="325" t="str">
        <f>Horaire!C44</f>
        <v>C2</v>
      </c>
      <c r="D44" s="294" t="str">
        <f>VLOOKUP(C44,'Liste chauffeur'!$B$5:$L$20,2,TRUE)&amp;" "&amp;VLOOKUP(C44,'Liste chauffeur'!$B$5:$L$20,3,TRUE)</f>
        <v>BINA HALADI Bina</v>
      </c>
      <c r="E44" s="334"/>
      <c r="F44" s="335">
        <f t="shared" si="5"/>
        <v>1</v>
      </c>
      <c r="G44" s="350"/>
      <c r="H44" s="336"/>
      <c r="I44" s="336"/>
      <c r="J44" s="336"/>
      <c r="K44" s="336"/>
      <c r="L44" s="334"/>
      <c r="M44" s="333"/>
      <c r="N44" s="297" t="str">
        <f t="shared" si="13"/>
        <v/>
      </c>
      <c r="O44" s="296">
        <f t="shared" si="14"/>
        <v>0</v>
      </c>
      <c r="P44" s="296">
        <f t="shared" si="15"/>
        <v>0</v>
      </c>
      <c r="Q44" s="299">
        <f t="shared" si="16"/>
        <v>0</v>
      </c>
      <c r="R44" s="286"/>
    </row>
    <row r="45" spans="1:18" ht="40.049999999999997" hidden="1" customHeight="1" x14ac:dyDescent="0.45">
      <c r="A45" s="324" t="str">
        <f>Horaire!A45</f>
        <v>PASSAMAINTY</v>
      </c>
      <c r="B45" s="325">
        <f>Horaire!B45</f>
        <v>0.2638888888888889</v>
      </c>
      <c r="C45" s="325" t="str">
        <f>Horaire!C45</f>
        <v>C8</v>
      </c>
      <c r="D45" s="294" t="str">
        <f>VLOOKUP(C45,'Liste chauffeur'!$B$5:$L$20,2,TRUE)&amp;" "&amp;VLOOKUP(C45,'Liste chauffeur'!$B$5:$L$20,3,TRUE)</f>
        <v>HADHURAMI Makinedine</v>
      </c>
      <c r="E45" s="334"/>
      <c r="F45" s="335">
        <f t="shared" si="5"/>
        <v>1</v>
      </c>
      <c r="G45" s="350"/>
      <c r="H45" s="336"/>
      <c r="I45" s="336"/>
      <c r="J45" s="336"/>
      <c r="K45" s="336"/>
      <c r="L45" s="334"/>
      <c r="M45" s="333"/>
      <c r="N45" s="297" t="str">
        <f t="shared" si="13"/>
        <v/>
      </c>
      <c r="O45" s="296">
        <f t="shared" si="14"/>
        <v>0</v>
      </c>
      <c r="P45" s="296">
        <f t="shared" si="15"/>
        <v>0</v>
      </c>
      <c r="Q45" s="299">
        <f t="shared" si="16"/>
        <v>0</v>
      </c>
      <c r="R45" s="286"/>
    </row>
    <row r="46" spans="1:18" ht="40.049999999999997" hidden="1" customHeight="1" x14ac:dyDescent="0.45">
      <c r="A46" s="324" t="str">
        <f>Horaire!A46</f>
        <v>VAHIBE</v>
      </c>
      <c r="B46" s="325">
        <f>Horaire!B46</f>
        <v>0.27083333333333331</v>
      </c>
      <c r="C46" s="325" t="str">
        <f>Horaire!C46</f>
        <v>C4</v>
      </c>
      <c r="D46" s="294" t="str">
        <f>VLOOKUP(C46,'Liste chauffeur'!$B$5:$L$20,2,TRUE)&amp;" "&amp;VLOOKUP(C46,'Liste chauffeur'!$B$5:$L$20,3,TRUE)</f>
        <v>TOUMBOU  Toibourani</v>
      </c>
      <c r="E46" s="334"/>
      <c r="F46" s="335">
        <f t="shared" si="5"/>
        <v>1</v>
      </c>
      <c r="G46" s="350"/>
      <c r="H46" s="336"/>
      <c r="I46" s="336"/>
      <c r="J46" s="336"/>
      <c r="K46" s="336"/>
      <c r="L46" s="334"/>
      <c r="M46" s="333"/>
      <c r="N46" s="297" t="str">
        <f t="shared" si="13"/>
        <v/>
      </c>
      <c r="O46" s="296">
        <f t="shared" si="14"/>
        <v>0</v>
      </c>
      <c r="P46" s="296">
        <f t="shared" si="15"/>
        <v>0</v>
      </c>
      <c r="Q46" s="299">
        <f t="shared" si="16"/>
        <v>0</v>
      </c>
      <c r="R46" s="286"/>
    </row>
    <row r="47" spans="1:18" ht="40.049999999999997" hidden="1" customHeight="1" x14ac:dyDescent="0.45">
      <c r="A47" s="324" t="str">
        <f>Horaire!A47</f>
        <v>VAHIBE 2</v>
      </c>
      <c r="B47" s="325">
        <f>Horaire!B47</f>
        <v>0.27083333333333331</v>
      </c>
      <c r="C47" s="325" t="str">
        <f>Horaire!C47</f>
        <v>C11</v>
      </c>
      <c r="D47" s="294" t="str">
        <f>VLOOKUP(C47,'Liste chauffeur'!$B$5:$L$20,2,TRUE)&amp;" "&amp;VLOOKUP(C47,'Liste chauffeur'!$B$5:$L$20,3,TRUE)</f>
        <v>MADI BOINA Mkidachi</v>
      </c>
      <c r="E47" s="334"/>
      <c r="F47" s="335">
        <f t="shared" si="5"/>
        <v>1</v>
      </c>
      <c r="G47" s="350"/>
      <c r="H47" s="336"/>
      <c r="I47" s="336"/>
      <c r="J47" s="336"/>
      <c r="K47" s="336"/>
      <c r="L47" s="334"/>
      <c r="M47" s="333"/>
      <c r="N47" s="297" t="str">
        <f t="shared" si="13"/>
        <v/>
      </c>
      <c r="O47" s="296">
        <f t="shared" si="14"/>
        <v>0</v>
      </c>
      <c r="P47" s="296">
        <f t="shared" si="15"/>
        <v>0</v>
      </c>
      <c r="Q47" s="299">
        <f t="shared" si="16"/>
        <v>0</v>
      </c>
      <c r="R47" s="286"/>
    </row>
    <row r="48" spans="1:18" ht="40.049999999999997" customHeight="1" x14ac:dyDescent="0.45">
      <c r="A48" s="324" t="str">
        <f>Horaire!A48</f>
        <v>PASSAMAINTY</v>
      </c>
      <c r="B48" s="325">
        <f>Horaire!B48</f>
        <v>0.27083333333333331</v>
      </c>
      <c r="C48" s="325" t="str">
        <f>Horaire!C48</f>
        <v>C15</v>
      </c>
      <c r="D48" s="294" t="str">
        <f>VLOOKUP(C48,'Liste chauffeur'!$B$5:$L$20,2,TRUE)&amp;" "&amp;VLOOKUP(C48,'Liste chauffeur'!$B$5:$L$20,3,TRUE)</f>
        <v>HAMADA Babou</v>
      </c>
      <c r="E48" s="334"/>
      <c r="F48" s="335">
        <f t="shared" si="5"/>
        <v>1</v>
      </c>
      <c r="G48" s="350"/>
      <c r="H48" s="336"/>
      <c r="I48" s="336"/>
      <c r="J48" s="336"/>
      <c r="K48" s="336"/>
      <c r="L48" s="334"/>
      <c r="M48" s="333"/>
      <c r="N48" s="297" t="str">
        <f t="shared" si="13"/>
        <v/>
      </c>
      <c r="O48" s="296">
        <f t="shared" si="14"/>
        <v>0</v>
      </c>
      <c r="P48" s="296">
        <f t="shared" si="15"/>
        <v>0</v>
      </c>
      <c r="Q48" s="299">
        <f t="shared" si="16"/>
        <v>0</v>
      </c>
      <c r="R48" s="286"/>
    </row>
    <row r="49" spans="1:18" ht="40.049999999999997" hidden="1" customHeight="1" x14ac:dyDescent="0.45">
      <c r="A49" s="324" t="str">
        <f>Horaire!A49</f>
        <v>PASSAMAINTY</v>
      </c>
      <c r="B49" s="325">
        <f>Horaire!B49</f>
        <v>0.27083333333333331</v>
      </c>
      <c r="C49" s="325" t="str">
        <f>Horaire!C49</f>
        <v>C9</v>
      </c>
      <c r="D49" s="294" t="str">
        <f>VLOOKUP(C49,'Liste chauffeur'!$B$5:$L$20,2,TRUE)&amp;" "&amp;VLOOKUP(C49,'Liste chauffeur'!$B$5:$L$20,3,TRUE)</f>
        <v>SANDI Maanrouf</v>
      </c>
      <c r="E49" s="334"/>
      <c r="F49" s="335">
        <f t="shared" si="5"/>
        <v>1</v>
      </c>
      <c r="G49" s="350"/>
      <c r="H49" s="336"/>
      <c r="I49" s="336"/>
      <c r="J49" s="336"/>
      <c r="K49" s="336"/>
      <c r="L49" s="334"/>
      <c r="M49" s="333"/>
      <c r="N49" s="297" t="str">
        <f t="shared" si="13"/>
        <v/>
      </c>
      <c r="O49" s="296">
        <f t="shared" si="14"/>
        <v>0</v>
      </c>
      <c r="P49" s="296">
        <f t="shared" si="15"/>
        <v>0</v>
      </c>
      <c r="Q49" s="299">
        <f t="shared" si="16"/>
        <v>0</v>
      </c>
      <c r="R49" s="286"/>
    </row>
    <row r="50" spans="1:18" ht="40.049999999999997" hidden="1" customHeight="1" x14ac:dyDescent="0.45">
      <c r="A50" s="324" t="str">
        <f>Horaire!A50</f>
        <v>VAHIBE</v>
      </c>
      <c r="B50" s="325">
        <f>Horaire!B50</f>
        <v>0.27777777777777779</v>
      </c>
      <c r="C50" s="325" t="str">
        <f>Horaire!C50</f>
        <v>C2</v>
      </c>
      <c r="D50" s="294" t="str">
        <f>VLOOKUP(C50,'Liste chauffeur'!$B$5:$L$20,2,TRUE)&amp;" "&amp;VLOOKUP(C50,'Liste chauffeur'!$B$5:$L$20,3,TRUE)</f>
        <v>BINA HALADI Bina</v>
      </c>
      <c r="E50" s="334"/>
      <c r="F50" s="335">
        <f t="shared" si="5"/>
        <v>1</v>
      </c>
      <c r="G50" s="350"/>
      <c r="H50" s="336"/>
      <c r="I50" s="336"/>
      <c r="J50" s="336"/>
      <c r="K50" s="336"/>
      <c r="L50" s="334"/>
      <c r="M50" s="333"/>
      <c r="N50" s="297" t="str">
        <f t="shared" si="13"/>
        <v/>
      </c>
      <c r="O50" s="296">
        <f t="shared" si="14"/>
        <v>0</v>
      </c>
      <c r="P50" s="296">
        <f t="shared" si="15"/>
        <v>0</v>
      </c>
      <c r="Q50" s="299">
        <f t="shared" si="16"/>
        <v>0</v>
      </c>
      <c r="R50" s="286"/>
    </row>
    <row r="51" spans="1:18" ht="40.049999999999997" hidden="1" customHeight="1" x14ac:dyDescent="0.45">
      <c r="A51" s="324" t="str">
        <f>Horaire!A51</f>
        <v>VAHIBE 2</v>
      </c>
      <c r="B51" s="325">
        <f>Horaire!B51</f>
        <v>0.27777777777777779</v>
      </c>
      <c r="C51" s="325" t="str">
        <f>Horaire!C51</f>
        <v>C8</v>
      </c>
      <c r="D51" s="294" t="str">
        <f>VLOOKUP(C51,'Liste chauffeur'!$B$5:$L$20,2,TRUE)&amp;" "&amp;VLOOKUP(C51,'Liste chauffeur'!$B$5:$L$20,3,TRUE)</f>
        <v>HADHURAMI Makinedine</v>
      </c>
      <c r="E51" s="334"/>
      <c r="F51" s="335">
        <f t="shared" si="5"/>
        <v>1</v>
      </c>
      <c r="G51" s="350"/>
      <c r="H51" s="336"/>
      <c r="I51" s="336"/>
      <c r="J51" s="336"/>
      <c r="K51" s="336"/>
      <c r="L51" s="334"/>
      <c r="M51" s="333"/>
      <c r="N51" s="297" t="str">
        <f t="shared" si="13"/>
        <v/>
      </c>
      <c r="O51" s="296">
        <f t="shared" si="14"/>
        <v>0</v>
      </c>
      <c r="P51" s="296">
        <f t="shared" si="15"/>
        <v>0</v>
      </c>
      <c r="Q51" s="299">
        <f t="shared" si="16"/>
        <v>0</v>
      </c>
      <c r="R51" s="286"/>
    </row>
    <row r="52" spans="1:18" ht="40.049999999999997" hidden="1" customHeight="1" x14ac:dyDescent="0.45">
      <c r="A52" s="324" t="str">
        <f>Horaire!A52</f>
        <v>PASSAMAINTY</v>
      </c>
      <c r="B52" s="325">
        <f>Horaire!B52</f>
        <v>0.27777777777777779</v>
      </c>
      <c r="C52" s="325" t="str">
        <f>Horaire!C52</f>
        <v>C1</v>
      </c>
      <c r="D52" s="294" t="str">
        <f>VLOOKUP(C52,'Liste chauffeur'!$B$5:$L$20,2,TRUE)&amp;" "&amp;VLOOKUP(C52,'Liste chauffeur'!$B$5:$L$20,3,TRUE)</f>
        <v>EL ANZIZE SALIM Hamada</v>
      </c>
      <c r="E52" s="334"/>
      <c r="F52" s="335">
        <f t="shared" si="5"/>
        <v>1</v>
      </c>
      <c r="G52" s="350"/>
      <c r="H52" s="336"/>
      <c r="I52" s="336"/>
      <c r="J52" s="336"/>
      <c r="K52" s="336"/>
      <c r="L52" s="334"/>
      <c r="M52" s="333"/>
      <c r="N52" s="297" t="str">
        <f t="shared" si="13"/>
        <v/>
      </c>
      <c r="O52" s="296">
        <f t="shared" si="14"/>
        <v>0</v>
      </c>
      <c r="P52" s="296">
        <f t="shared" si="15"/>
        <v>0</v>
      </c>
      <c r="Q52" s="299">
        <f t="shared" si="16"/>
        <v>0</v>
      </c>
      <c r="R52" s="286"/>
    </row>
    <row r="53" spans="1:18" ht="40.049999999999997" hidden="1" customHeight="1" x14ac:dyDescent="0.45">
      <c r="A53" s="324" t="str">
        <f>Horaire!A53</f>
        <v>PASSAMAINTY</v>
      </c>
      <c r="B53" s="325">
        <f>Horaire!B53</f>
        <v>0.27777777777777779</v>
      </c>
      <c r="C53" s="325" t="str">
        <f>Horaire!C53</f>
        <v>C3</v>
      </c>
      <c r="D53" s="294" t="str">
        <f>VLOOKUP(C53,'Liste chauffeur'!$B$5:$L$20,2,TRUE)&amp;" "&amp;VLOOKUP(C53,'Liste chauffeur'!$B$5:$L$20,3,TRUE)</f>
        <v>ABDOU MINIHADJI Amada</v>
      </c>
      <c r="E53" s="334"/>
      <c r="F53" s="335">
        <f t="shared" si="5"/>
        <v>1</v>
      </c>
      <c r="G53" s="350"/>
      <c r="H53" s="336"/>
      <c r="I53" s="336"/>
      <c r="J53" s="336"/>
      <c r="K53" s="336"/>
      <c r="L53" s="334"/>
      <c r="M53" s="333"/>
      <c r="N53" s="297" t="str">
        <f t="shared" si="13"/>
        <v/>
      </c>
      <c r="O53" s="296">
        <f t="shared" si="14"/>
        <v>0</v>
      </c>
      <c r="P53" s="296">
        <f t="shared" si="15"/>
        <v>0</v>
      </c>
      <c r="Q53" s="299">
        <f t="shared" si="16"/>
        <v>0</v>
      </c>
      <c r="R53" s="286"/>
    </row>
    <row r="54" spans="1:18" ht="40.049999999999997" customHeight="1" x14ac:dyDescent="0.45">
      <c r="A54" s="324" t="str">
        <f>Horaire!A54</f>
        <v>VAHIBE</v>
      </c>
      <c r="B54" s="325">
        <f>Horaire!B54</f>
        <v>0.28472222222222221</v>
      </c>
      <c r="C54" s="325" t="str">
        <f>Horaire!C54</f>
        <v>C15</v>
      </c>
      <c r="D54" s="294" t="str">
        <f>VLOOKUP(C54,'Liste chauffeur'!$B$5:$L$20,2,TRUE)&amp;" "&amp;VLOOKUP(C54,'Liste chauffeur'!$B$5:$L$20,3,TRUE)</f>
        <v>HAMADA Babou</v>
      </c>
      <c r="E54" s="334"/>
      <c r="F54" s="335">
        <f t="shared" si="5"/>
        <v>1</v>
      </c>
      <c r="G54" s="350"/>
      <c r="H54" s="336"/>
      <c r="I54" s="336"/>
      <c r="J54" s="336"/>
      <c r="K54" s="336"/>
      <c r="L54" s="334"/>
      <c r="M54" s="333"/>
      <c r="N54" s="297" t="str">
        <f t="shared" si="13"/>
        <v/>
      </c>
      <c r="O54" s="296">
        <f t="shared" si="14"/>
        <v>0</v>
      </c>
      <c r="P54" s="296">
        <f t="shared" si="15"/>
        <v>0</v>
      </c>
      <c r="Q54" s="299">
        <f t="shared" si="16"/>
        <v>0</v>
      </c>
      <c r="R54" s="286"/>
    </row>
    <row r="55" spans="1:18" ht="40.049999999999997" hidden="1" customHeight="1" x14ac:dyDescent="0.45">
      <c r="A55" s="324" t="str">
        <f>Horaire!A55</f>
        <v>VAHIBE 2</v>
      </c>
      <c r="B55" s="325">
        <f>Horaire!B55</f>
        <v>0.28472222222222221</v>
      </c>
      <c r="C55" s="325" t="str">
        <f>Horaire!C55</f>
        <v>C9</v>
      </c>
      <c r="D55" s="294" t="str">
        <f>VLOOKUP(C55,'Liste chauffeur'!$B$5:$L$20,2,TRUE)&amp;" "&amp;VLOOKUP(C55,'Liste chauffeur'!$B$5:$L$20,3,TRUE)</f>
        <v>SANDI Maanrouf</v>
      </c>
      <c r="E55" s="334"/>
      <c r="F55" s="335">
        <f t="shared" si="5"/>
        <v>1</v>
      </c>
      <c r="G55" s="350"/>
      <c r="H55" s="336"/>
      <c r="I55" s="336"/>
      <c r="J55" s="336"/>
      <c r="K55" s="336"/>
      <c r="L55" s="334"/>
      <c r="M55" s="333"/>
      <c r="N55" s="297" t="str">
        <f t="shared" si="13"/>
        <v/>
      </c>
      <c r="O55" s="296">
        <f t="shared" si="14"/>
        <v>0</v>
      </c>
      <c r="P55" s="296">
        <f t="shared" si="15"/>
        <v>0</v>
      </c>
      <c r="Q55" s="299">
        <f t="shared" si="16"/>
        <v>0</v>
      </c>
      <c r="R55" s="286"/>
    </row>
    <row r="56" spans="1:18" ht="40.049999999999997" hidden="1" customHeight="1" x14ac:dyDescent="0.45">
      <c r="A56" s="324" t="str">
        <f>Horaire!A56</f>
        <v>PASSAMAINTY</v>
      </c>
      <c r="B56" s="325">
        <f>Horaire!B56</f>
        <v>0.28472222222222221</v>
      </c>
      <c r="C56" s="325" t="str">
        <f>Horaire!C56</f>
        <v>C10</v>
      </c>
      <c r="D56" s="294" t="str">
        <f>VLOOKUP(C56,'Liste chauffeur'!$B$5:$L$20,2,TRUE)&amp;" "&amp;VLOOKUP(C56,'Liste chauffeur'!$B$5:$L$20,3,TRUE)</f>
        <v>ISSIHAKA M'Changama</v>
      </c>
      <c r="E56" s="334"/>
      <c r="F56" s="335">
        <f t="shared" si="5"/>
        <v>1</v>
      </c>
      <c r="G56" s="350"/>
      <c r="H56" s="336"/>
      <c r="I56" s="336"/>
      <c r="J56" s="336"/>
      <c r="K56" s="336"/>
      <c r="L56" s="334"/>
      <c r="M56" s="333"/>
      <c r="N56" s="297" t="str">
        <f t="shared" si="13"/>
        <v/>
      </c>
      <c r="O56" s="296">
        <f t="shared" si="14"/>
        <v>0</v>
      </c>
      <c r="P56" s="296">
        <f t="shared" si="15"/>
        <v>0</v>
      </c>
      <c r="Q56" s="299">
        <f t="shared" si="16"/>
        <v>0</v>
      </c>
      <c r="R56" s="286"/>
    </row>
    <row r="57" spans="1:18" ht="40.049999999999997" hidden="1" customHeight="1" x14ac:dyDescent="0.45">
      <c r="A57" s="324" t="str">
        <f>Horaire!A57</f>
        <v>PASSAMAINTY</v>
      </c>
      <c r="B57" s="325">
        <f>Horaire!B57</f>
        <v>0.28472222222222221</v>
      </c>
      <c r="C57" s="325" t="str">
        <f>Horaire!C57</f>
        <v>C5</v>
      </c>
      <c r="D57" s="294" t="str">
        <f>VLOOKUP(C57,'Liste chauffeur'!$B$5:$L$20,2,TRUE)&amp;" "&amp;VLOOKUP(C57,'Liste chauffeur'!$B$5:$L$20,3,TRUE)</f>
        <v>AHAMADI Bacar Raenmouddine</v>
      </c>
      <c r="E57" s="334"/>
      <c r="F57" s="335">
        <f t="shared" si="5"/>
        <v>1</v>
      </c>
      <c r="G57" s="350"/>
      <c r="H57" s="336"/>
      <c r="I57" s="336"/>
      <c r="J57" s="336"/>
      <c r="K57" s="336"/>
      <c r="L57" s="334"/>
      <c r="M57" s="333"/>
      <c r="N57" s="297"/>
      <c r="O57" s="296">
        <f t="shared" si="14"/>
        <v>0</v>
      </c>
      <c r="P57" s="296">
        <f t="shared" si="15"/>
        <v>0</v>
      </c>
      <c r="Q57" s="299">
        <f t="shared" ref="Q57:Q121" si="17">IF(P57=0,0,O57/P57)</f>
        <v>0</v>
      </c>
      <c r="R57" s="286"/>
    </row>
    <row r="58" spans="1:18" ht="40.049999999999997" hidden="1" customHeight="1" x14ac:dyDescent="0.45">
      <c r="A58" s="324" t="str">
        <f>Horaire!A58</f>
        <v>VAHIBE</v>
      </c>
      <c r="B58" s="325">
        <f>Horaire!B58</f>
        <v>0.29166666666666669</v>
      </c>
      <c r="C58" s="325" t="str">
        <f>Horaire!C58</f>
        <v>C1</v>
      </c>
      <c r="D58" s="294" t="str">
        <f>VLOOKUP(C58,'Liste chauffeur'!$B$5:$L$20,2,TRUE)&amp;" "&amp;VLOOKUP(C58,'Liste chauffeur'!$B$5:$L$20,3,TRUE)</f>
        <v>EL ANZIZE SALIM Hamada</v>
      </c>
      <c r="E58" s="334"/>
      <c r="F58" s="335">
        <f t="shared" si="5"/>
        <v>1</v>
      </c>
      <c r="G58" s="350"/>
      <c r="H58" s="336"/>
      <c r="I58" s="336"/>
      <c r="J58" s="336"/>
      <c r="K58" s="336"/>
      <c r="L58" s="334"/>
      <c r="M58" s="333"/>
      <c r="N58" s="297"/>
      <c r="O58" s="296">
        <f t="shared" si="14"/>
        <v>0</v>
      </c>
      <c r="P58" s="296">
        <f t="shared" si="15"/>
        <v>0</v>
      </c>
      <c r="Q58" s="299">
        <f t="shared" si="17"/>
        <v>0</v>
      </c>
      <c r="R58" s="286"/>
    </row>
    <row r="59" spans="1:18" ht="40.049999999999997" hidden="1" customHeight="1" x14ac:dyDescent="0.45">
      <c r="A59" s="324" t="str">
        <f>Horaire!A59</f>
        <v>VAHIBE 2</v>
      </c>
      <c r="B59" s="325">
        <f>Horaire!B59</f>
        <v>0.29166666666666669</v>
      </c>
      <c r="C59" s="325" t="str">
        <f>Horaire!C59</f>
        <v>C3</v>
      </c>
      <c r="D59" s="294" t="str">
        <f>VLOOKUP(C59,'Liste chauffeur'!$B$5:$L$20,2,TRUE)&amp;" "&amp;VLOOKUP(C59,'Liste chauffeur'!$B$5:$L$20,3,TRUE)</f>
        <v>ABDOU MINIHADJI Amada</v>
      </c>
      <c r="E59" s="334"/>
      <c r="F59" s="335">
        <f t="shared" ref="F59" si="18">COUNTBLANK(E59)</f>
        <v>1</v>
      </c>
      <c r="G59" s="350"/>
      <c r="H59" s="336"/>
      <c r="I59" s="336"/>
      <c r="J59" s="336"/>
      <c r="K59" s="336"/>
      <c r="L59" s="334"/>
      <c r="M59" s="333"/>
      <c r="N59" s="297"/>
      <c r="O59" s="296">
        <f t="shared" ref="O59" si="19">H59+J59-I59</f>
        <v>0</v>
      </c>
      <c r="P59" s="296">
        <f t="shared" ref="P59" si="20">IF(F59=1,0,P$6)</f>
        <v>0</v>
      </c>
      <c r="Q59" s="299">
        <f t="shared" ref="Q59" si="21">IF(P59=0,0,O59/P59)</f>
        <v>0</v>
      </c>
      <c r="R59" s="286"/>
    </row>
    <row r="60" spans="1:18" ht="40.049999999999997" hidden="1" customHeight="1" x14ac:dyDescent="0.45">
      <c r="A60" s="324" t="str">
        <f>Horaire!A60</f>
        <v>PASSAMAINTY</v>
      </c>
      <c r="B60" s="325">
        <f>Horaire!B60</f>
        <v>0.29166666666666669</v>
      </c>
      <c r="C60" s="325" t="str">
        <f>Horaire!C60</f>
        <v>C4</v>
      </c>
      <c r="D60" s="294" t="str">
        <f>VLOOKUP(C60,'Liste chauffeur'!$B$5:$L$20,2,TRUE)&amp;" "&amp;VLOOKUP(C60,'Liste chauffeur'!$B$5:$L$20,3,TRUE)</f>
        <v>TOUMBOU  Toibourani</v>
      </c>
      <c r="E60" s="334"/>
      <c r="F60" s="335">
        <f t="shared" si="5"/>
        <v>1</v>
      </c>
      <c r="G60" s="350"/>
      <c r="H60" s="336"/>
      <c r="I60" s="336"/>
      <c r="J60" s="336"/>
      <c r="K60" s="336"/>
      <c r="L60" s="334"/>
      <c r="M60" s="333"/>
      <c r="N60" s="297"/>
      <c r="O60" s="296">
        <f t="shared" si="14"/>
        <v>0</v>
      </c>
      <c r="P60" s="296">
        <f t="shared" si="15"/>
        <v>0</v>
      </c>
      <c r="Q60" s="299">
        <f t="shared" si="17"/>
        <v>0</v>
      </c>
      <c r="R60" s="286"/>
    </row>
    <row r="61" spans="1:18" ht="40.049999999999997" hidden="1" customHeight="1" x14ac:dyDescent="0.45">
      <c r="A61" s="324" t="str">
        <f>Horaire!A61</f>
        <v>PASSAMAINTY</v>
      </c>
      <c r="B61" s="325">
        <f>Horaire!B61</f>
        <v>0.29166666666666669</v>
      </c>
      <c r="C61" s="325" t="str">
        <f>Horaire!C61</f>
        <v>C11</v>
      </c>
      <c r="D61" s="294" t="str">
        <f>VLOOKUP(C61,'Liste chauffeur'!$B$5:$L$20,2,TRUE)&amp;" "&amp;VLOOKUP(C61,'Liste chauffeur'!$B$5:$L$20,3,TRUE)</f>
        <v>MADI BOINA Mkidachi</v>
      </c>
      <c r="E61" s="334"/>
      <c r="F61" s="335">
        <f t="shared" ref="F61" si="22">COUNTBLANK(E61)</f>
        <v>1</v>
      </c>
      <c r="G61" s="350"/>
      <c r="H61" s="336"/>
      <c r="I61" s="336"/>
      <c r="J61" s="336"/>
      <c r="K61" s="336"/>
      <c r="L61" s="334"/>
      <c r="M61" s="333"/>
      <c r="N61" s="297"/>
      <c r="O61" s="296">
        <f t="shared" ref="O61" si="23">H61+J61-I61</f>
        <v>0</v>
      </c>
      <c r="P61" s="296">
        <f t="shared" ref="P61" si="24">IF(F61=1,0,P$6)</f>
        <v>0</v>
      </c>
      <c r="Q61" s="299">
        <f t="shared" ref="Q61" si="25">IF(P61=0,0,O61/P61)</f>
        <v>0</v>
      </c>
      <c r="R61" s="286"/>
    </row>
    <row r="62" spans="1:18" ht="40.049999999999997" hidden="1" customHeight="1" x14ac:dyDescent="0.45">
      <c r="A62" s="324" t="str">
        <f>Horaire!A62</f>
        <v>VAHIBE</v>
      </c>
      <c r="B62" s="325">
        <f>Horaire!B62</f>
        <v>0.2986111111111111</v>
      </c>
      <c r="C62" s="325" t="str">
        <f>Horaire!C62</f>
        <v>C10</v>
      </c>
      <c r="D62" s="294" t="str">
        <f>VLOOKUP(C62,'Liste chauffeur'!$B$5:$L$20,2,TRUE)&amp;" "&amp;VLOOKUP(C62,'Liste chauffeur'!$B$5:$L$20,3,TRUE)</f>
        <v>ISSIHAKA M'Changama</v>
      </c>
      <c r="E62" s="334"/>
      <c r="F62" s="335">
        <f t="shared" si="5"/>
        <v>1</v>
      </c>
      <c r="G62" s="350"/>
      <c r="H62" s="336"/>
      <c r="I62" s="336"/>
      <c r="J62" s="336"/>
      <c r="K62" s="336"/>
      <c r="L62" s="334"/>
      <c r="M62" s="333"/>
      <c r="N62" s="297"/>
      <c r="O62" s="296">
        <f t="shared" si="14"/>
        <v>0</v>
      </c>
      <c r="P62" s="296">
        <f t="shared" si="15"/>
        <v>0</v>
      </c>
      <c r="Q62" s="299">
        <f t="shared" si="17"/>
        <v>0</v>
      </c>
      <c r="R62" s="286"/>
    </row>
    <row r="63" spans="1:18" ht="40.049999999999997" hidden="1" customHeight="1" x14ac:dyDescent="0.45">
      <c r="A63" s="324" t="str">
        <f>Horaire!A63</f>
        <v>VAHIBE 2</v>
      </c>
      <c r="B63" s="325">
        <f>Horaire!B63</f>
        <v>0.2986111111111111</v>
      </c>
      <c r="C63" s="325" t="str">
        <f>Horaire!C63</f>
        <v>C5</v>
      </c>
      <c r="D63" s="294" t="str">
        <f>VLOOKUP(C63,'Liste chauffeur'!$B$5:$L$20,2,TRUE)&amp;" "&amp;VLOOKUP(C63,'Liste chauffeur'!$B$5:$L$20,3,TRUE)</f>
        <v>AHAMADI Bacar Raenmouddine</v>
      </c>
      <c r="E63" s="334"/>
      <c r="F63" s="335">
        <f t="shared" si="5"/>
        <v>1</v>
      </c>
      <c r="G63" s="350"/>
      <c r="H63" s="336"/>
      <c r="I63" s="336"/>
      <c r="J63" s="336"/>
      <c r="K63" s="336"/>
      <c r="L63" s="334"/>
      <c r="M63" s="333"/>
      <c r="N63" s="297"/>
      <c r="O63" s="296">
        <f t="shared" si="14"/>
        <v>0</v>
      </c>
      <c r="P63" s="296">
        <f t="shared" si="15"/>
        <v>0</v>
      </c>
      <c r="Q63" s="299">
        <f t="shared" si="17"/>
        <v>0</v>
      </c>
      <c r="R63" s="286"/>
    </row>
    <row r="64" spans="1:18" ht="40.049999999999997" hidden="1" customHeight="1" x14ac:dyDescent="0.45">
      <c r="A64" s="324" t="str">
        <f>Horaire!A64</f>
        <v>PASSAMAINTY</v>
      </c>
      <c r="B64" s="325">
        <f>Horaire!B64</f>
        <v>0.2986111111111111</v>
      </c>
      <c r="C64" s="325" t="str">
        <f>Horaire!C64</f>
        <v>C13</v>
      </c>
      <c r="D64" s="294" t="str">
        <f>VLOOKUP(C64,'Liste chauffeur'!$B$5:$L$20,2,TRUE)&amp;" "&amp;VLOOKUP(C64,'Liste chauffeur'!$B$5:$L$20,3,TRUE)</f>
        <v>ABDALLAH Ben (Taxi Vanille)</v>
      </c>
      <c r="E64" s="334"/>
      <c r="F64" s="335">
        <f t="shared" si="5"/>
        <v>1</v>
      </c>
      <c r="G64" s="350"/>
      <c r="H64" s="336"/>
      <c r="I64" s="336"/>
      <c r="J64" s="336"/>
      <c r="K64" s="336"/>
      <c r="L64" s="334"/>
      <c r="M64" s="333"/>
      <c r="N64" s="297"/>
      <c r="O64" s="296">
        <f t="shared" si="14"/>
        <v>0</v>
      </c>
      <c r="P64" s="296">
        <f t="shared" si="15"/>
        <v>0</v>
      </c>
      <c r="Q64" s="299">
        <f t="shared" si="17"/>
        <v>0</v>
      </c>
      <c r="R64" s="286"/>
    </row>
    <row r="65" spans="1:18" ht="40.049999999999997" hidden="1" customHeight="1" x14ac:dyDescent="0.45">
      <c r="A65" s="324" t="str">
        <f>Horaire!A65</f>
        <v>PASSAMAINTY</v>
      </c>
      <c r="B65" s="325">
        <f>Horaire!B65</f>
        <v>0.2986111111111111</v>
      </c>
      <c r="C65" s="325" t="str">
        <f>Horaire!C65</f>
        <v>C8</v>
      </c>
      <c r="D65" s="294" t="str">
        <f>VLOOKUP(C65,'Liste chauffeur'!$B$5:$L$20,2,TRUE)&amp;" "&amp;VLOOKUP(C65,'Liste chauffeur'!$B$5:$L$20,3,TRUE)</f>
        <v>HADHURAMI Makinedine</v>
      </c>
      <c r="E65" s="334"/>
      <c r="F65" s="335">
        <f t="shared" si="5"/>
        <v>1</v>
      </c>
      <c r="G65" s="350"/>
      <c r="H65" s="336"/>
      <c r="I65" s="336"/>
      <c r="J65" s="336"/>
      <c r="K65" s="336"/>
      <c r="L65" s="334"/>
      <c r="M65" s="333"/>
      <c r="N65" s="297"/>
      <c r="O65" s="296">
        <f t="shared" si="14"/>
        <v>0</v>
      </c>
      <c r="P65" s="296">
        <f t="shared" si="15"/>
        <v>0</v>
      </c>
      <c r="Q65" s="299">
        <f t="shared" si="17"/>
        <v>0</v>
      </c>
      <c r="R65" s="286"/>
    </row>
    <row r="66" spans="1:18" ht="40.049999999999997" hidden="1" customHeight="1" x14ac:dyDescent="0.45">
      <c r="A66" s="324" t="str">
        <f>Horaire!A66</f>
        <v>VAHIBE</v>
      </c>
      <c r="B66" s="325">
        <f>Horaire!B66</f>
        <v>0.30555555555555558</v>
      </c>
      <c r="C66" s="325" t="str">
        <f>Horaire!C66</f>
        <v>C4</v>
      </c>
      <c r="D66" s="294" t="str">
        <f>VLOOKUP(C66,'Liste chauffeur'!$B$5:$L$20,2,TRUE)&amp;" "&amp;VLOOKUP(C66,'Liste chauffeur'!$B$5:$L$20,3,TRUE)</f>
        <v>TOUMBOU  Toibourani</v>
      </c>
      <c r="E66" s="334"/>
      <c r="F66" s="335">
        <f t="shared" si="5"/>
        <v>1</v>
      </c>
      <c r="G66" s="350"/>
      <c r="H66" s="336"/>
      <c r="I66" s="336"/>
      <c r="J66" s="336"/>
      <c r="K66" s="336"/>
      <c r="L66" s="334"/>
      <c r="M66" s="333"/>
      <c r="N66" s="297"/>
      <c r="O66" s="296">
        <f t="shared" si="14"/>
        <v>0</v>
      </c>
      <c r="P66" s="296">
        <f t="shared" si="15"/>
        <v>0</v>
      </c>
      <c r="Q66" s="299">
        <f t="shared" si="17"/>
        <v>0</v>
      </c>
      <c r="R66" s="286"/>
    </row>
    <row r="67" spans="1:18" ht="40.049999999999997" hidden="1" customHeight="1" x14ac:dyDescent="0.45">
      <c r="A67" s="324" t="str">
        <f>Horaire!A67</f>
        <v>VAHIBE 2</v>
      </c>
      <c r="B67" s="325">
        <f>Horaire!B67</f>
        <v>0.30555555555555558</v>
      </c>
      <c r="C67" s="325" t="str">
        <f>Horaire!C67</f>
        <v>C11</v>
      </c>
      <c r="D67" s="294" t="str">
        <f>VLOOKUP(C67,'Liste chauffeur'!$B$5:$L$20,2,TRUE)&amp;" "&amp;VLOOKUP(C67,'Liste chauffeur'!$B$5:$L$20,3,TRUE)</f>
        <v>MADI BOINA Mkidachi</v>
      </c>
      <c r="E67" s="334"/>
      <c r="F67" s="335">
        <f t="shared" si="5"/>
        <v>1</v>
      </c>
      <c r="G67" s="350"/>
      <c r="H67" s="336"/>
      <c r="I67" s="336"/>
      <c r="J67" s="336"/>
      <c r="K67" s="336"/>
      <c r="L67" s="334"/>
      <c r="M67" s="333"/>
      <c r="N67" s="297"/>
      <c r="O67" s="296">
        <f t="shared" si="14"/>
        <v>0</v>
      </c>
      <c r="P67" s="296">
        <f t="shared" si="15"/>
        <v>0</v>
      </c>
      <c r="Q67" s="299">
        <f t="shared" si="17"/>
        <v>0</v>
      </c>
      <c r="R67" s="286"/>
    </row>
    <row r="68" spans="1:18" ht="40.049999999999997" customHeight="1" x14ac:dyDescent="0.45">
      <c r="A68" s="324" t="str">
        <f>Horaire!A68</f>
        <v>PASSAMAINTY</v>
      </c>
      <c r="B68" s="325">
        <f>Horaire!B68</f>
        <v>0.30555555555555558</v>
      </c>
      <c r="C68" s="325" t="str">
        <f>Horaire!C68</f>
        <v>C15</v>
      </c>
      <c r="D68" s="294" t="str">
        <f>VLOOKUP(C68,'Liste chauffeur'!$B$5:$L$20,2,TRUE)&amp;" "&amp;VLOOKUP(C68,'Liste chauffeur'!$B$5:$L$20,3,TRUE)</f>
        <v>HAMADA Babou</v>
      </c>
      <c r="E68" s="334"/>
      <c r="F68" s="335">
        <f t="shared" si="5"/>
        <v>1</v>
      </c>
      <c r="G68" s="350"/>
      <c r="H68" s="336"/>
      <c r="I68" s="336"/>
      <c r="J68" s="336"/>
      <c r="K68" s="336"/>
      <c r="L68" s="334"/>
      <c r="M68" s="333"/>
      <c r="N68" s="297"/>
      <c r="O68" s="296">
        <f t="shared" si="14"/>
        <v>0</v>
      </c>
      <c r="P68" s="296">
        <f t="shared" si="15"/>
        <v>0</v>
      </c>
      <c r="Q68" s="299">
        <f t="shared" si="17"/>
        <v>0</v>
      </c>
      <c r="R68" s="286"/>
    </row>
    <row r="69" spans="1:18" ht="40.049999999999997" hidden="1" customHeight="1" x14ac:dyDescent="0.45">
      <c r="A69" s="324" t="str">
        <f>Horaire!A69</f>
        <v>PASSAMAINTY</v>
      </c>
      <c r="B69" s="325">
        <f>Horaire!B69</f>
        <v>0.30555555555555558</v>
      </c>
      <c r="C69" s="325" t="str">
        <f>Horaire!C69</f>
        <v>C9</v>
      </c>
      <c r="D69" s="294" t="str">
        <f>VLOOKUP(C69,'Liste chauffeur'!$B$5:$L$20,2,TRUE)&amp;" "&amp;VLOOKUP(C69,'Liste chauffeur'!$B$5:$L$20,3,TRUE)</f>
        <v>SANDI Maanrouf</v>
      </c>
      <c r="E69" s="334"/>
      <c r="F69" s="335">
        <f t="shared" si="5"/>
        <v>1</v>
      </c>
      <c r="G69" s="350"/>
      <c r="H69" s="336"/>
      <c r="I69" s="336"/>
      <c r="J69" s="336"/>
      <c r="K69" s="336"/>
      <c r="L69" s="334"/>
      <c r="M69" s="333"/>
      <c r="N69" s="297"/>
      <c r="O69" s="296">
        <f t="shared" si="14"/>
        <v>0</v>
      </c>
      <c r="P69" s="296">
        <f t="shared" si="15"/>
        <v>0</v>
      </c>
      <c r="Q69" s="299">
        <f t="shared" si="17"/>
        <v>0</v>
      </c>
      <c r="R69" s="286"/>
    </row>
    <row r="70" spans="1:18" ht="40.049999999999997" hidden="1" customHeight="1" x14ac:dyDescent="0.45">
      <c r="A70" s="324" t="str">
        <f>Horaire!A70</f>
        <v>VAHIBE</v>
      </c>
      <c r="B70" s="325">
        <f>Horaire!B70</f>
        <v>0.3125</v>
      </c>
      <c r="C70" s="325" t="str">
        <f>Horaire!C70</f>
        <v>C13</v>
      </c>
      <c r="D70" s="294" t="str">
        <f>VLOOKUP(C70,'Liste chauffeur'!$B$5:$L$20,2,TRUE)&amp;" "&amp;VLOOKUP(C70,'Liste chauffeur'!$B$5:$L$20,3,TRUE)</f>
        <v>ABDALLAH Ben (Taxi Vanille)</v>
      </c>
      <c r="E70" s="334"/>
      <c r="F70" s="335">
        <f t="shared" si="5"/>
        <v>1</v>
      </c>
      <c r="G70" s="350"/>
      <c r="H70" s="336"/>
      <c r="I70" s="336"/>
      <c r="J70" s="336"/>
      <c r="K70" s="336"/>
      <c r="L70" s="334"/>
      <c r="M70" s="333"/>
      <c r="N70" s="297"/>
      <c r="O70" s="296">
        <f t="shared" si="14"/>
        <v>0</v>
      </c>
      <c r="P70" s="296">
        <f t="shared" si="15"/>
        <v>0</v>
      </c>
      <c r="Q70" s="299">
        <f t="shared" si="17"/>
        <v>0</v>
      </c>
      <c r="R70" s="286"/>
    </row>
    <row r="71" spans="1:18" ht="40.049999999999997" hidden="1" customHeight="1" x14ac:dyDescent="0.45">
      <c r="A71" s="324" t="str">
        <f>Horaire!A71</f>
        <v>VAHIBE 2</v>
      </c>
      <c r="B71" s="325">
        <f>Horaire!B71</f>
        <v>0.3125</v>
      </c>
      <c r="C71" s="325" t="str">
        <f>Horaire!C71</f>
        <v>C8</v>
      </c>
      <c r="D71" s="294" t="str">
        <f>VLOOKUP(C71,'Liste chauffeur'!$B$5:$L$20,2,TRUE)&amp;" "&amp;VLOOKUP(C71,'Liste chauffeur'!$B$5:$L$20,3,TRUE)</f>
        <v>HADHURAMI Makinedine</v>
      </c>
      <c r="E71" s="334"/>
      <c r="F71" s="335">
        <f t="shared" si="5"/>
        <v>1</v>
      </c>
      <c r="G71" s="350"/>
      <c r="H71" s="336"/>
      <c r="I71" s="336"/>
      <c r="J71" s="336"/>
      <c r="K71" s="336"/>
      <c r="L71" s="334"/>
      <c r="M71" s="333"/>
      <c r="N71" s="297"/>
      <c r="O71" s="296">
        <f t="shared" si="14"/>
        <v>0</v>
      </c>
      <c r="P71" s="296">
        <f t="shared" si="15"/>
        <v>0</v>
      </c>
      <c r="Q71" s="299">
        <f t="shared" si="17"/>
        <v>0</v>
      </c>
      <c r="R71" s="286"/>
    </row>
    <row r="72" spans="1:18" ht="40.049999999999997" hidden="1" customHeight="1" x14ac:dyDescent="0.45">
      <c r="A72" s="324" t="str">
        <f>Horaire!A72</f>
        <v>PASSAMAINTY</v>
      </c>
      <c r="B72" s="325">
        <f>Horaire!B72</f>
        <v>0.3125</v>
      </c>
      <c r="C72" s="325" t="str">
        <f>Horaire!C72</f>
        <v>C3</v>
      </c>
      <c r="D72" s="294" t="str">
        <f>VLOOKUP(C72,'Liste chauffeur'!$B$5:$L$20,2,TRUE)&amp;" "&amp;VLOOKUP(C72,'Liste chauffeur'!$B$5:$L$20,3,TRUE)</f>
        <v>ABDOU MINIHADJI Amada</v>
      </c>
      <c r="E72" s="334"/>
      <c r="F72" s="335">
        <f t="shared" si="5"/>
        <v>1</v>
      </c>
      <c r="G72" s="350"/>
      <c r="H72" s="336"/>
      <c r="I72" s="336"/>
      <c r="J72" s="336"/>
      <c r="K72" s="336"/>
      <c r="L72" s="334"/>
      <c r="M72" s="333"/>
      <c r="N72" s="297"/>
      <c r="O72" s="296">
        <f t="shared" ref="O72:O104" si="26">H72+J72-I72</f>
        <v>0</v>
      </c>
      <c r="P72" s="296">
        <f t="shared" ref="P72:P104" si="27">IF(F72=1,0,P$6)</f>
        <v>0</v>
      </c>
      <c r="Q72" s="299">
        <f t="shared" si="17"/>
        <v>0</v>
      </c>
      <c r="R72" s="286"/>
    </row>
    <row r="73" spans="1:18" ht="40.049999999999997" hidden="1" customHeight="1" x14ac:dyDescent="0.45">
      <c r="A73" s="324" t="str">
        <f>Horaire!A73</f>
        <v>PASSAMAINTY</v>
      </c>
      <c r="B73" s="325">
        <f>Horaire!B73</f>
        <v>0.3125</v>
      </c>
      <c r="C73" s="325" t="str">
        <f>Horaire!C73</f>
        <v>C1</v>
      </c>
      <c r="D73" s="294" t="str">
        <f>VLOOKUP(C73,'Liste chauffeur'!$B$5:$L$20,2,TRUE)&amp;" "&amp;VLOOKUP(C73,'Liste chauffeur'!$B$5:$L$20,3,TRUE)</f>
        <v>EL ANZIZE SALIM Hamada</v>
      </c>
      <c r="E73" s="334"/>
      <c r="F73" s="335">
        <f t="shared" ref="F73" si="28">COUNTBLANK(E73)</f>
        <v>1</v>
      </c>
      <c r="G73" s="350"/>
      <c r="H73" s="336"/>
      <c r="I73" s="336"/>
      <c r="J73" s="336"/>
      <c r="K73" s="336"/>
      <c r="L73" s="334"/>
      <c r="M73" s="333"/>
      <c r="N73" s="297"/>
      <c r="O73" s="296">
        <f t="shared" ref="O73" si="29">H73+J73-I73</f>
        <v>0</v>
      </c>
      <c r="P73" s="296">
        <f t="shared" ref="P73" si="30">IF(F73=1,0,P$6)</f>
        <v>0</v>
      </c>
      <c r="Q73" s="299">
        <f t="shared" ref="Q73" si="31">IF(P73=0,0,O73/P73)</f>
        <v>0</v>
      </c>
      <c r="R73" s="286"/>
    </row>
    <row r="74" spans="1:18" ht="40.049999999999997" customHeight="1" x14ac:dyDescent="0.45">
      <c r="A74" s="324" t="str">
        <f>Horaire!A74</f>
        <v>VAHIBE</v>
      </c>
      <c r="B74" s="325">
        <f>Horaire!B74</f>
        <v>0.31944444444444442</v>
      </c>
      <c r="C74" s="325" t="str">
        <f>Horaire!C74</f>
        <v>C15</v>
      </c>
      <c r="D74" s="294" t="str">
        <f>VLOOKUP(C74,'Liste chauffeur'!$B$5:$L$20,2,TRUE)&amp;" "&amp;VLOOKUP(C74,'Liste chauffeur'!$B$5:$L$20,3,TRUE)</f>
        <v>HAMADA Babou</v>
      </c>
      <c r="E74" s="334"/>
      <c r="F74" s="335">
        <f t="shared" si="5"/>
        <v>1</v>
      </c>
      <c r="G74" s="350"/>
      <c r="H74" s="336"/>
      <c r="I74" s="336"/>
      <c r="J74" s="336"/>
      <c r="K74" s="336"/>
      <c r="L74" s="334"/>
      <c r="M74" s="333"/>
      <c r="N74" s="297"/>
      <c r="O74" s="296">
        <f t="shared" si="26"/>
        <v>0</v>
      </c>
      <c r="P74" s="296">
        <f t="shared" si="27"/>
        <v>0</v>
      </c>
      <c r="Q74" s="299">
        <f t="shared" si="17"/>
        <v>0</v>
      </c>
      <c r="R74" s="286"/>
    </row>
    <row r="75" spans="1:18" ht="40.049999999999997" hidden="1" customHeight="1" x14ac:dyDescent="0.45">
      <c r="A75" s="324" t="str">
        <f>Horaire!A75</f>
        <v>VAHIBE 2</v>
      </c>
      <c r="B75" s="325">
        <f>Horaire!B75</f>
        <v>0.31944444444444442</v>
      </c>
      <c r="C75" s="325" t="str">
        <f>Horaire!C75</f>
        <v>C9</v>
      </c>
      <c r="D75" s="294" t="str">
        <f>VLOOKUP(C75,'Liste chauffeur'!$B$5:$L$20,2,TRUE)&amp;" "&amp;VLOOKUP(C75,'Liste chauffeur'!$B$5:$L$20,3,TRUE)</f>
        <v>SANDI Maanrouf</v>
      </c>
      <c r="E75" s="334"/>
      <c r="F75" s="335">
        <f t="shared" si="5"/>
        <v>1</v>
      </c>
      <c r="G75" s="350"/>
      <c r="H75" s="336"/>
      <c r="I75" s="336"/>
      <c r="J75" s="336"/>
      <c r="K75" s="336"/>
      <c r="L75" s="334"/>
      <c r="M75" s="333"/>
      <c r="N75" s="297"/>
      <c r="O75" s="296">
        <f t="shared" si="26"/>
        <v>0</v>
      </c>
      <c r="P75" s="296">
        <f t="shared" si="27"/>
        <v>0</v>
      </c>
      <c r="Q75" s="299">
        <f t="shared" si="17"/>
        <v>0</v>
      </c>
      <c r="R75" s="286"/>
    </row>
    <row r="76" spans="1:18" ht="40.049999999999997" hidden="1" customHeight="1" x14ac:dyDescent="0.45">
      <c r="A76" s="324" t="str">
        <f>Horaire!A76</f>
        <v>PASSAMAINTY</v>
      </c>
      <c r="B76" s="325">
        <f>Horaire!B76</f>
        <v>0.31944444444444442</v>
      </c>
      <c r="C76" s="325" t="str">
        <f>Horaire!C76</f>
        <v>C10</v>
      </c>
      <c r="D76" s="294" t="str">
        <f>VLOOKUP(C76,'Liste chauffeur'!$B$5:$L$20,2,TRUE)&amp;" "&amp;VLOOKUP(C76,'Liste chauffeur'!$B$5:$L$20,3,TRUE)</f>
        <v>ISSIHAKA M'Changama</v>
      </c>
      <c r="E76" s="334"/>
      <c r="F76" s="335">
        <f t="shared" si="5"/>
        <v>1</v>
      </c>
      <c r="G76" s="350"/>
      <c r="H76" s="336"/>
      <c r="I76" s="336"/>
      <c r="J76" s="336"/>
      <c r="K76" s="336"/>
      <c r="L76" s="334"/>
      <c r="M76" s="333"/>
      <c r="N76" s="297"/>
      <c r="O76" s="296">
        <f t="shared" si="26"/>
        <v>0</v>
      </c>
      <c r="P76" s="296">
        <f t="shared" si="27"/>
        <v>0</v>
      </c>
      <c r="Q76" s="299">
        <f t="shared" si="17"/>
        <v>0</v>
      </c>
      <c r="R76" s="286"/>
    </row>
    <row r="77" spans="1:18" ht="40.049999999999997" hidden="1" customHeight="1" x14ac:dyDescent="0.45">
      <c r="A77" s="324" t="str">
        <f>Horaire!A77</f>
        <v>PASSAMAINTY</v>
      </c>
      <c r="B77" s="325">
        <f>Horaire!B77</f>
        <v>0.31944444444444442</v>
      </c>
      <c r="C77" s="325" t="str">
        <f>Horaire!C77</f>
        <v>C5</v>
      </c>
      <c r="D77" s="294" t="str">
        <f>VLOOKUP(C77,'Liste chauffeur'!$B$5:$L$20,2,TRUE)&amp;" "&amp;VLOOKUP(C77,'Liste chauffeur'!$B$5:$L$20,3,TRUE)</f>
        <v>AHAMADI Bacar Raenmouddine</v>
      </c>
      <c r="E77" s="334"/>
      <c r="F77" s="335">
        <f t="shared" si="5"/>
        <v>1</v>
      </c>
      <c r="G77" s="350"/>
      <c r="H77" s="336"/>
      <c r="I77" s="336"/>
      <c r="J77" s="336"/>
      <c r="K77" s="336"/>
      <c r="L77" s="334"/>
      <c r="M77" s="333"/>
      <c r="N77" s="297"/>
      <c r="O77" s="296">
        <f t="shared" si="26"/>
        <v>0</v>
      </c>
      <c r="P77" s="296">
        <f t="shared" si="27"/>
        <v>0</v>
      </c>
      <c r="Q77" s="299">
        <f t="shared" si="17"/>
        <v>0</v>
      </c>
      <c r="R77" s="286"/>
    </row>
    <row r="78" spans="1:18" ht="40.049999999999997" hidden="1" customHeight="1" x14ac:dyDescent="0.45">
      <c r="A78" s="324" t="str">
        <f>Horaire!A78</f>
        <v>VAHIBE</v>
      </c>
      <c r="B78" s="325">
        <f>Horaire!B78</f>
        <v>0.3263888888888889</v>
      </c>
      <c r="C78" s="325" t="str">
        <f>Horaire!C78</f>
        <v>C3</v>
      </c>
      <c r="D78" s="294" t="str">
        <f>VLOOKUP(C78,'Liste chauffeur'!$B$5:$L$20,2,TRUE)&amp;" "&amp;VLOOKUP(C78,'Liste chauffeur'!$B$5:$L$20,3,TRUE)</f>
        <v>ABDOU MINIHADJI Amada</v>
      </c>
      <c r="E78" s="334"/>
      <c r="F78" s="335">
        <f t="shared" si="5"/>
        <v>1</v>
      </c>
      <c r="G78" s="350"/>
      <c r="H78" s="336"/>
      <c r="I78" s="336"/>
      <c r="J78" s="336"/>
      <c r="K78" s="336"/>
      <c r="L78" s="334"/>
      <c r="M78" s="333"/>
      <c r="N78" s="297"/>
      <c r="O78" s="296">
        <f t="shared" si="26"/>
        <v>0</v>
      </c>
      <c r="P78" s="296">
        <f t="shared" si="27"/>
        <v>0</v>
      </c>
      <c r="Q78" s="299">
        <f t="shared" si="17"/>
        <v>0</v>
      </c>
      <c r="R78" s="286"/>
    </row>
    <row r="79" spans="1:18" ht="40.049999999999997" hidden="1" customHeight="1" x14ac:dyDescent="0.45">
      <c r="A79" s="324" t="str">
        <f>Horaire!A79</f>
        <v>VAHIBE 2</v>
      </c>
      <c r="B79" s="325">
        <f>Horaire!B79</f>
        <v>0.3263888888888889</v>
      </c>
      <c r="C79" s="325" t="str">
        <f>Horaire!C79</f>
        <v>C1</v>
      </c>
      <c r="D79" s="294" t="str">
        <f>VLOOKUP(C79,'Liste chauffeur'!$B$5:$L$20,2,TRUE)&amp;" "&amp;VLOOKUP(C79,'Liste chauffeur'!$B$5:$L$20,3,TRUE)</f>
        <v>EL ANZIZE SALIM Hamada</v>
      </c>
      <c r="E79" s="334"/>
      <c r="F79" s="335">
        <f t="shared" si="5"/>
        <v>1</v>
      </c>
      <c r="G79" s="350"/>
      <c r="H79" s="336"/>
      <c r="I79" s="336"/>
      <c r="J79" s="336"/>
      <c r="K79" s="336"/>
      <c r="L79" s="334"/>
      <c r="M79" s="333"/>
      <c r="N79" s="297"/>
      <c r="O79" s="296">
        <f t="shared" si="26"/>
        <v>0</v>
      </c>
      <c r="P79" s="296">
        <f t="shared" si="27"/>
        <v>0</v>
      </c>
      <c r="Q79" s="299">
        <f t="shared" si="17"/>
        <v>0</v>
      </c>
      <c r="R79" s="286"/>
    </row>
    <row r="80" spans="1:18" ht="40.049999999999997" hidden="1" customHeight="1" x14ac:dyDescent="0.45">
      <c r="A80" s="324" t="str">
        <f>Horaire!A80</f>
        <v>PASSAMAINTY</v>
      </c>
      <c r="B80" s="325">
        <f>Horaire!B80</f>
        <v>0.3263888888888889</v>
      </c>
      <c r="C80" s="325" t="str">
        <f>Horaire!C80</f>
        <v>C4</v>
      </c>
      <c r="D80" s="294" t="str">
        <f>VLOOKUP(C80,'Liste chauffeur'!$B$5:$L$20,2,TRUE)&amp;" "&amp;VLOOKUP(C80,'Liste chauffeur'!$B$5:$L$20,3,TRUE)</f>
        <v>TOUMBOU  Toibourani</v>
      </c>
      <c r="E80" s="334"/>
      <c r="F80" s="335">
        <f t="shared" si="5"/>
        <v>1</v>
      </c>
      <c r="G80" s="350"/>
      <c r="H80" s="336"/>
      <c r="I80" s="336"/>
      <c r="J80" s="336"/>
      <c r="K80" s="336"/>
      <c r="L80" s="334"/>
      <c r="M80" s="333"/>
      <c r="N80" s="297"/>
      <c r="O80" s="296">
        <f t="shared" si="26"/>
        <v>0</v>
      </c>
      <c r="P80" s="296">
        <f t="shared" si="27"/>
        <v>0</v>
      </c>
      <c r="Q80" s="299">
        <f t="shared" si="17"/>
        <v>0</v>
      </c>
      <c r="R80" s="286"/>
    </row>
    <row r="81" spans="1:18" ht="40.049999999999997" hidden="1" customHeight="1" x14ac:dyDescent="0.45">
      <c r="A81" s="324" t="str">
        <f>Horaire!A81</f>
        <v>PASSAMAINTY</v>
      </c>
      <c r="B81" s="325">
        <f>Horaire!B81</f>
        <v>0.3263888888888889</v>
      </c>
      <c r="C81" s="325" t="str">
        <f>Horaire!C81</f>
        <v>C11</v>
      </c>
      <c r="D81" s="294" t="str">
        <f>VLOOKUP(C81,'Liste chauffeur'!$B$5:$L$20,2,TRUE)&amp;" "&amp;VLOOKUP(C81,'Liste chauffeur'!$B$5:$L$20,3,TRUE)</f>
        <v>MADI BOINA Mkidachi</v>
      </c>
      <c r="E81" s="334"/>
      <c r="F81" s="335">
        <f t="shared" si="5"/>
        <v>1</v>
      </c>
      <c r="G81" s="350"/>
      <c r="H81" s="336"/>
      <c r="I81" s="336"/>
      <c r="J81" s="336"/>
      <c r="K81" s="336"/>
      <c r="L81" s="334"/>
      <c r="M81" s="333"/>
      <c r="N81" s="297"/>
      <c r="O81" s="296">
        <f t="shared" si="26"/>
        <v>0</v>
      </c>
      <c r="P81" s="296">
        <f t="shared" si="27"/>
        <v>0</v>
      </c>
      <c r="Q81" s="299">
        <f t="shared" si="17"/>
        <v>0</v>
      </c>
      <c r="R81" s="286"/>
    </row>
    <row r="82" spans="1:18" ht="40.049999999999997" hidden="1" customHeight="1" x14ac:dyDescent="0.45">
      <c r="A82" s="324" t="str">
        <f>Horaire!A82</f>
        <v>VAHIBE</v>
      </c>
      <c r="B82" s="325">
        <f>Horaire!B82</f>
        <v>0.33333333333333331</v>
      </c>
      <c r="C82" s="325" t="str">
        <f>Horaire!C82</f>
        <v>C5</v>
      </c>
      <c r="D82" s="294" t="str">
        <f>VLOOKUP(C82,'Liste chauffeur'!$B$5:$L$20,2,TRUE)&amp;" "&amp;VLOOKUP(C82,'Liste chauffeur'!$B$5:$L$20,3,TRUE)</f>
        <v>AHAMADI Bacar Raenmouddine</v>
      </c>
      <c r="E82" s="334"/>
      <c r="F82" s="335">
        <f t="shared" ref="F82" si="32">COUNTBLANK(E82)</f>
        <v>1</v>
      </c>
      <c r="G82" s="350"/>
      <c r="H82" s="336"/>
      <c r="I82" s="336"/>
      <c r="J82" s="336"/>
      <c r="K82" s="336"/>
      <c r="L82" s="334"/>
      <c r="M82" s="333"/>
      <c r="N82" s="297"/>
      <c r="O82" s="296">
        <f t="shared" ref="O82" si="33">H82+J82-I82</f>
        <v>0</v>
      </c>
      <c r="P82" s="296">
        <f t="shared" ref="P82" si="34">IF(F82=1,0,P$6)</f>
        <v>0</v>
      </c>
      <c r="Q82" s="299">
        <f t="shared" ref="Q82" si="35">IF(P82=0,0,O82/P82)</f>
        <v>0</v>
      </c>
      <c r="R82" s="286"/>
    </row>
    <row r="83" spans="1:18" ht="40.049999999999997" hidden="1" customHeight="1" x14ac:dyDescent="0.45">
      <c r="A83" s="324" t="str">
        <f>Horaire!A83</f>
        <v>VAHIBE 2</v>
      </c>
      <c r="B83" s="325">
        <f>Horaire!B83</f>
        <v>0.33333333333333331</v>
      </c>
      <c r="C83" s="325" t="str">
        <f>Horaire!C83</f>
        <v>C10</v>
      </c>
      <c r="D83" s="294" t="str">
        <f>VLOOKUP(C83,'Liste chauffeur'!$B$5:$L$20,2,TRUE)&amp;" "&amp;VLOOKUP(C83,'Liste chauffeur'!$B$5:$L$20,3,TRUE)</f>
        <v>ISSIHAKA M'Changama</v>
      </c>
      <c r="E83" s="334"/>
      <c r="F83" s="335">
        <f t="shared" si="5"/>
        <v>1</v>
      </c>
      <c r="G83" s="350"/>
      <c r="H83" s="336"/>
      <c r="I83" s="336"/>
      <c r="J83" s="336"/>
      <c r="K83" s="336"/>
      <c r="L83" s="334"/>
      <c r="M83" s="333"/>
      <c r="N83" s="297"/>
      <c r="O83" s="296">
        <f t="shared" si="26"/>
        <v>0</v>
      </c>
      <c r="P83" s="296">
        <f t="shared" si="27"/>
        <v>0</v>
      </c>
      <c r="Q83" s="299">
        <f t="shared" si="17"/>
        <v>0</v>
      </c>
      <c r="R83" s="286"/>
    </row>
    <row r="84" spans="1:18" ht="40.049999999999997" hidden="1" customHeight="1" x14ac:dyDescent="0.45">
      <c r="A84" s="324" t="str">
        <f>Horaire!A84</f>
        <v>PASSAMAINTY</v>
      </c>
      <c r="B84" s="325">
        <f>Horaire!B84</f>
        <v>0.33333333333333331</v>
      </c>
      <c r="C84" s="325" t="str">
        <f>Horaire!C84</f>
        <v>C13</v>
      </c>
      <c r="D84" s="294" t="str">
        <f>VLOOKUP(C84,'Liste chauffeur'!$B$5:$L$20,2,TRUE)&amp;" "&amp;VLOOKUP(C84,'Liste chauffeur'!$B$5:$L$20,3,TRUE)</f>
        <v>ABDALLAH Ben (Taxi Vanille)</v>
      </c>
      <c r="E84" s="334"/>
      <c r="F84" s="335">
        <f t="shared" si="5"/>
        <v>1</v>
      </c>
      <c r="G84" s="350"/>
      <c r="H84" s="336"/>
      <c r="I84" s="336"/>
      <c r="J84" s="336"/>
      <c r="K84" s="336"/>
      <c r="L84" s="334"/>
      <c r="M84" s="333"/>
      <c r="N84" s="297"/>
      <c r="O84" s="296">
        <f t="shared" si="26"/>
        <v>0</v>
      </c>
      <c r="P84" s="296">
        <f t="shared" si="27"/>
        <v>0</v>
      </c>
      <c r="Q84" s="299">
        <f t="shared" si="17"/>
        <v>0</v>
      </c>
      <c r="R84" s="286"/>
    </row>
    <row r="85" spans="1:18" ht="40.049999999999997" hidden="1" customHeight="1" x14ac:dyDescent="0.45">
      <c r="A85" s="324" t="str">
        <f>Horaire!A85</f>
        <v>VAHIBE</v>
      </c>
      <c r="B85" s="325">
        <f>Horaire!B85</f>
        <v>0.34375</v>
      </c>
      <c r="C85" s="325" t="str">
        <f>Horaire!C85</f>
        <v>C4</v>
      </c>
      <c r="D85" s="294" t="str">
        <f>VLOOKUP(C85,'Liste chauffeur'!$B$5:$L$20,2,TRUE)&amp;" "&amp;VLOOKUP(C85,'Liste chauffeur'!$B$5:$L$20,3,TRUE)</f>
        <v>TOUMBOU  Toibourani</v>
      </c>
      <c r="E85" s="334"/>
      <c r="F85" s="335">
        <f t="shared" si="5"/>
        <v>1</v>
      </c>
      <c r="G85" s="350"/>
      <c r="H85" s="336"/>
      <c r="I85" s="336"/>
      <c r="J85" s="336"/>
      <c r="K85" s="336"/>
      <c r="L85" s="334"/>
      <c r="M85" s="333"/>
      <c r="N85" s="297"/>
      <c r="O85" s="296">
        <f t="shared" si="26"/>
        <v>0</v>
      </c>
      <c r="P85" s="296">
        <f t="shared" si="27"/>
        <v>0</v>
      </c>
      <c r="Q85" s="299">
        <f t="shared" si="17"/>
        <v>0</v>
      </c>
      <c r="R85" s="286"/>
    </row>
    <row r="86" spans="1:18" ht="40.049999999999997" customHeight="1" x14ac:dyDescent="0.45">
      <c r="A86" s="324" t="str">
        <f>Horaire!A86</f>
        <v>PASSAMAINTY</v>
      </c>
      <c r="B86" s="325">
        <f>Horaire!B86</f>
        <v>0.34375</v>
      </c>
      <c r="C86" s="325" t="str">
        <f>Horaire!C86</f>
        <v>C15</v>
      </c>
      <c r="D86" s="294" t="str">
        <f>VLOOKUP(C86,'Liste chauffeur'!$B$5:$L$20,2,TRUE)&amp;" "&amp;VLOOKUP(C86,'Liste chauffeur'!$B$5:$L$20,3,TRUE)</f>
        <v>HAMADA Babou</v>
      </c>
      <c r="E86" s="334"/>
      <c r="F86" s="335">
        <f t="shared" si="5"/>
        <v>1</v>
      </c>
      <c r="G86" s="350"/>
      <c r="H86" s="336"/>
      <c r="I86" s="336"/>
      <c r="J86" s="336"/>
      <c r="K86" s="336"/>
      <c r="L86" s="334"/>
      <c r="M86" s="333"/>
      <c r="N86" s="297"/>
      <c r="O86" s="296">
        <f t="shared" si="26"/>
        <v>0</v>
      </c>
      <c r="P86" s="296">
        <f t="shared" si="27"/>
        <v>0</v>
      </c>
      <c r="Q86" s="299">
        <f t="shared" si="17"/>
        <v>0</v>
      </c>
      <c r="R86" s="286"/>
    </row>
    <row r="87" spans="1:18" ht="40.049999999999997" hidden="1" customHeight="1" x14ac:dyDescent="0.45">
      <c r="A87" s="324" t="str">
        <f>Horaire!A87</f>
        <v>VAHIBE</v>
      </c>
      <c r="B87" s="325">
        <f>Horaire!B87</f>
        <v>0.35416666666666669</v>
      </c>
      <c r="C87" s="325" t="str">
        <f>Horaire!C87</f>
        <v>C14</v>
      </c>
      <c r="D87" s="294" t="str">
        <f>VLOOKUP(C87,'Liste chauffeur'!$B$5:$L$20,2,TRUE)&amp;" "&amp;VLOOKUP(C87,'Liste chauffeur'!$B$5:$L$20,3,TRUE)</f>
        <v>KAMARDINE Mansour</v>
      </c>
      <c r="E87" s="334"/>
      <c r="F87" s="335">
        <f t="shared" si="5"/>
        <v>1</v>
      </c>
      <c r="G87" s="350"/>
      <c r="H87" s="336"/>
      <c r="I87" s="336"/>
      <c r="J87" s="336"/>
      <c r="K87" s="336"/>
      <c r="L87" s="334"/>
      <c r="M87" s="333"/>
      <c r="N87" s="297"/>
      <c r="O87" s="296">
        <f t="shared" si="26"/>
        <v>0</v>
      </c>
      <c r="P87" s="296">
        <f t="shared" si="27"/>
        <v>0</v>
      </c>
      <c r="Q87" s="299">
        <f t="shared" si="17"/>
        <v>0</v>
      </c>
      <c r="R87" s="286"/>
    </row>
    <row r="88" spans="1:18" ht="40.049999999999997" hidden="1" customHeight="1" x14ac:dyDescent="0.45">
      <c r="A88" s="324" t="str">
        <f>Horaire!A88</f>
        <v>PASSAMAINTY</v>
      </c>
      <c r="B88" s="325">
        <f>Horaire!B88</f>
        <v>0.35416666666666669</v>
      </c>
      <c r="C88" s="325" t="str">
        <f>Horaire!C88</f>
        <v>C1</v>
      </c>
      <c r="D88" s="294" t="str">
        <f>VLOOKUP(C88,'Liste chauffeur'!$B$5:$L$20,2,TRUE)&amp;" "&amp;VLOOKUP(C88,'Liste chauffeur'!$B$5:$L$20,3,TRUE)</f>
        <v>EL ANZIZE SALIM Hamada</v>
      </c>
      <c r="E88" s="334"/>
      <c r="F88" s="335">
        <f t="shared" si="5"/>
        <v>1</v>
      </c>
      <c r="G88" s="350"/>
      <c r="H88" s="336"/>
      <c r="I88" s="336"/>
      <c r="J88" s="336"/>
      <c r="K88" s="336"/>
      <c r="L88" s="334"/>
      <c r="M88" s="333"/>
      <c r="N88" s="297"/>
      <c r="O88" s="296">
        <f t="shared" si="26"/>
        <v>0</v>
      </c>
      <c r="P88" s="296">
        <f t="shared" si="27"/>
        <v>0</v>
      </c>
      <c r="Q88" s="299">
        <f t="shared" si="17"/>
        <v>0</v>
      </c>
      <c r="R88" s="286"/>
    </row>
    <row r="89" spans="1:18" ht="40.049999999999997" hidden="1" customHeight="1" x14ac:dyDescent="0.45">
      <c r="A89" s="324" t="str">
        <f>Horaire!A89</f>
        <v>VAHIBE</v>
      </c>
      <c r="B89" s="325">
        <f>Horaire!B89</f>
        <v>0.375</v>
      </c>
      <c r="C89" s="325" t="str">
        <f>Horaire!C89</f>
        <v>C1</v>
      </c>
      <c r="D89" s="294" t="str">
        <f>VLOOKUP(C89,'Liste chauffeur'!$B$5:$L$20,2,TRUE)&amp;" "&amp;VLOOKUP(C89,'Liste chauffeur'!$B$5:$L$20,3,TRUE)</f>
        <v>EL ANZIZE SALIM Hamada</v>
      </c>
      <c r="E89" s="334"/>
      <c r="F89" s="335">
        <f t="shared" si="5"/>
        <v>1</v>
      </c>
      <c r="G89" s="350"/>
      <c r="H89" s="336"/>
      <c r="I89" s="336"/>
      <c r="J89" s="336"/>
      <c r="K89" s="336"/>
      <c r="L89" s="334"/>
      <c r="M89" s="333"/>
      <c r="N89" s="297"/>
      <c r="O89" s="296">
        <f t="shared" si="26"/>
        <v>0</v>
      </c>
      <c r="P89" s="296">
        <f t="shared" si="27"/>
        <v>0</v>
      </c>
      <c r="Q89" s="299">
        <f t="shared" si="17"/>
        <v>0</v>
      </c>
      <c r="R89" s="286"/>
    </row>
    <row r="90" spans="1:18" ht="40.049999999999997" hidden="1" customHeight="1" x14ac:dyDescent="0.45">
      <c r="A90" s="324" t="str">
        <f>Horaire!A90</f>
        <v>PASSAMAINTY</v>
      </c>
      <c r="B90" s="325">
        <f>Horaire!B90</f>
        <v>0.375</v>
      </c>
      <c r="C90" s="325" t="str">
        <f>Horaire!C90</f>
        <v>C14</v>
      </c>
      <c r="D90" s="294" t="str">
        <f>VLOOKUP(C90,'Liste chauffeur'!$B$5:$L$20,2,TRUE)&amp;" "&amp;VLOOKUP(C90,'Liste chauffeur'!$B$5:$L$20,3,TRUE)</f>
        <v>KAMARDINE Mansour</v>
      </c>
      <c r="E90" s="334"/>
      <c r="F90" s="335">
        <f t="shared" si="5"/>
        <v>1</v>
      </c>
      <c r="G90" s="350"/>
      <c r="H90" s="336"/>
      <c r="I90" s="336"/>
      <c r="J90" s="336"/>
      <c r="K90" s="336"/>
      <c r="L90" s="334"/>
      <c r="M90" s="333"/>
      <c r="N90" s="297"/>
      <c r="O90" s="296">
        <f t="shared" si="26"/>
        <v>0</v>
      </c>
      <c r="P90" s="296">
        <f t="shared" si="27"/>
        <v>0</v>
      </c>
      <c r="Q90" s="299">
        <f t="shared" si="17"/>
        <v>0</v>
      </c>
      <c r="R90" s="286"/>
    </row>
    <row r="91" spans="1:18" ht="40.049999999999997" hidden="1" customHeight="1" x14ac:dyDescent="0.45">
      <c r="A91" s="324" t="str">
        <f>Horaire!A91</f>
        <v>VAHIBE</v>
      </c>
      <c r="B91" s="325">
        <f>Horaire!B91</f>
        <v>0.39583333333333331</v>
      </c>
      <c r="C91" s="325" t="str">
        <f>Horaire!C91</f>
        <v>C14</v>
      </c>
      <c r="D91" s="294" t="str">
        <f>VLOOKUP(C91,'Liste chauffeur'!$B$5:$L$20,2,TRUE)&amp;" "&amp;VLOOKUP(C91,'Liste chauffeur'!$B$5:$L$20,3,TRUE)</f>
        <v>KAMARDINE Mansour</v>
      </c>
      <c r="E91" s="334"/>
      <c r="F91" s="335">
        <f t="shared" si="5"/>
        <v>1</v>
      </c>
      <c r="G91" s="350"/>
      <c r="H91" s="336"/>
      <c r="I91" s="336"/>
      <c r="J91" s="336"/>
      <c r="K91" s="336"/>
      <c r="L91" s="334"/>
      <c r="M91" s="333"/>
      <c r="N91" s="297"/>
      <c r="O91" s="296">
        <f t="shared" si="26"/>
        <v>0</v>
      </c>
      <c r="P91" s="296">
        <f t="shared" si="27"/>
        <v>0</v>
      </c>
      <c r="Q91" s="299">
        <f t="shared" si="17"/>
        <v>0</v>
      </c>
      <c r="R91" s="286"/>
    </row>
    <row r="92" spans="1:18" ht="40.049999999999997" hidden="1" customHeight="1" x14ac:dyDescent="0.45">
      <c r="A92" s="324" t="str">
        <f>Horaire!A92</f>
        <v>PASSAMAINTY</v>
      </c>
      <c r="B92" s="325">
        <f>Horaire!B92</f>
        <v>0.39583333333333331</v>
      </c>
      <c r="C92" s="325" t="str">
        <f>Horaire!C92</f>
        <v>C1</v>
      </c>
      <c r="D92" s="294" t="str">
        <f>VLOOKUP(C92,'Liste chauffeur'!$B$5:$L$20,2,TRUE)&amp;" "&amp;VLOOKUP(C92,'Liste chauffeur'!$B$5:$L$20,3,TRUE)</f>
        <v>EL ANZIZE SALIM Hamada</v>
      </c>
      <c r="E92" s="334"/>
      <c r="F92" s="335">
        <f t="shared" si="5"/>
        <v>1</v>
      </c>
      <c r="G92" s="350"/>
      <c r="H92" s="336"/>
      <c r="I92" s="336"/>
      <c r="J92" s="336"/>
      <c r="K92" s="336"/>
      <c r="L92" s="334"/>
      <c r="M92" s="333"/>
      <c r="N92" s="297"/>
      <c r="O92" s="296">
        <f t="shared" si="26"/>
        <v>0</v>
      </c>
      <c r="P92" s="296">
        <f t="shared" si="27"/>
        <v>0</v>
      </c>
      <c r="Q92" s="299">
        <f t="shared" si="17"/>
        <v>0</v>
      </c>
      <c r="R92" s="286"/>
    </row>
    <row r="93" spans="1:18" ht="40.049999999999997" hidden="1" customHeight="1" x14ac:dyDescent="0.45">
      <c r="A93" s="324" t="str">
        <f>Horaire!A93</f>
        <v>VAHIBE</v>
      </c>
      <c r="B93" s="325">
        <f>Horaire!B93</f>
        <v>0.41666666666666669</v>
      </c>
      <c r="C93" s="325" t="str">
        <f>Horaire!C93</f>
        <v>C1</v>
      </c>
      <c r="D93" s="294" t="str">
        <f>VLOOKUP(C93,'Liste chauffeur'!$B$5:$L$20,2,TRUE)&amp;" "&amp;VLOOKUP(C93,'Liste chauffeur'!$B$5:$L$20,3,TRUE)</f>
        <v>EL ANZIZE SALIM Hamada</v>
      </c>
      <c r="E93" s="334"/>
      <c r="F93" s="335">
        <f t="shared" si="5"/>
        <v>1</v>
      </c>
      <c r="G93" s="350"/>
      <c r="H93" s="336"/>
      <c r="I93" s="336"/>
      <c r="J93" s="336"/>
      <c r="K93" s="336"/>
      <c r="L93" s="334"/>
      <c r="M93" s="333"/>
      <c r="N93" s="297"/>
      <c r="O93" s="296">
        <f t="shared" si="26"/>
        <v>0</v>
      </c>
      <c r="P93" s="296">
        <f t="shared" si="27"/>
        <v>0</v>
      </c>
      <c r="Q93" s="299">
        <f t="shared" si="17"/>
        <v>0</v>
      </c>
      <c r="R93" s="286"/>
    </row>
    <row r="94" spans="1:18" ht="40.049999999999997" hidden="1" customHeight="1" x14ac:dyDescent="0.45">
      <c r="A94" s="324" t="str">
        <f>Horaire!A94</f>
        <v>PASSAMAINTY</v>
      </c>
      <c r="B94" s="325">
        <f>Horaire!B94</f>
        <v>0.41666666666666669</v>
      </c>
      <c r="C94" s="325" t="str">
        <f>Horaire!C94</f>
        <v>C14</v>
      </c>
      <c r="D94" s="294" t="str">
        <f>VLOOKUP(C94,'Liste chauffeur'!$B$5:$L$20,2,TRUE)&amp;" "&amp;VLOOKUP(C94,'Liste chauffeur'!$B$5:$L$20,3,TRUE)</f>
        <v>KAMARDINE Mansour</v>
      </c>
      <c r="E94" s="334"/>
      <c r="F94" s="335">
        <f t="shared" si="5"/>
        <v>1</v>
      </c>
      <c r="G94" s="350"/>
      <c r="H94" s="336"/>
      <c r="I94" s="336"/>
      <c r="J94" s="336"/>
      <c r="K94" s="336"/>
      <c r="L94" s="334"/>
      <c r="M94" s="333"/>
      <c r="N94" s="297"/>
      <c r="O94" s="296">
        <f t="shared" si="26"/>
        <v>0</v>
      </c>
      <c r="P94" s="296">
        <f t="shared" si="27"/>
        <v>0</v>
      </c>
      <c r="Q94" s="299">
        <f t="shared" si="17"/>
        <v>0</v>
      </c>
      <c r="R94" s="286"/>
    </row>
    <row r="95" spans="1:18" ht="40.049999999999997" hidden="1" customHeight="1" x14ac:dyDescent="0.45">
      <c r="A95" s="324" t="str">
        <f>Horaire!A95</f>
        <v>VAHIBE</v>
      </c>
      <c r="B95" s="325">
        <f>Horaire!B95</f>
        <v>0.4375</v>
      </c>
      <c r="C95" s="325" t="str">
        <f>Horaire!C95</f>
        <v>C14</v>
      </c>
      <c r="D95" s="294" t="str">
        <f>VLOOKUP(C95,'Liste chauffeur'!$B$5:$L$20,2,TRUE)&amp;" "&amp;VLOOKUP(C95,'Liste chauffeur'!$B$5:$L$20,3,TRUE)</f>
        <v>KAMARDINE Mansour</v>
      </c>
      <c r="E95" s="334"/>
      <c r="F95" s="335">
        <f t="shared" si="5"/>
        <v>1</v>
      </c>
      <c r="G95" s="350"/>
      <c r="H95" s="336"/>
      <c r="I95" s="336"/>
      <c r="J95" s="336"/>
      <c r="K95" s="336"/>
      <c r="L95" s="334"/>
      <c r="M95" s="333"/>
      <c r="N95" s="297"/>
      <c r="O95" s="296">
        <f t="shared" si="26"/>
        <v>0</v>
      </c>
      <c r="P95" s="296">
        <f t="shared" si="27"/>
        <v>0</v>
      </c>
      <c r="Q95" s="299">
        <f t="shared" si="17"/>
        <v>0</v>
      </c>
      <c r="R95" s="286"/>
    </row>
    <row r="96" spans="1:18" ht="40.049999999999997" hidden="1" customHeight="1" x14ac:dyDescent="0.45">
      <c r="A96" s="324" t="str">
        <f>Horaire!A96</f>
        <v>PASSAMAINTY</v>
      </c>
      <c r="B96" s="325">
        <f>Horaire!B96</f>
        <v>0.4375</v>
      </c>
      <c r="C96" s="325" t="str">
        <f>Horaire!C96</f>
        <v>C1</v>
      </c>
      <c r="D96" s="294" t="str">
        <f>VLOOKUP(C96,'Liste chauffeur'!$B$5:$L$20,2,TRUE)&amp;" "&amp;VLOOKUP(C96,'Liste chauffeur'!$B$5:$L$20,3,TRUE)</f>
        <v>EL ANZIZE SALIM Hamada</v>
      </c>
      <c r="E96" s="334"/>
      <c r="F96" s="335">
        <f t="shared" si="5"/>
        <v>1</v>
      </c>
      <c r="G96" s="350"/>
      <c r="H96" s="336"/>
      <c r="I96" s="336"/>
      <c r="J96" s="336"/>
      <c r="K96" s="336"/>
      <c r="L96" s="334"/>
      <c r="M96" s="333"/>
      <c r="N96" s="297"/>
      <c r="O96" s="296">
        <f t="shared" si="26"/>
        <v>0</v>
      </c>
      <c r="P96" s="296">
        <f t="shared" si="27"/>
        <v>0</v>
      </c>
      <c r="Q96" s="299">
        <f t="shared" si="17"/>
        <v>0</v>
      </c>
      <c r="R96" s="286"/>
    </row>
    <row r="97" spans="1:18" ht="40.049999999999997" hidden="1" customHeight="1" x14ac:dyDescent="0.45">
      <c r="A97" s="324" t="str">
        <f>Horaire!A97</f>
        <v>VAHIBE</v>
      </c>
      <c r="B97" s="325">
        <f>Horaire!B97</f>
        <v>0.45833333333333331</v>
      </c>
      <c r="C97" s="325" t="str">
        <f>Horaire!C97</f>
        <v>C1</v>
      </c>
      <c r="D97" s="294" t="str">
        <f>VLOOKUP(C97,'Liste chauffeur'!$B$5:$L$20,2,TRUE)&amp;" "&amp;VLOOKUP(C97,'Liste chauffeur'!$B$5:$L$20,3,TRUE)</f>
        <v>EL ANZIZE SALIM Hamada</v>
      </c>
      <c r="E97" s="334"/>
      <c r="F97" s="335">
        <f t="shared" si="5"/>
        <v>1</v>
      </c>
      <c r="G97" s="350"/>
      <c r="H97" s="336"/>
      <c r="I97" s="336"/>
      <c r="J97" s="336"/>
      <c r="K97" s="336"/>
      <c r="L97" s="334"/>
      <c r="M97" s="333"/>
      <c r="N97" s="297"/>
      <c r="O97" s="296">
        <f t="shared" si="26"/>
        <v>0</v>
      </c>
      <c r="P97" s="296">
        <f t="shared" si="27"/>
        <v>0</v>
      </c>
      <c r="Q97" s="299">
        <f t="shared" si="17"/>
        <v>0</v>
      </c>
      <c r="R97" s="286"/>
    </row>
    <row r="98" spans="1:18" ht="40.049999999999997" hidden="1" customHeight="1" x14ac:dyDescent="0.45">
      <c r="A98" s="324" t="str">
        <f>Horaire!A98</f>
        <v>PASSAMAINTY</v>
      </c>
      <c r="B98" s="325">
        <f>Horaire!B98</f>
        <v>0.45833333333333331</v>
      </c>
      <c r="C98" s="325" t="str">
        <f>Horaire!C98</f>
        <v>C14</v>
      </c>
      <c r="D98" s="294" t="str">
        <f>VLOOKUP(C98,'Liste chauffeur'!$B$5:$L$20,2,TRUE)&amp;" "&amp;VLOOKUP(C98,'Liste chauffeur'!$B$5:$L$20,3,TRUE)</f>
        <v>KAMARDINE Mansour</v>
      </c>
      <c r="E98" s="334"/>
      <c r="F98" s="335">
        <f t="shared" si="5"/>
        <v>1</v>
      </c>
      <c r="G98" s="350"/>
      <c r="H98" s="336"/>
      <c r="I98" s="336"/>
      <c r="J98" s="336"/>
      <c r="K98" s="336"/>
      <c r="L98" s="334"/>
      <c r="M98" s="333"/>
      <c r="N98" s="297"/>
      <c r="O98" s="296">
        <f t="shared" si="26"/>
        <v>0</v>
      </c>
      <c r="P98" s="296">
        <f t="shared" si="27"/>
        <v>0</v>
      </c>
      <c r="Q98" s="299">
        <f t="shared" si="17"/>
        <v>0</v>
      </c>
      <c r="R98" s="286"/>
    </row>
    <row r="99" spans="1:18" ht="40.049999999999997" hidden="1" customHeight="1" x14ac:dyDescent="0.45">
      <c r="A99" s="324" t="str">
        <f>Horaire!A99</f>
        <v>VAHIBE</v>
      </c>
      <c r="B99" s="325">
        <f>Horaire!B99</f>
        <v>0.47916666666666669</v>
      </c>
      <c r="C99" s="325" t="str">
        <f>Horaire!C99</f>
        <v>C14</v>
      </c>
      <c r="D99" s="294" t="str">
        <f>VLOOKUP(C99,'Liste chauffeur'!$B$5:$L$20,2,TRUE)&amp;" "&amp;VLOOKUP(C99,'Liste chauffeur'!$B$5:$L$20,3,TRUE)</f>
        <v>KAMARDINE Mansour</v>
      </c>
      <c r="E99" s="334"/>
      <c r="F99" s="335">
        <f t="shared" si="5"/>
        <v>1</v>
      </c>
      <c r="G99" s="350"/>
      <c r="H99" s="336"/>
      <c r="I99" s="336"/>
      <c r="J99" s="336"/>
      <c r="K99" s="336"/>
      <c r="L99" s="334"/>
      <c r="M99" s="333"/>
      <c r="N99" s="297"/>
      <c r="O99" s="296">
        <f t="shared" si="26"/>
        <v>0</v>
      </c>
      <c r="P99" s="296">
        <f t="shared" si="27"/>
        <v>0</v>
      </c>
      <c r="Q99" s="299">
        <f t="shared" si="17"/>
        <v>0</v>
      </c>
      <c r="R99" s="286"/>
    </row>
    <row r="100" spans="1:18" ht="40.049999999999997" hidden="1" customHeight="1" x14ac:dyDescent="0.45">
      <c r="A100" s="324" t="str">
        <f>Horaire!A100</f>
        <v>PASSAMAINTY</v>
      </c>
      <c r="B100" s="325">
        <f>Horaire!B100</f>
        <v>0.47916666666666669</v>
      </c>
      <c r="C100" s="325" t="str">
        <f>Horaire!C100</f>
        <v>C1</v>
      </c>
      <c r="D100" s="294" t="str">
        <f>VLOOKUP(C100,'Liste chauffeur'!$B$5:$L$20,2,TRUE)&amp;" "&amp;VLOOKUP(C100,'Liste chauffeur'!$B$5:$L$20,3,TRUE)</f>
        <v>EL ANZIZE SALIM Hamada</v>
      </c>
      <c r="E100" s="334"/>
      <c r="F100" s="335">
        <f t="shared" si="5"/>
        <v>1</v>
      </c>
      <c r="G100" s="350"/>
      <c r="H100" s="336"/>
      <c r="I100" s="336"/>
      <c r="J100" s="336"/>
      <c r="K100" s="336"/>
      <c r="L100" s="334"/>
      <c r="M100" s="333"/>
      <c r="N100" s="297"/>
      <c r="O100" s="296">
        <f t="shared" si="26"/>
        <v>0</v>
      </c>
      <c r="P100" s="296">
        <f t="shared" si="27"/>
        <v>0</v>
      </c>
      <c r="Q100" s="299">
        <f t="shared" si="17"/>
        <v>0</v>
      </c>
      <c r="R100" s="286"/>
    </row>
    <row r="101" spans="1:18" ht="40.049999999999997" hidden="1" customHeight="1" x14ac:dyDescent="0.45">
      <c r="A101" s="324" t="str">
        <f>Horaire!A101</f>
        <v>VAHIBE</v>
      </c>
      <c r="B101" s="325">
        <f>Horaire!B101</f>
        <v>0.5</v>
      </c>
      <c r="C101" s="325" t="str">
        <f>Horaire!C101</f>
        <v>C1</v>
      </c>
      <c r="D101" s="294" t="str">
        <f>VLOOKUP(C101,'Liste chauffeur'!$B$5:$L$20,2,TRUE)&amp;" "&amp;VLOOKUP(C101,'Liste chauffeur'!$B$5:$L$20,3,TRUE)</f>
        <v>EL ANZIZE SALIM Hamada</v>
      </c>
      <c r="E101" s="334"/>
      <c r="F101" s="335">
        <f t="shared" si="5"/>
        <v>1</v>
      </c>
      <c r="G101" s="350"/>
      <c r="H101" s="336"/>
      <c r="I101" s="336"/>
      <c r="J101" s="336"/>
      <c r="K101" s="336"/>
      <c r="L101" s="334"/>
      <c r="M101" s="333"/>
      <c r="N101" s="297"/>
      <c r="O101" s="296">
        <f t="shared" si="26"/>
        <v>0</v>
      </c>
      <c r="P101" s="296">
        <f t="shared" si="27"/>
        <v>0</v>
      </c>
      <c r="Q101" s="299">
        <f t="shared" si="17"/>
        <v>0</v>
      </c>
      <c r="R101" s="286"/>
    </row>
    <row r="102" spans="1:18" ht="40.049999999999997" hidden="1" customHeight="1" x14ac:dyDescent="0.45">
      <c r="A102" s="345"/>
      <c r="B102" s="346" t="s">
        <v>471</v>
      </c>
      <c r="C102" s="346"/>
      <c r="D102" s="304"/>
      <c r="E102" s="337"/>
      <c r="F102" s="347">
        <f>SUM(F8:F101)</f>
        <v>94</v>
      </c>
      <c r="G102" s="424"/>
      <c r="H102" s="338"/>
      <c r="I102" s="338"/>
      <c r="J102" s="338"/>
      <c r="K102" s="338"/>
      <c r="L102" s="337"/>
      <c r="M102" s="425"/>
      <c r="N102" s="301" t="e">
        <f>AVERAGE(N8:N101)</f>
        <v>#DIV/0!</v>
      </c>
      <c r="O102" s="283">
        <f>SUM(O8:O101)</f>
        <v>0</v>
      </c>
      <c r="P102" s="283">
        <f>SUM(P8:P101)</f>
        <v>0</v>
      </c>
      <c r="Q102" s="284">
        <f t="shared" si="17"/>
        <v>0</v>
      </c>
      <c r="R102" s="300"/>
    </row>
    <row r="103" spans="1:18" ht="40.049999999999997" hidden="1" customHeight="1" x14ac:dyDescent="0.45">
      <c r="A103" s="324" t="str">
        <f>Horaire!A102</f>
        <v>PASSAMAINTY</v>
      </c>
      <c r="B103" s="325">
        <f>Horaire!B102</f>
        <v>0.5</v>
      </c>
      <c r="C103" s="325" t="str">
        <f>Horaire!C102</f>
        <v>C14</v>
      </c>
      <c r="D103" s="294" t="str">
        <f>VLOOKUP(C103,'Liste chauffeur'!$B$5:$L$20,2,TRUE)&amp;" "&amp;VLOOKUP(C103,'Liste chauffeur'!$B$5:$L$20,3,TRUE)</f>
        <v>KAMARDINE Mansour</v>
      </c>
      <c r="E103" s="334"/>
      <c r="F103" s="335">
        <f t="shared" si="5"/>
        <v>1</v>
      </c>
      <c r="G103" s="350"/>
      <c r="H103" s="336"/>
      <c r="I103" s="336"/>
      <c r="J103" s="336"/>
      <c r="K103" s="336"/>
      <c r="L103" s="334"/>
      <c r="M103" s="333"/>
      <c r="N103" s="297"/>
      <c r="O103" s="296">
        <f t="shared" si="26"/>
        <v>0</v>
      </c>
      <c r="P103" s="296">
        <f t="shared" si="27"/>
        <v>0</v>
      </c>
      <c r="Q103" s="299">
        <f t="shared" si="17"/>
        <v>0</v>
      </c>
      <c r="R103" s="286"/>
    </row>
    <row r="104" spans="1:18" ht="40.049999999999997" hidden="1" customHeight="1" x14ac:dyDescent="0.45">
      <c r="A104" s="324" t="str">
        <f>Horaire!A103</f>
        <v>VAHIBE</v>
      </c>
      <c r="B104" s="325">
        <f>Horaire!B103</f>
        <v>0.52083333333333337</v>
      </c>
      <c r="C104" s="325" t="str">
        <f>Horaire!C103</f>
        <v>C14</v>
      </c>
      <c r="D104" s="294" t="str">
        <f>VLOOKUP(C104,'Liste chauffeur'!$B$5:$L$20,2,TRUE)&amp;" "&amp;VLOOKUP(C104,'Liste chauffeur'!$B$5:$L$20,3,TRUE)</f>
        <v>KAMARDINE Mansour</v>
      </c>
      <c r="E104" s="334"/>
      <c r="F104" s="335">
        <f t="shared" si="5"/>
        <v>1</v>
      </c>
      <c r="G104" s="350"/>
      <c r="H104" s="336"/>
      <c r="I104" s="336"/>
      <c r="J104" s="336"/>
      <c r="K104" s="336"/>
      <c r="L104" s="334"/>
      <c r="M104" s="333"/>
      <c r="N104" s="297"/>
      <c r="O104" s="296">
        <f t="shared" si="26"/>
        <v>0</v>
      </c>
      <c r="P104" s="296">
        <f t="shared" si="27"/>
        <v>0</v>
      </c>
      <c r="Q104" s="299">
        <f t="shared" si="17"/>
        <v>0</v>
      </c>
      <c r="R104" s="286"/>
    </row>
    <row r="105" spans="1:18" ht="40.049999999999997" hidden="1" customHeight="1" x14ac:dyDescent="0.45">
      <c r="A105" s="324" t="str">
        <f>Horaire!A104</f>
        <v>PASSAMAINTY</v>
      </c>
      <c r="B105" s="325">
        <f>Horaire!B104</f>
        <v>0.52083333333333337</v>
      </c>
      <c r="C105" s="325" t="str">
        <f>Horaire!C104</f>
        <v>C2</v>
      </c>
      <c r="D105" s="294" t="str">
        <f>VLOOKUP(C105,'Liste chauffeur'!$B$5:$L$20,2,TRUE)&amp;" "&amp;VLOOKUP(C105,'Liste chauffeur'!$B$5:$L$20,3,TRUE)</f>
        <v>BINA HALADI Bina</v>
      </c>
      <c r="E105" s="334"/>
      <c r="F105" s="335">
        <f t="shared" si="5"/>
        <v>1</v>
      </c>
      <c r="G105" s="350"/>
      <c r="H105" s="336"/>
      <c r="I105" s="336"/>
      <c r="J105" s="336"/>
      <c r="K105" s="336"/>
      <c r="L105" s="334"/>
      <c r="M105" s="333"/>
      <c r="N105" s="297"/>
      <c r="O105" s="296">
        <f t="shared" ref="O105:O136" si="36">H105+J105-I105</f>
        <v>0</v>
      </c>
      <c r="P105" s="296">
        <f t="shared" ref="P105:P136" si="37">IF(F105=1,0,P$6)</f>
        <v>0</v>
      </c>
      <c r="Q105" s="299">
        <f t="shared" si="17"/>
        <v>0</v>
      </c>
      <c r="R105" s="286"/>
    </row>
    <row r="106" spans="1:18" ht="40.049999999999997" hidden="1" customHeight="1" x14ac:dyDescent="0.45">
      <c r="A106" s="324" t="str">
        <f>Horaire!A105</f>
        <v>VAHIBE</v>
      </c>
      <c r="B106" s="325">
        <f>Horaire!B105</f>
        <v>0.54166666666666663</v>
      </c>
      <c r="C106" s="325" t="str">
        <f>Horaire!C105</f>
        <v>C2</v>
      </c>
      <c r="D106" s="294" t="str">
        <f>VLOOKUP(C106,'Liste chauffeur'!$B$5:$L$20,2,TRUE)&amp;" "&amp;VLOOKUP(C106,'Liste chauffeur'!$B$5:$L$20,3,TRUE)</f>
        <v>BINA HALADI Bina</v>
      </c>
      <c r="E106" s="334"/>
      <c r="F106" s="335">
        <f t="shared" si="5"/>
        <v>1</v>
      </c>
      <c r="G106" s="350"/>
      <c r="H106" s="336"/>
      <c r="I106" s="336"/>
      <c r="J106" s="336"/>
      <c r="K106" s="336"/>
      <c r="L106" s="334"/>
      <c r="M106" s="333"/>
      <c r="N106" s="297"/>
      <c r="O106" s="296">
        <f t="shared" si="36"/>
        <v>0</v>
      </c>
      <c r="P106" s="296">
        <f t="shared" si="37"/>
        <v>0</v>
      </c>
      <c r="Q106" s="299">
        <f t="shared" si="17"/>
        <v>0</v>
      </c>
      <c r="R106" s="286"/>
    </row>
    <row r="107" spans="1:18" ht="40.049999999999997" hidden="1" customHeight="1" x14ac:dyDescent="0.45">
      <c r="A107" s="324" t="str">
        <f>Horaire!A106</f>
        <v>PASSAMAINTY</v>
      </c>
      <c r="B107" s="325">
        <f>Horaire!B106</f>
        <v>0.54166666666666663</v>
      </c>
      <c r="C107" s="325" t="str">
        <f>Horaire!C106</f>
        <v>C14</v>
      </c>
      <c r="D107" s="294" t="str">
        <f>VLOOKUP(C107,'Liste chauffeur'!$B$5:$L$20,2,TRUE)&amp;" "&amp;VLOOKUP(C107,'Liste chauffeur'!$B$5:$L$20,3,TRUE)</f>
        <v>KAMARDINE Mansour</v>
      </c>
      <c r="E107" s="334"/>
      <c r="F107" s="335">
        <f t="shared" si="5"/>
        <v>1</v>
      </c>
      <c r="G107" s="350"/>
      <c r="H107" s="336"/>
      <c r="I107" s="336"/>
      <c r="J107" s="336"/>
      <c r="K107" s="336"/>
      <c r="L107" s="334"/>
      <c r="M107" s="333"/>
      <c r="N107" s="297"/>
      <c r="O107" s="296">
        <f t="shared" si="36"/>
        <v>0</v>
      </c>
      <c r="P107" s="296">
        <f t="shared" si="37"/>
        <v>0</v>
      </c>
      <c r="Q107" s="299">
        <f t="shared" si="17"/>
        <v>0</v>
      </c>
      <c r="R107" s="286"/>
    </row>
    <row r="108" spans="1:18" ht="40.049999999999997" hidden="1" customHeight="1" x14ac:dyDescent="0.45">
      <c r="A108" s="324" t="str">
        <f>Horaire!A107</f>
        <v>VAHIBE</v>
      </c>
      <c r="B108" s="325">
        <f>Horaire!B107</f>
        <v>0.5625</v>
      </c>
      <c r="C108" s="325" t="str">
        <f>Horaire!C107</f>
        <v>C14</v>
      </c>
      <c r="D108" s="294" t="str">
        <f>VLOOKUP(C108,'Liste chauffeur'!$B$5:$L$20,2,TRUE)&amp;" "&amp;VLOOKUP(C108,'Liste chauffeur'!$B$5:$L$20,3,TRUE)</f>
        <v>KAMARDINE Mansour</v>
      </c>
      <c r="E108" s="334"/>
      <c r="F108" s="335">
        <f t="shared" si="5"/>
        <v>1</v>
      </c>
      <c r="G108" s="350"/>
      <c r="H108" s="336"/>
      <c r="I108" s="336"/>
      <c r="J108" s="336"/>
      <c r="K108" s="336"/>
      <c r="L108" s="334"/>
      <c r="M108" s="333"/>
      <c r="N108" s="297"/>
      <c r="O108" s="296">
        <f t="shared" si="36"/>
        <v>0</v>
      </c>
      <c r="P108" s="296">
        <f t="shared" si="37"/>
        <v>0</v>
      </c>
      <c r="Q108" s="299">
        <f t="shared" si="17"/>
        <v>0</v>
      </c>
      <c r="R108" s="286"/>
    </row>
    <row r="109" spans="1:18" ht="40.049999999999997" hidden="1" customHeight="1" x14ac:dyDescent="0.45">
      <c r="A109" s="324" t="str">
        <f>Horaire!A108</f>
        <v>PASSAMAINTY</v>
      </c>
      <c r="B109" s="325">
        <f>Horaire!B108</f>
        <v>0.5625</v>
      </c>
      <c r="C109" s="325" t="str">
        <f>Horaire!C108</f>
        <v>C2</v>
      </c>
      <c r="D109" s="294" t="str">
        <f>VLOOKUP(C109,'Liste chauffeur'!$B$5:$L$20,2,TRUE)&amp;" "&amp;VLOOKUP(C109,'Liste chauffeur'!$B$5:$L$20,3,TRUE)</f>
        <v>BINA HALADI Bina</v>
      </c>
      <c r="E109" s="334"/>
      <c r="F109" s="335">
        <f t="shared" si="5"/>
        <v>1</v>
      </c>
      <c r="G109" s="350"/>
      <c r="H109" s="336"/>
      <c r="I109" s="336"/>
      <c r="J109" s="336"/>
      <c r="K109" s="336"/>
      <c r="L109" s="334"/>
      <c r="M109" s="333"/>
      <c r="N109" s="297"/>
      <c r="O109" s="296">
        <f t="shared" si="36"/>
        <v>0</v>
      </c>
      <c r="P109" s="296">
        <f t="shared" si="37"/>
        <v>0</v>
      </c>
      <c r="Q109" s="299">
        <f t="shared" si="17"/>
        <v>0</v>
      </c>
      <c r="R109" s="286"/>
    </row>
    <row r="110" spans="1:18" ht="40.049999999999997" hidden="1" customHeight="1" x14ac:dyDescent="0.45">
      <c r="A110" s="324" t="str">
        <f>Horaire!A109</f>
        <v>VAHIBE</v>
      </c>
      <c r="B110" s="325">
        <f>Horaire!B109</f>
        <v>0.58333333333333337</v>
      </c>
      <c r="C110" s="325" t="str">
        <f>Horaire!C109</f>
        <v>C2</v>
      </c>
      <c r="D110" s="294" t="str">
        <f>VLOOKUP(C110,'Liste chauffeur'!$B$5:$L$20,2,TRUE)&amp;" "&amp;VLOOKUP(C110,'Liste chauffeur'!$B$5:$L$20,3,TRUE)</f>
        <v>BINA HALADI Bina</v>
      </c>
      <c r="E110" s="334"/>
      <c r="F110" s="335">
        <f t="shared" si="5"/>
        <v>1</v>
      </c>
      <c r="G110" s="350"/>
      <c r="H110" s="336"/>
      <c r="I110" s="336"/>
      <c r="J110" s="336"/>
      <c r="K110" s="336"/>
      <c r="L110" s="334"/>
      <c r="M110" s="333"/>
      <c r="N110" s="297"/>
      <c r="O110" s="296">
        <f t="shared" si="36"/>
        <v>0</v>
      </c>
      <c r="P110" s="296">
        <f t="shared" si="37"/>
        <v>0</v>
      </c>
      <c r="Q110" s="299">
        <f t="shared" si="17"/>
        <v>0</v>
      </c>
      <c r="R110" s="286"/>
    </row>
    <row r="111" spans="1:18" ht="40.049999999999997" hidden="1" customHeight="1" x14ac:dyDescent="0.45">
      <c r="A111" s="324" t="str">
        <f>Horaire!A110</f>
        <v>PASSAMAINTY</v>
      </c>
      <c r="B111" s="325">
        <f>Horaire!B110</f>
        <v>0.58333333333333337</v>
      </c>
      <c r="C111" s="325" t="str">
        <f>Horaire!C110</f>
        <v>C14</v>
      </c>
      <c r="D111" s="294" t="str">
        <f>VLOOKUP(C111,'Liste chauffeur'!$B$5:$L$20,2,TRUE)&amp;" "&amp;VLOOKUP(C111,'Liste chauffeur'!$B$5:$L$20,3,TRUE)</f>
        <v>KAMARDINE Mansour</v>
      </c>
      <c r="E111" s="334"/>
      <c r="F111" s="335">
        <f t="shared" si="5"/>
        <v>1</v>
      </c>
      <c r="G111" s="350"/>
      <c r="H111" s="336"/>
      <c r="I111" s="336"/>
      <c r="J111" s="336"/>
      <c r="K111" s="336"/>
      <c r="L111" s="334"/>
      <c r="M111" s="333"/>
      <c r="N111" s="297"/>
      <c r="O111" s="296">
        <f t="shared" si="36"/>
        <v>0</v>
      </c>
      <c r="P111" s="296">
        <f t="shared" si="37"/>
        <v>0</v>
      </c>
      <c r="Q111" s="299">
        <f t="shared" si="17"/>
        <v>0</v>
      </c>
      <c r="R111" s="286"/>
    </row>
    <row r="112" spans="1:18" ht="40.049999999999997" hidden="1" customHeight="1" x14ac:dyDescent="0.45">
      <c r="A112" s="324" t="str">
        <f>Horaire!A111</f>
        <v>VAHIBE</v>
      </c>
      <c r="B112" s="325">
        <f>Horaire!B111</f>
        <v>0.60416666666666663</v>
      </c>
      <c r="C112" s="325" t="str">
        <f>Horaire!C111</f>
        <v>C3</v>
      </c>
      <c r="D112" s="294" t="str">
        <f>VLOOKUP(C112,'Liste chauffeur'!$B$5:$L$20,2,TRUE)&amp;" "&amp;VLOOKUP(C112,'Liste chauffeur'!$B$5:$L$20,3,TRUE)</f>
        <v>ABDOU MINIHADJI Amada</v>
      </c>
      <c r="E112" s="334"/>
      <c r="F112" s="335">
        <f t="shared" si="5"/>
        <v>1</v>
      </c>
      <c r="G112" s="350"/>
      <c r="H112" s="336"/>
      <c r="I112" s="336"/>
      <c r="J112" s="336"/>
      <c r="K112" s="336"/>
      <c r="L112" s="334"/>
      <c r="M112" s="333"/>
      <c r="N112" s="297"/>
      <c r="O112" s="296">
        <f t="shared" si="36"/>
        <v>0</v>
      </c>
      <c r="P112" s="296">
        <f t="shared" si="37"/>
        <v>0</v>
      </c>
      <c r="Q112" s="299">
        <f t="shared" si="17"/>
        <v>0</v>
      </c>
      <c r="R112" s="286"/>
    </row>
    <row r="113" spans="1:18" ht="40.049999999999997" hidden="1" customHeight="1" x14ac:dyDescent="0.45">
      <c r="A113" s="324" t="str">
        <f>Horaire!A112</f>
        <v>PASSAMAINTY</v>
      </c>
      <c r="B113" s="325">
        <f>Horaire!B112</f>
        <v>0.60416666666666663</v>
      </c>
      <c r="C113" s="325" t="str">
        <f>Horaire!C112</f>
        <v>C2</v>
      </c>
      <c r="D113" s="294" t="str">
        <f>VLOOKUP(C113,'Liste chauffeur'!$B$5:$L$20,2,TRUE)&amp;" "&amp;VLOOKUP(C113,'Liste chauffeur'!$B$5:$L$20,3,TRUE)</f>
        <v>BINA HALADI Bina</v>
      </c>
      <c r="E113" s="334"/>
      <c r="F113" s="335">
        <f t="shared" si="5"/>
        <v>1</v>
      </c>
      <c r="G113" s="350"/>
      <c r="H113" s="336"/>
      <c r="I113" s="336"/>
      <c r="J113" s="336"/>
      <c r="K113" s="336"/>
      <c r="L113" s="334"/>
      <c r="M113" s="333"/>
      <c r="N113" s="297"/>
      <c r="O113" s="296">
        <f t="shared" si="36"/>
        <v>0</v>
      </c>
      <c r="P113" s="296">
        <f t="shared" si="37"/>
        <v>0</v>
      </c>
      <c r="Q113" s="299">
        <f t="shared" si="17"/>
        <v>0</v>
      </c>
      <c r="R113" s="286"/>
    </row>
    <row r="114" spans="1:18" ht="40.049999999999997" hidden="1" customHeight="1" x14ac:dyDescent="0.45">
      <c r="A114" s="324" t="str">
        <f>Horaire!A113</f>
        <v>VAHIBE</v>
      </c>
      <c r="B114" s="325">
        <f>Horaire!B113</f>
        <v>0.625</v>
      </c>
      <c r="C114" s="325" t="str">
        <f>Horaire!C113</f>
        <v>C2</v>
      </c>
      <c r="D114" s="294" t="str">
        <f>VLOOKUP(C114,'Liste chauffeur'!$B$5:$L$20,2,TRUE)&amp;" "&amp;VLOOKUP(C114,'Liste chauffeur'!$B$5:$L$20,3,TRUE)</f>
        <v>BINA HALADI Bina</v>
      </c>
      <c r="E114" s="334"/>
      <c r="F114" s="335">
        <f t="shared" si="5"/>
        <v>1</v>
      </c>
      <c r="G114" s="350"/>
      <c r="H114" s="336"/>
      <c r="I114" s="336"/>
      <c r="J114" s="336"/>
      <c r="K114" s="336"/>
      <c r="L114" s="334"/>
      <c r="M114" s="333"/>
      <c r="N114" s="297"/>
      <c r="O114" s="296">
        <f t="shared" si="36"/>
        <v>0</v>
      </c>
      <c r="P114" s="296">
        <f t="shared" si="37"/>
        <v>0</v>
      </c>
      <c r="Q114" s="299">
        <f t="shared" si="17"/>
        <v>0</v>
      </c>
      <c r="R114" s="286"/>
    </row>
    <row r="115" spans="1:18" ht="40.049999999999997" hidden="1" customHeight="1" x14ac:dyDescent="0.45">
      <c r="A115" s="324" t="str">
        <f>Horaire!A114</f>
        <v>PASSAMAINTY</v>
      </c>
      <c r="B115" s="325">
        <f>Horaire!B114</f>
        <v>0.625</v>
      </c>
      <c r="C115" s="325" t="str">
        <f>Horaire!C114</f>
        <v>C3</v>
      </c>
      <c r="D115" s="294" t="str">
        <f>VLOOKUP(C115,'Liste chauffeur'!$B$5:$L$20,2,TRUE)&amp;" "&amp;VLOOKUP(C115,'Liste chauffeur'!$B$5:$L$20,3,TRUE)</f>
        <v>ABDOU MINIHADJI Amada</v>
      </c>
      <c r="E115" s="334"/>
      <c r="F115" s="335">
        <f t="shared" si="5"/>
        <v>1</v>
      </c>
      <c r="G115" s="350"/>
      <c r="H115" s="336"/>
      <c r="I115" s="336"/>
      <c r="J115" s="336"/>
      <c r="K115" s="336"/>
      <c r="L115" s="334"/>
      <c r="M115" s="333"/>
      <c r="N115" s="297"/>
      <c r="O115" s="296">
        <f t="shared" si="36"/>
        <v>0</v>
      </c>
      <c r="P115" s="296">
        <f t="shared" si="37"/>
        <v>0</v>
      </c>
      <c r="Q115" s="299">
        <f t="shared" si="17"/>
        <v>0</v>
      </c>
      <c r="R115" s="286"/>
    </row>
    <row r="116" spans="1:18" ht="40.049999999999997" hidden="1" customHeight="1" x14ac:dyDescent="0.45">
      <c r="A116" s="324" t="str">
        <f>Horaire!A115</f>
        <v>VAHIBE</v>
      </c>
      <c r="B116" s="325">
        <f>Horaire!B115</f>
        <v>0.63541666666666663</v>
      </c>
      <c r="C116" s="325" t="str">
        <f>Horaire!C115</f>
        <v>C3</v>
      </c>
      <c r="D116" s="294" t="str">
        <f>VLOOKUP(C116,'Liste chauffeur'!$B$5:$L$20,2,TRUE)&amp;" "&amp;VLOOKUP(C116,'Liste chauffeur'!$B$5:$L$20,3,TRUE)</f>
        <v>ABDOU MINIHADJI Amada</v>
      </c>
      <c r="E116" s="334"/>
      <c r="F116" s="335">
        <f t="shared" si="5"/>
        <v>1</v>
      </c>
      <c r="G116" s="350"/>
      <c r="H116" s="336"/>
      <c r="I116" s="336"/>
      <c r="J116" s="336"/>
      <c r="K116" s="336"/>
      <c r="L116" s="334"/>
      <c r="M116" s="333"/>
      <c r="N116" s="297"/>
      <c r="O116" s="296">
        <f t="shared" si="36"/>
        <v>0</v>
      </c>
      <c r="P116" s="296">
        <f t="shared" si="37"/>
        <v>0</v>
      </c>
      <c r="Q116" s="299">
        <f t="shared" si="17"/>
        <v>0</v>
      </c>
      <c r="R116" s="286"/>
    </row>
    <row r="117" spans="1:18" ht="40.049999999999997" hidden="1" customHeight="1" x14ac:dyDescent="0.45">
      <c r="A117" s="324" t="str">
        <f>Horaire!A116</f>
        <v>PASSAMAINTY</v>
      </c>
      <c r="B117" s="325">
        <f>Horaire!B116</f>
        <v>0.63541666666666663</v>
      </c>
      <c r="C117" s="325" t="str">
        <f>Horaire!C116</f>
        <v>C2</v>
      </c>
      <c r="D117" s="294" t="str">
        <f>VLOOKUP(C117,'Liste chauffeur'!$B$5:$L$20,2,TRUE)&amp;" "&amp;VLOOKUP(C117,'Liste chauffeur'!$B$5:$L$20,3,TRUE)</f>
        <v>BINA HALADI Bina</v>
      </c>
      <c r="E117" s="334"/>
      <c r="F117" s="335">
        <f t="shared" si="5"/>
        <v>1</v>
      </c>
      <c r="G117" s="350"/>
      <c r="H117" s="336"/>
      <c r="I117" s="336"/>
      <c r="J117" s="336"/>
      <c r="K117" s="336"/>
      <c r="L117" s="334"/>
      <c r="M117" s="333"/>
      <c r="N117" s="297"/>
      <c r="O117" s="296">
        <f t="shared" si="36"/>
        <v>0</v>
      </c>
      <c r="P117" s="296">
        <f t="shared" si="37"/>
        <v>0</v>
      </c>
      <c r="Q117" s="299">
        <f t="shared" si="17"/>
        <v>0</v>
      </c>
      <c r="R117" s="286"/>
    </row>
    <row r="118" spans="1:18" ht="40.049999999999997" hidden="1" customHeight="1" x14ac:dyDescent="0.45">
      <c r="A118" s="324" t="str">
        <f>Horaire!A117</f>
        <v>VAHIBE</v>
      </c>
      <c r="B118" s="325">
        <f>Horaire!B117</f>
        <v>0.64583333333333337</v>
      </c>
      <c r="C118" s="325" t="str">
        <f>Horaire!C117</f>
        <v>C2</v>
      </c>
      <c r="D118" s="294" t="str">
        <f>VLOOKUP(C118,'Liste chauffeur'!$B$5:$L$20,2,TRUE)&amp;" "&amp;VLOOKUP(C118,'Liste chauffeur'!$B$5:$L$20,3,TRUE)</f>
        <v>BINA HALADI Bina</v>
      </c>
      <c r="E118" s="334"/>
      <c r="F118" s="335">
        <f t="shared" si="5"/>
        <v>1</v>
      </c>
      <c r="G118" s="350"/>
      <c r="H118" s="336"/>
      <c r="I118" s="336"/>
      <c r="J118" s="336"/>
      <c r="K118" s="336"/>
      <c r="L118" s="334"/>
      <c r="M118" s="333"/>
      <c r="N118" s="297"/>
      <c r="O118" s="296">
        <f t="shared" si="36"/>
        <v>0</v>
      </c>
      <c r="P118" s="296">
        <f t="shared" si="37"/>
        <v>0</v>
      </c>
      <c r="Q118" s="299">
        <f t="shared" si="17"/>
        <v>0</v>
      </c>
      <c r="R118" s="286"/>
    </row>
    <row r="119" spans="1:18" ht="40.049999999999997" hidden="1" customHeight="1" x14ac:dyDescent="0.45">
      <c r="A119" s="324" t="str">
        <f>Horaire!A118</f>
        <v>PASSAMAINTY</v>
      </c>
      <c r="B119" s="325">
        <f>Horaire!B118</f>
        <v>0.64583333333333337</v>
      </c>
      <c r="C119" s="325" t="str">
        <f>Horaire!C118</f>
        <v>C3</v>
      </c>
      <c r="D119" s="294" t="str">
        <f>VLOOKUP(C119,'Liste chauffeur'!$B$5:$L$20,2,TRUE)&amp;" "&amp;VLOOKUP(C119,'Liste chauffeur'!$B$5:$L$20,3,TRUE)</f>
        <v>ABDOU MINIHADJI Amada</v>
      </c>
      <c r="E119" s="334"/>
      <c r="F119" s="335">
        <f t="shared" si="5"/>
        <v>1</v>
      </c>
      <c r="G119" s="350"/>
      <c r="H119" s="336"/>
      <c r="I119" s="336"/>
      <c r="J119" s="336"/>
      <c r="K119" s="336"/>
      <c r="L119" s="334"/>
      <c r="M119" s="333"/>
      <c r="N119" s="297"/>
      <c r="O119" s="296">
        <f t="shared" si="36"/>
        <v>0</v>
      </c>
      <c r="P119" s="296">
        <f t="shared" si="37"/>
        <v>0</v>
      </c>
      <c r="Q119" s="299">
        <f t="shared" si="17"/>
        <v>0</v>
      </c>
      <c r="R119" s="286"/>
    </row>
    <row r="120" spans="1:18" ht="40.049999999999997" hidden="1" customHeight="1" x14ac:dyDescent="0.45">
      <c r="A120" s="324" t="str">
        <f>Horaire!A119</f>
        <v>VAHIBE</v>
      </c>
      <c r="B120" s="325">
        <f>Horaire!B119</f>
        <v>0.65625</v>
      </c>
      <c r="C120" s="325" t="str">
        <f>Horaire!C119</f>
        <v>C3</v>
      </c>
      <c r="D120" s="294" t="str">
        <f>VLOOKUP(C120,'Liste chauffeur'!$B$5:$L$20,2,TRUE)&amp;" "&amp;VLOOKUP(C120,'Liste chauffeur'!$B$5:$L$20,3,TRUE)</f>
        <v>ABDOU MINIHADJI Amada</v>
      </c>
      <c r="E120" s="334"/>
      <c r="F120" s="335">
        <f t="shared" si="5"/>
        <v>1</v>
      </c>
      <c r="G120" s="350"/>
      <c r="H120" s="336"/>
      <c r="I120" s="336"/>
      <c r="J120" s="336"/>
      <c r="K120" s="336"/>
      <c r="L120" s="334"/>
      <c r="M120" s="333"/>
      <c r="N120" s="297"/>
      <c r="O120" s="296">
        <f t="shared" si="36"/>
        <v>0</v>
      </c>
      <c r="P120" s="296">
        <f t="shared" si="37"/>
        <v>0</v>
      </c>
      <c r="Q120" s="299">
        <f t="shared" si="17"/>
        <v>0</v>
      </c>
      <c r="R120" s="286"/>
    </row>
    <row r="121" spans="1:18" ht="40.049999999999997" hidden="1" customHeight="1" x14ac:dyDescent="0.45">
      <c r="A121" s="324" t="str">
        <f>Horaire!A120</f>
        <v>PASSAMAINTY</v>
      </c>
      <c r="B121" s="325">
        <f>Horaire!B120</f>
        <v>0.65625</v>
      </c>
      <c r="C121" s="325" t="str">
        <f>Horaire!C120</f>
        <v>C2</v>
      </c>
      <c r="D121" s="294" t="str">
        <f>VLOOKUP(C121,'Liste chauffeur'!$B$5:$L$20,2,TRUE)&amp;" "&amp;VLOOKUP(C121,'Liste chauffeur'!$B$5:$L$20,3,TRUE)</f>
        <v>BINA HALADI Bina</v>
      </c>
      <c r="E121" s="334"/>
      <c r="F121" s="335">
        <f t="shared" si="5"/>
        <v>1</v>
      </c>
      <c r="G121" s="350"/>
      <c r="H121" s="336"/>
      <c r="I121" s="336"/>
      <c r="J121" s="336"/>
      <c r="K121" s="336"/>
      <c r="L121" s="334"/>
      <c r="M121" s="333"/>
      <c r="N121" s="297"/>
      <c r="O121" s="296">
        <f t="shared" si="36"/>
        <v>0</v>
      </c>
      <c r="P121" s="296">
        <f t="shared" si="37"/>
        <v>0</v>
      </c>
      <c r="Q121" s="299">
        <f t="shared" si="17"/>
        <v>0</v>
      </c>
      <c r="R121" s="286"/>
    </row>
    <row r="122" spans="1:18" ht="40.049999999999997" hidden="1" customHeight="1" x14ac:dyDescent="0.45">
      <c r="A122" s="324" t="str">
        <f>Horaire!A121</f>
        <v>VAHIBE</v>
      </c>
      <c r="B122" s="325">
        <f>Horaire!B121</f>
        <v>0.66666666666666663</v>
      </c>
      <c r="C122" s="325" t="str">
        <f>Horaire!C121</f>
        <v>C12</v>
      </c>
      <c r="D122" s="294" t="str">
        <f>VLOOKUP(C122,'Liste chauffeur'!$B$5:$L$20,2,TRUE)&amp;" "&amp;VLOOKUP(C122,'Liste chauffeur'!$B$5:$L$20,3,TRUE)</f>
        <v>ALILOIFFA Said Siradj</v>
      </c>
      <c r="E122" s="334"/>
      <c r="F122" s="335">
        <f t="shared" si="5"/>
        <v>1</v>
      </c>
      <c r="G122" s="350"/>
      <c r="H122" s="336"/>
      <c r="I122" s="336"/>
      <c r="J122" s="336"/>
      <c r="K122" s="336"/>
      <c r="L122" s="334"/>
      <c r="M122" s="333"/>
      <c r="N122" s="297"/>
      <c r="O122" s="296">
        <f t="shared" si="36"/>
        <v>0</v>
      </c>
      <c r="P122" s="296">
        <f t="shared" si="37"/>
        <v>0</v>
      </c>
      <c r="Q122" s="299">
        <f t="shared" ref="Q122:Q141" si="38">IF(P122=0,0,O122/P122)</f>
        <v>0</v>
      </c>
      <c r="R122" s="286"/>
    </row>
    <row r="123" spans="1:18" ht="40.049999999999997" hidden="1" customHeight="1" x14ac:dyDescent="0.45">
      <c r="A123" s="324" t="str">
        <f>Horaire!A122</f>
        <v>PASSAMAINTY</v>
      </c>
      <c r="B123" s="325">
        <f>Horaire!B122</f>
        <v>0.66666666666666663</v>
      </c>
      <c r="C123" s="325" t="str">
        <f>Horaire!C122</f>
        <v>C3</v>
      </c>
      <c r="D123" s="294" t="str">
        <f>VLOOKUP(C123,'Liste chauffeur'!$B$5:$L$20,2,TRUE)&amp;" "&amp;VLOOKUP(C123,'Liste chauffeur'!$B$5:$L$20,3,TRUE)</f>
        <v>ABDOU MINIHADJI Amada</v>
      </c>
      <c r="E123" s="334"/>
      <c r="F123" s="335">
        <f t="shared" ref="F123" si="39">COUNTBLANK(E123)</f>
        <v>1</v>
      </c>
      <c r="G123" s="350"/>
      <c r="H123" s="336"/>
      <c r="I123" s="336"/>
      <c r="J123" s="336"/>
      <c r="K123" s="336"/>
      <c r="L123" s="334"/>
      <c r="M123" s="333"/>
      <c r="N123" s="297"/>
      <c r="O123" s="296">
        <f t="shared" ref="O123" si="40">H123+J123-I123</f>
        <v>0</v>
      </c>
      <c r="P123" s="296">
        <f t="shared" ref="P123" si="41">IF(F123=1,0,P$6)</f>
        <v>0</v>
      </c>
      <c r="Q123" s="299">
        <f t="shared" ref="Q123" si="42">IF(P123=0,0,O123/P123)</f>
        <v>0</v>
      </c>
      <c r="R123" s="286"/>
    </row>
    <row r="124" spans="1:18" ht="40.049999999999997" hidden="1" customHeight="1" x14ac:dyDescent="0.45">
      <c r="A124" s="324" t="str">
        <f>Horaire!A123</f>
        <v>VAHIBE</v>
      </c>
      <c r="B124" s="325">
        <f>Horaire!B123</f>
        <v>0.67708333333333337</v>
      </c>
      <c r="C124" s="325" t="str">
        <f>Horaire!C123</f>
        <v>C3</v>
      </c>
      <c r="D124" s="294" t="str">
        <f>VLOOKUP(C124,'Liste chauffeur'!$B$5:$L$20,2,TRUE)&amp;" "&amp;VLOOKUP(C124,'Liste chauffeur'!$B$5:$L$20,3,TRUE)</f>
        <v>ABDOU MINIHADJI Amada</v>
      </c>
      <c r="E124" s="334"/>
      <c r="F124" s="335">
        <f t="shared" si="5"/>
        <v>1</v>
      </c>
      <c r="G124" s="350"/>
      <c r="H124" s="336"/>
      <c r="I124" s="336"/>
      <c r="J124" s="336"/>
      <c r="K124" s="336"/>
      <c r="L124" s="334"/>
      <c r="M124" s="333"/>
      <c r="N124" s="297"/>
      <c r="O124" s="296">
        <f t="shared" si="36"/>
        <v>0</v>
      </c>
      <c r="P124" s="296">
        <f t="shared" si="37"/>
        <v>0</v>
      </c>
      <c r="Q124" s="299">
        <f t="shared" si="38"/>
        <v>0</v>
      </c>
      <c r="R124" s="286"/>
    </row>
    <row r="125" spans="1:18" ht="40.049999999999997" hidden="1" customHeight="1" x14ac:dyDescent="0.45">
      <c r="A125" s="324" t="str">
        <f>Horaire!A124</f>
        <v>PASSAMAINTY</v>
      </c>
      <c r="B125" s="325">
        <f>Horaire!B124</f>
        <v>0.67708333333333337</v>
      </c>
      <c r="C125" s="325" t="str">
        <f>Horaire!C124</f>
        <v>C12</v>
      </c>
      <c r="D125" s="294" t="str">
        <f>VLOOKUP(C125,'Liste chauffeur'!$B$5:$L$20,2,TRUE)&amp;" "&amp;VLOOKUP(C125,'Liste chauffeur'!$B$5:$L$20,3,TRUE)</f>
        <v>ALILOIFFA Said Siradj</v>
      </c>
      <c r="E125" s="334"/>
      <c r="F125" s="335">
        <f t="shared" si="5"/>
        <v>1</v>
      </c>
      <c r="G125" s="350"/>
      <c r="H125" s="336"/>
      <c r="I125" s="336"/>
      <c r="J125" s="336"/>
      <c r="K125" s="336"/>
      <c r="L125" s="334"/>
      <c r="M125" s="333"/>
      <c r="N125" s="297"/>
      <c r="O125" s="296">
        <f t="shared" si="36"/>
        <v>0</v>
      </c>
      <c r="P125" s="296">
        <f t="shared" si="37"/>
        <v>0</v>
      </c>
      <c r="Q125" s="299">
        <f t="shared" si="38"/>
        <v>0</v>
      </c>
      <c r="R125" s="286"/>
    </row>
    <row r="126" spans="1:18" ht="40.049999999999997" hidden="1" customHeight="1" x14ac:dyDescent="0.45">
      <c r="A126" s="324" t="str">
        <f>Horaire!A125</f>
        <v>VAHIBE</v>
      </c>
      <c r="B126" s="325">
        <f>Horaire!B125</f>
        <v>0.6875</v>
      </c>
      <c r="C126" s="325" t="str">
        <f>Horaire!C125</f>
        <v>C12</v>
      </c>
      <c r="D126" s="294" t="str">
        <f>VLOOKUP(C126,'Liste chauffeur'!$B$5:$L$20,2,TRUE)&amp;" "&amp;VLOOKUP(C126,'Liste chauffeur'!$B$5:$L$20,3,TRUE)</f>
        <v>ALILOIFFA Said Siradj</v>
      </c>
      <c r="E126" s="334"/>
      <c r="F126" s="335">
        <f t="shared" si="5"/>
        <v>1</v>
      </c>
      <c r="G126" s="350"/>
      <c r="H126" s="336"/>
      <c r="I126" s="336"/>
      <c r="J126" s="336"/>
      <c r="K126" s="336"/>
      <c r="L126" s="334"/>
      <c r="M126" s="333"/>
      <c r="N126" s="297"/>
      <c r="O126" s="296">
        <f t="shared" si="36"/>
        <v>0</v>
      </c>
      <c r="P126" s="296">
        <f t="shared" si="37"/>
        <v>0</v>
      </c>
      <c r="Q126" s="299">
        <f t="shared" si="38"/>
        <v>0</v>
      </c>
      <c r="R126" s="286"/>
    </row>
    <row r="127" spans="1:18" ht="40.049999999999997" hidden="1" customHeight="1" x14ac:dyDescent="0.45">
      <c r="A127" s="324" t="str">
        <f>Horaire!A126</f>
        <v>PASSAMAINTY</v>
      </c>
      <c r="B127" s="325">
        <f>Horaire!B126</f>
        <v>0.6875</v>
      </c>
      <c r="C127" s="325" t="str">
        <f>Horaire!C126</f>
        <v>C5</v>
      </c>
      <c r="D127" s="294" t="str">
        <f>VLOOKUP(C127,'Liste chauffeur'!$B$5:$L$20,2,TRUE)&amp;" "&amp;VLOOKUP(C127,'Liste chauffeur'!$B$5:$L$20,3,TRUE)</f>
        <v>AHAMADI Bacar Raenmouddine</v>
      </c>
      <c r="E127" s="334"/>
      <c r="F127" s="335">
        <f t="shared" si="5"/>
        <v>1</v>
      </c>
      <c r="G127" s="350"/>
      <c r="H127" s="336"/>
      <c r="I127" s="336"/>
      <c r="J127" s="336"/>
      <c r="K127" s="336"/>
      <c r="L127" s="334"/>
      <c r="M127" s="333"/>
      <c r="N127" s="297"/>
      <c r="O127" s="296">
        <f t="shared" si="36"/>
        <v>0</v>
      </c>
      <c r="P127" s="296">
        <f t="shared" si="37"/>
        <v>0</v>
      </c>
      <c r="Q127" s="299">
        <f t="shared" si="38"/>
        <v>0</v>
      </c>
      <c r="R127" s="286"/>
    </row>
    <row r="128" spans="1:18" ht="40.049999999999997" hidden="1" customHeight="1" x14ac:dyDescent="0.45">
      <c r="A128" s="324" t="str">
        <f>Horaire!A127</f>
        <v>VAHIBE</v>
      </c>
      <c r="B128" s="325">
        <f>Horaire!B127</f>
        <v>0.69791666666666663</v>
      </c>
      <c r="C128" s="325" t="str">
        <f>Horaire!C127</f>
        <v>C5</v>
      </c>
      <c r="D128" s="294" t="str">
        <f>VLOOKUP(C128,'Liste chauffeur'!$B$5:$L$20,2,TRUE)&amp;" "&amp;VLOOKUP(C128,'Liste chauffeur'!$B$5:$L$20,3,TRUE)</f>
        <v>AHAMADI Bacar Raenmouddine</v>
      </c>
      <c r="E128" s="334"/>
      <c r="F128" s="335">
        <f t="shared" si="5"/>
        <v>1</v>
      </c>
      <c r="G128" s="350"/>
      <c r="H128" s="336"/>
      <c r="I128" s="336"/>
      <c r="J128" s="336"/>
      <c r="K128" s="336"/>
      <c r="L128" s="334"/>
      <c r="M128" s="333"/>
      <c r="N128" s="297"/>
      <c r="O128" s="296">
        <f t="shared" si="36"/>
        <v>0</v>
      </c>
      <c r="P128" s="296">
        <f t="shared" si="37"/>
        <v>0</v>
      </c>
      <c r="Q128" s="299">
        <f t="shared" si="38"/>
        <v>0</v>
      </c>
      <c r="R128" s="286"/>
    </row>
    <row r="129" spans="1:18" ht="40.049999999999997" hidden="1" customHeight="1" x14ac:dyDescent="0.45">
      <c r="A129" s="324" t="str">
        <f>Horaire!A128</f>
        <v>PASSAMAINTY</v>
      </c>
      <c r="B129" s="325">
        <f>Horaire!B128</f>
        <v>0.69791666666666663</v>
      </c>
      <c r="C129" s="325" t="str">
        <f>Horaire!C128</f>
        <v>C12</v>
      </c>
      <c r="D129" s="294" t="str">
        <f>VLOOKUP(C129,'Liste chauffeur'!$B$5:$L$20,2,TRUE)&amp;" "&amp;VLOOKUP(C129,'Liste chauffeur'!$B$5:$L$20,3,TRUE)</f>
        <v>ALILOIFFA Said Siradj</v>
      </c>
      <c r="E129" s="334"/>
      <c r="F129" s="335">
        <f t="shared" si="5"/>
        <v>1</v>
      </c>
      <c r="G129" s="350"/>
      <c r="H129" s="336"/>
      <c r="I129" s="336"/>
      <c r="J129" s="336"/>
      <c r="K129" s="336"/>
      <c r="L129" s="334"/>
      <c r="M129" s="333"/>
      <c r="N129" s="297"/>
      <c r="O129" s="296">
        <f t="shared" si="36"/>
        <v>0</v>
      </c>
      <c r="P129" s="296">
        <f t="shared" si="37"/>
        <v>0</v>
      </c>
      <c r="Q129" s="299">
        <f t="shared" si="38"/>
        <v>0</v>
      </c>
      <c r="R129" s="286"/>
    </row>
    <row r="130" spans="1:18" ht="40.049999999999997" hidden="1" customHeight="1" x14ac:dyDescent="0.45">
      <c r="A130" s="324" t="str">
        <f>Horaire!A129</f>
        <v>VAHIBE</v>
      </c>
      <c r="B130" s="325">
        <f>Horaire!B129</f>
        <v>0.70833333333333337</v>
      </c>
      <c r="C130" s="325" t="str">
        <f>Horaire!C129</f>
        <v>C12</v>
      </c>
      <c r="D130" s="294" t="str">
        <f>VLOOKUP(C130,'Liste chauffeur'!$B$5:$L$20,2,TRUE)&amp;" "&amp;VLOOKUP(C130,'Liste chauffeur'!$B$5:$L$20,3,TRUE)</f>
        <v>ALILOIFFA Said Siradj</v>
      </c>
      <c r="E130" s="334"/>
      <c r="F130" s="335">
        <f t="shared" si="5"/>
        <v>1</v>
      </c>
      <c r="G130" s="350"/>
      <c r="H130" s="336"/>
      <c r="I130" s="336"/>
      <c r="J130" s="336"/>
      <c r="K130" s="336"/>
      <c r="L130" s="334"/>
      <c r="M130" s="333"/>
      <c r="N130" s="297"/>
      <c r="O130" s="296">
        <f t="shared" si="36"/>
        <v>0</v>
      </c>
      <c r="P130" s="296">
        <f t="shared" si="37"/>
        <v>0</v>
      </c>
      <c r="Q130" s="299">
        <f t="shared" si="38"/>
        <v>0</v>
      </c>
      <c r="R130" s="286"/>
    </row>
    <row r="131" spans="1:18" ht="40.049999999999997" hidden="1" customHeight="1" x14ac:dyDescent="0.45">
      <c r="A131" s="324" t="str">
        <f>Horaire!A130</f>
        <v>PASSAMAINTY</v>
      </c>
      <c r="B131" s="325">
        <f>Horaire!B130</f>
        <v>0.70833333333333337</v>
      </c>
      <c r="C131" s="325" t="str">
        <f>Horaire!C130</f>
        <v>C5</v>
      </c>
      <c r="D131" s="294" t="str">
        <f>VLOOKUP(C131,'Liste chauffeur'!$B$5:$L$20,2,TRUE)&amp;" "&amp;VLOOKUP(C131,'Liste chauffeur'!$B$5:$L$20,3,TRUE)</f>
        <v>AHAMADI Bacar Raenmouddine</v>
      </c>
      <c r="E131" s="334"/>
      <c r="F131" s="335">
        <f t="shared" si="5"/>
        <v>1</v>
      </c>
      <c r="G131" s="350"/>
      <c r="H131" s="336"/>
      <c r="I131" s="336"/>
      <c r="J131" s="336"/>
      <c r="K131" s="336"/>
      <c r="L131" s="334"/>
      <c r="M131" s="333"/>
      <c r="N131" s="297"/>
      <c r="O131" s="296">
        <f t="shared" si="36"/>
        <v>0</v>
      </c>
      <c r="P131" s="296">
        <f t="shared" si="37"/>
        <v>0</v>
      </c>
      <c r="Q131" s="299">
        <f t="shared" si="38"/>
        <v>0</v>
      </c>
      <c r="R131" s="286"/>
    </row>
    <row r="132" spans="1:18" ht="40.049999999999997" hidden="1" customHeight="1" x14ac:dyDescent="0.45">
      <c r="A132" s="324" t="str">
        <f>Horaire!A131</f>
        <v>VAHIBE</v>
      </c>
      <c r="B132" s="325">
        <f>Horaire!B131</f>
        <v>0.71875</v>
      </c>
      <c r="C132" s="325" t="str">
        <f>Horaire!C131</f>
        <v>C5</v>
      </c>
      <c r="D132" s="294" t="str">
        <f>VLOOKUP(C132,'Liste chauffeur'!$B$5:$L$20,2,TRUE)&amp;" "&amp;VLOOKUP(C132,'Liste chauffeur'!$B$5:$L$20,3,TRUE)</f>
        <v>AHAMADI Bacar Raenmouddine</v>
      </c>
      <c r="E132" s="334"/>
      <c r="F132" s="335">
        <f t="shared" si="5"/>
        <v>1</v>
      </c>
      <c r="G132" s="350"/>
      <c r="H132" s="336"/>
      <c r="I132" s="336"/>
      <c r="J132" s="336"/>
      <c r="K132" s="336"/>
      <c r="L132" s="334"/>
      <c r="M132" s="333"/>
      <c r="N132" s="297"/>
      <c r="O132" s="296">
        <f t="shared" si="36"/>
        <v>0</v>
      </c>
      <c r="P132" s="296">
        <f t="shared" si="37"/>
        <v>0</v>
      </c>
      <c r="Q132" s="299">
        <f t="shared" si="38"/>
        <v>0</v>
      </c>
      <c r="R132" s="286"/>
    </row>
    <row r="133" spans="1:18" ht="40.049999999999997" hidden="1" customHeight="1" x14ac:dyDescent="0.45">
      <c r="A133" s="324" t="str">
        <f>Horaire!A132</f>
        <v>PASSAMAINTY</v>
      </c>
      <c r="B133" s="325">
        <f>Horaire!B132</f>
        <v>0.71875</v>
      </c>
      <c r="C133" s="325" t="str">
        <f>Horaire!C132</f>
        <v>C12</v>
      </c>
      <c r="D133" s="294" t="str">
        <f>VLOOKUP(C133,'Liste chauffeur'!$B$5:$L$20,2,TRUE)&amp;" "&amp;VLOOKUP(C133,'Liste chauffeur'!$B$5:$L$20,3,TRUE)</f>
        <v>ALILOIFFA Said Siradj</v>
      </c>
      <c r="E133" s="334"/>
      <c r="F133" s="335">
        <f t="shared" si="5"/>
        <v>1</v>
      </c>
      <c r="G133" s="350"/>
      <c r="H133" s="336"/>
      <c r="I133" s="336"/>
      <c r="J133" s="336"/>
      <c r="K133" s="336"/>
      <c r="L133" s="334"/>
      <c r="M133" s="333"/>
      <c r="N133" s="297"/>
      <c r="O133" s="296">
        <f t="shared" si="36"/>
        <v>0</v>
      </c>
      <c r="P133" s="296">
        <f t="shared" si="37"/>
        <v>0</v>
      </c>
      <c r="Q133" s="299">
        <f t="shared" si="38"/>
        <v>0</v>
      </c>
      <c r="R133" s="286"/>
    </row>
    <row r="134" spans="1:18" ht="40.049999999999997" hidden="1" customHeight="1" x14ac:dyDescent="0.45">
      <c r="A134" s="324" t="str">
        <f>Horaire!A133</f>
        <v>VAHIBE</v>
      </c>
      <c r="B134" s="325">
        <f>Horaire!B133</f>
        <v>0.72916666666666663</v>
      </c>
      <c r="C134" s="325" t="str">
        <f>Horaire!C133</f>
        <v>C12</v>
      </c>
      <c r="D134" s="294" t="str">
        <f>VLOOKUP(C134,'Liste chauffeur'!$B$5:$L$20,2,TRUE)&amp;" "&amp;VLOOKUP(C134,'Liste chauffeur'!$B$5:$L$20,3,TRUE)</f>
        <v>ALILOIFFA Said Siradj</v>
      </c>
      <c r="E134" s="334"/>
      <c r="F134" s="335">
        <f t="shared" si="5"/>
        <v>1</v>
      </c>
      <c r="G134" s="350"/>
      <c r="H134" s="336"/>
      <c r="I134" s="336"/>
      <c r="J134" s="336"/>
      <c r="K134" s="336"/>
      <c r="L134" s="334"/>
      <c r="M134" s="333"/>
      <c r="N134" s="297"/>
      <c r="O134" s="296">
        <f t="shared" si="36"/>
        <v>0</v>
      </c>
      <c r="P134" s="296">
        <f t="shared" si="37"/>
        <v>0</v>
      </c>
      <c r="Q134" s="299">
        <f t="shared" si="38"/>
        <v>0</v>
      </c>
      <c r="R134" s="286"/>
    </row>
    <row r="135" spans="1:18" ht="40.049999999999997" hidden="1" customHeight="1" x14ac:dyDescent="0.45">
      <c r="A135" s="324" t="str">
        <f>Horaire!A134</f>
        <v>PASSAMAINTY</v>
      </c>
      <c r="B135" s="325">
        <f>Horaire!B134</f>
        <v>0.72916666666666663</v>
      </c>
      <c r="C135" s="325" t="str">
        <f>Horaire!C134</f>
        <v>C5</v>
      </c>
      <c r="D135" s="294" t="str">
        <f>VLOOKUP(C135,'Liste chauffeur'!$B$5:$L$20,2,TRUE)&amp;" "&amp;VLOOKUP(C135,'Liste chauffeur'!$B$5:$L$20,3,TRUE)</f>
        <v>AHAMADI Bacar Raenmouddine</v>
      </c>
      <c r="E135" s="334"/>
      <c r="F135" s="335">
        <f t="shared" si="5"/>
        <v>1</v>
      </c>
      <c r="G135" s="350"/>
      <c r="H135" s="336"/>
      <c r="I135" s="336"/>
      <c r="J135" s="336"/>
      <c r="K135" s="336"/>
      <c r="L135" s="334"/>
      <c r="M135" s="333"/>
      <c r="N135" s="297"/>
      <c r="O135" s="296">
        <f t="shared" si="36"/>
        <v>0</v>
      </c>
      <c r="P135" s="296">
        <f t="shared" si="37"/>
        <v>0</v>
      </c>
      <c r="Q135" s="299">
        <f t="shared" si="38"/>
        <v>0</v>
      </c>
      <c r="R135" s="286"/>
    </row>
    <row r="136" spans="1:18" ht="40.049999999999997" hidden="1" customHeight="1" x14ac:dyDescent="0.45">
      <c r="A136" s="324" t="str">
        <f>Horaire!A135</f>
        <v>VAHIBE</v>
      </c>
      <c r="B136" s="325">
        <f>Horaire!B135</f>
        <v>0.73958333333333337</v>
      </c>
      <c r="C136" s="325" t="str">
        <f>Horaire!C135</f>
        <v>C5</v>
      </c>
      <c r="D136" s="294" t="str">
        <f>VLOOKUP(C136,'Liste chauffeur'!$B$5:$L$20,2,TRUE)&amp;" "&amp;VLOOKUP(C136,'Liste chauffeur'!$B$5:$L$20,3,TRUE)</f>
        <v>AHAMADI Bacar Raenmouddine</v>
      </c>
      <c r="E136" s="334"/>
      <c r="F136" s="335">
        <f t="shared" si="5"/>
        <v>1</v>
      </c>
      <c r="G136" s="350"/>
      <c r="H136" s="336"/>
      <c r="I136" s="336"/>
      <c r="J136" s="336"/>
      <c r="K136" s="336"/>
      <c r="L136" s="334"/>
      <c r="M136" s="333"/>
      <c r="N136" s="297"/>
      <c r="O136" s="296">
        <f t="shared" si="36"/>
        <v>0</v>
      </c>
      <c r="P136" s="296">
        <f t="shared" si="37"/>
        <v>0</v>
      </c>
      <c r="Q136" s="299">
        <f t="shared" si="38"/>
        <v>0</v>
      </c>
      <c r="R136" s="286"/>
    </row>
    <row r="137" spans="1:18" ht="40.049999999999997" hidden="1" customHeight="1" x14ac:dyDescent="0.45">
      <c r="A137" s="324" t="str">
        <f>Horaire!A136</f>
        <v>PASSAMAINTY</v>
      </c>
      <c r="B137" s="325">
        <f>Horaire!B136</f>
        <v>0.73958333333333337</v>
      </c>
      <c r="C137" s="325" t="str">
        <f>Horaire!C136</f>
        <v>C12</v>
      </c>
      <c r="D137" s="294" t="str">
        <f>VLOOKUP(C137,'Liste chauffeur'!$B$5:$L$20,2,TRUE)&amp;" "&amp;VLOOKUP(C137,'Liste chauffeur'!$B$5:$L$20,3,TRUE)</f>
        <v>ALILOIFFA Said Siradj</v>
      </c>
      <c r="E137" s="334"/>
      <c r="F137" s="335">
        <f t="shared" si="5"/>
        <v>1</v>
      </c>
      <c r="G137" s="350"/>
      <c r="H137" s="336"/>
      <c r="I137" s="336"/>
      <c r="J137" s="336"/>
      <c r="K137" s="336"/>
      <c r="L137" s="334"/>
      <c r="M137" s="333"/>
      <c r="N137" s="297"/>
      <c r="O137" s="296">
        <f t="shared" ref="O137:O139" si="43">H137+J137-I137</f>
        <v>0</v>
      </c>
      <c r="P137" s="296">
        <f t="shared" ref="P137:P139" si="44">IF(F137=1,0,P$6)</f>
        <v>0</v>
      </c>
      <c r="Q137" s="299">
        <f t="shared" si="38"/>
        <v>0</v>
      </c>
      <c r="R137" s="286"/>
    </row>
    <row r="138" spans="1:18" ht="40.049999999999997" hidden="1" customHeight="1" x14ac:dyDescent="0.45">
      <c r="A138" s="324" t="str">
        <f>Horaire!A137</f>
        <v>VAHIBE</v>
      </c>
      <c r="B138" s="325">
        <f>Horaire!B137</f>
        <v>0.75</v>
      </c>
      <c r="C138" s="325" t="str">
        <f>Horaire!C137</f>
        <v>C12</v>
      </c>
      <c r="D138" s="294" t="str">
        <f>VLOOKUP(C138,'Liste chauffeur'!$B$5:$L$20,2,TRUE)&amp;" "&amp;VLOOKUP(C138,'Liste chauffeur'!$B$5:$L$20,3,TRUE)</f>
        <v>ALILOIFFA Said Siradj</v>
      </c>
      <c r="E138" s="334"/>
      <c r="F138" s="335">
        <f t="shared" si="5"/>
        <v>1</v>
      </c>
      <c r="G138" s="350"/>
      <c r="H138" s="336"/>
      <c r="I138" s="336"/>
      <c r="J138" s="336"/>
      <c r="K138" s="336"/>
      <c r="L138" s="334"/>
      <c r="M138" s="333"/>
      <c r="N138" s="297"/>
      <c r="O138" s="296">
        <f t="shared" si="43"/>
        <v>0</v>
      </c>
      <c r="P138" s="296">
        <f t="shared" si="44"/>
        <v>0</v>
      </c>
      <c r="Q138" s="299">
        <f t="shared" si="38"/>
        <v>0</v>
      </c>
      <c r="R138" s="286"/>
    </row>
    <row r="139" spans="1:18" ht="40.049999999999997" hidden="1" customHeight="1" x14ac:dyDescent="0.45">
      <c r="A139" s="324" t="str">
        <f>Horaire!A138</f>
        <v>PASSAMAINTY</v>
      </c>
      <c r="B139" s="325">
        <f>Horaire!B138</f>
        <v>0.75</v>
      </c>
      <c r="C139" s="325" t="str">
        <f>Horaire!C138</f>
        <v>C5</v>
      </c>
      <c r="D139" s="294" t="str">
        <f>VLOOKUP(C139,'Liste chauffeur'!$B$5:$L$20,2,TRUE)&amp;" "&amp;VLOOKUP(C139,'Liste chauffeur'!$B$5:$L$20,3,TRUE)</f>
        <v>AHAMADI Bacar Raenmouddine</v>
      </c>
      <c r="E139" s="334"/>
      <c r="F139" s="335">
        <f t="shared" si="5"/>
        <v>1</v>
      </c>
      <c r="G139" s="350"/>
      <c r="H139" s="336"/>
      <c r="I139" s="336"/>
      <c r="J139" s="336"/>
      <c r="K139" s="336"/>
      <c r="L139" s="334"/>
      <c r="M139" s="333"/>
      <c r="N139" s="297"/>
      <c r="O139" s="296">
        <f t="shared" si="43"/>
        <v>0</v>
      </c>
      <c r="P139" s="296">
        <f t="shared" si="44"/>
        <v>0</v>
      </c>
      <c r="Q139" s="299">
        <f t="shared" si="38"/>
        <v>0</v>
      </c>
      <c r="R139" s="286"/>
    </row>
    <row r="140" spans="1:18" ht="40.049999999999997" hidden="1" customHeight="1" x14ac:dyDescent="0.45">
      <c r="A140" s="345"/>
      <c r="B140" s="346" t="s">
        <v>472</v>
      </c>
      <c r="C140" s="346"/>
      <c r="D140" s="304"/>
      <c r="E140" s="337"/>
      <c r="F140" s="347">
        <f>SUM(F103:F139)</f>
        <v>37</v>
      </c>
      <c r="G140" s="347"/>
      <c r="H140" s="339"/>
      <c r="I140" s="339"/>
      <c r="J140" s="339"/>
      <c r="K140" s="339"/>
      <c r="L140" s="337"/>
      <c r="M140" s="338"/>
      <c r="N140" s="301" t="e">
        <f>AVERAGE(N103:N139)</f>
        <v>#DIV/0!</v>
      </c>
      <c r="O140" s="347">
        <f>SUM(O103:O139)</f>
        <v>0</v>
      </c>
      <c r="P140" s="347">
        <f>SUM(P103:P139)</f>
        <v>0</v>
      </c>
      <c r="Q140" s="284">
        <f t="shared" si="38"/>
        <v>0</v>
      </c>
      <c r="R140" s="300"/>
    </row>
    <row r="141" spans="1:18" ht="40.049999999999997" hidden="1" customHeight="1" x14ac:dyDescent="0.45">
      <c r="A141" s="426" t="s">
        <v>358</v>
      </c>
      <c r="B141" s="427" t="s">
        <v>473</v>
      </c>
      <c r="C141" s="427" t="s">
        <v>359</v>
      </c>
      <c r="D141" s="304"/>
      <c r="E141" s="428"/>
      <c r="F141" s="429">
        <f>F140+F102</f>
        <v>131</v>
      </c>
      <c r="G141" s="283"/>
      <c r="H141" s="283"/>
      <c r="I141" s="283"/>
      <c r="J141" s="283"/>
      <c r="K141" s="300"/>
      <c r="L141" s="428"/>
      <c r="M141" s="300"/>
      <c r="N141" s="301" t="e">
        <f>AVERAGE(N1:N8,N103:N139)</f>
        <v>#DIV/0!</v>
      </c>
      <c r="O141" s="429">
        <f>O102+O140</f>
        <v>0</v>
      </c>
      <c r="P141" s="429">
        <f>P102+P140</f>
        <v>0</v>
      </c>
      <c r="Q141" s="284">
        <f t="shared" si="38"/>
        <v>0</v>
      </c>
      <c r="R141" s="300"/>
    </row>
    <row r="142" spans="1:18" ht="40.049999999999997" hidden="1" customHeight="1" x14ac:dyDescent="0.45">
      <c r="A142" s="303" t="s">
        <v>358</v>
      </c>
      <c r="B142" s="293"/>
      <c r="C142" s="293" t="s">
        <v>359</v>
      </c>
      <c r="D142" s="294"/>
      <c r="E142" s="295"/>
      <c r="F142" s="296"/>
      <c r="G142" s="296"/>
      <c r="H142" s="296"/>
      <c r="I142" s="296"/>
      <c r="J142" s="302"/>
      <c r="K142" s="286"/>
      <c r="L142" s="295"/>
      <c r="M142" s="286"/>
      <c r="N142" s="297"/>
      <c r="O142" s="296"/>
      <c r="P142" s="296"/>
      <c r="Q142" s="299"/>
      <c r="R142" s="286"/>
    </row>
    <row r="143" spans="1:18" ht="40.049999999999997" hidden="1" customHeight="1" x14ac:dyDescent="0.45">
      <c r="A143" s="303" t="s">
        <v>358</v>
      </c>
      <c r="B143" s="293"/>
      <c r="C143" s="293" t="s">
        <v>359</v>
      </c>
      <c r="D143" s="294"/>
      <c r="E143" s="295"/>
      <c r="F143" s="296"/>
      <c r="G143" s="296"/>
      <c r="H143" s="296"/>
      <c r="I143" s="296"/>
      <c r="J143" s="302"/>
      <c r="K143" s="286"/>
      <c r="L143" s="295"/>
      <c r="M143" s="286"/>
      <c r="N143" s="297"/>
      <c r="O143" s="296"/>
      <c r="P143" s="296"/>
      <c r="Q143" s="299"/>
      <c r="R143" s="286"/>
    </row>
    <row r="144" spans="1:18" ht="40.049999999999997" hidden="1" customHeight="1" x14ac:dyDescent="0.45">
      <c r="A144" s="303" t="s">
        <v>358</v>
      </c>
      <c r="B144" s="293"/>
      <c r="C144" s="293" t="s">
        <v>359</v>
      </c>
      <c r="D144" s="294"/>
      <c r="E144" s="295"/>
      <c r="F144" s="296"/>
      <c r="G144" s="296"/>
      <c r="H144" s="296"/>
      <c r="I144" s="296"/>
      <c r="J144" s="302"/>
      <c r="K144" s="286"/>
      <c r="L144" s="295"/>
      <c r="M144" s="286"/>
      <c r="N144" s="297"/>
      <c r="O144" s="296"/>
      <c r="P144" s="296"/>
      <c r="Q144" s="299"/>
      <c r="R144" s="286"/>
    </row>
    <row r="145" spans="1:18" ht="40.049999999999997" hidden="1" customHeight="1" x14ac:dyDescent="0.45">
      <c r="A145" s="303" t="s">
        <v>358</v>
      </c>
      <c r="B145" s="293"/>
      <c r="C145" s="293" t="s">
        <v>359</v>
      </c>
      <c r="D145" s="294"/>
      <c r="E145" s="295"/>
      <c r="F145" s="296"/>
      <c r="G145" s="296"/>
      <c r="H145" s="296"/>
      <c r="I145" s="296"/>
      <c r="J145" s="302"/>
      <c r="K145" s="286"/>
      <c r="L145" s="295"/>
      <c r="M145" s="286"/>
      <c r="N145" s="297"/>
      <c r="O145" s="296"/>
      <c r="P145" s="296"/>
      <c r="Q145" s="299"/>
      <c r="R145" s="286"/>
    </row>
    <row r="147" spans="1:18" ht="18" x14ac:dyDescent="0.45">
      <c r="E147" s="250" t="s">
        <v>15</v>
      </c>
      <c r="H147" s="250"/>
      <c r="J147" s="250" t="s">
        <v>16</v>
      </c>
    </row>
    <row r="149" spans="1:18" x14ac:dyDescent="0.45">
      <c r="C149" s="276"/>
    </row>
    <row r="150" spans="1:18" ht="57" x14ac:dyDescent="0.45">
      <c r="B150" s="137" t="s">
        <v>401</v>
      </c>
      <c r="C150" s="137" t="s">
        <v>402</v>
      </c>
      <c r="D150" s="137" t="s">
        <v>403</v>
      </c>
      <c r="E150" s="215" t="s">
        <v>404</v>
      </c>
      <c r="F150" s="215" t="s">
        <v>474</v>
      </c>
    </row>
    <row r="151" spans="1:18" x14ac:dyDescent="0.45">
      <c r="B151" s="137" t="s">
        <v>24</v>
      </c>
      <c r="C151" s="327">
        <f t="shared" ref="C151:C177" si="45">COUNTIF($B$8:$C$140,B151)</f>
        <v>17</v>
      </c>
      <c r="D151" s="430">
        <f t="shared" ref="D151:D177" si="46">C151-(COUNTIFS(C$8:C$140,B151,M$8:M$140,""))</f>
        <v>0</v>
      </c>
      <c r="E151" s="189">
        <f t="shared" ref="E151:E177" si="47">COUNTIFS(M$8:M$140,$B151)</f>
        <v>0</v>
      </c>
      <c r="F151" s="189">
        <f t="shared" ref="F151:F177" si="48">COUNTIFS(G$8:G$140,$B151)</f>
        <v>0</v>
      </c>
    </row>
    <row r="152" spans="1:18" x14ac:dyDescent="0.45">
      <c r="B152" s="137" t="s">
        <v>36</v>
      </c>
      <c r="C152" s="327">
        <f t="shared" si="45"/>
        <v>16</v>
      </c>
      <c r="D152" s="430">
        <f t="shared" si="46"/>
        <v>0</v>
      </c>
      <c r="E152" s="189">
        <f t="shared" si="47"/>
        <v>0</v>
      </c>
      <c r="F152" s="189">
        <f t="shared" si="48"/>
        <v>0</v>
      </c>
    </row>
    <row r="153" spans="1:18" x14ac:dyDescent="0.45">
      <c r="B153" s="137" t="s">
        <v>27</v>
      </c>
      <c r="C153" s="327">
        <f t="shared" si="45"/>
        <v>16</v>
      </c>
      <c r="D153" s="430">
        <f t="shared" si="46"/>
        <v>0</v>
      </c>
      <c r="E153" s="189">
        <f t="shared" si="47"/>
        <v>0</v>
      </c>
      <c r="F153" s="189">
        <f t="shared" si="48"/>
        <v>0</v>
      </c>
    </row>
    <row r="154" spans="1:18" x14ac:dyDescent="0.45">
      <c r="B154" s="137" t="s">
        <v>48</v>
      </c>
      <c r="C154" s="327">
        <f t="shared" si="45"/>
        <v>9</v>
      </c>
      <c r="D154" s="430">
        <f t="shared" si="46"/>
        <v>0</v>
      </c>
      <c r="E154" s="189">
        <f t="shared" si="47"/>
        <v>0</v>
      </c>
      <c r="F154" s="189">
        <f t="shared" si="48"/>
        <v>0</v>
      </c>
    </row>
    <row r="155" spans="1:18" x14ac:dyDescent="0.45">
      <c r="B155" s="137" t="s">
        <v>49</v>
      </c>
      <c r="C155" s="327">
        <f t="shared" si="45"/>
        <v>13</v>
      </c>
      <c r="D155" s="430">
        <f t="shared" si="46"/>
        <v>0</v>
      </c>
      <c r="E155" s="189">
        <f t="shared" si="47"/>
        <v>0</v>
      </c>
      <c r="F155" s="189">
        <f t="shared" si="48"/>
        <v>0</v>
      </c>
    </row>
    <row r="156" spans="1:18" x14ac:dyDescent="0.45">
      <c r="B156" s="137" t="s">
        <v>50</v>
      </c>
      <c r="C156" s="327">
        <f t="shared" si="45"/>
        <v>0</v>
      </c>
      <c r="D156" s="430">
        <f t="shared" si="46"/>
        <v>0</v>
      </c>
      <c r="E156" s="189">
        <f t="shared" si="47"/>
        <v>0</v>
      </c>
      <c r="F156" s="189">
        <f t="shared" si="48"/>
        <v>0</v>
      </c>
    </row>
    <row r="157" spans="1:18" x14ac:dyDescent="0.45">
      <c r="B157" s="137" t="s">
        <v>51</v>
      </c>
      <c r="C157" s="327">
        <f t="shared" si="45"/>
        <v>0</v>
      </c>
      <c r="D157" s="430">
        <f t="shared" si="46"/>
        <v>0</v>
      </c>
      <c r="E157" s="189">
        <f t="shared" si="47"/>
        <v>0</v>
      </c>
      <c r="F157" s="189">
        <f t="shared" si="48"/>
        <v>0</v>
      </c>
    </row>
    <row r="158" spans="1:18" x14ac:dyDescent="0.45">
      <c r="B158" s="137" t="s">
        <v>37</v>
      </c>
      <c r="C158" s="327">
        <f t="shared" si="45"/>
        <v>7</v>
      </c>
      <c r="D158" s="430">
        <f t="shared" si="46"/>
        <v>0</v>
      </c>
      <c r="E158" s="189">
        <f t="shared" si="47"/>
        <v>0</v>
      </c>
      <c r="F158" s="189">
        <f t="shared" si="48"/>
        <v>0</v>
      </c>
    </row>
    <row r="159" spans="1:18" x14ac:dyDescent="0.45">
      <c r="B159" s="137" t="s">
        <v>41</v>
      </c>
      <c r="C159" s="327">
        <f t="shared" si="45"/>
        <v>7</v>
      </c>
      <c r="D159" s="430">
        <f t="shared" si="46"/>
        <v>0</v>
      </c>
      <c r="E159" s="189">
        <f t="shared" si="47"/>
        <v>0</v>
      </c>
      <c r="F159" s="189">
        <f t="shared" si="48"/>
        <v>0</v>
      </c>
    </row>
    <row r="160" spans="1:18" x14ac:dyDescent="0.45">
      <c r="B160" s="137" t="s">
        <v>42</v>
      </c>
      <c r="C160" s="327">
        <f t="shared" si="45"/>
        <v>7</v>
      </c>
      <c r="D160" s="430">
        <f t="shared" si="46"/>
        <v>0</v>
      </c>
      <c r="E160" s="189">
        <f t="shared" si="47"/>
        <v>0</v>
      </c>
      <c r="F160" s="189">
        <f t="shared" si="48"/>
        <v>0</v>
      </c>
    </row>
    <row r="161" spans="2:6" x14ac:dyDescent="0.45">
      <c r="B161" s="137" t="s">
        <v>43</v>
      </c>
      <c r="C161" s="327">
        <f t="shared" si="45"/>
        <v>8</v>
      </c>
      <c r="D161" s="430">
        <f t="shared" si="46"/>
        <v>0</v>
      </c>
      <c r="E161" s="189">
        <f t="shared" si="47"/>
        <v>0</v>
      </c>
      <c r="F161" s="189">
        <f t="shared" si="48"/>
        <v>0</v>
      </c>
    </row>
    <row r="162" spans="2:6" x14ac:dyDescent="0.45">
      <c r="B162" s="137" t="s">
        <v>44</v>
      </c>
      <c r="C162" s="327">
        <f t="shared" si="45"/>
        <v>11</v>
      </c>
      <c r="D162" s="430">
        <f t="shared" si="46"/>
        <v>0</v>
      </c>
      <c r="E162" s="189">
        <f t="shared" si="47"/>
        <v>0</v>
      </c>
      <c r="F162" s="189">
        <f t="shared" si="48"/>
        <v>0</v>
      </c>
    </row>
    <row r="163" spans="2:6" x14ac:dyDescent="0.45">
      <c r="B163" s="137" t="s">
        <v>45</v>
      </c>
      <c r="C163" s="327">
        <f t="shared" si="45"/>
        <v>3</v>
      </c>
      <c r="D163" s="430">
        <f t="shared" si="46"/>
        <v>0</v>
      </c>
      <c r="E163" s="189">
        <f t="shared" si="47"/>
        <v>0</v>
      </c>
      <c r="F163" s="189">
        <f t="shared" si="48"/>
        <v>0</v>
      </c>
    </row>
    <row r="164" spans="2:6" x14ac:dyDescent="0.45">
      <c r="B164" s="137" t="s">
        <v>46</v>
      </c>
      <c r="C164" s="327">
        <f t="shared" si="45"/>
        <v>12</v>
      </c>
      <c r="D164" s="430">
        <f t="shared" si="46"/>
        <v>0</v>
      </c>
      <c r="E164" s="189">
        <f t="shared" si="47"/>
        <v>0</v>
      </c>
      <c r="F164" s="189">
        <f t="shared" si="48"/>
        <v>0</v>
      </c>
    </row>
    <row r="165" spans="2:6" x14ac:dyDescent="0.45">
      <c r="B165" s="137" t="s">
        <v>31</v>
      </c>
      <c r="C165" s="327">
        <f t="shared" si="45"/>
        <v>5</v>
      </c>
      <c r="D165" s="430">
        <f t="shared" si="46"/>
        <v>0</v>
      </c>
      <c r="E165" s="189">
        <f t="shared" si="47"/>
        <v>0</v>
      </c>
      <c r="F165" s="189">
        <f t="shared" si="48"/>
        <v>0</v>
      </c>
    </row>
    <row r="166" spans="2:6" x14ac:dyDescent="0.45">
      <c r="B166" s="137" t="s">
        <v>47</v>
      </c>
      <c r="C166" s="327">
        <f t="shared" si="45"/>
        <v>0</v>
      </c>
      <c r="D166" s="430">
        <f t="shared" si="46"/>
        <v>0</v>
      </c>
      <c r="E166" s="189">
        <f t="shared" si="47"/>
        <v>0</v>
      </c>
      <c r="F166" s="189">
        <f t="shared" si="48"/>
        <v>0</v>
      </c>
    </row>
    <row r="167" spans="2:6" x14ac:dyDescent="0.45">
      <c r="B167" s="137" t="s">
        <v>337</v>
      </c>
      <c r="C167" s="327">
        <f t="shared" si="45"/>
        <v>0</v>
      </c>
      <c r="D167" s="430">
        <f t="shared" si="46"/>
        <v>0</v>
      </c>
      <c r="E167" s="189">
        <f t="shared" si="47"/>
        <v>0</v>
      </c>
      <c r="F167" s="189">
        <f t="shared" si="48"/>
        <v>0</v>
      </c>
    </row>
    <row r="168" spans="2:6" x14ac:dyDescent="0.45">
      <c r="B168" s="137" t="s">
        <v>338</v>
      </c>
      <c r="C168" s="327">
        <f t="shared" si="45"/>
        <v>0</v>
      </c>
      <c r="D168" s="430">
        <f t="shared" si="46"/>
        <v>0</v>
      </c>
      <c r="E168" s="189">
        <f t="shared" si="47"/>
        <v>0</v>
      </c>
      <c r="F168" s="189">
        <f t="shared" si="48"/>
        <v>0</v>
      </c>
    </row>
    <row r="169" spans="2:6" x14ac:dyDescent="0.45">
      <c r="B169" s="137" t="s">
        <v>339</v>
      </c>
      <c r="C169" s="327">
        <f t="shared" si="45"/>
        <v>0</v>
      </c>
      <c r="D169" s="430">
        <f t="shared" si="46"/>
        <v>0</v>
      </c>
      <c r="E169" s="189">
        <f t="shared" si="47"/>
        <v>0</v>
      </c>
      <c r="F169" s="189">
        <f t="shared" si="48"/>
        <v>0</v>
      </c>
    </row>
    <row r="170" spans="2:6" x14ac:dyDescent="0.45">
      <c r="B170" s="137" t="s">
        <v>463</v>
      </c>
      <c r="C170" s="327">
        <f t="shared" si="45"/>
        <v>0</v>
      </c>
      <c r="D170" s="430">
        <f t="shared" si="46"/>
        <v>0</v>
      </c>
      <c r="E170" s="189">
        <f t="shared" si="47"/>
        <v>0</v>
      </c>
      <c r="F170" s="189">
        <f t="shared" si="48"/>
        <v>0</v>
      </c>
    </row>
    <row r="171" spans="2:6" x14ac:dyDescent="0.45">
      <c r="B171" s="137" t="s">
        <v>465</v>
      </c>
      <c r="C171" s="327">
        <f t="shared" si="45"/>
        <v>0</v>
      </c>
      <c r="D171" s="430">
        <f t="shared" si="46"/>
        <v>0</v>
      </c>
      <c r="E171" s="189">
        <f t="shared" si="47"/>
        <v>0</v>
      </c>
      <c r="F171" s="189">
        <f t="shared" si="48"/>
        <v>0</v>
      </c>
    </row>
    <row r="172" spans="2:6" x14ac:dyDescent="0.45">
      <c r="B172" s="137" t="s">
        <v>340</v>
      </c>
      <c r="C172" s="327">
        <f t="shared" si="45"/>
        <v>0</v>
      </c>
      <c r="D172" s="430">
        <f t="shared" si="46"/>
        <v>0</v>
      </c>
      <c r="E172" s="189">
        <f t="shared" si="47"/>
        <v>0</v>
      </c>
      <c r="F172" s="189">
        <f t="shared" si="48"/>
        <v>0</v>
      </c>
    </row>
    <row r="173" spans="2:6" x14ac:dyDescent="0.45">
      <c r="B173" s="137" t="s">
        <v>475</v>
      </c>
      <c r="C173" s="327">
        <f t="shared" si="45"/>
        <v>0</v>
      </c>
      <c r="D173" s="430">
        <f t="shared" si="46"/>
        <v>0</v>
      </c>
      <c r="E173" s="189">
        <f t="shared" si="47"/>
        <v>0</v>
      </c>
      <c r="F173" s="189">
        <f t="shared" si="48"/>
        <v>0</v>
      </c>
    </row>
    <row r="174" spans="2:6" x14ac:dyDescent="0.45">
      <c r="B174" s="137" t="s">
        <v>369</v>
      </c>
      <c r="C174" s="327">
        <f t="shared" si="45"/>
        <v>0</v>
      </c>
      <c r="D174" s="430">
        <f t="shared" si="46"/>
        <v>0</v>
      </c>
      <c r="E174" s="189">
        <f t="shared" si="47"/>
        <v>0</v>
      </c>
      <c r="F174" s="189">
        <f t="shared" si="48"/>
        <v>0</v>
      </c>
    </row>
    <row r="175" spans="2:6" x14ac:dyDescent="0.45">
      <c r="B175" s="137" t="s">
        <v>377</v>
      </c>
      <c r="C175" s="327">
        <f t="shared" si="45"/>
        <v>0</v>
      </c>
      <c r="D175" s="430">
        <f t="shared" si="46"/>
        <v>0</v>
      </c>
      <c r="E175" s="189">
        <f t="shared" si="47"/>
        <v>0</v>
      </c>
      <c r="F175" s="189">
        <f t="shared" si="48"/>
        <v>0</v>
      </c>
    </row>
    <row r="176" spans="2:6" x14ac:dyDescent="0.45">
      <c r="B176" s="137" t="s">
        <v>383</v>
      </c>
      <c r="C176" s="327">
        <f t="shared" si="45"/>
        <v>0</v>
      </c>
      <c r="D176" s="430">
        <f t="shared" si="46"/>
        <v>0</v>
      </c>
      <c r="E176" s="189">
        <f t="shared" si="47"/>
        <v>0</v>
      </c>
      <c r="F176" s="189">
        <f t="shared" si="48"/>
        <v>0</v>
      </c>
    </row>
    <row r="177" spans="2:6" x14ac:dyDescent="0.45">
      <c r="B177" s="137" t="s">
        <v>386</v>
      </c>
      <c r="C177" s="327">
        <f t="shared" si="45"/>
        <v>0</v>
      </c>
      <c r="D177" s="430">
        <f t="shared" si="46"/>
        <v>0</v>
      </c>
      <c r="E177" s="189">
        <f t="shared" si="47"/>
        <v>0</v>
      </c>
      <c r="F177" s="189">
        <f t="shared" si="48"/>
        <v>0</v>
      </c>
    </row>
    <row r="178" spans="2:6" x14ac:dyDescent="0.45">
      <c r="C178" s="431">
        <f>SUM(C151:C177)</f>
        <v>131</v>
      </c>
      <c r="D178" s="432">
        <f t="shared" ref="D178:F178" si="49">SUM(D151:D177)</f>
        <v>0</v>
      </c>
      <c r="E178" s="432">
        <f t="shared" si="49"/>
        <v>0</v>
      </c>
      <c r="F178" s="432">
        <f t="shared" si="49"/>
        <v>0</v>
      </c>
    </row>
    <row r="179" spans="2:6" x14ac:dyDescent="0.45">
      <c r="E179" s="430">
        <f>D178-E178</f>
        <v>0</v>
      </c>
      <c r="F179" s="189" t="str">
        <f>IF(E179=F178,"OK","ERREUR")</f>
        <v>OK</v>
      </c>
    </row>
  </sheetData>
  <sheetProtection formatCells="0" formatColumns="0" formatRows="0" autoFilter="0"/>
  <autoFilter ref="A7:Q145" xr:uid="{5B5BBBDE-33E3-4462-B288-63EC9F5FA152}">
    <filterColumn colId="2">
      <filters>
        <filter val="C15"/>
      </filters>
    </filterColumn>
  </autoFilter>
  <mergeCells count="2">
    <mergeCell ref="B3:D3"/>
    <mergeCell ref="I6:J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1" orientation="portrait" copies="1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B858-8AD9-4B58-BA7D-F31FC5978068}">
  <sheetPr>
    <pageSetUpPr fitToPage="1"/>
  </sheetPr>
  <dimension ref="A2:AC95"/>
  <sheetViews>
    <sheetView showGridLines="0" topLeftCell="A23" workbookViewId="0">
      <selection activeCell="C29" sqref="C29"/>
    </sheetView>
  </sheetViews>
  <sheetFormatPr baseColWidth="10" defaultColWidth="10.796875" defaultRowHeight="14.25" outlineLevelCol="1" x14ac:dyDescent="0.45"/>
  <cols>
    <col min="1" max="1" width="16.3984375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0.796875" style="137"/>
    <col min="9" max="22" width="10.796875" style="137" hidden="1" customWidth="1"/>
    <col min="23" max="23" width="13.1328125" style="137" customWidth="1"/>
    <col min="24" max="24" width="34.796875" style="137" customWidth="1"/>
    <col min="25" max="28" width="10.796875" style="137" customWidth="1"/>
    <col min="29" max="29" width="0" style="137" hidden="1" customWidth="1"/>
    <col min="30" max="16384" width="10.796875" style="137"/>
  </cols>
  <sheetData>
    <row r="2" spans="1:29" ht="23.25" x14ac:dyDescent="0.45">
      <c r="A2" s="137" t="s">
        <v>18</v>
      </c>
      <c r="B2" s="269" t="s">
        <v>43</v>
      </c>
      <c r="C2" s="238"/>
      <c r="D2" s="238"/>
    </row>
    <row r="3" spans="1:29" ht="22.5" hidden="1" customHeight="1" x14ac:dyDescent="0.45">
      <c r="A3" s="137" t="s">
        <v>14</v>
      </c>
      <c r="B3" s="492">
        <v>45627</v>
      </c>
      <c r="C3" s="493"/>
      <c r="D3" s="493"/>
      <c r="E3" s="249"/>
      <c r="F3" s="249"/>
      <c r="G3" s="249"/>
      <c r="H3" s="140"/>
    </row>
    <row r="4" spans="1:29" ht="28.5" customHeight="1" x14ac:dyDescent="0.45">
      <c r="A4" s="137" t="s">
        <v>13</v>
      </c>
      <c r="B4" s="306" t="str">
        <f>VLOOKUP(B2,'Liste chauffeur'!$B$5:$L$20,2,TRUE)&amp;" "&amp;VLOOKUP(B2,'Liste chauffeur'!$B$5:$L$20,3,TRUE)</f>
        <v>MADI BOINA Mkidachi</v>
      </c>
      <c r="C4" s="259"/>
      <c r="D4" s="259"/>
      <c r="E4" s="139"/>
      <c r="F4" s="139"/>
      <c r="G4" s="139"/>
      <c r="H4" s="140"/>
      <c r="J4" s="276"/>
      <c r="M4" s="276"/>
    </row>
    <row r="6" spans="1:29" x14ac:dyDescent="0.45">
      <c r="A6" s="141"/>
      <c r="B6" s="142"/>
      <c r="C6" s="142"/>
      <c r="D6" s="142"/>
      <c r="E6" s="142"/>
      <c r="F6" s="142"/>
      <c r="G6" s="142"/>
      <c r="H6" s="142"/>
      <c r="I6" s="496" t="s">
        <v>2</v>
      </c>
      <c r="J6" s="497"/>
      <c r="K6" s="340"/>
      <c r="L6" s="281"/>
      <c r="M6" s="498" t="s">
        <v>6</v>
      </c>
      <c r="N6" s="498"/>
      <c r="O6" s="498"/>
      <c r="P6" s="281"/>
      <c r="Q6" s="498" t="s">
        <v>7</v>
      </c>
      <c r="R6" s="498"/>
      <c r="S6" s="498"/>
      <c r="T6" s="281"/>
      <c r="U6" s="282"/>
      <c r="V6" s="305"/>
      <c r="W6" s="305" t="s">
        <v>360</v>
      </c>
      <c r="X6" s="282"/>
      <c r="Y6" s="282"/>
      <c r="Z6" s="282"/>
      <c r="AA6" s="282">
        <v>8</v>
      </c>
      <c r="AB6" s="282"/>
    </row>
    <row r="7" spans="1:29" ht="69.75" x14ac:dyDescent="0.45">
      <c r="A7" s="286"/>
      <c r="B7" s="287" t="s">
        <v>0</v>
      </c>
      <c r="C7" s="287" t="s">
        <v>341</v>
      </c>
      <c r="D7" s="287" t="s">
        <v>342</v>
      </c>
      <c r="E7" s="287" t="s">
        <v>1</v>
      </c>
      <c r="F7" s="287" t="s">
        <v>343</v>
      </c>
      <c r="G7" s="287" t="s">
        <v>344</v>
      </c>
      <c r="H7" s="287" t="s">
        <v>23</v>
      </c>
      <c r="I7" s="288" t="s">
        <v>131</v>
      </c>
      <c r="J7" s="288" t="s">
        <v>328</v>
      </c>
      <c r="K7" s="289" t="s">
        <v>5</v>
      </c>
      <c r="L7" s="289" t="s">
        <v>19</v>
      </c>
      <c r="M7" s="288" t="s">
        <v>131</v>
      </c>
      <c r="N7" s="288" t="s">
        <v>328</v>
      </c>
      <c r="O7" s="289" t="s">
        <v>9</v>
      </c>
      <c r="P7" s="289" t="s">
        <v>19</v>
      </c>
      <c r="Q7" s="288" t="s">
        <v>131</v>
      </c>
      <c r="R7" s="288" t="s">
        <v>328</v>
      </c>
      <c r="S7" s="290" t="s">
        <v>10</v>
      </c>
      <c r="T7" s="290" t="s">
        <v>19</v>
      </c>
      <c r="U7" s="290" t="s">
        <v>22</v>
      </c>
      <c r="V7" s="290"/>
      <c r="W7" s="287" t="s">
        <v>17</v>
      </c>
      <c r="X7" s="291" t="s">
        <v>12</v>
      </c>
      <c r="Y7" s="286" t="s">
        <v>20</v>
      </c>
      <c r="Z7" s="292" t="s">
        <v>38</v>
      </c>
      <c r="AA7" s="292" t="s">
        <v>39</v>
      </c>
      <c r="AB7" s="292" t="s">
        <v>40</v>
      </c>
      <c r="AC7" s="286"/>
    </row>
    <row r="8" spans="1:29" ht="23.25" x14ac:dyDescent="0.45">
      <c r="A8" s="324" t="str">
        <f>'Horaire samedi'!A8</f>
        <v>VAHIBE</v>
      </c>
      <c r="B8" s="325">
        <f>'Horaire samedi'!B8</f>
        <v>0.25</v>
      </c>
      <c r="C8" s="325" t="str">
        <f>'Horaire samedi'!C8</f>
        <v>C11</v>
      </c>
      <c r="D8" s="294" t="str">
        <f>VLOOKUP(C8,'Liste chauffeur'!$B$5:$L$20,2,TRUE)&amp;" "&amp;VLOOKUP(C8,'Liste chauffeur'!$B$5:$L$20,3,TRUE)</f>
        <v>MADI BOINA Mkidachi</v>
      </c>
      <c r="E8" s="330"/>
      <c r="F8" s="335">
        <f t="shared" ref="F8:F55" si="0">COUNTBLANK(E8)</f>
        <v>1</v>
      </c>
      <c r="G8" s="348"/>
      <c r="H8" s="349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2"/>
      <c r="T8" s="332"/>
      <c r="U8" s="332"/>
      <c r="V8" s="332"/>
      <c r="W8" s="349"/>
      <c r="X8" s="333"/>
      <c r="Y8" s="297" t="str">
        <f t="shared" ref="Y8:Y11" si="1">IF(F8=1,"",W8-E8)</f>
        <v/>
      </c>
      <c r="Z8" s="296">
        <f t="shared" ref="Z8:Z55" si="2">H8+J8-I8</f>
        <v>0</v>
      </c>
      <c r="AA8" s="296">
        <f t="shared" ref="AA8:AA42" si="3">IF(F8=1,0,AA$6)</f>
        <v>0</v>
      </c>
      <c r="AB8" s="298">
        <f t="shared" ref="AB8:AB42" si="4">IF(AA8=0,0,Z8/AA8)</f>
        <v>0</v>
      </c>
      <c r="AC8" s="286"/>
    </row>
    <row r="9" spans="1:29" ht="33" customHeight="1" x14ac:dyDescent="0.45">
      <c r="A9" s="324" t="str">
        <f>'Horaire samedi'!A9</f>
        <v>VAHIBE</v>
      </c>
      <c r="B9" s="325">
        <f>'Horaire samedi'!B9</f>
        <v>0.27083333333333331</v>
      </c>
      <c r="C9" s="325" t="str">
        <f>'Horaire samedi'!C9</f>
        <v>C9</v>
      </c>
      <c r="D9" s="294" t="str">
        <f>VLOOKUP(C9,'Liste chauffeur'!$B$5:$L$20,2,TRUE)&amp;" "&amp;VLOOKUP(C9,'Liste chauffeur'!$B$5:$L$20,3,TRUE)</f>
        <v>SANDI Maanrouf</v>
      </c>
      <c r="E9" s="330"/>
      <c r="F9" s="335">
        <f t="shared" si="0"/>
        <v>1</v>
      </c>
      <c r="G9" s="348"/>
      <c r="H9" s="349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2"/>
      <c r="T9" s="332"/>
      <c r="U9" s="332"/>
      <c r="V9" s="332"/>
      <c r="W9" s="349"/>
      <c r="X9" s="333"/>
      <c r="Y9" s="297" t="str">
        <f t="shared" si="1"/>
        <v/>
      </c>
      <c r="Z9" s="296">
        <f>H9+J9-I9</f>
        <v>0</v>
      </c>
      <c r="AA9" s="296">
        <f t="shared" si="3"/>
        <v>0</v>
      </c>
      <c r="AB9" s="298">
        <f t="shared" si="4"/>
        <v>0</v>
      </c>
      <c r="AC9" s="286"/>
    </row>
    <row r="10" spans="1:29" ht="29" customHeight="1" x14ac:dyDescent="0.45">
      <c r="A10" s="324" t="str">
        <f>'Horaire samedi'!A10</f>
        <v>PASSAMAINTY</v>
      </c>
      <c r="B10" s="325">
        <f>'Horaire samedi'!B10</f>
        <v>0.27083333333333331</v>
      </c>
      <c r="C10" s="325" t="str">
        <f>'Horaire samedi'!C10</f>
        <v>C11</v>
      </c>
      <c r="D10" s="294" t="str">
        <f>VLOOKUP(C10,'Liste chauffeur'!$B$5:$L$20,2,TRUE)&amp;" "&amp;VLOOKUP(C10,'Liste chauffeur'!$B$5:$L$20,3,TRUE)</f>
        <v>MADI BOINA Mkidachi</v>
      </c>
      <c r="E10" s="330"/>
      <c r="F10" s="335">
        <f t="shared" si="0"/>
        <v>1</v>
      </c>
      <c r="G10" s="348"/>
      <c r="H10" s="349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2"/>
      <c r="T10" s="332"/>
      <c r="U10" s="332"/>
      <c r="V10" s="332"/>
      <c r="W10" s="349"/>
      <c r="X10" s="333"/>
      <c r="Y10" s="297" t="str">
        <f t="shared" si="1"/>
        <v/>
      </c>
      <c r="Z10" s="296">
        <f t="shared" si="2"/>
        <v>0</v>
      </c>
      <c r="AA10" s="296">
        <f t="shared" si="3"/>
        <v>0</v>
      </c>
      <c r="AB10" s="298">
        <f t="shared" si="4"/>
        <v>0</v>
      </c>
      <c r="AC10" s="286"/>
    </row>
    <row r="11" spans="1:29" ht="35.25" customHeight="1" x14ac:dyDescent="0.45">
      <c r="A11" s="324" t="str">
        <f>'Horaire samedi'!A11</f>
        <v>VAHIBE</v>
      </c>
      <c r="B11" s="325">
        <f>'Horaire samedi'!B11</f>
        <v>0.29166666666666669</v>
      </c>
      <c r="C11" s="325" t="str">
        <f>'Horaire samedi'!C11</f>
        <v>C11</v>
      </c>
      <c r="D11" s="294" t="str">
        <f>VLOOKUP(C11,'Liste chauffeur'!$B$5:$L$20,2,TRUE)&amp;" "&amp;VLOOKUP(C11,'Liste chauffeur'!$B$5:$L$20,3,TRUE)</f>
        <v>MADI BOINA Mkidachi</v>
      </c>
      <c r="E11" s="330"/>
      <c r="F11" s="335">
        <f t="shared" si="0"/>
        <v>1</v>
      </c>
      <c r="G11" s="348"/>
      <c r="H11" s="349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2"/>
      <c r="T11" s="332"/>
      <c r="U11" s="332"/>
      <c r="V11" s="332"/>
      <c r="W11" s="349"/>
      <c r="X11" s="333"/>
      <c r="Y11" s="297" t="str">
        <f t="shared" si="1"/>
        <v/>
      </c>
      <c r="Z11" s="296">
        <f t="shared" si="2"/>
        <v>0</v>
      </c>
      <c r="AA11" s="296">
        <f t="shared" si="3"/>
        <v>0</v>
      </c>
      <c r="AB11" s="298">
        <f t="shared" si="4"/>
        <v>0</v>
      </c>
      <c r="AC11" s="286"/>
    </row>
    <row r="12" spans="1:29" ht="40.049999999999997" customHeight="1" x14ac:dyDescent="0.45">
      <c r="A12" s="324" t="str">
        <f>'Horaire samedi'!A12</f>
        <v>PASSAMAINTY</v>
      </c>
      <c r="B12" s="325">
        <f>'Horaire samedi'!B12</f>
        <v>0.29166666666666669</v>
      </c>
      <c r="C12" s="325" t="str">
        <f>'Horaire samedi'!C12</f>
        <v>C9</v>
      </c>
      <c r="D12" s="294" t="str">
        <f>VLOOKUP(C12,'Liste chauffeur'!$B$5:$L$20,2,TRUE)&amp;" "&amp;VLOOKUP(C12,'Liste chauffeur'!$B$5:$L$20,3,TRUE)</f>
        <v>SANDI Maanrouf</v>
      </c>
      <c r="E12" s="334"/>
      <c r="F12" s="335">
        <f t="shared" si="0"/>
        <v>1</v>
      </c>
      <c r="G12" s="350"/>
      <c r="H12" s="336"/>
      <c r="I12" s="336"/>
      <c r="J12" s="336"/>
      <c r="K12" s="334"/>
      <c r="L12" s="334">
        <f t="shared" ref="L12:L48" si="5">K12-E12</f>
        <v>0</v>
      </c>
      <c r="M12" s="336"/>
      <c r="N12" s="336"/>
      <c r="O12" s="334"/>
      <c r="P12" s="334">
        <f>O12-K12</f>
        <v>0</v>
      </c>
      <c r="Q12" s="336"/>
      <c r="R12" s="336"/>
      <c r="S12" s="334"/>
      <c r="T12" s="334">
        <f>S12-O12</f>
        <v>0</v>
      </c>
      <c r="U12" s="336"/>
      <c r="V12" s="336" t="str">
        <f>IF(H12-I12+J12-M12+N12-Q12+R12=U12,"OK",H12-I12+J12-M12+N12-Q12+R12-U12)</f>
        <v>OK</v>
      </c>
      <c r="W12" s="334"/>
      <c r="X12" s="336"/>
      <c r="Y12" s="297" t="str">
        <f t="shared" ref="Y12:Y42" si="6">IF(F12=1,"",W12-E12)</f>
        <v/>
      </c>
      <c r="Z12" s="296">
        <f t="shared" si="2"/>
        <v>0</v>
      </c>
      <c r="AA12" s="296">
        <f t="shared" si="3"/>
        <v>0</v>
      </c>
      <c r="AB12" s="298">
        <f t="shared" si="4"/>
        <v>0</v>
      </c>
      <c r="AC12" s="286"/>
    </row>
    <row r="13" spans="1:29" ht="40.049999999999997" customHeight="1" x14ac:dyDescent="0.45">
      <c r="A13" s="324" t="str">
        <f>'Horaire samedi'!A13</f>
        <v>VAHIBE</v>
      </c>
      <c r="B13" s="325">
        <f>'Horaire samedi'!B13</f>
        <v>0.3125</v>
      </c>
      <c r="C13" s="325" t="str">
        <f>'Horaire samedi'!C13</f>
        <v>C11</v>
      </c>
      <c r="D13" s="294" t="str">
        <f>VLOOKUP(C13,'Liste chauffeur'!$B$5:$L$20,2,TRUE)&amp;" "&amp;VLOOKUP(C13,'Liste chauffeur'!$B$5:$L$20,3,TRUE)</f>
        <v>MADI BOINA Mkidachi</v>
      </c>
      <c r="E13" s="334"/>
      <c r="F13" s="335">
        <f t="shared" si="0"/>
        <v>1</v>
      </c>
      <c r="G13" s="350"/>
      <c r="H13" s="336"/>
      <c r="I13" s="336"/>
      <c r="J13" s="336"/>
      <c r="K13" s="334"/>
      <c r="L13" s="334">
        <f t="shared" si="5"/>
        <v>0</v>
      </c>
      <c r="M13" s="336"/>
      <c r="N13" s="336"/>
      <c r="O13" s="334"/>
      <c r="P13" s="334">
        <f t="shared" ref="P13:P34" si="7">O13-K13</f>
        <v>0</v>
      </c>
      <c r="Q13" s="336"/>
      <c r="R13" s="336"/>
      <c r="S13" s="334"/>
      <c r="T13" s="334">
        <f t="shared" ref="T13:T34" si="8">S13-O13</f>
        <v>0</v>
      </c>
      <c r="U13" s="336"/>
      <c r="V13" s="336"/>
      <c r="W13" s="334"/>
      <c r="X13" s="336"/>
      <c r="Y13" s="297" t="str">
        <f t="shared" si="6"/>
        <v/>
      </c>
      <c r="Z13" s="296">
        <f t="shared" si="2"/>
        <v>0</v>
      </c>
      <c r="AA13" s="296">
        <f t="shared" si="3"/>
        <v>0</v>
      </c>
      <c r="AB13" s="299">
        <f t="shared" si="4"/>
        <v>0</v>
      </c>
      <c r="AC13" s="286"/>
    </row>
    <row r="14" spans="1:29" ht="40.049999999999997" customHeight="1" x14ac:dyDescent="0.45">
      <c r="A14" s="324" t="str">
        <f>'Horaire samedi'!A14</f>
        <v>PASSAMAINTY</v>
      </c>
      <c r="B14" s="325">
        <f>'Horaire samedi'!B14</f>
        <v>0.3125</v>
      </c>
      <c r="C14" s="325" t="str">
        <f>'Horaire samedi'!C14</f>
        <v>C9</v>
      </c>
      <c r="D14" s="294" t="str">
        <f>VLOOKUP(C14,'Liste chauffeur'!$B$5:$L$20,2,TRUE)&amp;" "&amp;VLOOKUP(C14,'Liste chauffeur'!$B$5:$L$20,3,TRUE)</f>
        <v>SANDI Maanrouf</v>
      </c>
      <c r="E14" s="334"/>
      <c r="F14" s="335">
        <f t="shared" si="0"/>
        <v>1</v>
      </c>
      <c r="G14" s="350"/>
      <c r="H14" s="336"/>
      <c r="I14" s="336"/>
      <c r="J14" s="336"/>
      <c r="K14" s="334"/>
      <c r="L14" s="334">
        <f t="shared" si="5"/>
        <v>0</v>
      </c>
      <c r="M14" s="336"/>
      <c r="N14" s="336"/>
      <c r="O14" s="334"/>
      <c r="P14" s="334">
        <f t="shared" si="7"/>
        <v>0</v>
      </c>
      <c r="Q14" s="336"/>
      <c r="R14" s="336"/>
      <c r="S14" s="334"/>
      <c r="T14" s="334">
        <f t="shared" si="8"/>
        <v>0</v>
      </c>
      <c r="U14" s="336"/>
      <c r="V14" s="336"/>
      <c r="W14" s="334"/>
      <c r="X14" s="336"/>
      <c r="Y14" s="297" t="str">
        <f t="shared" si="6"/>
        <v/>
      </c>
      <c r="Z14" s="296">
        <f t="shared" si="2"/>
        <v>0</v>
      </c>
      <c r="AA14" s="296">
        <f t="shared" si="3"/>
        <v>0</v>
      </c>
      <c r="AB14" s="299">
        <f t="shared" si="4"/>
        <v>0</v>
      </c>
      <c r="AC14" s="286"/>
    </row>
    <row r="15" spans="1:29" ht="32.25" customHeight="1" x14ac:dyDescent="0.45">
      <c r="A15" s="324" t="str">
        <f>'Horaire samedi'!A15</f>
        <v>VAHIBE</v>
      </c>
      <c r="B15" s="325">
        <f>'Horaire samedi'!B15</f>
        <v>0.33333333333333331</v>
      </c>
      <c r="C15" s="325" t="str">
        <f>'Horaire samedi'!C15</f>
        <v>C9</v>
      </c>
      <c r="D15" s="294" t="str">
        <f>VLOOKUP(C15,'Liste chauffeur'!$B$5:$L$20,2,TRUE)&amp;" "&amp;VLOOKUP(C15,'Liste chauffeur'!$B$5:$L$20,3,TRUE)</f>
        <v>SANDI Maanrouf</v>
      </c>
      <c r="E15" s="334"/>
      <c r="F15" s="335">
        <f t="shared" si="0"/>
        <v>1</v>
      </c>
      <c r="G15" s="350"/>
      <c r="H15" s="336"/>
      <c r="I15" s="336"/>
      <c r="J15" s="336"/>
      <c r="K15" s="334"/>
      <c r="L15" s="334">
        <f t="shared" si="5"/>
        <v>0</v>
      </c>
      <c r="M15" s="336"/>
      <c r="N15" s="336"/>
      <c r="O15" s="334"/>
      <c r="P15" s="334">
        <f t="shared" si="7"/>
        <v>0</v>
      </c>
      <c r="Q15" s="336"/>
      <c r="R15" s="336"/>
      <c r="S15" s="334"/>
      <c r="T15" s="334">
        <f t="shared" si="8"/>
        <v>0</v>
      </c>
      <c r="U15" s="336"/>
      <c r="V15" s="336"/>
      <c r="W15" s="334"/>
      <c r="X15" s="336"/>
      <c r="Y15" s="297" t="str">
        <f t="shared" si="6"/>
        <v/>
      </c>
      <c r="Z15" s="296">
        <f t="shared" si="2"/>
        <v>0</v>
      </c>
      <c r="AA15" s="296">
        <f t="shared" si="3"/>
        <v>0</v>
      </c>
      <c r="AB15" s="299">
        <f t="shared" si="4"/>
        <v>0</v>
      </c>
      <c r="AC15" s="286"/>
    </row>
    <row r="16" spans="1:29" ht="40.049999999999997" customHeight="1" x14ac:dyDescent="0.45">
      <c r="A16" s="324" t="str">
        <f>'Horaire samedi'!A16</f>
        <v>PASSAMAINTY</v>
      </c>
      <c r="B16" s="325">
        <f>'Horaire samedi'!B16</f>
        <v>0.33333333333333331</v>
      </c>
      <c r="C16" s="325" t="str">
        <f>'Horaire samedi'!C16</f>
        <v>C11</v>
      </c>
      <c r="D16" s="294" t="str">
        <f>VLOOKUP(C16,'Liste chauffeur'!$B$5:$L$20,2,TRUE)&amp;" "&amp;VLOOKUP(C16,'Liste chauffeur'!$B$5:$L$20,3,TRUE)</f>
        <v>MADI BOINA Mkidachi</v>
      </c>
      <c r="E16" s="334"/>
      <c r="F16" s="335">
        <f t="shared" si="0"/>
        <v>1</v>
      </c>
      <c r="G16" s="350"/>
      <c r="H16" s="336"/>
      <c r="I16" s="336"/>
      <c r="J16" s="336"/>
      <c r="K16" s="334"/>
      <c r="L16" s="334">
        <f t="shared" si="5"/>
        <v>0</v>
      </c>
      <c r="M16" s="336"/>
      <c r="N16" s="336"/>
      <c r="O16" s="334"/>
      <c r="P16" s="334">
        <f t="shared" si="7"/>
        <v>0</v>
      </c>
      <c r="Q16" s="336"/>
      <c r="R16" s="336"/>
      <c r="S16" s="334"/>
      <c r="T16" s="334">
        <f t="shared" si="8"/>
        <v>0</v>
      </c>
      <c r="U16" s="336"/>
      <c r="V16" s="336" t="str">
        <f t="shared" ref="V16:V47" si="9">IF(H16-I16+J16-M16+N16-Q16+R16=U16,"OK",H16-I16+J16-M16+N16-Q16+R16-U16)</f>
        <v>OK</v>
      </c>
      <c r="W16" s="334"/>
      <c r="X16" s="336"/>
      <c r="Y16" s="297" t="str">
        <f t="shared" si="6"/>
        <v/>
      </c>
      <c r="Z16" s="296">
        <f t="shared" si="2"/>
        <v>0</v>
      </c>
      <c r="AA16" s="296">
        <f t="shared" si="3"/>
        <v>0</v>
      </c>
      <c r="AB16" s="299">
        <f t="shared" si="4"/>
        <v>0</v>
      </c>
      <c r="AC16" s="286"/>
    </row>
    <row r="17" spans="1:29" ht="40.049999999999997" customHeight="1" x14ac:dyDescent="0.45">
      <c r="A17" s="324" t="str">
        <f>'Horaire samedi'!A17</f>
        <v>VAHIBE</v>
      </c>
      <c r="B17" s="325">
        <f>'Horaire samedi'!B17</f>
        <v>0.375</v>
      </c>
      <c r="C17" s="325" t="str">
        <f>'Horaire samedi'!C17</f>
        <v>C11</v>
      </c>
      <c r="D17" s="294" t="str">
        <f>VLOOKUP(C17,'Liste chauffeur'!$B$5:$L$20,2,TRUE)&amp;" "&amp;VLOOKUP(C17,'Liste chauffeur'!$B$5:$L$20,3,TRUE)</f>
        <v>MADI BOINA Mkidachi</v>
      </c>
      <c r="E17" s="334"/>
      <c r="F17" s="335">
        <f t="shared" si="0"/>
        <v>1</v>
      </c>
      <c r="G17" s="350"/>
      <c r="H17" s="336"/>
      <c r="I17" s="336"/>
      <c r="J17" s="336"/>
      <c r="K17" s="334"/>
      <c r="L17" s="334">
        <f t="shared" si="5"/>
        <v>0</v>
      </c>
      <c r="M17" s="336"/>
      <c r="N17" s="336"/>
      <c r="O17" s="334"/>
      <c r="P17" s="334">
        <f t="shared" si="7"/>
        <v>0</v>
      </c>
      <c r="Q17" s="336"/>
      <c r="R17" s="336"/>
      <c r="S17" s="334"/>
      <c r="T17" s="334">
        <f t="shared" si="8"/>
        <v>0</v>
      </c>
      <c r="U17" s="336"/>
      <c r="V17" s="336" t="str">
        <f t="shared" si="9"/>
        <v>OK</v>
      </c>
      <c r="W17" s="334"/>
      <c r="X17" s="336"/>
      <c r="Y17" s="297" t="str">
        <f t="shared" si="6"/>
        <v/>
      </c>
      <c r="Z17" s="296">
        <f t="shared" si="2"/>
        <v>0</v>
      </c>
      <c r="AA17" s="296">
        <f t="shared" si="3"/>
        <v>0</v>
      </c>
      <c r="AB17" s="299">
        <f t="shared" si="4"/>
        <v>0</v>
      </c>
      <c r="AC17" s="286"/>
    </row>
    <row r="18" spans="1:29" ht="40.049999999999997" customHeight="1" x14ac:dyDescent="0.45">
      <c r="A18" s="324" t="str">
        <f>'Horaire samedi'!A18</f>
        <v>PASSAMAINTY</v>
      </c>
      <c r="B18" s="325">
        <f>'Horaire samedi'!B18</f>
        <v>0.375</v>
      </c>
      <c r="C18" s="325" t="str">
        <f>'Horaire samedi'!C18</f>
        <v>C9</v>
      </c>
      <c r="D18" s="407" t="str">
        <f>VLOOKUP(C18,'Liste chauffeur'!$B$5:$L$20,2,TRUE)&amp;" "&amp;VLOOKUP(C18,'Liste chauffeur'!$B$5:$L$20,3,TRUE)</f>
        <v>SANDI Maanrouf</v>
      </c>
      <c r="E18" s="334"/>
      <c r="F18" s="335">
        <f t="shared" si="0"/>
        <v>1</v>
      </c>
      <c r="G18" s="350"/>
      <c r="H18" s="336"/>
      <c r="I18" s="336"/>
      <c r="J18" s="336"/>
      <c r="K18" s="334"/>
      <c r="L18" s="334"/>
      <c r="M18" s="336"/>
      <c r="N18" s="336"/>
      <c r="O18" s="334"/>
      <c r="P18" s="334"/>
      <c r="Q18" s="336"/>
      <c r="R18" s="336"/>
      <c r="S18" s="334"/>
      <c r="T18" s="334"/>
      <c r="U18" s="336"/>
      <c r="V18" s="336"/>
      <c r="W18" s="334"/>
      <c r="X18" s="336"/>
      <c r="Y18" s="297"/>
      <c r="Z18" s="296">
        <f t="shared" si="2"/>
        <v>0</v>
      </c>
      <c r="AA18" s="296">
        <f t="shared" si="3"/>
        <v>0</v>
      </c>
      <c r="AB18" s="299">
        <f t="shared" si="4"/>
        <v>0</v>
      </c>
      <c r="AC18" s="286"/>
    </row>
    <row r="19" spans="1:29" ht="40.049999999999997" customHeight="1" x14ac:dyDescent="0.45">
      <c r="A19" s="324" t="str">
        <f>'Horaire samedi'!A19</f>
        <v>VAHIBE</v>
      </c>
      <c r="B19" s="325">
        <f>'Horaire samedi'!B19</f>
        <v>0.39583333333333331</v>
      </c>
      <c r="C19" s="325" t="str">
        <f>'Horaire samedi'!C19</f>
        <v>C9</v>
      </c>
      <c r="D19" s="294" t="str">
        <f>VLOOKUP(C19,'Liste chauffeur'!$B$5:$L$20,2,TRUE)&amp;" "&amp;VLOOKUP(C19,'Liste chauffeur'!$B$5:$L$20,3,TRUE)</f>
        <v>SANDI Maanrouf</v>
      </c>
      <c r="E19" s="334"/>
      <c r="F19" s="335">
        <f t="shared" si="0"/>
        <v>1</v>
      </c>
      <c r="G19" s="350"/>
      <c r="H19" s="336"/>
      <c r="I19" s="336"/>
      <c r="J19" s="336"/>
      <c r="K19" s="334"/>
      <c r="L19" s="334">
        <f t="shared" si="5"/>
        <v>0</v>
      </c>
      <c r="M19" s="336"/>
      <c r="N19" s="336"/>
      <c r="O19" s="334"/>
      <c r="P19" s="334">
        <f t="shared" si="7"/>
        <v>0</v>
      </c>
      <c r="Q19" s="336"/>
      <c r="R19" s="336"/>
      <c r="S19" s="334"/>
      <c r="T19" s="334">
        <f t="shared" si="8"/>
        <v>0</v>
      </c>
      <c r="U19" s="336"/>
      <c r="V19" s="336" t="str">
        <f t="shared" si="9"/>
        <v>OK</v>
      </c>
      <c r="W19" s="334"/>
      <c r="X19" s="336"/>
      <c r="Y19" s="297" t="str">
        <f t="shared" si="6"/>
        <v/>
      </c>
      <c r="Z19" s="296">
        <f t="shared" si="2"/>
        <v>0</v>
      </c>
      <c r="AA19" s="296">
        <f t="shared" si="3"/>
        <v>0</v>
      </c>
      <c r="AB19" s="299">
        <f t="shared" si="4"/>
        <v>0</v>
      </c>
      <c r="AC19" s="286"/>
    </row>
    <row r="20" spans="1:29" ht="40.049999999999997" customHeight="1" x14ac:dyDescent="0.45">
      <c r="A20" s="324" t="str">
        <f>'Horaire samedi'!A20</f>
        <v>PASSAMAINTY</v>
      </c>
      <c r="B20" s="325">
        <f>'Horaire samedi'!B20</f>
        <v>0.39583333333333331</v>
      </c>
      <c r="C20" s="325" t="str">
        <f>'Horaire samedi'!C20</f>
        <v>C11</v>
      </c>
      <c r="D20" s="294" t="str">
        <f>VLOOKUP(C20,'Liste chauffeur'!$B$5:$L$20,2,TRUE)&amp;" "&amp;VLOOKUP(C20,'Liste chauffeur'!$B$5:$L$20,3,TRUE)</f>
        <v>MADI BOINA Mkidachi</v>
      </c>
      <c r="E20" s="334"/>
      <c r="F20" s="335">
        <f t="shared" si="0"/>
        <v>1</v>
      </c>
      <c r="G20" s="350"/>
      <c r="H20" s="336"/>
      <c r="I20" s="336"/>
      <c r="J20" s="336"/>
      <c r="K20" s="334"/>
      <c r="L20" s="334">
        <f t="shared" si="5"/>
        <v>0</v>
      </c>
      <c r="M20" s="336"/>
      <c r="N20" s="336"/>
      <c r="O20" s="334"/>
      <c r="P20" s="334">
        <f t="shared" si="7"/>
        <v>0</v>
      </c>
      <c r="Q20" s="336"/>
      <c r="R20" s="336"/>
      <c r="S20" s="334"/>
      <c r="T20" s="334">
        <f t="shared" si="8"/>
        <v>0</v>
      </c>
      <c r="U20" s="336"/>
      <c r="V20" s="336" t="str">
        <f t="shared" si="9"/>
        <v>OK</v>
      </c>
      <c r="W20" s="334"/>
      <c r="X20" s="336"/>
      <c r="Y20" s="297" t="str">
        <f t="shared" si="6"/>
        <v/>
      </c>
      <c r="Z20" s="296">
        <f t="shared" si="2"/>
        <v>0</v>
      </c>
      <c r="AA20" s="296">
        <f t="shared" si="3"/>
        <v>0</v>
      </c>
      <c r="AB20" s="299">
        <f t="shared" si="4"/>
        <v>0</v>
      </c>
      <c r="AC20" s="286"/>
    </row>
    <row r="21" spans="1:29" ht="40.049999999999997" customHeight="1" x14ac:dyDescent="0.45">
      <c r="A21" s="324" t="str">
        <f>'Horaire samedi'!A21</f>
        <v>VAHIBE</v>
      </c>
      <c r="B21" s="325">
        <f>'Horaire samedi'!B21</f>
        <v>0.41666666666666669</v>
      </c>
      <c r="C21" s="325" t="str">
        <f>'Horaire samedi'!C21</f>
        <v>C11</v>
      </c>
      <c r="D21" s="294" t="str">
        <f>VLOOKUP(C21,'Liste chauffeur'!$B$5:$L$20,2,TRUE)&amp;" "&amp;VLOOKUP(C21,'Liste chauffeur'!$B$5:$L$20,3,TRUE)</f>
        <v>MADI BOINA Mkidachi</v>
      </c>
      <c r="E21" s="334"/>
      <c r="F21" s="335">
        <f t="shared" si="0"/>
        <v>1</v>
      </c>
      <c r="G21" s="350"/>
      <c r="H21" s="336"/>
      <c r="I21" s="336"/>
      <c r="J21" s="336"/>
      <c r="K21" s="334"/>
      <c r="L21" s="334">
        <f t="shared" si="5"/>
        <v>0</v>
      </c>
      <c r="M21" s="336"/>
      <c r="N21" s="336"/>
      <c r="O21" s="334"/>
      <c r="P21" s="334">
        <f t="shared" si="7"/>
        <v>0</v>
      </c>
      <c r="Q21" s="336"/>
      <c r="R21" s="336"/>
      <c r="S21" s="334"/>
      <c r="T21" s="334">
        <f t="shared" si="8"/>
        <v>0</v>
      </c>
      <c r="U21" s="336"/>
      <c r="V21" s="336" t="str">
        <f t="shared" si="9"/>
        <v>OK</v>
      </c>
      <c r="W21" s="334"/>
      <c r="X21" s="336"/>
      <c r="Y21" s="297" t="str">
        <f t="shared" si="6"/>
        <v/>
      </c>
      <c r="Z21" s="296">
        <f t="shared" si="2"/>
        <v>0</v>
      </c>
      <c r="AA21" s="296">
        <f t="shared" si="3"/>
        <v>0</v>
      </c>
      <c r="AB21" s="299">
        <f t="shared" si="4"/>
        <v>0</v>
      </c>
      <c r="AC21" s="286"/>
    </row>
    <row r="22" spans="1:29" ht="40.049999999999997" customHeight="1" x14ac:dyDescent="0.45">
      <c r="A22" s="324" t="str">
        <f>'Horaire samedi'!A22</f>
        <v>PASSAMAINTY</v>
      </c>
      <c r="B22" s="325">
        <f>'Horaire samedi'!B22</f>
        <v>0.41666666666666669</v>
      </c>
      <c r="C22" s="325" t="str">
        <f>'Horaire samedi'!C22</f>
        <v>C9</v>
      </c>
      <c r="D22" s="294" t="str">
        <f>VLOOKUP(C22,'Liste chauffeur'!$B$5:$L$20,2,TRUE)&amp;" "&amp;VLOOKUP(C22,'Liste chauffeur'!$B$5:$L$20,3,TRUE)</f>
        <v>SANDI Maanrouf</v>
      </c>
      <c r="E22" s="334"/>
      <c r="F22" s="335">
        <f t="shared" si="0"/>
        <v>1</v>
      </c>
      <c r="G22" s="350"/>
      <c r="H22" s="336"/>
      <c r="I22" s="336"/>
      <c r="J22" s="336"/>
      <c r="K22" s="334"/>
      <c r="L22" s="334">
        <f t="shared" si="5"/>
        <v>0</v>
      </c>
      <c r="M22" s="336"/>
      <c r="N22" s="336"/>
      <c r="O22" s="334"/>
      <c r="P22" s="334">
        <f t="shared" si="7"/>
        <v>0</v>
      </c>
      <c r="Q22" s="336"/>
      <c r="R22" s="336"/>
      <c r="S22" s="334"/>
      <c r="T22" s="334">
        <f t="shared" si="8"/>
        <v>0</v>
      </c>
      <c r="U22" s="336"/>
      <c r="V22" s="336" t="str">
        <f t="shared" si="9"/>
        <v>OK</v>
      </c>
      <c r="W22" s="334"/>
      <c r="X22" s="336"/>
      <c r="Y22" s="297" t="str">
        <f t="shared" si="6"/>
        <v/>
      </c>
      <c r="Z22" s="296">
        <f t="shared" si="2"/>
        <v>0</v>
      </c>
      <c r="AA22" s="296">
        <f t="shared" si="3"/>
        <v>0</v>
      </c>
      <c r="AB22" s="299">
        <f t="shared" si="4"/>
        <v>0</v>
      </c>
      <c r="AC22" s="286"/>
    </row>
    <row r="23" spans="1:29" ht="40.049999999999997" customHeight="1" x14ac:dyDescent="0.45">
      <c r="A23" s="324" t="str">
        <f>'Horaire samedi'!A23</f>
        <v>VAHIBE</v>
      </c>
      <c r="B23" s="325">
        <f>'Horaire samedi'!B23</f>
        <v>0.4375</v>
      </c>
      <c r="C23" s="325" t="str">
        <f>'Horaire samedi'!C23</f>
        <v>C9</v>
      </c>
      <c r="D23" s="294" t="str">
        <f>VLOOKUP(C23,'Liste chauffeur'!$B$5:$L$20,2,TRUE)&amp;" "&amp;VLOOKUP(C23,'Liste chauffeur'!$B$5:$L$20,3,TRUE)</f>
        <v>SANDI Maanrouf</v>
      </c>
      <c r="E23" s="334"/>
      <c r="F23" s="335">
        <f t="shared" si="0"/>
        <v>1</v>
      </c>
      <c r="G23" s="350"/>
      <c r="H23" s="336"/>
      <c r="I23" s="336"/>
      <c r="J23" s="336"/>
      <c r="K23" s="334"/>
      <c r="L23" s="334">
        <f t="shared" si="5"/>
        <v>0</v>
      </c>
      <c r="M23" s="336"/>
      <c r="N23" s="336"/>
      <c r="O23" s="334"/>
      <c r="P23" s="334">
        <f t="shared" si="7"/>
        <v>0</v>
      </c>
      <c r="Q23" s="336"/>
      <c r="R23" s="336"/>
      <c r="S23" s="334"/>
      <c r="T23" s="334">
        <f t="shared" si="8"/>
        <v>0</v>
      </c>
      <c r="U23" s="336"/>
      <c r="V23" s="336" t="str">
        <f t="shared" si="9"/>
        <v>OK</v>
      </c>
      <c r="W23" s="334"/>
      <c r="X23" s="336"/>
      <c r="Y23" s="297" t="str">
        <f t="shared" si="6"/>
        <v/>
      </c>
      <c r="Z23" s="296">
        <f t="shared" si="2"/>
        <v>0</v>
      </c>
      <c r="AA23" s="296">
        <f t="shared" si="3"/>
        <v>0</v>
      </c>
      <c r="AB23" s="299">
        <f t="shared" si="4"/>
        <v>0</v>
      </c>
      <c r="AC23" s="286"/>
    </row>
    <row r="24" spans="1:29" ht="40.049999999999997" customHeight="1" x14ac:dyDescent="0.45">
      <c r="A24" s="324" t="str">
        <f>'Horaire samedi'!A24</f>
        <v>PASSAMAINTY</v>
      </c>
      <c r="B24" s="325">
        <f>'Horaire samedi'!B24</f>
        <v>0.4375</v>
      </c>
      <c r="C24" s="325" t="str">
        <f>'Horaire samedi'!C24</f>
        <v>C11</v>
      </c>
      <c r="D24" s="294" t="str">
        <f>VLOOKUP(C24,'Liste chauffeur'!$B$5:$L$20,2,TRUE)&amp;" "&amp;VLOOKUP(C24,'Liste chauffeur'!$B$5:$L$20,3,TRUE)</f>
        <v>MADI BOINA Mkidachi</v>
      </c>
      <c r="E24" s="334"/>
      <c r="F24" s="335">
        <f t="shared" si="0"/>
        <v>1</v>
      </c>
      <c r="G24" s="350"/>
      <c r="H24" s="336"/>
      <c r="I24" s="336"/>
      <c r="J24" s="336"/>
      <c r="K24" s="334"/>
      <c r="L24" s="334">
        <f t="shared" si="5"/>
        <v>0</v>
      </c>
      <c r="M24" s="336"/>
      <c r="N24" s="336"/>
      <c r="O24" s="334"/>
      <c r="P24" s="334">
        <f t="shared" si="7"/>
        <v>0</v>
      </c>
      <c r="Q24" s="336"/>
      <c r="R24" s="336"/>
      <c r="S24" s="334"/>
      <c r="T24" s="334">
        <f t="shared" si="8"/>
        <v>0</v>
      </c>
      <c r="U24" s="336"/>
      <c r="V24" s="336" t="str">
        <f t="shared" si="9"/>
        <v>OK</v>
      </c>
      <c r="W24" s="334"/>
      <c r="X24" s="336"/>
      <c r="Y24" s="297" t="str">
        <f t="shared" si="6"/>
        <v/>
      </c>
      <c r="Z24" s="296">
        <f t="shared" si="2"/>
        <v>0</v>
      </c>
      <c r="AA24" s="296">
        <f t="shared" si="3"/>
        <v>0</v>
      </c>
      <c r="AB24" s="299">
        <f t="shared" si="4"/>
        <v>0</v>
      </c>
      <c r="AC24" s="286"/>
    </row>
    <row r="25" spans="1:29" ht="40.049999999999997" customHeight="1" x14ac:dyDescent="0.45">
      <c r="A25" s="324" t="str">
        <f>'Horaire samedi'!A25</f>
        <v>VAHIBE</v>
      </c>
      <c r="B25" s="325">
        <f>'Horaire samedi'!B25</f>
        <v>0.45833333333333331</v>
      </c>
      <c r="C25" s="325" t="str">
        <f>'Horaire samedi'!C25</f>
        <v>C11</v>
      </c>
      <c r="D25" s="294" t="str">
        <f>VLOOKUP(C25,'Liste chauffeur'!$B$5:$L$20,2,TRUE)&amp;" "&amp;VLOOKUP(C25,'Liste chauffeur'!$B$5:$L$20,3,TRUE)</f>
        <v>MADI BOINA Mkidachi</v>
      </c>
      <c r="E25" s="334"/>
      <c r="F25" s="335">
        <f t="shared" si="0"/>
        <v>1</v>
      </c>
      <c r="G25" s="350"/>
      <c r="H25" s="336"/>
      <c r="I25" s="336"/>
      <c r="J25" s="336"/>
      <c r="K25" s="334"/>
      <c r="L25" s="334"/>
      <c r="M25" s="336"/>
      <c r="N25" s="336"/>
      <c r="O25" s="334"/>
      <c r="P25" s="334"/>
      <c r="Q25" s="336"/>
      <c r="R25" s="336"/>
      <c r="S25" s="334"/>
      <c r="T25" s="334"/>
      <c r="U25" s="336"/>
      <c r="V25" s="336"/>
      <c r="W25" s="334"/>
      <c r="X25" s="336"/>
      <c r="Y25" s="297"/>
      <c r="Z25" s="296">
        <f t="shared" si="2"/>
        <v>0</v>
      </c>
      <c r="AA25" s="296">
        <f t="shared" si="3"/>
        <v>0</v>
      </c>
      <c r="AB25" s="299">
        <f t="shared" si="4"/>
        <v>0</v>
      </c>
      <c r="AC25" s="286"/>
    </row>
    <row r="26" spans="1:29" ht="40.049999999999997" customHeight="1" x14ac:dyDescent="0.45">
      <c r="A26" s="324" t="str">
        <f>'Horaire samedi'!A26</f>
        <v>PASSAMAINTY</v>
      </c>
      <c r="B26" s="325">
        <f>'Horaire samedi'!B26</f>
        <v>0.45833333333333331</v>
      </c>
      <c r="C26" s="325" t="str">
        <f>'Horaire samedi'!C26</f>
        <v>C9</v>
      </c>
      <c r="D26" s="294" t="str">
        <f>VLOOKUP(C26,'Liste chauffeur'!$B$5:$L$20,2,TRUE)&amp;" "&amp;VLOOKUP(C26,'Liste chauffeur'!$B$5:$L$20,3,TRUE)</f>
        <v>SANDI Maanrouf</v>
      </c>
      <c r="E26" s="334"/>
      <c r="F26" s="335">
        <f t="shared" si="0"/>
        <v>1</v>
      </c>
      <c r="G26" s="350"/>
      <c r="H26" s="336"/>
      <c r="I26" s="336"/>
      <c r="J26" s="336"/>
      <c r="K26" s="334"/>
      <c r="L26" s="334">
        <f t="shared" si="5"/>
        <v>0</v>
      </c>
      <c r="M26" s="336"/>
      <c r="N26" s="336"/>
      <c r="O26" s="334"/>
      <c r="P26" s="334">
        <f t="shared" si="7"/>
        <v>0</v>
      </c>
      <c r="Q26" s="336"/>
      <c r="R26" s="336"/>
      <c r="S26" s="334"/>
      <c r="T26" s="334">
        <f t="shared" si="8"/>
        <v>0</v>
      </c>
      <c r="U26" s="336"/>
      <c r="V26" s="336" t="str">
        <f t="shared" si="9"/>
        <v>OK</v>
      </c>
      <c r="W26" s="334"/>
      <c r="X26" s="336"/>
      <c r="Y26" s="297" t="str">
        <f t="shared" si="6"/>
        <v/>
      </c>
      <c r="Z26" s="296">
        <f t="shared" si="2"/>
        <v>0</v>
      </c>
      <c r="AA26" s="296">
        <f t="shared" si="3"/>
        <v>0</v>
      </c>
      <c r="AB26" s="299">
        <f t="shared" si="4"/>
        <v>0</v>
      </c>
      <c r="AC26" s="286"/>
    </row>
    <row r="27" spans="1:29" ht="40.049999999999997" customHeight="1" x14ac:dyDescent="0.45">
      <c r="A27" s="324" t="str">
        <f>'Horaire samedi'!A27</f>
        <v>VAHIBE</v>
      </c>
      <c r="B27" s="325">
        <f>'Horaire samedi'!B27</f>
        <v>0.47916666666666669</v>
      </c>
      <c r="C27" s="325" t="str">
        <f>'Horaire samedi'!C27</f>
        <v>C9</v>
      </c>
      <c r="D27" s="294" t="str">
        <f>VLOOKUP(C27,'Liste chauffeur'!$B$5:$L$20,2,TRUE)&amp;" "&amp;VLOOKUP(C27,'Liste chauffeur'!$B$5:$L$20,3,TRUE)</f>
        <v>SANDI Maanrouf</v>
      </c>
      <c r="E27" s="334"/>
      <c r="F27" s="335">
        <f t="shared" si="0"/>
        <v>1</v>
      </c>
      <c r="G27" s="350"/>
      <c r="H27" s="336"/>
      <c r="I27" s="336"/>
      <c r="J27" s="336"/>
      <c r="K27" s="334"/>
      <c r="L27" s="334">
        <f t="shared" si="5"/>
        <v>0</v>
      </c>
      <c r="M27" s="336"/>
      <c r="N27" s="336"/>
      <c r="O27" s="334"/>
      <c r="P27" s="334">
        <f t="shared" si="7"/>
        <v>0</v>
      </c>
      <c r="Q27" s="336"/>
      <c r="R27" s="336"/>
      <c r="S27" s="334"/>
      <c r="T27" s="334">
        <f t="shared" si="8"/>
        <v>0</v>
      </c>
      <c r="U27" s="336"/>
      <c r="V27" s="336" t="str">
        <f t="shared" si="9"/>
        <v>OK</v>
      </c>
      <c r="W27" s="334"/>
      <c r="X27" s="336"/>
      <c r="Y27" s="297" t="str">
        <f t="shared" si="6"/>
        <v/>
      </c>
      <c r="Z27" s="296">
        <f t="shared" si="2"/>
        <v>0</v>
      </c>
      <c r="AA27" s="296">
        <f t="shared" si="3"/>
        <v>0</v>
      </c>
      <c r="AB27" s="299">
        <f t="shared" si="4"/>
        <v>0</v>
      </c>
      <c r="AC27" s="286"/>
    </row>
    <row r="28" spans="1:29" ht="40.049999999999997" customHeight="1" x14ac:dyDescent="0.45">
      <c r="A28" s="324" t="str">
        <f>'Horaire samedi'!A28</f>
        <v>PASSAMAINTY</v>
      </c>
      <c r="B28" s="325">
        <f>'Horaire samedi'!B28</f>
        <v>0.47916666666666669</v>
      </c>
      <c r="C28" s="325" t="str">
        <f>'Horaire samedi'!C28</f>
        <v>C11</v>
      </c>
      <c r="D28" s="294" t="str">
        <f>VLOOKUP(C28,'Liste chauffeur'!$B$5:$L$20,2,TRUE)&amp;" "&amp;VLOOKUP(C28,'Liste chauffeur'!$B$5:$L$20,3,TRUE)</f>
        <v>MADI BOINA Mkidachi</v>
      </c>
      <c r="E28" s="334"/>
      <c r="F28" s="335">
        <f t="shared" si="0"/>
        <v>1</v>
      </c>
      <c r="G28" s="350"/>
      <c r="H28" s="336"/>
      <c r="I28" s="336"/>
      <c r="J28" s="336"/>
      <c r="K28" s="334"/>
      <c r="L28" s="334">
        <f t="shared" si="5"/>
        <v>0</v>
      </c>
      <c r="M28" s="336"/>
      <c r="N28" s="336"/>
      <c r="O28" s="334"/>
      <c r="P28" s="334">
        <f t="shared" si="7"/>
        <v>0</v>
      </c>
      <c r="Q28" s="336"/>
      <c r="R28" s="336"/>
      <c r="S28" s="334"/>
      <c r="T28" s="334">
        <f t="shared" si="8"/>
        <v>0</v>
      </c>
      <c r="U28" s="336"/>
      <c r="V28" s="336" t="str">
        <f t="shared" si="9"/>
        <v>OK</v>
      </c>
      <c r="W28" s="334"/>
      <c r="X28" s="336"/>
      <c r="Y28" s="297" t="str">
        <f t="shared" si="6"/>
        <v/>
      </c>
      <c r="Z28" s="296">
        <f t="shared" si="2"/>
        <v>0</v>
      </c>
      <c r="AA28" s="296">
        <f t="shared" si="3"/>
        <v>0</v>
      </c>
      <c r="AB28" s="299">
        <f t="shared" si="4"/>
        <v>0</v>
      </c>
      <c r="AC28" s="286"/>
    </row>
    <row r="29" spans="1:29" ht="40.049999999999997" customHeight="1" x14ac:dyDescent="0.45">
      <c r="A29" s="324" t="str">
        <f>'Horaire samedi'!A29</f>
        <v>VAHIBE</v>
      </c>
      <c r="B29" s="325">
        <f>'Horaire samedi'!B29</f>
        <v>0.5</v>
      </c>
      <c r="C29" s="325" t="str">
        <f>'Horaire samedi'!C29</f>
        <v>C11</v>
      </c>
      <c r="D29" s="294" t="str">
        <f>VLOOKUP(C29,'Liste chauffeur'!$B$5:$L$20,2,TRUE)&amp;" "&amp;VLOOKUP(C29,'Liste chauffeur'!$B$5:$L$20,3,TRUE)</f>
        <v>MADI BOINA Mkidachi</v>
      </c>
      <c r="E29" s="334"/>
      <c r="F29" s="335">
        <f t="shared" si="0"/>
        <v>1</v>
      </c>
      <c r="G29" s="350"/>
      <c r="H29" s="336"/>
      <c r="I29" s="336"/>
      <c r="J29" s="336"/>
      <c r="K29" s="334"/>
      <c r="L29" s="334">
        <f t="shared" si="5"/>
        <v>0</v>
      </c>
      <c r="M29" s="336"/>
      <c r="N29" s="336"/>
      <c r="O29" s="334"/>
      <c r="P29" s="334">
        <f t="shared" si="7"/>
        <v>0</v>
      </c>
      <c r="Q29" s="336"/>
      <c r="R29" s="336"/>
      <c r="S29" s="334"/>
      <c r="T29" s="334">
        <f t="shared" si="8"/>
        <v>0</v>
      </c>
      <c r="U29" s="336"/>
      <c r="V29" s="336" t="str">
        <f t="shared" si="9"/>
        <v>OK</v>
      </c>
      <c r="W29" s="334"/>
      <c r="X29" s="336"/>
      <c r="Y29" s="297" t="str">
        <f t="shared" si="6"/>
        <v/>
      </c>
      <c r="Z29" s="296">
        <f t="shared" si="2"/>
        <v>0</v>
      </c>
      <c r="AA29" s="296">
        <f t="shared" si="3"/>
        <v>0</v>
      </c>
      <c r="AB29" s="299">
        <f t="shared" si="4"/>
        <v>0</v>
      </c>
      <c r="AC29" s="286"/>
    </row>
    <row r="30" spans="1:29" ht="40.049999999999997" customHeight="1" x14ac:dyDescent="0.45">
      <c r="A30" s="324" t="str">
        <f>'Horaire samedi'!A30</f>
        <v>PASSAMAINTY</v>
      </c>
      <c r="B30" s="325">
        <f>'Horaire samedi'!B30</f>
        <v>0.5</v>
      </c>
      <c r="C30" s="325" t="str">
        <f>'Horaire samedi'!C30</f>
        <v>C9</v>
      </c>
      <c r="D30" s="294" t="str">
        <f>VLOOKUP(C30,'Liste chauffeur'!$B$5:$L$20,2,TRUE)&amp;" "&amp;VLOOKUP(C30,'Liste chauffeur'!$B$5:$L$20,3,TRUE)</f>
        <v>SANDI Maanrouf</v>
      </c>
      <c r="E30" s="334"/>
      <c r="F30" s="335">
        <f t="shared" si="0"/>
        <v>1</v>
      </c>
      <c r="G30" s="350"/>
      <c r="H30" s="336"/>
      <c r="I30" s="336"/>
      <c r="J30" s="336"/>
      <c r="K30" s="334"/>
      <c r="L30" s="334">
        <f t="shared" si="5"/>
        <v>0</v>
      </c>
      <c r="M30" s="336"/>
      <c r="N30" s="336"/>
      <c r="O30" s="334"/>
      <c r="P30" s="334">
        <f t="shared" si="7"/>
        <v>0</v>
      </c>
      <c r="Q30" s="336"/>
      <c r="R30" s="336"/>
      <c r="S30" s="334"/>
      <c r="T30" s="334">
        <f t="shared" si="8"/>
        <v>0</v>
      </c>
      <c r="U30" s="336"/>
      <c r="V30" s="336" t="str">
        <f t="shared" si="9"/>
        <v>OK</v>
      </c>
      <c r="W30" s="334"/>
      <c r="X30" s="336"/>
      <c r="Y30" s="297" t="str">
        <f t="shared" si="6"/>
        <v/>
      </c>
      <c r="Z30" s="296">
        <f t="shared" si="2"/>
        <v>0</v>
      </c>
      <c r="AA30" s="296">
        <f t="shared" si="3"/>
        <v>0</v>
      </c>
      <c r="AB30" s="299">
        <f t="shared" si="4"/>
        <v>0</v>
      </c>
      <c r="AC30" s="286"/>
    </row>
    <row r="31" spans="1:29" ht="40.049999999999997" customHeight="1" x14ac:dyDescent="0.45">
      <c r="A31" s="324"/>
      <c r="B31" s="346" t="s">
        <v>471</v>
      </c>
      <c r="C31" s="346"/>
      <c r="D31" s="304"/>
      <c r="E31" s="337"/>
      <c r="F31" s="347">
        <f>SUM(F8:F30)</f>
        <v>23</v>
      </c>
      <c r="G31" s="347">
        <f>SUM(G8:G30)</f>
        <v>0</v>
      </c>
      <c r="H31" s="338"/>
      <c r="I31" s="338"/>
      <c r="J31" s="338"/>
      <c r="K31" s="337"/>
      <c r="L31" s="337"/>
      <c r="M31" s="338"/>
      <c r="N31" s="338"/>
      <c r="O31" s="337"/>
      <c r="P31" s="337"/>
      <c r="Q31" s="338"/>
      <c r="R31" s="338"/>
      <c r="S31" s="337"/>
      <c r="T31" s="337"/>
      <c r="U31" s="338"/>
      <c r="V31" s="338"/>
      <c r="W31" s="337"/>
      <c r="X31" s="338"/>
      <c r="Y31" s="301" t="e">
        <f>AVERAGE(Y8:Y30)</f>
        <v>#DIV/0!</v>
      </c>
      <c r="Z31" s="283">
        <f>SUM(Z8:Z30)</f>
        <v>0</v>
      </c>
      <c r="AA31" s="283">
        <f>SUM(AA8:AA30)</f>
        <v>0</v>
      </c>
      <c r="AB31" s="284">
        <f t="shared" si="4"/>
        <v>0</v>
      </c>
      <c r="AC31" s="300"/>
    </row>
    <row r="32" spans="1:29" ht="40.049999999999997" customHeight="1" x14ac:dyDescent="0.45">
      <c r="A32" s="324" t="str">
        <f>'Horaire samedi'!A31</f>
        <v>VAHIBE</v>
      </c>
      <c r="B32" s="325">
        <f>'Horaire samedi'!B31</f>
        <v>0.52083333333333337</v>
      </c>
      <c r="C32" s="325" t="str">
        <f>'Horaire samedi'!C31</f>
        <v>C9</v>
      </c>
      <c r="D32" s="294" t="str">
        <f>VLOOKUP(C32,'Liste chauffeur'!$B$5:$L$20,2,TRUE)&amp;" "&amp;VLOOKUP(C32,'Liste chauffeur'!$B$5:$L$20,3,TRUE)</f>
        <v>SANDI Maanrouf</v>
      </c>
      <c r="E32" s="334"/>
      <c r="F32" s="335">
        <f t="shared" si="0"/>
        <v>1</v>
      </c>
      <c r="G32" s="350"/>
      <c r="H32" s="336"/>
      <c r="I32" s="336"/>
      <c r="J32" s="336"/>
      <c r="K32" s="334"/>
      <c r="L32" s="334">
        <f t="shared" si="5"/>
        <v>0</v>
      </c>
      <c r="M32" s="336"/>
      <c r="N32" s="336"/>
      <c r="O32" s="334"/>
      <c r="P32" s="334">
        <f t="shared" si="7"/>
        <v>0</v>
      </c>
      <c r="Q32" s="336"/>
      <c r="R32" s="336"/>
      <c r="S32" s="334"/>
      <c r="T32" s="334">
        <f t="shared" si="8"/>
        <v>0</v>
      </c>
      <c r="U32" s="336"/>
      <c r="V32" s="336" t="str">
        <f t="shared" si="9"/>
        <v>OK</v>
      </c>
      <c r="W32" s="334"/>
      <c r="X32" s="336"/>
      <c r="Y32" s="297" t="str">
        <f t="shared" si="6"/>
        <v/>
      </c>
      <c r="Z32" s="296">
        <f t="shared" si="2"/>
        <v>0</v>
      </c>
      <c r="AA32" s="296">
        <f t="shared" si="3"/>
        <v>0</v>
      </c>
      <c r="AB32" s="299">
        <f t="shared" si="4"/>
        <v>0</v>
      </c>
      <c r="AC32" s="286"/>
    </row>
    <row r="33" spans="1:29" ht="40.049999999999997" customHeight="1" x14ac:dyDescent="0.45">
      <c r="A33" s="324" t="str">
        <f>'Horaire samedi'!A32</f>
        <v>PASSAMAINTY</v>
      </c>
      <c r="B33" s="325">
        <f>'Horaire samedi'!B32</f>
        <v>0.52083333333333337</v>
      </c>
      <c r="C33" s="325" t="str">
        <f>'Horaire samedi'!C32</f>
        <v>C11</v>
      </c>
      <c r="D33" s="294" t="str">
        <f>VLOOKUP(C33,'Liste chauffeur'!$B$5:$L$20,2,TRUE)&amp;" "&amp;VLOOKUP(C33,'Liste chauffeur'!$B$5:$L$20,3,TRUE)</f>
        <v>MADI BOINA Mkidachi</v>
      </c>
      <c r="E33" s="334"/>
      <c r="F33" s="335">
        <f t="shared" si="0"/>
        <v>1</v>
      </c>
      <c r="G33" s="350"/>
      <c r="H33" s="336"/>
      <c r="I33" s="336"/>
      <c r="J33" s="336"/>
      <c r="K33" s="334"/>
      <c r="L33" s="334"/>
      <c r="M33" s="336"/>
      <c r="N33" s="336"/>
      <c r="O33" s="334"/>
      <c r="P33" s="334"/>
      <c r="Q33" s="336"/>
      <c r="R33" s="336"/>
      <c r="S33" s="334"/>
      <c r="T33" s="334"/>
      <c r="U33" s="336"/>
      <c r="V33" s="336"/>
      <c r="W33" s="334"/>
      <c r="X33" s="336"/>
      <c r="Y33" s="297"/>
      <c r="Z33" s="296">
        <f t="shared" si="2"/>
        <v>0</v>
      </c>
      <c r="AA33" s="296">
        <f t="shared" si="3"/>
        <v>0</v>
      </c>
      <c r="AB33" s="299">
        <f t="shared" si="4"/>
        <v>0</v>
      </c>
      <c r="AC33" s="286"/>
    </row>
    <row r="34" spans="1:29" ht="40.049999999999997" customHeight="1" x14ac:dyDescent="0.45">
      <c r="A34" s="324" t="str">
        <f>'Horaire samedi'!A33</f>
        <v>VAHIBE</v>
      </c>
      <c r="B34" s="325">
        <f>'Horaire samedi'!B33</f>
        <v>0.54166666666666663</v>
      </c>
      <c r="C34" s="325" t="str">
        <f>'Horaire samedi'!C33</f>
        <v>C11</v>
      </c>
      <c r="D34" s="294" t="str">
        <f>VLOOKUP(C34,'Liste chauffeur'!$B$5:$L$20,2,TRUE)&amp;" "&amp;VLOOKUP(C34,'Liste chauffeur'!$B$5:$L$20,3,TRUE)</f>
        <v>MADI BOINA Mkidachi</v>
      </c>
      <c r="E34" s="334"/>
      <c r="F34" s="335">
        <f t="shared" si="0"/>
        <v>1</v>
      </c>
      <c r="G34" s="350"/>
      <c r="H34" s="336"/>
      <c r="I34" s="336"/>
      <c r="J34" s="336"/>
      <c r="K34" s="334"/>
      <c r="L34" s="334">
        <f t="shared" si="5"/>
        <v>0</v>
      </c>
      <c r="M34" s="336"/>
      <c r="N34" s="336"/>
      <c r="O34" s="334"/>
      <c r="P34" s="334">
        <f t="shared" si="7"/>
        <v>0</v>
      </c>
      <c r="Q34" s="336"/>
      <c r="R34" s="336"/>
      <c r="S34" s="334"/>
      <c r="T34" s="334">
        <f t="shared" si="8"/>
        <v>0</v>
      </c>
      <c r="U34" s="336"/>
      <c r="V34" s="336" t="str">
        <f t="shared" si="9"/>
        <v>OK</v>
      </c>
      <c r="W34" s="334"/>
      <c r="X34" s="336"/>
      <c r="Y34" s="297" t="str">
        <f t="shared" si="6"/>
        <v/>
      </c>
      <c r="Z34" s="296">
        <f t="shared" si="2"/>
        <v>0</v>
      </c>
      <c r="AA34" s="296">
        <f t="shared" si="3"/>
        <v>0</v>
      </c>
      <c r="AB34" s="299">
        <f t="shared" si="4"/>
        <v>0</v>
      </c>
      <c r="AC34" s="286"/>
    </row>
    <row r="35" spans="1:29" ht="40.049999999999997" customHeight="1" x14ac:dyDescent="0.45">
      <c r="A35" s="324" t="str">
        <f>'Horaire samedi'!A34</f>
        <v>PASSAMAINTY</v>
      </c>
      <c r="B35" s="325">
        <f>'Horaire samedi'!B34</f>
        <v>0.54166666666666663</v>
      </c>
      <c r="C35" s="325" t="str">
        <f>'Horaire samedi'!C34</f>
        <v>C9</v>
      </c>
      <c r="D35" s="294" t="str">
        <f>VLOOKUP(C35,'Liste chauffeur'!$B$5:$L$20,2,TRUE)&amp;" "&amp;VLOOKUP(C35,'Liste chauffeur'!$B$5:$L$20,3,TRUE)</f>
        <v>SANDI Maanrouf</v>
      </c>
      <c r="E35" s="334"/>
      <c r="F35" s="335">
        <f t="shared" si="0"/>
        <v>1</v>
      </c>
      <c r="G35" s="350"/>
      <c r="H35" s="336"/>
      <c r="I35" s="336"/>
      <c r="J35" s="336"/>
      <c r="K35" s="334"/>
      <c r="L35" s="334">
        <f t="shared" si="5"/>
        <v>0</v>
      </c>
      <c r="M35" s="336"/>
      <c r="N35" s="336"/>
      <c r="O35" s="334"/>
      <c r="P35" s="334"/>
      <c r="Q35" s="336"/>
      <c r="R35" s="336"/>
      <c r="S35" s="334"/>
      <c r="T35" s="334"/>
      <c r="U35" s="336"/>
      <c r="V35" s="336" t="str">
        <f t="shared" si="9"/>
        <v>OK</v>
      </c>
      <c r="W35" s="334"/>
      <c r="X35" s="336"/>
      <c r="Y35" s="297" t="str">
        <f t="shared" si="6"/>
        <v/>
      </c>
      <c r="Z35" s="296">
        <f t="shared" si="2"/>
        <v>0</v>
      </c>
      <c r="AA35" s="296">
        <f t="shared" si="3"/>
        <v>0</v>
      </c>
      <c r="AB35" s="299">
        <f t="shared" si="4"/>
        <v>0</v>
      </c>
      <c r="AC35" s="286"/>
    </row>
    <row r="36" spans="1:29" ht="40.049999999999997" customHeight="1" x14ac:dyDescent="0.45">
      <c r="A36" s="324" t="str">
        <f>'Horaire samedi'!A35</f>
        <v>VAHIBE</v>
      </c>
      <c r="B36" s="325">
        <f>'Horaire samedi'!B35</f>
        <v>0.5625</v>
      </c>
      <c r="C36" s="325" t="str">
        <f>'Horaire samedi'!C35</f>
        <v>C9</v>
      </c>
      <c r="D36" s="294" t="str">
        <f>VLOOKUP(C36,'Liste chauffeur'!$B$5:$L$20,2,TRUE)&amp;" "&amp;VLOOKUP(C36,'Liste chauffeur'!$B$5:$L$20,3,TRUE)</f>
        <v>SANDI Maanrouf</v>
      </c>
      <c r="E36" s="334"/>
      <c r="F36" s="335">
        <f t="shared" si="0"/>
        <v>1</v>
      </c>
      <c r="G36" s="350"/>
      <c r="H36" s="336"/>
      <c r="I36" s="336"/>
      <c r="J36" s="336"/>
      <c r="K36" s="334"/>
      <c r="L36" s="334">
        <f t="shared" si="5"/>
        <v>0</v>
      </c>
      <c r="M36" s="336"/>
      <c r="N36" s="336"/>
      <c r="O36" s="334"/>
      <c r="P36" s="334"/>
      <c r="Q36" s="336"/>
      <c r="R36" s="336"/>
      <c r="S36" s="334"/>
      <c r="T36" s="334"/>
      <c r="U36" s="336"/>
      <c r="V36" s="336" t="str">
        <f t="shared" si="9"/>
        <v>OK</v>
      </c>
      <c r="W36" s="334"/>
      <c r="X36" s="336"/>
      <c r="Y36" s="297" t="str">
        <f t="shared" si="6"/>
        <v/>
      </c>
      <c r="Z36" s="296">
        <f t="shared" si="2"/>
        <v>0</v>
      </c>
      <c r="AA36" s="296">
        <f t="shared" si="3"/>
        <v>0</v>
      </c>
      <c r="AB36" s="299">
        <f t="shared" si="4"/>
        <v>0</v>
      </c>
      <c r="AC36" s="286"/>
    </row>
    <row r="37" spans="1:29" ht="40.049999999999997" customHeight="1" x14ac:dyDescent="0.45">
      <c r="A37" s="324" t="str">
        <f>'Horaire samedi'!A36</f>
        <v>PASSAMAINTY</v>
      </c>
      <c r="B37" s="325">
        <f>'Horaire samedi'!B36</f>
        <v>0.5625</v>
      </c>
      <c r="C37" s="325" t="str">
        <f>'Horaire samedi'!C36</f>
        <v>C10</v>
      </c>
      <c r="D37" s="294" t="str">
        <f>VLOOKUP(C37,'Liste chauffeur'!$B$5:$L$20,2,TRUE)&amp;" "&amp;VLOOKUP(C37,'Liste chauffeur'!$B$5:$L$20,3,TRUE)</f>
        <v>ISSIHAKA M'Changama</v>
      </c>
      <c r="E37" s="334"/>
      <c r="F37" s="335">
        <f t="shared" si="0"/>
        <v>1</v>
      </c>
      <c r="G37" s="350"/>
      <c r="H37" s="336"/>
      <c r="I37" s="336"/>
      <c r="J37" s="336"/>
      <c r="K37" s="334"/>
      <c r="L37" s="334">
        <f t="shared" si="5"/>
        <v>0</v>
      </c>
      <c r="M37" s="336"/>
      <c r="N37" s="336"/>
      <c r="O37" s="334"/>
      <c r="P37" s="334"/>
      <c r="Q37" s="336"/>
      <c r="R37" s="336"/>
      <c r="S37" s="334"/>
      <c r="T37" s="334"/>
      <c r="U37" s="336"/>
      <c r="V37" s="336" t="str">
        <f t="shared" si="9"/>
        <v>OK</v>
      </c>
      <c r="W37" s="334"/>
      <c r="X37" s="336"/>
      <c r="Y37" s="297" t="str">
        <f t="shared" si="6"/>
        <v/>
      </c>
      <c r="Z37" s="296">
        <f t="shared" si="2"/>
        <v>0</v>
      </c>
      <c r="AA37" s="296">
        <f t="shared" si="3"/>
        <v>0</v>
      </c>
      <c r="AB37" s="299">
        <f t="shared" si="4"/>
        <v>0</v>
      </c>
      <c r="AC37" s="286"/>
    </row>
    <row r="38" spans="1:29" ht="40.049999999999997" customHeight="1" x14ac:dyDescent="0.45">
      <c r="A38" s="324" t="str">
        <f>'Horaire samedi'!A37</f>
        <v>VAHIBE</v>
      </c>
      <c r="B38" s="325">
        <f>'Horaire samedi'!B37</f>
        <v>0.58333333333333337</v>
      </c>
      <c r="C38" s="325" t="str">
        <f>'Horaire samedi'!C37</f>
        <v>C10</v>
      </c>
      <c r="D38" s="294" t="str">
        <f>VLOOKUP(C38,'Liste chauffeur'!$B$5:$L$20,2,TRUE)&amp;" "&amp;VLOOKUP(C38,'Liste chauffeur'!$B$5:$L$20,3,TRUE)</f>
        <v>ISSIHAKA M'Changama</v>
      </c>
      <c r="E38" s="334"/>
      <c r="F38" s="335">
        <f t="shared" si="0"/>
        <v>1</v>
      </c>
      <c r="G38" s="350"/>
      <c r="H38" s="336"/>
      <c r="I38" s="336"/>
      <c r="J38" s="336"/>
      <c r="K38" s="334"/>
      <c r="L38" s="334">
        <f t="shared" si="5"/>
        <v>0</v>
      </c>
      <c r="M38" s="336"/>
      <c r="N38" s="336"/>
      <c r="O38" s="334"/>
      <c r="P38" s="334"/>
      <c r="Q38" s="336"/>
      <c r="R38" s="336"/>
      <c r="S38" s="334"/>
      <c r="T38" s="334"/>
      <c r="U38" s="336"/>
      <c r="V38" s="336" t="str">
        <f t="shared" si="9"/>
        <v>OK</v>
      </c>
      <c r="W38" s="334"/>
      <c r="X38" s="336"/>
      <c r="Y38" s="297" t="str">
        <f t="shared" si="6"/>
        <v/>
      </c>
      <c r="Z38" s="296">
        <f t="shared" si="2"/>
        <v>0</v>
      </c>
      <c r="AA38" s="296">
        <f t="shared" si="3"/>
        <v>0</v>
      </c>
      <c r="AB38" s="299">
        <f t="shared" si="4"/>
        <v>0</v>
      </c>
      <c r="AC38" s="286"/>
    </row>
    <row r="39" spans="1:29" ht="40.049999999999997" customHeight="1" x14ac:dyDescent="0.45">
      <c r="A39" s="324" t="str">
        <f>'Horaire samedi'!A38</f>
        <v>PASSAMAINTY</v>
      </c>
      <c r="B39" s="325">
        <f>'Horaire samedi'!B38</f>
        <v>0.58333333333333337</v>
      </c>
      <c r="C39" s="325" t="str">
        <f>'Horaire samedi'!C38</f>
        <v>C8</v>
      </c>
      <c r="D39" s="294" t="str">
        <f>VLOOKUP(C39,'Liste chauffeur'!$B$5:$L$20,2,TRUE)&amp;" "&amp;VLOOKUP(C39,'Liste chauffeur'!$B$5:$L$20,3,TRUE)</f>
        <v>HADHURAMI Makinedine</v>
      </c>
      <c r="E39" s="334"/>
      <c r="F39" s="335">
        <f t="shared" si="0"/>
        <v>1</v>
      </c>
      <c r="G39" s="350"/>
      <c r="H39" s="336"/>
      <c r="I39" s="336"/>
      <c r="J39" s="336"/>
      <c r="K39" s="334"/>
      <c r="L39" s="334">
        <f t="shared" si="5"/>
        <v>0</v>
      </c>
      <c r="M39" s="336"/>
      <c r="N39" s="336"/>
      <c r="O39" s="334"/>
      <c r="P39" s="334"/>
      <c r="Q39" s="336"/>
      <c r="R39" s="336"/>
      <c r="S39" s="334"/>
      <c r="T39" s="334"/>
      <c r="U39" s="336"/>
      <c r="V39" s="336" t="str">
        <f t="shared" si="9"/>
        <v>OK</v>
      </c>
      <c r="W39" s="334"/>
      <c r="X39" s="336"/>
      <c r="Y39" s="297" t="str">
        <f t="shared" si="6"/>
        <v/>
      </c>
      <c r="Z39" s="296">
        <f t="shared" si="2"/>
        <v>0</v>
      </c>
      <c r="AA39" s="296">
        <f t="shared" si="3"/>
        <v>0</v>
      </c>
      <c r="AB39" s="299">
        <f t="shared" si="4"/>
        <v>0</v>
      </c>
      <c r="AC39" s="286"/>
    </row>
    <row r="40" spans="1:29" ht="40.049999999999997" customHeight="1" x14ac:dyDescent="0.45">
      <c r="A40" s="324" t="str">
        <f>'Horaire samedi'!A39</f>
        <v>VAHIBE</v>
      </c>
      <c r="B40" s="325">
        <f>'Horaire samedi'!B39</f>
        <v>0.60416666666666663</v>
      </c>
      <c r="C40" s="325" t="str">
        <f>'Horaire samedi'!C39</f>
        <v>C8</v>
      </c>
      <c r="D40" s="294" t="str">
        <f>VLOOKUP(C40,'Liste chauffeur'!$B$5:$L$20,2,TRUE)&amp;" "&amp;VLOOKUP(C40,'Liste chauffeur'!$B$5:$L$20,3,TRUE)</f>
        <v>HADHURAMI Makinedine</v>
      </c>
      <c r="E40" s="334"/>
      <c r="F40" s="335">
        <f t="shared" si="0"/>
        <v>1</v>
      </c>
      <c r="G40" s="350"/>
      <c r="H40" s="336"/>
      <c r="I40" s="336"/>
      <c r="J40" s="336"/>
      <c r="K40" s="334"/>
      <c r="L40" s="334">
        <f t="shared" si="5"/>
        <v>0</v>
      </c>
      <c r="M40" s="336"/>
      <c r="N40" s="336"/>
      <c r="O40" s="334"/>
      <c r="P40" s="334"/>
      <c r="Q40" s="336"/>
      <c r="R40" s="336"/>
      <c r="S40" s="334"/>
      <c r="T40" s="334"/>
      <c r="U40" s="336"/>
      <c r="V40" s="336" t="str">
        <f t="shared" si="9"/>
        <v>OK</v>
      </c>
      <c r="W40" s="334"/>
      <c r="X40" s="336"/>
      <c r="Y40" s="297" t="str">
        <f t="shared" si="6"/>
        <v/>
      </c>
      <c r="Z40" s="296">
        <f t="shared" si="2"/>
        <v>0</v>
      </c>
      <c r="AA40" s="296">
        <f t="shared" si="3"/>
        <v>0</v>
      </c>
      <c r="AB40" s="299">
        <f t="shared" si="4"/>
        <v>0</v>
      </c>
      <c r="AC40" s="286"/>
    </row>
    <row r="41" spans="1:29" ht="40.049999999999997" customHeight="1" x14ac:dyDescent="0.45">
      <c r="A41" s="324" t="str">
        <f>'Horaire samedi'!A40</f>
        <v>PASSAMAINTY</v>
      </c>
      <c r="B41" s="325">
        <f>'Horaire samedi'!B40</f>
        <v>0.60416666666666663</v>
      </c>
      <c r="C41" s="325" t="str">
        <f>'Horaire samedi'!C40</f>
        <v>C10</v>
      </c>
      <c r="D41" s="294" t="str">
        <f>VLOOKUP(C41,'Liste chauffeur'!$B$5:$L$20,2,TRUE)&amp;" "&amp;VLOOKUP(C41,'Liste chauffeur'!$B$5:$L$20,3,TRUE)</f>
        <v>ISSIHAKA M'Changama</v>
      </c>
      <c r="E41" s="334"/>
      <c r="F41" s="335">
        <f t="shared" si="0"/>
        <v>1</v>
      </c>
      <c r="G41" s="350"/>
      <c r="H41" s="336"/>
      <c r="I41" s="336"/>
      <c r="J41" s="336"/>
      <c r="K41" s="334"/>
      <c r="L41" s="334">
        <f t="shared" si="5"/>
        <v>0</v>
      </c>
      <c r="M41" s="336"/>
      <c r="N41" s="336"/>
      <c r="O41" s="334"/>
      <c r="P41" s="334"/>
      <c r="Q41" s="336"/>
      <c r="R41" s="336"/>
      <c r="S41" s="334"/>
      <c r="T41" s="334"/>
      <c r="U41" s="336"/>
      <c r="V41" s="336" t="str">
        <f t="shared" si="9"/>
        <v>OK</v>
      </c>
      <c r="W41" s="334"/>
      <c r="X41" s="336"/>
      <c r="Y41" s="297" t="str">
        <f t="shared" si="6"/>
        <v/>
      </c>
      <c r="Z41" s="296">
        <f t="shared" si="2"/>
        <v>0</v>
      </c>
      <c r="AA41" s="296">
        <f t="shared" si="3"/>
        <v>0</v>
      </c>
      <c r="AB41" s="299">
        <f t="shared" si="4"/>
        <v>0</v>
      </c>
      <c r="AC41" s="286"/>
    </row>
    <row r="42" spans="1:29" ht="40.049999999999997" customHeight="1" x14ac:dyDescent="0.45">
      <c r="A42" s="324" t="str">
        <f>'Horaire samedi'!A41</f>
        <v>VAHIBE</v>
      </c>
      <c r="B42" s="325">
        <f>'Horaire samedi'!B41</f>
        <v>0.625</v>
      </c>
      <c r="C42" s="325" t="str">
        <f>'Horaire samedi'!C41</f>
        <v>C10</v>
      </c>
      <c r="D42" s="294" t="str">
        <f>VLOOKUP(C42,'Liste chauffeur'!$B$5:$L$20,2,TRUE)&amp;" "&amp;VLOOKUP(C42,'Liste chauffeur'!$B$5:$L$20,3,TRUE)</f>
        <v>ISSIHAKA M'Changama</v>
      </c>
      <c r="E42" s="334"/>
      <c r="F42" s="335">
        <f t="shared" si="0"/>
        <v>1</v>
      </c>
      <c r="G42" s="350"/>
      <c r="H42" s="336"/>
      <c r="I42" s="336"/>
      <c r="J42" s="336"/>
      <c r="K42" s="334"/>
      <c r="L42" s="334">
        <f t="shared" si="5"/>
        <v>0</v>
      </c>
      <c r="M42" s="336"/>
      <c r="N42" s="336"/>
      <c r="O42" s="334"/>
      <c r="P42" s="334"/>
      <c r="Q42" s="336"/>
      <c r="R42" s="336"/>
      <c r="S42" s="334"/>
      <c r="T42" s="334"/>
      <c r="U42" s="336"/>
      <c r="V42" s="336" t="str">
        <f t="shared" si="9"/>
        <v>OK</v>
      </c>
      <c r="W42" s="334"/>
      <c r="X42" s="336"/>
      <c r="Y42" s="297" t="str">
        <f t="shared" si="6"/>
        <v/>
      </c>
      <c r="Z42" s="296">
        <f t="shared" si="2"/>
        <v>0</v>
      </c>
      <c r="AA42" s="296">
        <f t="shared" si="3"/>
        <v>0</v>
      </c>
      <c r="AB42" s="299">
        <f t="shared" si="4"/>
        <v>0</v>
      </c>
      <c r="AC42" s="286"/>
    </row>
    <row r="43" spans="1:29" ht="40.049999999999997" customHeight="1" x14ac:dyDescent="0.45">
      <c r="A43" s="324" t="str">
        <f>'Horaire samedi'!A42</f>
        <v>PASSAMAINTY</v>
      </c>
      <c r="B43" s="325">
        <f>'Horaire samedi'!B42</f>
        <v>0.625</v>
      </c>
      <c r="C43" s="325" t="str">
        <f>'Horaire samedi'!C42</f>
        <v>C8</v>
      </c>
      <c r="D43" s="294" t="str">
        <f>VLOOKUP(C43,'Liste chauffeur'!$B$5:$L$20,2,TRUE)&amp;" "&amp;VLOOKUP(C43,'Liste chauffeur'!$B$5:$L$20,3,TRUE)</f>
        <v>HADHURAMI Makinedine</v>
      </c>
      <c r="E43" s="334"/>
      <c r="F43" s="335">
        <f t="shared" si="0"/>
        <v>1</v>
      </c>
      <c r="G43" s="350"/>
      <c r="H43" s="336"/>
      <c r="I43" s="336"/>
      <c r="J43" s="336"/>
      <c r="K43" s="334"/>
      <c r="L43" s="334">
        <f t="shared" si="5"/>
        <v>0</v>
      </c>
      <c r="M43" s="336"/>
      <c r="N43" s="336"/>
      <c r="O43" s="334"/>
      <c r="P43" s="334"/>
      <c r="Q43" s="336"/>
      <c r="R43" s="336"/>
      <c r="S43" s="334"/>
      <c r="T43" s="334"/>
      <c r="U43" s="336"/>
      <c r="V43" s="336" t="str">
        <f t="shared" si="9"/>
        <v>OK</v>
      </c>
      <c r="W43" s="334"/>
      <c r="X43" s="336"/>
      <c r="Y43" s="297" t="str">
        <f>IF(F43=1,"",W43-E43)</f>
        <v/>
      </c>
      <c r="Z43" s="296">
        <f t="shared" si="2"/>
        <v>0</v>
      </c>
      <c r="AA43" s="296">
        <f>IF(F43=1,0,AA$6)</f>
        <v>0</v>
      </c>
      <c r="AB43" s="299">
        <f>IF(AA43=0,0,Z43/AA43)</f>
        <v>0</v>
      </c>
      <c r="AC43" s="286"/>
    </row>
    <row r="44" spans="1:29" ht="40.049999999999997" customHeight="1" x14ac:dyDescent="0.45">
      <c r="A44" s="324" t="str">
        <f>'Horaire samedi'!A43</f>
        <v>VAHIBE</v>
      </c>
      <c r="B44" s="325">
        <f>'Horaire samedi'!B43</f>
        <v>0.64583333333333337</v>
      </c>
      <c r="C44" s="325" t="str">
        <f>'Horaire samedi'!C43</f>
        <v>C8</v>
      </c>
      <c r="D44" s="294" t="str">
        <f>VLOOKUP(C44,'Liste chauffeur'!$B$5:$L$20,2,TRUE)&amp;" "&amp;VLOOKUP(C44,'Liste chauffeur'!$B$5:$L$20,3,TRUE)</f>
        <v>HADHURAMI Makinedine</v>
      </c>
      <c r="E44" s="334"/>
      <c r="F44" s="335">
        <f t="shared" si="0"/>
        <v>1</v>
      </c>
      <c r="G44" s="350"/>
      <c r="H44" s="336"/>
      <c r="I44" s="336"/>
      <c r="J44" s="336"/>
      <c r="K44" s="334"/>
      <c r="L44" s="334">
        <f t="shared" si="5"/>
        <v>0</v>
      </c>
      <c r="M44" s="336"/>
      <c r="N44" s="336"/>
      <c r="O44" s="334"/>
      <c r="P44" s="334"/>
      <c r="Q44" s="336"/>
      <c r="R44" s="336"/>
      <c r="S44" s="334"/>
      <c r="T44" s="334"/>
      <c r="U44" s="336"/>
      <c r="V44" s="336" t="str">
        <f t="shared" si="9"/>
        <v>OK</v>
      </c>
      <c r="W44" s="334"/>
      <c r="X44" s="336"/>
      <c r="Y44" s="297" t="str">
        <f t="shared" ref="Y44:Y55" si="10">IF(F44=1,"",W44-E44)</f>
        <v/>
      </c>
      <c r="Z44" s="296">
        <f t="shared" si="2"/>
        <v>0</v>
      </c>
      <c r="AA44" s="296">
        <f t="shared" ref="AA44:AA55" si="11">IF(F44=1,0,AA$6)</f>
        <v>0</v>
      </c>
      <c r="AB44" s="299">
        <f t="shared" ref="AB44:AB57" si="12">IF(AA44=0,0,Z44/AA44)</f>
        <v>0</v>
      </c>
      <c r="AC44" s="286"/>
    </row>
    <row r="45" spans="1:29" ht="40.049999999999997" customHeight="1" x14ac:dyDescent="0.45">
      <c r="A45" s="324" t="str">
        <f>'Horaire samedi'!A44</f>
        <v>PASSAMAINTY</v>
      </c>
      <c r="B45" s="325">
        <f>'Horaire samedi'!B44</f>
        <v>0.64583333333333337</v>
      </c>
      <c r="C45" s="325" t="str">
        <f>'Horaire samedi'!C44</f>
        <v>C10</v>
      </c>
      <c r="D45" s="294" t="str">
        <f>VLOOKUP(C45,'Liste chauffeur'!$B$5:$L$20,2,TRUE)&amp;" "&amp;VLOOKUP(C45,'Liste chauffeur'!$B$5:$L$20,3,TRUE)</f>
        <v>ISSIHAKA M'Changama</v>
      </c>
      <c r="E45" s="334"/>
      <c r="F45" s="335">
        <f t="shared" si="0"/>
        <v>1</v>
      </c>
      <c r="G45" s="350"/>
      <c r="H45" s="336"/>
      <c r="I45" s="336"/>
      <c r="J45" s="336"/>
      <c r="K45" s="334"/>
      <c r="L45" s="334">
        <f t="shared" si="5"/>
        <v>0</v>
      </c>
      <c r="M45" s="336"/>
      <c r="N45" s="336"/>
      <c r="O45" s="334"/>
      <c r="P45" s="334"/>
      <c r="Q45" s="336"/>
      <c r="R45" s="336"/>
      <c r="S45" s="334"/>
      <c r="T45" s="334"/>
      <c r="U45" s="336"/>
      <c r="V45" s="336" t="str">
        <f t="shared" si="9"/>
        <v>OK</v>
      </c>
      <c r="W45" s="334"/>
      <c r="X45" s="336"/>
      <c r="Y45" s="297" t="str">
        <f t="shared" si="10"/>
        <v/>
      </c>
      <c r="Z45" s="296">
        <f t="shared" si="2"/>
        <v>0</v>
      </c>
      <c r="AA45" s="296">
        <f t="shared" si="11"/>
        <v>0</v>
      </c>
      <c r="AB45" s="299">
        <f t="shared" si="12"/>
        <v>0</v>
      </c>
      <c r="AC45" s="286"/>
    </row>
    <row r="46" spans="1:29" ht="40.049999999999997" customHeight="1" x14ac:dyDescent="0.45">
      <c r="A46" s="324" t="str">
        <f>'Horaire samedi'!A45</f>
        <v>VAHIBE</v>
      </c>
      <c r="B46" s="325">
        <f>'Horaire samedi'!B45</f>
        <v>0.66666666666666663</v>
      </c>
      <c r="C46" s="325" t="str">
        <f>'Horaire samedi'!C45</f>
        <v>C10</v>
      </c>
      <c r="D46" s="294" t="str">
        <f>VLOOKUP(C46,'Liste chauffeur'!$B$5:$L$20,2,TRUE)&amp;" "&amp;VLOOKUP(C46,'Liste chauffeur'!$B$5:$L$20,3,TRUE)</f>
        <v>ISSIHAKA M'Changama</v>
      </c>
      <c r="E46" s="334"/>
      <c r="F46" s="335">
        <f t="shared" si="0"/>
        <v>1</v>
      </c>
      <c r="G46" s="350"/>
      <c r="H46" s="336"/>
      <c r="I46" s="336"/>
      <c r="J46" s="336"/>
      <c r="K46" s="334"/>
      <c r="L46" s="334">
        <f t="shared" si="5"/>
        <v>0</v>
      </c>
      <c r="M46" s="336"/>
      <c r="N46" s="336"/>
      <c r="O46" s="334"/>
      <c r="P46" s="334"/>
      <c r="Q46" s="336"/>
      <c r="R46" s="336"/>
      <c r="S46" s="334"/>
      <c r="T46" s="334"/>
      <c r="U46" s="336"/>
      <c r="V46" s="336" t="str">
        <f t="shared" si="9"/>
        <v>OK</v>
      </c>
      <c r="W46" s="334"/>
      <c r="X46" s="336"/>
      <c r="Y46" s="297" t="str">
        <f t="shared" si="10"/>
        <v/>
      </c>
      <c r="Z46" s="296">
        <f t="shared" si="2"/>
        <v>0</v>
      </c>
      <c r="AA46" s="296">
        <f t="shared" si="11"/>
        <v>0</v>
      </c>
      <c r="AB46" s="299">
        <f t="shared" si="12"/>
        <v>0</v>
      </c>
      <c r="AC46" s="286"/>
    </row>
    <row r="47" spans="1:29" ht="40.049999999999997" customHeight="1" x14ac:dyDescent="0.45">
      <c r="A47" s="324" t="str">
        <f>'Horaire samedi'!A46</f>
        <v>PASSAMAINTY</v>
      </c>
      <c r="B47" s="325">
        <f>'Horaire samedi'!B46</f>
        <v>0.66666666666666663</v>
      </c>
      <c r="C47" s="325" t="str">
        <f>'Horaire samedi'!C46</f>
        <v>C8</v>
      </c>
      <c r="D47" s="294" t="str">
        <f>VLOOKUP(C47,'Liste chauffeur'!$B$5:$L$20,2,TRUE)&amp;" "&amp;VLOOKUP(C47,'Liste chauffeur'!$B$5:$L$20,3,TRUE)</f>
        <v>HADHURAMI Makinedine</v>
      </c>
      <c r="E47" s="334"/>
      <c r="F47" s="335">
        <f t="shared" si="0"/>
        <v>1</v>
      </c>
      <c r="G47" s="350"/>
      <c r="H47" s="336"/>
      <c r="I47" s="336"/>
      <c r="J47" s="336"/>
      <c r="K47" s="334"/>
      <c r="L47" s="334">
        <f t="shared" si="5"/>
        <v>0</v>
      </c>
      <c r="M47" s="336"/>
      <c r="N47" s="336"/>
      <c r="O47" s="334"/>
      <c r="P47" s="334"/>
      <c r="Q47" s="336"/>
      <c r="R47" s="336"/>
      <c r="S47" s="334"/>
      <c r="T47" s="334"/>
      <c r="U47" s="336"/>
      <c r="V47" s="336" t="str">
        <f t="shared" si="9"/>
        <v>OK</v>
      </c>
      <c r="W47" s="334"/>
      <c r="X47" s="336"/>
      <c r="Y47" s="297" t="str">
        <f t="shared" si="10"/>
        <v/>
      </c>
      <c r="Z47" s="296">
        <f t="shared" si="2"/>
        <v>0</v>
      </c>
      <c r="AA47" s="296">
        <f t="shared" si="11"/>
        <v>0</v>
      </c>
      <c r="AB47" s="299">
        <f t="shared" si="12"/>
        <v>0</v>
      </c>
      <c r="AC47" s="286"/>
    </row>
    <row r="48" spans="1:29" ht="40.049999999999997" customHeight="1" x14ac:dyDescent="0.45">
      <c r="A48" s="324" t="str">
        <f>'Horaire samedi'!A47</f>
        <v>VAHIBE</v>
      </c>
      <c r="B48" s="325">
        <f>'Horaire samedi'!B47</f>
        <v>0.6875</v>
      </c>
      <c r="C48" s="325" t="str">
        <f>'Horaire samedi'!C47</f>
        <v>C8</v>
      </c>
      <c r="D48" s="294" t="str">
        <f>VLOOKUP(C48,'Liste chauffeur'!$B$5:$L$20,2,TRUE)&amp;" "&amp;VLOOKUP(C48,'Liste chauffeur'!$B$5:$L$20,3,TRUE)</f>
        <v>HADHURAMI Makinedine</v>
      </c>
      <c r="E48" s="334"/>
      <c r="F48" s="335">
        <f t="shared" si="0"/>
        <v>1</v>
      </c>
      <c r="G48" s="350"/>
      <c r="H48" s="336"/>
      <c r="I48" s="336"/>
      <c r="J48" s="336"/>
      <c r="K48" s="334"/>
      <c r="L48" s="334">
        <f t="shared" si="5"/>
        <v>0</v>
      </c>
      <c r="M48" s="336"/>
      <c r="N48" s="336"/>
      <c r="O48" s="334"/>
      <c r="P48" s="334"/>
      <c r="Q48" s="336"/>
      <c r="R48" s="336"/>
      <c r="S48" s="334"/>
      <c r="T48" s="334"/>
      <c r="U48" s="336"/>
      <c r="V48" s="336"/>
      <c r="W48" s="334"/>
      <c r="X48" s="336"/>
      <c r="Y48" s="297" t="str">
        <f t="shared" si="10"/>
        <v/>
      </c>
      <c r="Z48" s="296">
        <f t="shared" si="2"/>
        <v>0</v>
      </c>
      <c r="AA48" s="296">
        <f t="shared" si="11"/>
        <v>0</v>
      </c>
      <c r="AB48" s="299">
        <f t="shared" si="12"/>
        <v>0</v>
      </c>
      <c r="AC48" s="286"/>
    </row>
    <row r="49" spans="1:29" ht="40.049999999999997" customHeight="1" x14ac:dyDescent="0.45">
      <c r="A49" s="324" t="str">
        <f>'Horaire samedi'!A48</f>
        <v>PASSAMAINTY</v>
      </c>
      <c r="B49" s="325">
        <f>'Horaire samedi'!B48</f>
        <v>0.6875</v>
      </c>
      <c r="C49" s="325" t="str">
        <f>'Horaire samedi'!C48</f>
        <v>C10</v>
      </c>
      <c r="D49" s="294" t="str">
        <f>VLOOKUP(C49,'Liste chauffeur'!$B$5:$L$20,2,TRUE)&amp;" "&amp;VLOOKUP(C49,'Liste chauffeur'!$B$5:$L$20,3,TRUE)</f>
        <v>ISSIHAKA M'Changama</v>
      </c>
      <c r="E49" s="334"/>
      <c r="F49" s="335">
        <f t="shared" si="0"/>
        <v>1</v>
      </c>
      <c r="G49" s="350"/>
      <c r="H49" s="336"/>
      <c r="I49" s="336"/>
      <c r="J49" s="336"/>
      <c r="K49" s="334"/>
      <c r="L49" s="334"/>
      <c r="M49" s="336"/>
      <c r="N49" s="336"/>
      <c r="O49" s="334"/>
      <c r="P49" s="334"/>
      <c r="Q49" s="336"/>
      <c r="R49" s="336"/>
      <c r="S49" s="334"/>
      <c r="T49" s="334"/>
      <c r="U49" s="336"/>
      <c r="V49" s="336"/>
      <c r="W49" s="334"/>
      <c r="X49" s="336"/>
      <c r="Y49" s="297" t="str">
        <f t="shared" si="10"/>
        <v/>
      </c>
      <c r="Z49" s="296">
        <f t="shared" si="2"/>
        <v>0</v>
      </c>
      <c r="AA49" s="296">
        <f t="shared" si="11"/>
        <v>0</v>
      </c>
      <c r="AB49" s="299">
        <f t="shared" si="12"/>
        <v>0</v>
      </c>
      <c r="AC49" s="286"/>
    </row>
    <row r="50" spans="1:29" ht="40.049999999999997" customHeight="1" x14ac:dyDescent="0.45">
      <c r="A50" s="324" t="str">
        <f>'Horaire samedi'!A49</f>
        <v>VAHIBE</v>
      </c>
      <c r="B50" s="325">
        <f>'Horaire samedi'!B49</f>
        <v>0.70833333333333337</v>
      </c>
      <c r="C50" s="325" t="str">
        <f>'Horaire samedi'!C49</f>
        <v>C10</v>
      </c>
      <c r="D50" s="294" t="str">
        <f>VLOOKUP(C50,'Liste chauffeur'!$B$5:$L$20,2,TRUE)&amp;" "&amp;VLOOKUP(C50,'Liste chauffeur'!$B$5:$L$20,3,TRUE)</f>
        <v>ISSIHAKA M'Changama</v>
      </c>
      <c r="E50" s="334"/>
      <c r="F50" s="335">
        <f t="shared" si="0"/>
        <v>1</v>
      </c>
      <c r="G50" s="350"/>
      <c r="H50" s="336"/>
      <c r="I50" s="336"/>
      <c r="J50" s="336"/>
      <c r="K50" s="334"/>
      <c r="L50" s="334"/>
      <c r="M50" s="336"/>
      <c r="N50" s="336"/>
      <c r="O50" s="334"/>
      <c r="P50" s="334"/>
      <c r="Q50" s="336"/>
      <c r="R50" s="336"/>
      <c r="S50" s="334"/>
      <c r="T50" s="334"/>
      <c r="U50" s="336"/>
      <c r="V50" s="336"/>
      <c r="W50" s="334"/>
      <c r="X50" s="336"/>
      <c r="Y50" s="297" t="str">
        <f t="shared" si="10"/>
        <v/>
      </c>
      <c r="Z50" s="296">
        <f t="shared" si="2"/>
        <v>0</v>
      </c>
      <c r="AA50" s="296">
        <f t="shared" si="11"/>
        <v>0</v>
      </c>
      <c r="AB50" s="299">
        <f t="shared" si="12"/>
        <v>0</v>
      </c>
      <c r="AC50" s="286"/>
    </row>
    <row r="51" spans="1:29" ht="40.049999999999997" customHeight="1" x14ac:dyDescent="0.45">
      <c r="A51" s="324" t="str">
        <f>'Horaire samedi'!A50</f>
        <v>PASSAMAINTY</v>
      </c>
      <c r="B51" s="325">
        <f>'Horaire samedi'!B50</f>
        <v>0.70833333333333337</v>
      </c>
      <c r="C51" s="325" t="str">
        <f>'Horaire samedi'!C50</f>
        <v>C8</v>
      </c>
      <c r="D51" s="294" t="str">
        <f>VLOOKUP(C51,'Liste chauffeur'!$B$5:$L$20,2,TRUE)&amp;" "&amp;VLOOKUP(C51,'Liste chauffeur'!$B$5:$L$20,3,TRUE)</f>
        <v>HADHURAMI Makinedine</v>
      </c>
      <c r="E51" s="334"/>
      <c r="F51" s="335">
        <f t="shared" si="0"/>
        <v>1</v>
      </c>
      <c r="G51" s="350"/>
      <c r="H51" s="336"/>
      <c r="I51" s="336"/>
      <c r="J51" s="336"/>
      <c r="K51" s="334"/>
      <c r="L51" s="334"/>
      <c r="M51" s="336"/>
      <c r="N51" s="336"/>
      <c r="O51" s="334"/>
      <c r="P51" s="334"/>
      <c r="Q51" s="336"/>
      <c r="R51" s="336"/>
      <c r="S51" s="334"/>
      <c r="T51" s="334"/>
      <c r="U51" s="336"/>
      <c r="V51" s="336"/>
      <c r="W51" s="334"/>
      <c r="X51" s="336"/>
      <c r="Y51" s="297" t="str">
        <f t="shared" si="10"/>
        <v/>
      </c>
      <c r="Z51" s="296">
        <f t="shared" si="2"/>
        <v>0</v>
      </c>
      <c r="AA51" s="296">
        <f t="shared" si="11"/>
        <v>0</v>
      </c>
      <c r="AB51" s="299">
        <f t="shared" si="12"/>
        <v>0</v>
      </c>
      <c r="AC51" s="286"/>
    </row>
    <row r="52" spans="1:29" ht="40.049999999999997" customHeight="1" x14ac:dyDescent="0.45">
      <c r="A52" s="324" t="str">
        <f>'Horaire samedi'!A51</f>
        <v>VAHIBE</v>
      </c>
      <c r="B52" s="325">
        <f>'Horaire samedi'!B51</f>
        <v>0.72916666666666663</v>
      </c>
      <c r="C52" s="325" t="str">
        <f>'Horaire samedi'!C51</f>
        <v>C8</v>
      </c>
      <c r="D52" s="294" t="str">
        <f>VLOOKUP(C52,'Liste chauffeur'!$B$5:$L$20,2,TRUE)&amp;" "&amp;VLOOKUP(C52,'Liste chauffeur'!$B$5:$L$20,3,TRUE)</f>
        <v>HADHURAMI Makinedine</v>
      </c>
      <c r="E52" s="334"/>
      <c r="F52" s="335">
        <f t="shared" si="0"/>
        <v>1</v>
      </c>
      <c r="G52" s="350"/>
      <c r="H52" s="336"/>
      <c r="I52" s="336"/>
      <c r="J52" s="336"/>
      <c r="K52" s="334"/>
      <c r="L52" s="334"/>
      <c r="M52" s="336"/>
      <c r="N52" s="336"/>
      <c r="O52" s="334"/>
      <c r="P52" s="334"/>
      <c r="Q52" s="336"/>
      <c r="R52" s="336"/>
      <c r="S52" s="334"/>
      <c r="T52" s="334"/>
      <c r="U52" s="336"/>
      <c r="V52" s="336"/>
      <c r="W52" s="334"/>
      <c r="X52" s="336"/>
      <c r="Y52" s="297" t="str">
        <f t="shared" si="10"/>
        <v/>
      </c>
      <c r="Z52" s="296">
        <f t="shared" si="2"/>
        <v>0</v>
      </c>
      <c r="AA52" s="296">
        <f t="shared" si="11"/>
        <v>0</v>
      </c>
      <c r="AB52" s="299">
        <f t="shared" si="12"/>
        <v>0</v>
      </c>
      <c r="AC52" s="286"/>
    </row>
    <row r="53" spans="1:29" ht="40.049999999999997" customHeight="1" x14ac:dyDescent="0.45">
      <c r="A53" s="324" t="str">
        <f>'Horaire samedi'!A52</f>
        <v>PASSAMAINTY</v>
      </c>
      <c r="B53" s="325">
        <f>'Horaire samedi'!B52</f>
        <v>0.72916666666666663</v>
      </c>
      <c r="C53" s="325" t="str">
        <f>'Horaire samedi'!C52</f>
        <v>C10</v>
      </c>
      <c r="D53" s="294" t="str">
        <f>VLOOKUP(C53,'Liste chauffeur'!$B$5:$L$20,2,TRUE)&amp;" "&amp;VLOOKUP(C53,'Liste chauffeur'!$B$5:$L$20,3,TRUE)</f>
        <v>ISSIHAKA M'Changama</v>
      </c>
      <c r="E53" s="334"/>
      <c r="F53" s="335">
        <f t="shared" si="0"/>
        <v>1</v>
      </c>
      <c r="G53" s="350"/>
      <c r="H53" s="336"/>
      <c r="I53" s="336"/>
      <c r="J53" s="336"/>
      <c r="K53" s="334"/>
      <c r="L53" s="334"/>
      <c r="M53" s="336"/>
      <c r="N53" s="336"/>
      <c r="O53" s="334"/>
      <c r="P53" s="334"/>
      <c r="Q53" s="336"/>
      <c r="R53" s="336"/>
      <c r="S53" s="334"/>
      <c r="T53" s="334"/>
      <c r="U53" s="336"/>
      <c r="V53" s="336"/>
      <c r="W53" s="334"/>
      <c r="X53" s="336"/>
      <c r="Y53" s="297" t="str">
        <f t="shared" si="10"/>
        <v/>
      </c>
      <c r="Z53" s="296">
        <f t="shared" si="2"/>
        <v>0</v>
      </c>
      <c r="AA53" s="296">
        <f t="shared" si="11"/>
        <v>0</v>
      </c>
      <c r="AB53" s="299">
        <f t="shared" si="12"/>
        <v>0</v>
      </c>
      <c r="AC53" s="286"/>
    </row>
    <row r="54" spans="1:29" ht="40.049999999999997" customHeight="1" x14ac:dyDescent="0.45">
      <c r="A54" s="324" t="str">
        <f>'Horaire samedi'!A53</f>
        <v>VAHIBE</v>
      </c>
      <c r="B54" s="325">
        <f>'Horaire samedi'!B53</f>
        <v>0.75</v>
      </c>
      <c r="C54" s="325" t="str">
        <f>'Horaire samedi'!C53</f>
        <v>C10</v>
      </c>
      <c r="D54" s="294" t="str">
        <f>VLOOKUP(C54,'Liste chauffeur'!$B$5:$L$20,2,TRUE)&amp;" "&amp;VLOOKUP(C54,'Liste chauffeur'!$B$5:$L$20,3,TRUE)</f>
        <v>ISSIHAKA M'Changama</v>
      </c>
      <c r="E54" s="334"/>
      <c r="F54" s="335">
        <f t="shared" si="0"/>
        <v>1</v>
      </c>
      <c r="G54" s="350"/>
      <c r="H54" s="336"/>
      <c r="I54" s="336"/>
      <c r="J54" s="336"/>
      <c r="K54" s="334"/>
      <c r="L54" s="334"/>
      <c r="M54" s="336"/>
      <c r="N54" s="336"/>
      <c r="O54" s="334"/>
      <c r="P54" s="334"/>
      <c r="Q54" s="336"/>
      <c r="R54" s="336"/>
      <c r="S54" s="334"/>
      <c r="T54" s="334"/>
      <c r="U54" s="336"/>
      <c r="V54" s="336"/>
      <c r="W54" s="334"/>
      <c r="X54" s="336"/>
      <c r="Y54" s="297" t="str">
        <f t="shared" si="10"/>
        <v/>
      </c>
      <c r="Z54" s="296">
        <f t="shared" si="2"/>
        <v>0</v>
      </c>
      <c r="AA54" s="296">
        <f t="shared" si="11"/>
        <v>0</v>
      </c>
      <c r="AB54" s="299">
        <f t="shared" si="12"/>
        <v>0</v>
      </c>
      <c r="AC54" s="286"/>
    </row>
    <row r="55" spans="1:29" ht="40.049999999999997" customHeight="1" x14ac:dyDescent="0.45">
      <c r="A55" s="324" t="str">
        <f>'Horaire samedi'!A54</f>
        <v>PASSAMAINTY</v>
      </c>
      <c r="B55" s="325">
        <f>'Horaire samedi'!B54</f>
        <v>0.75</v>
      </c>
      <c r="C55" s="325" t="str">
        <f>'Horaire samedi'!C54</f>
        <v>C8</v>
      </c>
      <c r="D55" s="294" t="str">
        <f>VLOOKUP(C55,'Liste chauffeur'!$B$5:$L$20,2,TRUE)&amp;" "&amp;VLOOKUP(C55,'Liste chauffeur'!$B$5:$L$20,3,TRUE)</f>
        <v>HADHURAMI Makinedine</v>
      </c>
      <c r="E55" s="334"/>
      <c r="F55" s="335">
        <f t="shared" si="0"/>
        <v>1</v>
      </c>
      <c r="G55" s="350"/>
      <c r="H55" s="336"/>
      <c r="I55" s="336"/>
      <c r="J55" s="336"/>
      <c r="K55" s="334"/>
      <c r="L55" s="334"/>
      <c r="M55" s="336"/>
      <c r="N55" s="336"/>
      <c r="O55" s="334"/>
      <c r="P55" s="334"/>
      <c r="Q55" s="336"/>
      <c r="R55" s="336"/>
      <c r="S55" s="334"/>
      <c r="T55" s="334"/>
      <c r="U55" s="336"/>
      <c r="V55" s="336"/>
      <c r="W55" s="334"/>
      <c r="X55" s="336"/>
      <c r="Y55" s="297" t="str">
        <f t="shared" si="10"/>
        <v/>
      </c>
      <c r="Z55" s="296">
        <f t="shared" si="2"/>
        <v>0</v>
      </c>
      <c r="AA55" s="296">
        <f t="shared" si="11"/>
        <v>0</v>
      </c>
      <c r="AB55" s="299">
        <f t="shared" si="12"/>
        <v>0</v>
      </c>
      <c r="AC55" s="286"/>
    </row>
    <row r="56" spans="1:29" ht="40.049999999999997" customHeight="1" x14ac:dyDescent="0.45">
      <c r="A56" s="345"/>
      <c r="B56" s="346" t="s">
        <v>472</v>
      </c>
      <c r="C56" s="346"/>
      <c r="D56" s="304"/>
      <c r="E56" s="337"/>
      <c r="F56" s="347">
        <f>SUM(F32:F55)</f>
        <v>24</v>
      </c>
      <c r="G56" s="347"/>
      <c r="H56" s="339"/>
      <c r="I56" s="339"/>
      <c r="J56" s="339"/>
      <c r="K56" s="337"/>
      <c r="L56" s="337"/>
      <c r="M56" s="339"/>
      <c r="N56" s="339"/>
      <c r="O56" s="337"/>
      <c r="P56" s="337"/>
      <c r="Q56" s="339"/>
      <c r="R56" s="339"/>
      <c r="S56" s="337"/>
      <c r="T56" s="337"/>
      <c r="U56" s="339"/>
      <c r="V56" s="339"/>
      <c r="W56" s="337"/>
      <c r="X56" s="338"/>
      <c r="Y56" s="301" t="e">
        <f>AVERAGE(Y$32:Y$55)</f>
        <v>#DIV/0!</v>
      </c>
      <c r="Z56" s="283">
        <f>SUM(Z$32:Z$55)</f>
        <v>0</v>
      </c>
      <c r="AA56" s="283">
        <f>SUM(AA$32:AA$55)</f>
        <v>0</v>
      </c>
      <c r="AB56" s="284">
        <f t="shared" si="12"/>
        <v>0</v>
      </c>
      <c r="AC56" s="300"/>
    </row>
    <row r="57" spans="1:29" ht="40.049999999999997" customHeight="1" x14ac:dyDescent="0.45">
      <c r="A57" s="345"/>
      <c r="B57" s="346" t="s">
        <v>473</v>
      </c>
      <c r="C57" s="346"/>
      <c r="D57" s="304"/>
      <c r="E57" s="337"/>
      <c r="F57" s="347">
        <f>F56+F31</f>
        <v>47</v>
      </c>
      <c r="G57" s="347"/>
      <c r="H57" s="339"/>
      <c r="I57" s="339"/>
      <c r="J57" s="339"/>
      <c r="K57" s="337"/>
      <c r="L57" s="337"/>
      <c r="M57" s="339"/>
      <c r="N57" s="339"/>
      <c r="O57" s="337"/>
      <c r="P57" s="337"/>
      <c r="Q57" s="339"/>
      <c r="R57" s="339"/>
      <c r="S57" s="337"/>
      <c r="T57" s="337"/>
      <c r="U57" s="339"/>
      <c r="V57" s="339"/>
      <c r="W57" s="337"/>
      <c r="X57" s="338"/>
      <c r="Y57" s="301" t="e">
        <f>AVERAGE(Y$8:Y$30,Y$32:Y$55)</f>
        <v>#DIV/0!</v>
      </c>
      <c r="Z57" s="347">
        <f>Z56+Z31</f>
        <v>0</v>
      </c>
      <c r="AA57" s="347">
        <f>AA56+AA31</f>
        <v>0</v>
      </c>
      <c r="AB57" s="284">
        <f t="shared" si="12"/>
        <v>0</v>
      </c>
      <c r="AC57" s="300"/>
    </row>
    <row r="58" spans="1:29" ht="27" customHeight="1" x14ac:dyDescent="0.45">
      <c r="A58" s="303" t="s">
        <v>358</v>
      </c>
      <c r="B58" s="293"/>
      <c r="C58" s="293" t="s">
        <v>359</v>
      </c>
      <c r="D58" s="294"/>
      <c r="E58" s="295"/>
      <c r="F58" s="296"/>
      <c r="G58" s="296"/>
      <c r="H58" s="296"/>
      <c r="I58" s="296"/>
      <c r="J58" s="302"/>
      <c r="K58" s="296"/>
      <c r="L58" s="296"/>
      <c r="M58" s="295"/>
      <c r="N58" s="286"/>
      <c r="O58" s="297" t="e">
        <f t="shared" ref="O58:O62" si="13">M58-#REF!</f>
        <v>#REF!</v>
      </c>
      <c r="P58" s="296" t="e">
        <f t="shared" ref="P58:P62" si="14">#REF!+#REF!-#REF!</f>
        <v>#REF!</v>
      </c>
      <c r="Q58" s="296"/>
      <c r="R58" s="299"/>
      <c r="S58" s="286"/>
      <c r="T58" s="286"/>
      <c r="U58" s="286"/>
      <c r="V58" s="286"/>
      <c r="W58" s="295"/>
      <c r="X58" s="286"/>
      <c r="Y58" s="297"/>
      <c r="Z58" s="296"/>
      <c r="AA58" s="296"/>
      <c r="AB58" s="299"/>
      <c r="AC58" s="286"/>
    </row>
    <row r="59" spans="1:29" ht="27" customHeight="1" x14ac:dyDescent="0.45">
      <c r="A59" s="303" t="s">
        <v>358</v>
      </c>
      <c r="B59" s="293"/>
      <c r="C59" s="293" t="s">
        <v>359</v>
      </c>
      <c r="D59" s="294"/>
      <c r="E59" s="295"/>
      <c r="F59" s="296"/>
      <c r="G59" s="296"/>
      <c r="H59" s="296"/>
      <c r="I59" s="296"/>
      <c r="J59" s="302"/>
      <c r="K59" s="296"/>
      <c r="L59" s="296"/>
      <c r="M59" s="295"/>
      <c r="N59" s="286"/>
      <c r="O59" s="297"/>
      <c r="P59" s="296"/>
      <c r="Q59" s="296"/>
      <c r="R59" s="299"/>
      <c r="S59" s="286"/>
      <c r="T59" s="286"/>
      <c r="U59" s="286"/>
      <c r="V59" s="286"/>
      <c r="W59" s="295"/>
      <c r="X59" s="286"/>
      <c r="Y59" s="297"/>
      <c r="Z59" s="296"/>
      <c r="AA59" s="296"/>
      <c r="AB59" s="299"/>
      <c r="AC59" s="286"/>
    </row>
    <row r="60" spans="1:29" ht="27" customHeight="1" x14ac:dyDescent="0.45">
      <c r="A60" s="303" t="s">
        <v>358</v>
      </c>
      <c r="B60" s="293"/>
      <c r="C60" s="293" t="s">
        <v>359</v>
      </c>
      <c r="D60" s="294"/>
      <c r="E60" s="295"/>
      <c r="F60" s="296"/>
      <c r="G60" s="296"/>
      <c r="H60" s="296"/>
      <c r="I60" s="296"/>
      <c r="J60" s="302"/>
      <c r="K60" s="296"/>
      <c r="L60" s="296"/>
      <c r="M60" s="295"/>
      <c r="N60" s="286"/>
      <c r="O60" s="297"/>
      <c r="P60" s="296"/>
      <c r="Q60" s="296"/>
      <c r="R60" s="299"/>
      <c r="S60" s="286"/>
      <c r="T60" s="286"/>
      <c r="U60" s="286"/>
      <c r="V60" s="286"/>
      <c r="W60" s="295"/>
      <c r="X60" s="286"/>
      <c r="Y60" s="297"/>
      <c r="Z60" s="296"/>
      <c r="AA60" s="296"/>
      <c r="AB60" s="299"/>
      <c r="AC60" s="286"/>
    </row>
    <row r="61" spans="1:29" ht="27" customHeight="1" x14ac:dyDescent="0.45">
      <c r="A61" s="303" t="s">
        <v>358</v>
      </c>
      <c r="B61" s="293"/>
      <c r="C61" s="293" t="s">
        <v>359</v>
      </c>
      <c r="D61" s="294"/>
      <c r="E61" s="295"/>
      <c r="F61" s="296"/>
      <c r="G61" s="296"/>
      <c r="H61" s="296"/>
      <c r="I61" s="296"/>
      <c r="J61" s="302"/>
      <c r="K61" s="296"/>
      <c r="L61" s="296"/>
      <c r="M61" s="295"/>
      <c r="N61" s="286"/>
      <c r="O61" s="297"/>
      <c r="P61" s="296"/>
      <c r="Q61" s="296"/>
      <c r="R61" s="299"/>
      <c r="S61" s="286"/>
      <c r="T61" s="286"/>
      <c r="U61" s="286"/>
      <c r="V61" s="286"/>
      <c r="W61" s="295"/>
      <c r="X61" s="286"/>
      <c r="Y61" s="297"/>
      <c r="Z61" s="296"/>
      <c r="AA61" s="296"/>
      <c r="AB61" s="299"/>
      <c r="AC61" s="286"/>
    </row>
    <row r="62" spans="1:29" ht="27" customHeight="1" x14ac:dyDescent="0.45">
      <c r="A62" s="303" t="s">
        <v>358</v>
      </c>
      <c r="B62" s="293"/>
      <c r="C62" s="293" t="s">
        <v>359</v>
      </c>
      <c r="D62" s="294"/>
      <c r="E62" s="295"/>
      <c r="F62" s="296"/>
      <c r="G62" s="296"/>
      <c r="H62" s="296"/>
      <c r="I62" s="296"/>
      <c r="J62" s="302"/>
      <c r="K62" s="296"/>
      <c r="L62" s="296"/>
      <c r="M62" s="295"/>
      <c r="N62" s="286"/>
      <c r="O62" s="297" t="e">
        <f t="shared" si="13"/>
        <v>#REF!</v>
      </c>
      <c r="P62" s="296" t="e">
        <f t="shared" si="14"/>
        <v>#REF!</v>
      </c>
      <c r="Q62" s="296"/>
      <c r="R62" s="299"/>
      <c r="S62" s="286"/>
      <c r="T62" s="286"/>
      <c r="U62" s="286"/>
      <c r="V62" s="286"/>
      <c r="W62" s="295"/>
      <c r="X62" s="286"/>
      <c r="Y62" s="297"/>
      <c r="Z62" s="296"/>
      <c r="AA62" s="296"/>
      <c r="AB62" s="299"/>
      <c r="AC62" s="286"/>
    </row>
    <row r="64" spans="1:29" x14ac:dyDescent="0.45">
      <c r="E64" s="137" t="s">
        <v>15</v>
      </c>
      <c r="I64" s="137" t="s">
        <v>16</v>
      </c>
    </row>
    <row r="66" spans="2:6" x14ac:dyDescent="0.45">
      <c r="C66" s="276"/>
    </row>
    <row r="67" spans="2:6" ht="57" x14ac:dyDescent="0.45">
      <c r="B67" s="137" t="s">
        <v>401</v>
      </c>
      <c r="C67" s="215" t="s">
        <v>402</v>
      </c>
      <c r="D67" s="137" t="s">
        <v>403</v>
      </c>
      <c r="E67" s="215" t="s">
        <v>404</v>
      </c>
      <c r="F67" s="215" t="s">
        <v>474</v>
      </c>
    </row>
    <row r="68" spans="2:6" x14ac:dyDescent="0.45">
      <c r="B68" s="137" t="s">
        <v>24</v>
      </c>
      <c r="C68" s="327">
        <f t="shared" ref="C68:C93" si="15">COUNTIF($B$8:$C$55,B68)</f>
        <v>0</v>
      </c>
      <c r="D68" s="430">
        <f t="shared" ref="D68:D93" si="16">C68-(COUNTIFS(C$8:C$55,B68,X$8:X$55,""))</f>
        <v>0</v>
      </c>
      <c r="E68" s="189">
        <f t="shared" ref="E68:E93" si="17">COUNTIFS(X$8:X$55,$B68)</f>
        <v>0</v>
      </c>
      <c r="F68" s="189">
        <f t="shared" ref="F68:F93" si="18">COUNTIFS(G$8:G$55,$B68)</f>
        <v>0</v>
      </c>
    </row>
    <row r="69" spans="2:6" x14ac:dyDescent="0.45">
      <c r="B69" s="137" t="s">
        <v>36</v>
      </c>
      <c r="C69" s="327">
        <f t="shared" si="15"/>
        <v>0</v>
      </c>
      <c r="D69" s="430">
        <f t="shared" si="16"/>
        <v>0</v>
      </c>
      <c r="E69" s="189">
        <f t="shared" si="17"/>
        <v>0</v>
      </c>
      <c r="F69" s="189">
        <f t="shared" si="18"/>
        <v>0</v>
      </c>
    </row>
    <row r="70" spans="2:6" x14ac:dyDescent="0.45">
      <c r="B70" s="137" t="s">
        <v>27</v>
      </c>
      <c r="C70" s="327">
        <f t="shared" si="15"/>
        <v>0</v>
      </c>
      <c r="D70" s="430">
        <f t="shared" si="16"/>
        <v>0</v>
      </c>
      <c r="E70" s="189">
        <f t="shared" si="17"/>
        <v>0</v>
      </c>
      <c r="F70" s="189">
        <f t="shared" si="18"/>
        <v>0</v>
      </c>
    </row>
    <row r="71" spans="2:6" x14ac:dyDescent="0.45">
      <c r="B71" s="137" t="s">
        <v>48</v>
      </c>
      <c r="C71" s="327">
        <f t="shared" si="15"/>
        <v>0</v>
      </c>
      <c r="D71" s="430">
        <f t="shared" si="16"/>
        <v>0</v>
      </c>
      <c r="E71" s="189">
        <f t="shared" si="17"/>
        <v>0</v>
      </c>
      <c r="F71" s="189">
        <f t="shared" si="18"/>
        <v>0</v>
      </c>
    </row>
    <row r="72" spans="2:6" x14ac:dyDescent="0.45">
      <c r="B72" s="137" t="s">
        <v>49</v>
      </c>
      <c r="C72" s="327">
        <f t="shared" si="15"/>
        <v>0</v>
      </c>
      <c r="D72" s="430">
        <f t="shared" si="16"/>
        <v>0</v>
      </c>
      <c r="E72" s="189">
        <f t="shared" si="17"/>
        <v>0</v>
      </c>
      <c r="F72" s="189">
        <f t="shared" si="18"/>
        <v>0</v>
      </c>
    </row>
    <row r="73" spans="2:6" x14ac:dyDescent="0.45">
      <c r="B73" s="137" t="s">
        <v>50</v>
      </c>
      <c r="C73" s="327">
        <f t="shared" si="15"/>
        <v>0</v>
      </c>
      <c r="D73" s="430">
        <f t="shared" si="16"/>
        <v>0</v>
      </c>
      <c r="E73" s="189">
        <f t="shared" si="17"/>
        <v>0</v>
      </c>
      <c r="F73" s="189">
        <f t="shared" si="18"/>
        <v>0</v>
      </c>
    </row>
    <row r="74" spans="2:6" x14ac:dyDescent="0.45">
      <c r="B74" s="137" t="s">
        <v>51</v>
      </c>
      <c r="C74" s="327">
        <f t="shared" si="15"/>
        <v>0</v>
      </c>
      <c r="D74" s="430">
        <f t="shared" si="16"/>
        <v>0</v>
      </c>
      <c r="E74" s="189">
        <f t="shared" si="17"/>
        <v>0</v>
      </c>
      <c r="F74" s="189">
        <f t="shared" si="18"/>
        <v>0</v>
      </c>
    </row>
    <row r="75" spans="2:6" x14ac:dyDescent="0.45">
      <c r="B75" s="137" t="s">
        <v>37</v>
      </c>
      <c r="C75" s="327">
        <f t="shared" si="15"/>
        <v>9</v>
      </c>
      <c r="D75" s="430">
        <f t="shared" si="16"/>
        <v>0</v>
      </c>
      <c r="E75" s="189">
        <f t="shared" si="17"/>
        <v>0</v>
      </c>
      <c r="F75" s="189">
        <f t="shared" si="18"/>
        <v>0</v>
      </c>
    </row>
    <row r="76" spans="2:6" x14ac:dyDescent="0.45">
      <c r="B76" s="137" t="s">
        <v>41</v>
      </c>
      <c r="C76" s="327">
        <f t="shared" si="15"/>
        <v>14</v>
      </c>
      <c r="D76" s="430">
        <f t="shared" si="16"/>
        <v>0</v>
      </c>
      <c r="E76" s="189">
        <f t="shared" si="17"/>
        <v>0</v>
      </c>
      <c r="F76" s="189">
        <f t="shared" si="18"/>
        <v>0</v>
      </c>
    </row>
    <row r="77" spans="2:6" x14ac:dyDescent="0.45">
      <c r="B77" s="137" t="s">
        <v>42</v>
      </c>
      <c r="C77" s="327">
        <f t="shared" si="15"/>
        <v>10</v>
      </c>
      <c r="D77" s="430">
        <f t="shared" si="16"/>
        <v>0</v>
      </c>
      <c r="E77" s="189">
        <f t="shared" si="17"/>
        <v>0</v>
      </c>
      <c r="F77" s="189">
        <f t="shared" si="18"/>
        <v>0</v>
      </c>
    </row>
    <row r="78" spans="2:6" x14ac:dyDescent="0.45">
      <c r="B78" s="137" t="s">
        <v>43</v>
      </c>
      <c r="C78" s="327">
        <f t="shared" si="15"/>
        <v>14</v>
      </c>
      <c r="D78" s="430">
        <f t="shared" si="16"/>
        <v>0</v>
      </c>
      <c r="E78" s="189">
        <f t="shared" si="17"/>
        <v>0</v>
      </c>
      <c r="F78" s="189">
        <f t="shared" si="18"/>
        <v>0</v>
      </c>
    </row>
    <row r="79" spans="2:6" x14ac:dyDescent="0.45">
      <c r="B79" s="137" t="s">
        <v>44</v>
      </c>
      <c r="C79" s="327">
        <f t="shared" si="15"/>
        <v>0</v>
      </c>
      <c r="D79" s="430">
        <f t="shared" si="16"/>
        <v>0</v>
      </c>
      <c r="E79" s="189">
        <f t="shared" si="17"/>
        <v>0</v>
      </c>
      <c r="F79" s="189">
        <f t="shared" si="18"/>
        <v>0</v>
      </c>
    </row>
    <row r="80" spans="2:6" x14ac:dyDescent="0.45">
      <c r="B80" s="137" t="s">
        <v>45</v>
      </c>
      <c r="C80" s="327">
        <f t="shared" si="15"/>
        <v>0</v>
      </c>
      <c r="D80" s="430">
        <f t="shared" si="16"/>
        <v>0</v>
      </c>
      <c r="E80" s="189">
        <f t="shared" si="17"/>
        <v>0</v>
      </c>
      <c r="F80" s="189">
        <f t="shared" si="18"/>
        <v>0</v>
      </c>
    </row>
    <row r="81" spans="2:6" x14ac:dyDescent="0.45">
      <c r="B81" s="137" t="s">
        <v>46</v>
      </c>
      <c r="C81" s="327">
        <f t="shared" si="15"/>
        <v>0</v>
      </c>
      <c r="D81" s="430">
        <f t="shared" si="16"/>
        <v>0</v>
      </c>
      <c r="E81" s="189">
        <f t="shared" si="17"/>
        <v>0</v>
      </c>
      <c r="F81" s="189">
        <f t="shared" si="18"/>
        <v>0</v>
      </c>
    </row>
    <row r="82" spans="2:6" x14ac:dyDescent="0.45">
      <c r="B82" s="137" t="s">
        <v>31</v>
      </c>
      <c r="C82" s="327">
        <f t="shared" si="15"/>
        <v>0</v>
      </c>
      <c r="D82" s="430">
        <f t="shared" si="16"/>
        <v>0</v>
      </c>
      <c r="E82" s="189">
        <f t="shared" si="17"/>
        <v>0</v>
      </c>
      <c r="F82" s="189">
        <f t="shared" si="18"/>
        <v>0</v>
      </c>
    </row>
    <row r="83" spans="2:6" x14ac:dyDescent="0.45">
      <c r="B83" s="137" t="s">
        <v>47</v>
      </c>
      <c r="C83" s="327">
        <f t="shared" si="15"/>
        <v>0</v>
      </c>
      <c r="D83" s="430">
        <f t="shared" si="16"/>
        <v>0</v>
      </c>
      <c r="E83" s="189">
        <f t="shared" si="17"/>
        <v>0</v>
      </c>
      <c r="F83" s="189">
        <f t="shared" si="18"/>
        <v>0</v>
      </c>
    </row>
    <row r="84" spans="2:6" x14ac:dyDescent="0.45">
      <c r="B84" s="137" t="s">
        <v>337</v>
      </c>
      <c r="C84" s="327">
        <f t="shared" si="15"/>
        <v>0</v>
      </c>
      <c r="D84" s="430">
        <f t="shared" si="16"/>
        <v>0</v>
      </c>
      <c r="E84" s="189">
        <f t="shared" si="17"/>
        <v>0</v>
      </c>
      <c r="F84" s="189">
        <f t="shared" si="18"/>
        <v>0</v>
      </c>
    </row>
    <row r="85" spans="2:6" x14ac:dyDescent="0.45">
      <c r="B85" s="137" t="s">
        <v>338</v>
      </c>
      <c r="C85" s="327">
        <f t="shared" si="15"/>
        <v>0</v>
      </c>
      <c r="D85" s="430">
        <f t="shared" si="16"/>
        <v>0</v>
      </c>
      <c r="E85" s="189">
        <f t="shared" si="17"/>
        <v>0</v>
      </c>
      <c r="F85" s="189">
        <f t="shared" si="18"/>
        <v>0</v>
      </c>
    </row>
    <row r="86" spans="2:6" x14ac:dyDescent="0.45">
      <c r="B86" s="137" t="s">
        <v>339</v>
      </c>
      <c r="C86" s="327">
        <f t="shared" si="15"/>
        <v>0</v>
      </c>
      <c r="D86" s="430">
        <f t="shared" si="16"/>
        <v>0</v>
      </c>
      <c r="E86" s="189">
        <f t="shared" si="17"/>
        <v>0</v>
      </c>
      <c r="F86" s="189">
        <f t="shared" si="18"/>
        <v>0</v>
      </c>
    </row>
    <row r="87" spans="2:6" x14ac:dyDescent="0.45">
      <c r="B87" s="137" t="s">
        <v>463</v>
      </c>
      <c r="C87" s="327">
        <f t="shared" si="15"/>
        <v>0</v>
      </c>
      <c r="D87" s="430">
        <f t="shared" si="16"/>
        <v>0</v>
      </c>
      <c r="E87" s="189">
        <f t="shared" si="17"/>
        <v>0</v>
      </c>
      <c r="F87" s="189">
        <f t="shared" si="18"/>
        <v>0</v>
      </c>
    </row>
    <row r="88" spans="2:6" x14ac:dyDescent="0.45">
      <c r="B88" s="137" t="s">
        <v>465</v>
      </c>
      <c r="C88" s="327">
        <f t="shared" si="15"/>
        <v>0</v>
      </c>
      <c r="D88" s="430">
        <f t="shared" si="16"/>
        <v>0</v>
      </c>
      <c r="E88" s="189">
        <f t="shared" si="17"/>
        <v>0</v>
      </c>
      <c r="F88" s="189">
        <f t="shared" si="18"/>
        <v>0</v>
      </c>
    </row>
    <row r="89" spans="2:6" x14ac:dyDescent="0.45">
      <c r="B89" s="137" t="s">
        <v>340</v>
      </c>
      <c r="C89" s="327">
        <f t="shared" si="15"/>
        <v>0</v>
      </c>
      <c r="D89" s="430">
        <f t="shared" si="16"/>
        <v>0</v>
      </c>
      <c r="E89" s="189">
        <f t="shared" si="17"/>
        <v>0</v>
      </c>
      <c r="F89" s="189">
        <f t="shared" si="18"/>
        <v>0</v>
      </c>
    </row>
    <row r="90" spans="2:6" x14ac:dyDescent="0.45">
      <c r="B90" s="137" t="s">
        <v>475</v>
      </c>
      <c r="C90" s="327">
        <f t="shared" si="15"/>
        <v>0</v>
      </c>
      <c r="D90" s="430">
        <f t="shared" si="16"/>
        <v>0</v>
      </c>
      <c r="E90" s="189">
        <f t="shared" si="17"/>
        <v>0</v>
      </c>
      <c r="F90" s="189">
        <f t="shared" si="18"/>
        <v>0</v>
      </c>
    </row>
    <row r="91" spans="2:6" x14ac:dyDescent="0.45">
      <c r="B91" s="137" t="s">
        <v>369</v>
      </c>
      <c r="C91" s="327">
        <f t="shared" si="15"/>
        <v>0</v>
      </c>
      <c r="D91" s="430">
        <f t="shared" si="16"/>
        <v>0</v>
      </c>
      <c r="E91" s="189">
        <f t="shared" si="17"/>
        <v>0</v>
      </c>
      <c r="F91" s="189">
        <f t="shared" si="18"/>
        <v>0</v>
      </c>
    </row>
    <row r="92" spans="2:6" x14ac:dyDescent="0.45">
      <c r="B92" s="137" t="s">
        <v>377</v>
      </c>
      <c r="C92" s="327">
        <f t="shared" si="15"/>
        <v>0</v>
      </c>
      <c r="D92" s="430">
        <f t="shared" si="16"/>
        <v>0</v>
      </c>
      <c r="E92" s="189">
        <f t="shared" si="17"/>
        <v>0</v>
      </c>
      <c r="F92" s="189">
        <f t="shared" si="18"/>
        <v>0</v>
      </c>
    </row>
    <row r="93" spans="2:6" x14ac:dyDescent="0.45">
      <c r="B93" s="137" t="s">
        <v>383</v>
      </c>
      <c r="C93" s="327">
        <f t="shared" si="15"/>
        <v>0</v>
      </c>
      <c r="D93" s="430">
        <f t="shared" si="16"/>
        <v>0</v>
      </c>
      <c r="E93" s="189">
        <f t="shared" si="17"/>
        <v>0</v>
      </c>
      <c r="F93" s="189">
        <f t="shared" si="18"/>
        <v>0</v>
      </c>
    </row>
    <row r="94" spans="2:6" x14ac:dyDescent="0.45">
      <c r="C94" s="431">
        <f>SUM(C68:C93)</f>
        <v>47</v>
      </c>
      <c r="D94" s="432">
        <f t="shared" ref="D94:F94" si="19">SUM(D68:D93)</f>
        <v>0</v>
      </c>
      <c r="E94" s="432">
        <f t="shared" si="19"/>
        <v>0</v>
      </c>
      <c r="F94" s="432">
        <f t="shared" si="19"/>
        <v>0</v>
      </c>
    </row>
    <row r="95" spans="2:6" x14ac:dyDescent="0.45">
      <c r="E95" s="432">
        <f>D94-E94</f>
        <v>0</v>
      </c>
      <c r="F95" s="433" t="str">
        <f>IF(E95=F94,"OK","ERREUR")</f>
        <v>OK</v>
      </c>
    </row>
  </sheetData>
  <sheetProtection formatCells="0" formatColumns="0" formatRows="0" autoFilter="0"/>
  <autoFilter ref="A7:AB62" xr:uid="{5B5BBBDE-33E3-4462-B288-63EC9F5FA152}"/>
  <mergeCells count="4">
    <mergeCell ref="B3:D3"/>
    <mergeCell ref="I6:J6"/>
    <mergeCell ref="M6:O6"/>
    <mergeCell ref="Q6:S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2" orientation="portrait" copies="1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5019-C601-4E36-A098-CC4730E0AA4C}">
  <sheetPr>
    <pageSetUpPr fitToPage="1"/>
  </sheetPr>
  <dimension ref="A2:AC72"/>
  <sheetViews>
    <sheetView showGridLines="0" workbookViewId="0">
      <selection activeCell="B31" sqref="A31:XFD32"/>
    </sheetView>
  </sheetViews>
  <sheetFormatPr baseColWidth="10" defaultColWidth="10.796875" defaultRowHeight="14.25" outlineLevelCol="1" x14ac:dyDescent="0.45"/>
  <cols>
    <col min="1" max="1" width="11.796875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0.796875" style="137"/>
    <col min="9" max="22" width="10.796875" style="137" hidden="1" customWidth="1"/>
    <col min="23" max="23" width="13.1328125" style="137" customWidth="1"/>
    <col min="24" max="24" width="34.796875" style="137" customWidth="1"/>
    <col min="25" max="28" width="10.796875" style="137" customWidth="1"/>
    <col min="29" max="16384" width="10.796875" style="137"/>
  </cols>
  <sheetData>
    <row r="2" spans="1:29" ht="23.25" x14ac:dyDescent="0.45">
      <c r="A2" s="137" t="s">
        <v>18</v>
      </c>
      <c r="B2" s="269" t="s">
        <v>37</v>
      </c>
      <c r="C2" s="238"/>
      <c r="D2" s="238"/>
    </row>
    <row r="3" spans="1:29" ht="22.5" hidden="1" customHeight="1" x14ac:dyDescent="0.45">
      <c r="A3" s="137" t="s">
        <v>14</v>
      </c>
      <c r="B3" s="492">
        <v>45627</v>
      </c>
      <c r="C3" s="493"/>
      <c r="D3" s="493"/>
      <c r="E3" s="249"/>
      <c r="F3" s="249"/>
      <c r="G3" s="249"/>
      <c r="H3" s="140"/>
    </row>
    <row r="4" spans="1:29" ht="28.5" customHeight="1" x14ac:dyDescent="0.45">
      <c r="A4" s="137" t="s">
        <v>13</v>
      </c>
      <c r="B4" s="306" t="str">
        <f>VLOOKUP(B2,'Liste chauffeur'!$B$5:$L$20,2,TRUE)&amp;" "&amp;VLOOKUP(B2,'Liste chauffeur'!$B$5:$L$20,3,TRUE)</f>
        <v>HADHURAMI Makinedine</v>
      </c>
      <c r="C4" s="259"/>
      <c r="D4" s="259"/>
      <c r="E4" s="139"/>
      <c r="F4" s="139"/>
      <c r="G4" s="139"/>
      <c r="H4" s="140"/>
      <c r="J4" s="276"/>
      <c r="M4" s="276"/>
    </row>
    <row r="6" spans="1:29" x14ac:dyDescent="0.45">
      <c r="A6" s="141"/>
      <c r="B6" s="142"/>
      <c r="C6" s="142"/>
      <c r="D6" s="142"/>
      <c r="E6" s="142"/>
      <c r="F6" s="142"/>
      <c r="G6" s="142"/>
      <c r="H6" s="142"/>
      <c r="I6" s="496" t="s">
        <v>2</v>
      </c>
      <c r="J6" s="497"/>
      <c r="K6" s="340"/>
      <c r="L6" s="281"/>
      <c r="M6" s="498" t="s">
        <v>6</v>
      </c>
      <c r="N6" s="498"/>
      <c r="O6" s="498"/>
      <c r="P6" s="281"/>
      <c r="Q6" s="498" t="s">
        <v>7</v>
      </c>
      <c r="R6" s="498"/>
      <c r="S6" s="498"/>
      <c r="T6" s="281"/>
      <c r="U6" s="282"/>
      <c r="V6" s="305"/>
      <c r="W6" s="305" t="s">
        <v>360</v>
      </c>
      <c r="X6" s="282"/>
      <c r="Y6" s="282"/>
      <c r="Z6" s="282"/>
      <c r="AA6" s="282">
        <v>8</v>
      </c>
      <c r="AB6" s="282"/>
    </row>
    <row r="7" spans="1:29" ht="69.75" x14ac:dyDescent="0.45">
      <c r="A7" s="286"/>
      <c r="B7" s="287" t="s">
        <v>0</v>
      </c>
      <c r="C7" s="287" t="s">
        <v>341</v>
      </c>
      <c r="D7" s="287" t="s">
        <v>342</v>
      </c>
      <c r="E7" s="287" t="s">
        <v>1</v>
      </c>
      <c r="F7" s="287" t="s">
        <v>343</v>
      </c>
      <c r="G7" s="287" t="s">
        <v>344</v>
      </c>
      <c r="H7" s="287" t="s">
        <v>23</v>
      </c>
      <c r="I7" s="288" t="s">
        <v>131</v>
      </c>
      <c r="J7" s="288" t="s">
        <v>328</v>
      </c>
      <c r="K7" s="289" t="s">
        <v>5</v>
      </c>
      <c r="L7" s="289" t="s">
        <v>19</v>
      </c>
      <c r="M7" s="288" t="s">
        <v>131</v>
      </c>
      <c r="N7" s="288" t="s">
        <v>328</v>
      </c>
      <c r="O7" s="289" t="s">
        <v>9</v>
      </c>
      <c r="P7" s="289" t="s">
        <v>19</v>
      </c>
      <c r="Q7" s="288" t="s">
        <v>131</v>
      </c>
      <c r="R7" s="288" t="s">
        <v>328</v>
      </c>
      <c r="S7" s="290" t="s">
        <v>10</v>
      </c>
      <c r="T7" s="290" t="s">
        <v>19</v>
      </c>
      <c r="U7" s="290" t="s">
        <v>22</v>
      </c>
      <c r="V7" s="290"/>
      <c r="W7" s="287" t="s">
        <v>17</v>
      </c>
      <c r="X7" s="291" t="s">
        <v>12</v>
      </c>
      <c r="Y7" s="286" t="s">
        <v>20</v>
      </c>
      <c r="Z7" s="292" t="s">
        <v>38</v>
      </c>
      <c r="AA7" s="292" t="s">
        <v>39</v>
      </c>
      <c r="AB7" s="292" t="s">
        <v>40</v>
      </c>
      <c r="AC7" s="286"/>
    </row>
    <row r="8" spans="1:29" ht="23.25" x14ac:dyDescent="0.45">
      <c r="A8" s="324" t="str">
        <f>'Horaire dimanche1'!A8</f>
        <v>VAHIBE</v>
      </c>
      <c r="B8" s="325">
        <f>'Horaire dimanche1'!B8</f>
        <v>0.33333333333333331</v>
      </c>
      <c r="C8" s="325" t="str">
        <f>'Horaire dimanche1'!C8</f>
        <v>C5</v>
      </c>
      <c r="D8" s="294" t="str">
        <f>VLOOKUP(C8,'Liste chauffeur'!$B$5:$L$20,2,TRUE)&amp;" "&amp;VLOOKUP(C8,'Liste chauffeur'!$B$5:$L$20,3,TRUE)</f>
        <v>AHAMADI Bacar Raenmouddine</v>
      </c>
      <c r="E8" s="330"/>
      <c r="F8" s="335">
        <f t="shared" ref="F8:F30" si="0">COUNTBLANK(E8)</f>
        <v>1</v>
      </c>
      <c r="G8" s="348"/>
      <c r="H8" s="349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2"/>
      <c r="T8" s="332"/>
      <c r="U8" s="332"/>
      <c r="V8" s="332"/>
      <c r="W8" s="349"/>
      <c r="X8" s="333"/>
      <c r="Y8" s="297" t="str">
        <f t="shared" ref="Y8:Y11" si="1">IF(F8=1,"",W8-E8)</f>
        <v/>
      </c>
      <c r="Z8" s="296">
        <f t="shared" ref="Z8:Z30" si="2">H8+J8-I8</f>
        <v>0</v>
      </c>
      <c r="AA8" s="296">
        <f t="shared" ref="AA8:AA30" si="3">IF(F8=1,0,AA$6)</f>
        <v>0</v>
      </c>
      <c r="AB8" s="298">
        <f t="shared" ref="AB8:AB30" si="4">IF(AA8=0,0,Z8/AA8)</f>
        <v>0</v>
      </c>
      <c r="AC8" s="286"/>
    </row>
    <row r="9" spans="1:29" ht="33" customHeight="1" x14ac:dyDescent="0.45">
      <c r="A9" s="324" t="str">
        <f>'Horaire dimanche1'!A9</f>
        <v>PASSAMAINTY</v>
      </c>
      <c r="B9" s="325">
        <f>'Horaire dimanche1'!B9</f>
        <v>0.35416666666666669</v>
      </c>
      <c r="C9" s="325" t="str">
        <f>'Horaire dimanche1'!C9</f>
        <v>C5</v>
      </c>
      <c r="D9" s="294" t="str">
        <f>VLOOKUP(C9,'Liste chauffeur'!$B$5:$L$20,2,TRUE)&amp;" "&amp;VLOOKUP(C9,'Liste chauffeur'!$B$5:$L$20,3,TRUE)</f>
        <v>AHAMADI Bacar Raenmouddine</v>
      </c>
      <c r="E9" s="330"/>
      <c r="F9" s="335">
        <f t="shared" si="0"/>
        <v>1</v>
      </c>
      <c r="G9" s="348"/>
      <c r="H9" s="349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2"/>
      <c r="T9" s="332"/>
      <c r="U9" s="332"/>
      <c r="V9" s="332"/>
      <c r="W9" s="349"/>
      <c r="X9" s="333"/>
      <c r="Y9" s="297" t="str">
        <f t="shared" si="1"/>
        <v/>
      </c>
      <c r="Z9" s="296">
        <f>H9+J9-I9</f>
        <v>0</v>
      </c>
      <c r="AA9" s="296">
        <f t="shared" si="3"/>
        <v>0</v>
      </c>
      <c r="AB9" s="298">
        <f t="shared" si="4"/>
        <v>0</v>
      </c>
      <c r="AC9" s="286"/>
    </row>
    <row r="10" spans="1:29" ht="29" customHeight="1" x14ac:dyDescent="0.45">
      <c r="A10" s="324" t="str">
        <f>'Horaire dimanche1'!A10</f>
        <v>VAHIBE</v>
      </c>
      <c r="B10" s="325">
        <f>'Horaire dimanche1'!B10</f>
        <v>0.375</v>
      </c>
      <c r="C10" s="325" t="str">
        <f>'Horaire dimanche1'!C10</f>
        <v>C5</v>
      </c>
      <c r="D10" s="294" t="str">
        <f>VLOOKUP(C10,'Liste chauffeur'!$B$5:$L$20,2,TRUE)&amp;" "&amp;VLOOKUP(C10,'Liste chauffeur'!$B$5:$L$20,3,TRUE)</f>
        <v>AHAMADI Bacar Raenmouddine</v>
      </c>
      <c r="E10" s="330"/>
      <c r="F10" s="335">
        <f t="shared" si="0"/>
        <v>1</v>
      </c>
      <c r="G10" s="348"/>
      <c r="H10" s="349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2"/>
      <c r="T10" s="332"/>
      <c r="U10" s="332"/>
      <c r="V10" s="332"/>
      <c r="W10" s="349"/>
      <c r="X10" s="333"/>
      <c r="Y10" s="297" t="str">
        <f t="shared" si="1"/>
        <v/>
      </c>
      <c r="Z10" s="296">
        <f t="shared" si="2"/>
        <v>0</v>
      </c>
      <c r="AA10" s="296">
        <f t="shared" si="3"/>
        <v>0</v>
      </c>
      <c r="AB10" s="298">
        <f t="shared" si="4"/>
        <v>0</v>
      </c>
      <c r="AC10" s="286"/>
    </row>
    <row r="11" spans="1:29" ht="35.25" customHeight="1" x14ac:dyDescent="0.45">
      <c r="A11" s="324" t="str">
        <f>'Horaire dimanche1'!A11</f>
        <v>PASSAMAINTY</v>
      </c>
      <c r="B11" s="325">
        <f>'Horaire dimanche1'!B11</f>
        <v>0.39583333333333331</v>
      </c>
      <c r="C11" s="325" t="str">
        <f>'Horaire dimanche1'!C11</f>
        <v>C5</v>
      </c>
      <c r="D11" s="294" t="str">
        <f>VLOOKUP(C11,'Liste chauffeur'!$B$5:$L$20,2,TRUE)&amp;" "&amp;VLOOKUP(C11,'Liste chauffeur'!$B$5:$L$20,3,TRUE)</f>
        <v>AHAMADI Bacar Raenmouddine</v>
      </c>
      <c r="E11" s="330"/>
      <c r="F11" s="335">
        <f t="shared" si="0"/>
        <v>1</v>
      </c>
      <c r="G11" s="348"/>
      <c r="H11" s="349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2"/>
      <c r="T11" s="332"/>
      <c r="U11" s="332"/>
      <c r="V11" s="332"/>
      <c r="W11" s="349"/>
      <c r="X11" s="333"/>
      <c r="Y11" s="297" t="str">
        <f t="shared" si="1"/>
        <v/>
      </c>
      <c r="Z11" s="296">
        <f t="shared" si="2"/>
        <v>0</v>
      </c>
      <c r="AA11" s="296">
        <f t="shared" si="3"/>
        <v>0</v>
      </c>
      <c r="AB11" s="298">
        <f t="shared" si="4"/>
        <v>0</v>
      </c>
      <c r="AC11" s="286"/>
    </row>
    <row r="12" spans="1:29" ht="40.049999999999997" customHeight="1" x14ac:dyDescent="0.45">
      <c r="A12" s="324" t="str">
        <f>'Horaire dimanche1'!A12</f>
        <v>VAHIBE</v>
      </c>
      <c r="B12" s="325">
        <f>'Horaire dimanche1'!B12</f>
        <v>0.41666666666666702</v>
      </c>
      <c r="C12" s="325" t="str">
        <f>'Horaire dimanche1'!C12</f>
        <v>C5</v>
      </c>
      <c r="D12" s="294" t="str">
        <f>VLOOKUP(C12,'Liste chauffeur'!$B$5:$L$20,2,TRUE)&amp;" "&amp;VLOOKUP(C12,'Liste chauffeur'!$B$5:$L$20,3,TRUE)</f>
        <v>AHAMADI Bacar Raenmouddine</v>
      </c>
      <c r="E12" s="334"/>
      <c r="F12" s="335">
        <f t="shared" si="0"/>
        <v>1</v>
      </c>
      <c r="G12" s="350"/>
      <c r="H12" s="336"/>
      <c r="I12" s="336"/>
      <c r="J12" s="336"/>
      <c r="K12" s="334"/>
      <c r="L12" s="334">
        <f t="shared" ref="L12:L30" si="5">K12-E12</f>
        <v>0</v>
      </c>
      <c r="M12" s="336"/>
      <c r="N12" s="336"/>
      <c r="O12" s="334"/>
      <c r="P12" s="334">
        <f>O12-K12</f>
        <v>0</v>
      </c>
      <c r="Q12" s="336"/>
      <c r="R12" s="336"/>
      <c r="S12" s="334"/>
      <c r="T12" s="334">
        <f>S12-O12</f>
        <v>0</v>
      </c>
      <c r="U12" s="336"/>
      <c r="V12" s="336" t="str">
        <f>IF(H12-I12+J12-M12+N12-Q12+R12=U12,"OK",H12-I12+J12-M12+N12-Q12+R12-U12)</f>
        <v>OK</v>
      </c>
      <c r="W12" s="334"/>
      <c r="X12" s="336"/>
      <c r="Y12" s="297" t="str">
        <f t="shared" ref="Y12:Y30" si="6">IF(F12=1,"",W12-E12)</f>
        <v/>
      </c>
      <c r="Z12" s="296">
        <f t="shared" si="2"/>
        <v>0</v>
      </c>
      <c r="AA12" s="296">
        <f t="shared" si="3"/>
        <v>0</v>
      </c>
      <c r="AB12" s="298">
        <f t="shared" si="4"/>
        <v>0</v>
      </c>
      <c r="AC12" s="286"/>
    </row>
    <row r="13" spans="1:29" ht="40.049999999999997" customHeight="1" x14ac:dyDescent="0.45">
      <c r="A13" s="324" t="str">
        <f>'Horaire dimanche1'!A13</f>
        <v>PASSAMAINTY</v>
      </c>
      <c r="B13" s="325">
        <f>'Horaire dimanche1'!B13</f>
        <v>0.4375</v>
      </c>
      <c r="C13" s="325" t="str">
        <f>'Horaire dimanche1'!C13</f>
        <v>C5</v>
      </c>
      <c r="D13" s="294" t="str">
        <f>VLOOKUP(C13,'Liste chauffeur'!$B$5:$L$20,2,TRUE)&amp;" "&amp;VLOOKUP(C13,'Liste chauffeur'!$B$5:$L$20,3,TRUE)</f>
        <v>AHAMADI Bacar Raenmouddine</v>
      </c>
      <c r="E13" s="334"/>
      <c r="F13" s="335">
        <f t="shared" si="0"/>
        <v>1</v>
      </c>
      <c r="G13" s="350"/>
      <c r="H13" s="336"/>
      <c r="I13" s="336"/>
      <c r="J13" s="336"/>
      <c r="K13" s="334"/>
      <c r="L13" s="334">
        <f t="shared" si="5"/>
        <v>0</v>
      </c>
      <c r="M13" s="336"/>
      <c r="N13" s="336"/>
      <c r="O13" s="334"/>
      <c r="P13" s="334">
        <f t="shared" ref="P13:P30" si="7">O13-K13</f>
        <v>0</v>
      </c>
      <c r="Q13" s="336"/>
      <c r="R13" s="336"/>
      <c r="S13" s="334"/>
      <c r="T13" s="334">
        <f t="shared" ref="T13:T30" si="8">S13-O13</f>
        <v>0</v>
      </c>
      <c r="U13" s="336"/>
      <c r="V13" s="336"/>
      <c r="W13" s="334"/>
      <c r="X13" s="336"/>
      <c r="Y13" s="297" t="str">
        <f t="shared" si="6"/>
        <v/>
      </c>
      <c r="Z13" s="296">
        <f t="shared" si="2"/>
        <v>0</v>
      </c>
      <c r="AA13" s="296">
        <f t="shared" si="3"/>
        <v>0</v>
      </c>
      <c r="AB13" s="299">
        <f t="shared" si="4"/>
        <v>0</v>
      </c>
      <c r="AC13" s="286"/>
    </row>
    <row r="14" spans="1:29" ht="40.049999999999997" customHeight="1" x14ac:dyDescent="0.45">
      <c r="A14" s="324" t="str">
        <f>'Horaire dimanche1'!A14</f>
        <v>VAHIBE</v>
      </c>
      <c r="B14" s="325">
        <f>'Horaire dimanche1'!B14</f>
        <v>0.45833333333333298</v>
      </c>
      <c r="C14" s="325" t="str">
        <f>'Horaire dimanche1'!C14</f>
        <v>C5</v>
      </c>
      <c r="D14" s="294" t="str">
        <f>VLOOKUP(C14,'Liste chauffeur'!$B$5:$L$20,2,TRUE)&amp;" "&amp;VLOOKUP(C14,'Liste chauffeur'!$B$5:$L$20,3,TRUE)</f>
        <v>AHAMADI Bacar Raenmouddine</v>
      </c>
      <c r="E14" s="334"/>
      <c r="F14" s="335">
        <f t="shared" si="0"/>
        <v>1</v>
      </c>
      <c r="G14" s="350"/>
      <c r="H14" s="336"/>
      <c r="I14" s="336"/>
      <c r="J14" s="336"/>
      <c r="K14" s="334"/>
      <c r="L14" s="334">
        <f t="shared" si="5"/>
        <v>0</v>
      </c>
      <c r="M14" s="336"/>
      <c r="N14" s="336"/>
      <c r="O14" s="334"/>
      <c r="P14" s="334">
        <f t="shared" si="7"/>
        <v>0</v>
      </c>
      <c r="Q14" s="336"/>
      <c r="R14" s="336"/>
      <c r="S14" s="334"/>
      <c r="T14" s="334">
        <f t="shared" si="8"/>
        <v>0</v>
      </c>
      <c r="U14" s="336"/>
      <c r="V14" s="336"/>
      <c r="W14" s="334"/>
      <c r="X14" s="336"/>
      <c r="Y14" s="297" t="str">
        <f t="shared" si="6"/>
        <v/>
      </c>
      <c r="Z14" s="296">
        <f t="shared" si="2"/>
        <v>0</v>
      </c>
      <c r="AA14" s="296">
        <f t="shared" si="3"/>
        <v>0</v>
      </c>
      <c r="AB14" s="299">
        <f t="shared" si="4"/>
        <v>0</v>
      </c>
      <c r="AC14" s="286"/>
    </row>
    <row r="15" spans="1:29" ht="32.25" customHeight="1" x14ac:dyDescent="0.45">
      <c r="A15" s="324" t="str">
        <f>'Horaire dimanche1'!A15</f>
        <v>PASSAMAINTY</v>
      </c>
      <c r="B15" s="325">
        <f>'Horaire dimanche1'!B15</f>
        <v>0.47916666666666702</v>
      </c>
      <c r="C15" s="325" t="str">
        <f>'Horaire dimanche1'!C15</f>
        <v>C5</v>
      </c>
      <c r="D15" s="294" t="str">
        <f>VLOOKUP(C15,'Liste chauffeur'!$B$5:$L$20,2,TRUE)&amp;" "&amp;VLOOKUP(C15,'Liste chauffeur'!$B$5:$L$20,3,TRUE)</f>
        <v>AHAMADI Bacar Raenmouddine</v>
      </c>
      <c r="E15" s="334"/>
      <c r="F15" s="335">
        <f t="shared" si="0"/>
        <v>1</v>
      </c>
      <c r="G15" s="350"/>
      <c r="H15" s="336"/>
      <c r="I15" s="336"/>
      <c r="J15" s="336"/>
      <c r="K15" s="334"/>
      <c r="L15" s="334">
        <f t="shared" si="5"/>
        <v>0</v>
      </c>
      <c r="M15" s="336"/>
      <c r="N15" s="336"/>
      <c r="O15" s="334"/>
      <c r="P15" s="334">
        <f t="shared" si="7"/>
        <v>0</v>
      </c>
      <c r="Q15" s="336"/>
      <c r="R15" s="336"/>
      <c r="S15" s="334"/>
      <c r="T15" s="334">
        <f t="shared" si="8"/>
        <v>0</v>
      </c>
      <c r="U15" s="336"/>
      <c r="V15" s="336"/>
      <c r="W15" s="334"/>
      <c r="X15" s="336"/>
      <c r="Y15" s="297" t="str">
        <f t="shared" si="6"/>
        <v/>
      </c>
      <c r="Z15" s="296">
        <f t="shared" si="2"/>
        <v>0</v>
      </c>
      <c r="AA15" s="296">
        <f t="shared" si="3"/>
        <v>0</v>
      </c>
      <c r="AB15" s="299">
        <f t="shared" si="4"/>
        <v>0</v>
      </c>
      <c r="AC15" s="286"/>
    </row>
    <row r="16" spans="1:29" ht="40.049999999999997" customHeight="1" x14ac:dyDescent="0.45">
      <c r="A16" s="324" t="str">
        <f>'Horaire dimanche1'!A16</f>
        <v>VAHIBE</v>
      </c>
      <c r="B16" s="325">
        <f>'Horaire dimanche1'!B16</f>
        <v>0.5</v>
      </c>
      <c r="C16" s="325" t="str">
        <f>'Horaire dimanche1'!C16</f>
        <v>C5</v>
      </c>
      <c r="D16" s="294" t="str">
        <f>VLOOKUP(C16,'Liste chauffeur'!$B$5:$L$20,2,TRUE)&amp;" "&amp;VLOOKUP(C16,'Liste chauffeur'!$B$5:$L$20,3,TRUE)</f>
        <v>AHAMADI Bacar Raenmouddine</v>
      </c>
      <c r="E16" s="334"/>
      <c r="F16" s="335">
        <f t="shared" si="0"/>
        <v>1</v>
      </c>
      <c r="G16" s="350"/>
      <c r="H16" s="336"/>
      <c r="I16" s="336"/>
      <c r="J16" s="336"/>
      <c r="K16" s="334"/>
      <c r="L16" s="334">
        <f t="shared" si="5"/>
        <v>0</v>
      </c>
      <c r="M16" s="336"/>
      <c r="N16" s="336"/>
      <c r="O16" s="334"/>
      <c r="P16" s="334">
        <f t="shared" si="7"/>
        <v>0</v>
      </c>
      <c r="Q16" s="336"/>
      <c r="R16" s="336"/>
      <c r="S16" s="334"/>
      <c r="T16" s="334">
        <f t="shared" si="8"/>
        <v>0</v>
      </c>
      <c r="U16" s="336"/>
      <c r="V16" s="336" t="str">
        <f t="shared" ref="V16:V30" si="9">IF(H16-I16+J16-M16+N16-Q16+R16=U16,"OK",H16-I16+J16-M16+N16-Q16+R16-U16)</f>
        <v>OK</v>
      </c>
      <c r="W16" s="334"/>
      <c r="X16" s="336"/>
      <c r="Y16" s="297" t="str">
        <f t="shared" si="6"/>
        <v/>
      </c>
      <c r="Z16" s="296">
        <f t="shared" si="2"/>
        <v>0</v>
      </c>
      <c r="AA16" s="296">
        <f t="shared" si="3"/>
        <v>0</v>
      </c>
      <c r="AB16" s="299">
        <f t="shared" si="4"/>
        <v>0</v>
      </c>
      <c r="AC16" s="286"/>
    </row>
    <row r="17" spans="1:29" ht="40.049999999999997" customHeight="1" x14ac:dyDescent="0.45">
      <c r="A17" s="324"/>
      <c r="B17" s="346" t="s">
        <v>471</v>
      </c>
      <c r="C17" s="346"/>
      <c r="D17" s="304"/>
      <c r="E17" s="337"/>
      <c r="F17" s="347">
        <f>SUM(F8:F16)</f>
        <v>9</v>
      </c>
      <c r="G17" s="347">
        <f>SUM(G8:G16)</f>
        <v>0</v>
      </c>
      <c r="H17" s="338"/>
      <c r="I17" s="338"/>
      <c r="J17" s="338"/>
      <c r="K17" s="337"/>
      <c r="L17" s="337"/>
      <c r="M17" s="338"/>
      <c r="N17" s="338"/>
      <c r="O17" s="337"/>
      <c r="P17" s="337"/>
      <c r="Q17" s="338"/>
      <c r="R17" s="338"/>
      <c r="S17" s="337"/>
      <c r="T17" s="337"/>
      <c r="U17" s="338"/>
      <c r="V17" s="338"/>
      <c r="W17" s="337"/>
      <c r="X17" s="338"/>
      <c r="Y17" s="301" t="e">
        <f>AVERAGE(Y8:Y16)</f>
        <v>#DIV/0!</v>
      </c>
      <c r="Z17" s="283">
        <f>SUM(Z8:Z16)</f>
        <v>0</v>
      </c>
      <c r="AA17" s="283">
        <f>SUM(AA8:AA16)</f>
        <v>0</v>
      </c>
      <c r="AB17" s="284">
        <f t="shared" si="4"/>
        <v>0</v>
      </c>
      <c r="AC17" s="286"/>
    </row>
    <row r="18" spans="1:29" ht="40.049999999999997" customHeight="1" x14ac:dyDescent="0.45">
      <c r="A18" s="324" t="str">
        <f>'Horaire dimanche1'!A17</f>
        <v>PASSAMAINTY</v>
      </c>
      <c r="B18" s="325">
        <f>'Horaire dimanche1'!B17</f>
        <v>0.52083333333333304</v>
      </c>
      <c r="C18" s="325" t="str">
        <f>'Horaire dimanche1'!C17</f>
        <v>C5</v>
      </c>
      <c r="D18" s="294" t="str">
        <f>VLOOKUP(C18,'Liste chauffeur'!$B$5:$L$20,2,TRUE)&amp;" "&amp;VLOOKUP(C18,'Liste chauffeur'!$B$5:$L$20,3,TRUE)</f>
        <v>AHAMADI Bacar Raenmouddine</v>
      </c>
      <c r="E18" s="334"/>
      <c r="F18" s="335">
        <f t="shared" si="0"/>
        <v>1</v>
      </c>
      <c r="G18" s="350"/>
      <c r="H18" s="336"/>
      <c r="I18" s="336"/>
      <c r="J18" s="336"/>
      <c r="K18" s="334"/>
      <c r="L18" s="334">
        <f t="shared" si="5"/>
        <v>0</v>
      </c>
      <c r="M18" s="336"/>
      <c r="N18" s="336"/>
      <c r="O18" s="334"/>
      <c r="P18" s="334">
        <f t="shared" si="7"/>
        <v>0</v>
      </c>
      <c r="Q18" s="336"/>
      <c r="R18" s="336"/>
      <c r="S18" s="334"/>
      <c r="T18" s="334">
        <f t="shared" si="8"/>
        <v>0</v>
      </c>
      <c r="U18" s="336"/>
      <c r="V18" s="336" t="str">
        <f t="shared" si="9"/>
        <v>OK</v>
      </c>
      <c r="W18" s="334"/>
      <c r="X18" s="336"/>
      <c r="Y18" s="297" t="str">
        <f t="shared" si="6"/>
        <v/>
      </c>
      <c r="Z18" s="296">
        <f t="shared" si="2"/>
        <v>0</v>
      </c>
      <c r="AA18" s="296">
        <f t="shared" si="3"/>
        <v>0</v>
      </c>
      <c r="AB18" s="299">
        <f t="shared" si="4"/>
        <v>0</v>
      </c>
      <c r="AC18" s="286"/>
    </row>
    <row r="19" spans="1:29" ht="40.049999999999997" customHeight="1" x14ac:dyDescent="0.45">
      <c r="A19" s="324" t="str">
        <f>'Horaire dimanche1'!A18</f>
        <v>VAHIBE</v>
      </c>
      <c r="B19" s="325">
        <f>'Horaire dimanche1'!B18</f>
        <v>0.54166666666666696</v>
      </c>
      <c r="C19" s="325" t="str">
        <f>'Horaire dimanche1'!C18</f>
        <v>C5</v>
      </c>
      <c r="D19" s="326" t="str">
        <f>VLOOKUP(C19,'Liste chauffeur'!$B$5:$L$20,2,TRUE)&amp;" "&amp;VLOOKUP(C19,'Liste chauffeur'!$B$5:$L$20,3,TRUE)</f>
        <v>AHAMADI Bacar Raenmouddine</v>
      </c>
      <c r="E19" s="334"/>
      <c r="F19" s="335">
        <f t="shared" si="0"/>
        <v>1</v>
      </c>
      <c r="G19" s="350"/>
      <c r="H19" s="336"/>
      <c r="I19" s="336"/>
      <c r="J19" s="336"/>
      <c r="K19" s="334"/>
      <c r="L19" s="334"/>
      <c r="M19" s="336"/>
      <c r="N19" s="336"/>
      <c r="O19" s="334"/>
      <c r="P19" s="334"/>
      <c r="Q19" s="336"/>
      <c r="R19" s="336"/>
      <c r="S19" s="334"/>
      <c r="T19" s="334"/>
      <c r="U19" s="336"/>
      <c r="V19" s="336"/>
      <c r="W19" s="334"/>
      <c r="X19" s="336"/>
      <c r="Y19" s="297"/>
      <c r="Z19" s="296">
        <f t="shared" si="2"/>
        <v>0</v>
      </c>
      <c r="AA19" s="296">
        <f t="shared" si="3"/>
        <v>0</v>
      </c>
      <c r="AB19" s="299">
        <f t="shared" si="4"/>
        <v>0</v>
      </c>
      <c r="AC19" s="286"/>
    </row>
    <row r="20" spans="1:29" ht="40.049999999999997" customHeight="1" x14ac:dyDescent="0.45">
      <c r="A20" s="324" t="str">
        <f>'Horaire dimanche1'!A19</f>
        <v>PASSAMAINTY</v>
      </c>
      <c r="B20" s="325">
        <f>'Horaire dimanche1'!B19</f>
        <v>0.5625</v>
      </c>
      <c r="C20" s="325" t="str">
        <f>'Horaire dimanche1'!C19</f>
        <v>C5</v>
      </c>
      <c r="D20" s="294" t="str">
        <f>VLOOKUP(C20,'Liste chauffeur'!$B$5:$L$20,2,TRUE)&amp;" "&amp;VLOOKUP(C20,'Liste chauffeur'!$B$5:$L$20,3,TRUE)</f>
        <v>AHAMADI Bacar Raenmouddine</v>
      </c>
      <c r="E20" s="334"/>
      <c r="F20" s="335">
        <f t="shared" si="0"/>
        <v>1</v>
      </c>
      <c r="G20" s="350"/>
      <c r="H20" s="336"/>
      <c r="I20" s="336"/>
      <c r="J20" s="336"/>
      <c r="K20" s="334"/>
      <c r="L20" s="334">
        <f t="shared" si="5"/>
        <v>0</v>
      </c>
      <c r="M20" s="336"/>
      <c r="N20" s="336"/>
      <c r="O20" s="334"/>
      <c r="P20" s="334">
        <f t="shared" si="7"/>
        <v>0</v>
      </c>
      <c r="Q20" s="336"/>
      <c r="R20" s="336"/>
      <c r="S20" s="334"/>
      <c r="T20" s="334">
        <f t="shared" si="8"/>
        <v>0</v>
      </c>
      <c r="U20" s="336"/>
      <c r="V20" s="336" t="str">
        <f t="shared" si="9"/>
        <v>OK</v>
      </c>
      <c r="W20" s="334"/>
      <c r="X20" s="336"/>
      <c r="Y20" s="297" t="str">
        <f t="shared" si="6"/>
        <v/>
      </c>
      <c r="Z20" s="296">
        <f t="shared" si="2"/>
        <v>0</v>
      </c>
      <c r="AA20" s="296">
        <f t="shared" si="3"/>
        <v>0</v>
      </c>
      <c r="AB20" s="299">
        <f t="shared" si="4"/>
        <v>0</v>
      </c>
      <c r="AC20" s="286"/>
    </row>
    <row r="21" spans="1:29" ht="40.049999999999997" customHeight="1" x14ac:dyDescent="0.45">
      <c r="A21" s="324" t="str">
        <f>'Horaire dimanche1'!A20</f>
        <v>VAHIBE</v>
      </c>
      <c r="B21" s="325">
        <f>'Horaire dimanche1'!B20</f>
        <v>0.58333333333333304</v>
      </c>
      <c r="C21" s="325" t="str">
        <f>'Horaire dimanche1'!C20</f>
        <v>C8</v>
      </c>
      <c r="D21" s="294" t="str">
        <f>VLOOKUP(C21,'Liste chauffeur'!$B$5:$L$20,2,TRUE)&amp;" "&amp;VLOOKUP(C21,'Liste chauffeur'!$B$5:$L$20,3,TRUE)</f>
        <v>HADHURAMI Makinedine</v>
      </c>
      <c r="E21" s="334"/>
      <c r="F21" s="335">
        <f t="shared" si="0"/>
        <v>1</v>
      </c>
      <c r="G21" s="350"/>
      <c r="H21" s="336"/>
      <c r="I21" s="336"/>
      <c r="J21" s="336"/>
      <c r="K21" s="334"/>
      <c r="L21" s="334">
        <f t="shared" si="5"/>
        <v>0</v>
      </c>
      <c r="M21" s="336"/>
      <c r="N21" s="336"/>
      <c r="O21" s="334"/>
      <c r="P21" s="334">
        <f t="shared" si="7"/>
        <v>0</v>
      </c>
      <c r="Q21" s="336"/>
      <c r="R21" s="336"/>
      <c r="S21" s="334"/>
      <c r="T21" s="334">
        <f t="shared" si="8"/>
        <v>0</v>
      </c>
      <c r="U21" s="336"/>
      <c r="V21" s="336" t="str">
        <f t="shared" si="9"/>
        <v>OK</v>
      </c>
      <c r="W21" s="334"/>
      <c r="X21" s="336"/>
      <c r="Y21" s="297" t="str">
        <f t="shared" si="6"/>
        <v/>
      </c>
      <c r="Z21" s="296">
        <f t="shared" si="2"/>
        <v>0</v>
      </c>
      <c r="AA21" s="296">
        <f t="shared" si="3"/>
        <v>0</v>
      </c>
      <c r="AB21" s="299">
        <f t="shared" si="4"/>
        <v>0</v>
      </c>
      <c r="AC21" s="286"/>
    </row>
    <row r="22" spans="1:29" ht="40.049999999999997" customHeight="1" x14ac:dyDescent="0.45">
      <c r="A22" s="324" t="str">
        <f>'Horaire dimanche1'!A21</f>
        <v>PASSAMAINTY</v>
      </c>
      <c r="B22" s="325">
        <f>'Horaire dimanche1'!B21</f>
        <v>0.60416666666666596</v>
      </c>
      <c r="C22" s="325" t="str">
        <f>'Horaire dimanche1'!C21</f>
        <v>C8</v>
      </c>
      <c r="D22" s="294" t="str">
        <f>VLOOKUP(C22,'Liste chauffeur'!$B$5:$L$20,2,TRUE)&amp;" "&amp;VLOOKUP(C22,'Liste chauffeur'!$B$5:$L$20,3,TRUE)</f>
        <v>HADHURAMI Makinedine</v>
      </c>
      <c r="E22" s="334"/>
      <c r="F22" s="335">
        <f t="shared" si="0"/>
        <v>1</v>
      </c>
      <c r="G22" s="350"/>
      <c r="H22" s="336"/>
      <c r="I22" s="336"/>
      <c r="J22" s="336"/>
      <c r="K22" s="334"/>
      <c r="L22" s="334">
        <f t="shared" si="5"/>
        <v>0</v>
      </c>
      <c r="M22" s="336"/>
      <c r="N22" s="336"/>
      <c r="O22" s="334"/>
      <c r="P22" s="334">
        <f t="shared" si="7"/>
        <v>0</v>
      </c>
      <c r="Q22" s="336"/>
      <c r="R22" s="336"/>
      <c r="S22" s="334"/>
      <c r="T22" s="334">
        <f t="shared" si="8"/>
        <v>0</v>
      </c>
      <c r="U22" s="336"/>
      <c r="V22" s="336" t="str">
        <f t="shared" si="9"/>
        <v>OK</v>
      </c>
      <c r="W22" s="334"/>
      <c r="X22" s="336"/>
      <c r="Y22" s="297" t="str">
        <f t="shared" si="6"/>
        <v/>
      </c>
      <c r="Z22" s="296">
        <f t="shared" si="2"/>
        <v>0</v>
      </c>
      <c r="AA22" s="296">
        <f t="shared" si="3"/>
        <v>0</v>
      </c>
      <c r="AB22" s="299">
        <f t="shared" si="4"/>
        <v>0</v>
      </c>
      <c r="AC22" s="286"/>
    </row>
    <row r="23" spans="1:29" ht="40.049999999999997" customHeight="1" x14ac:dyDescent="0.45">
      <c r="A23" s="324" t="str">
        <f>'Horaire dimanche1'!A22</f>
        <v>VAHIBE</v>
      </c>
      <c r="B23" s="325">
        <f>'Horaire dimanche1'!B22</f>
        <v>0.625</v>
      </c>
      <c r="C23" s="325" t="str">
        <f>'Horaire dimanche1'!C22</f>
        <v>C8</v>
      </c>
      <c r="D23" s="294" t="str">
        <f>VLOOKUP(C23,'Liste chauffeur'!$B$5:$L$20,2,TRUE)&amp;" "&amp;VLOOKUP(C23,'Liste chauffeur'!$B$5:$L$20,3,TRUE)</f>
        <v>HADHURAMI Makinedine</v>
      </c>
      <c r="E23" s="334"/>
      <c r="F23" s="335">
        <f t="shared" si="0"/>
        <v>1</v>
      </c>
      <c r="G23" s="350"/>
      <c r="H23" s="336"/>
      <c r="I23" s="336"/>
      <c r="J23" s="336"/>
      <c r="K23" s="334"/>
      <c r="L23" s="334">
        <f t="shared" si="5"/>
        <v>0</v>
      </c>
      <c r="M23" s="336"/>
      <c r="N23" s="336"/>
      <c r="O23" s="334"/>
      <c r="P23" s="334">
        <f t="shared" si="7"/>
        <v>0</v>
      </c>
      <c r="Q23" s="336"/>
      <c r="R23" s="336"/>
      <c r="S23" s="334"/>
      <c r="T23" s="334">
        <f t="shared" si="8"/>
        <v>0</v>
      </c>
      <c r="U23" s="336"/>
      <c r="V23" s="336" t="str">
        <f t="shared" si="9"/>
        <v>OK</v>
      </c>
      <c r="W23" s="334"/>
      <c r="X23" s="336"/>
      <c r="Y23" s="297" t="str">
        <f t="shared" si="6"/>
        <v/>
      </c>
      <c r="Z23" s="296">
        <f t="shared" si="2"/>
        <v>0</v>
      </c>
      <c r="AA23" s="296">
        <f t="shared" si="3"/>
        <v>0</v>
      </c>
      <c r="AB23" s="299">
        <f t="shared" si="4"/>
        <v>0</v>
      </c>
      <c r="AC23" s="286"/>
    </row>
    <row r="24" spans="1:29" ht="40.049999999999997" customHeight="1" x14ac:dyDescent="0.45">
      <c r="A24" s="324" t="str">
        <f>'Horaire dimanche1'!A23</f>
        <v>PASSAMAINTY</v>
      </c>
      <c r="B24" s="325">
        <f>'Horaire dimanche1'!B23</f>
        <v>0.64583333333333304</v>
      </c>
      <c r="C24" s="325" t="str">
        <f>'Horaire dimanche1'!C23</f>
        <v>C8</v>
      </c>
      <c r="D24" s="294" t="str">
        <f>VLOOKUP(C24,'Liste chauffeur'!$B$5:$L$20,2,TRUE)&amp;" "&amp;VLOOKUP(C24,'Liste chauffeur'!$B$5:$L$20,3,TRUE)</f>
        <v>HADHURAMI Makinedine</v>
      </c>
      <c r="E24" s="334"/>
      <c r="F24" s="335">
        <f t="shared" si="0"/>
        <v>1</v>
      </c>
      <c r="G24" s="350"/>
      <c r="H24" s="336"/>
      <c r="I24" s="336"/>
      <c r="J24" s="336"/>
      <c r="K24" s="334"/>
      <c r="L24" s="334">
        <f t="shared" si="5"/>
        <v>0</v>
      </c>
      <c r="M24" s="336"/>
      <c r="N24" s="336"/>
      <c r="O24" s="334"/>
      <c r="P24" s="334">
        <f t="shared" si="7"/>
        <v>0</v>
      </c>
      <c r="Q24" s="336"/>
      <c r="R24" s="336"/>
      <c r="S24" s="334"/>
      <c r="T24" s="334">
        <f t="shared" si="8"/>
        <v>0</v>
      </c>
      <c r="U24" s="336"/>
      <c r="V24" s="336" t="str">
        <f t="shared" si="9"/>
        <v>OK</v>
      </c>
      <c r="W24" s="334"/>
      <c r="X24" s="336"/>
      <c r="Y24" s="297" t="str">
        <f t="shared" si="6"/>
        <v/>
      </c>
      <c r="Z24" s="296">
        <f t="shared" si="2"/>
        <v>0</v>
      </c>
      <c r="AA24" s="296">
        <f t="shared" si="3"/>
        <v>0</v>
      </c>
      <c r="AB24" s="299">
        <f t="shared" si="4"/>
        <v>0</v>
      </c>
      <c r="AC24" s="286"/>
    </row>
    <row r="25" spans="1:29" ht="40.049999999999997" customHeight="1" x14ac:dyDescent="0.45">
      <c r="A25" s="324" t="str">
        <f>'Horaire dimanche1'!A24</f>
        <v>VAHIBE</v>
      </c>
      <c r="B25" s="325">
        <f>'Horaire dimanche1'!B24</f>
        <v>0.66666666666666596</v>
      </c>
      <c r="C25" s="325" t="str">
        <f>'Horaire dimanche1'!C24</f>
        <v>C8</v>
      </c>
      <c r="D25" s="294" t="str">
        <f>VLOOKUP(C25,'Liste chauffeur'!$B$5:$L$20,2,TRUE)&amp;" "&amp;VLOOKUP(C25,'Liste chauffeur'!$B$5:$L$20,3,TRUE)</f>
        <v>HADHURAMI Makinedine</v>
      </c>
      <c r="E25" s="334"/>
      <c r="F25" s="335">
        <f t="shared" si="0"/>
        <v>1</v>
      </c>
      <c r="G25" s="350"/>
      <c r="H25" s="336"/>
      <c r="I25" s="336"/>
      <c r="J25" s="336"/>
      <c r="K25" s="334"/>
      <c r="L25" s="334">
        <f t="shared" si="5"/>
        <v>0</v>
      </c>
      <c r="M25" s="336"/>
      <c r="N25" s="336"/>
      <c r="O25" s="334"/>
      <c r="P25" s="334">
        <f t="shared" si="7"/>
        <v>0</v>
      </c>
      <c r="Q25" s="336"/>
      <c r="R25" s="336"/>
      <c r="S25" s="334"/>
      <c r="T25" s="334">
        <f t="shared" si="8"/>
        <v>0</v>
      </c>
      <c r="U25" s="336"/>
      <c r="V25" s="336" t="str">
        <f t="shared" si="9"/>
        <v>OK</v>
      </c>
      <c r="W25" s="334"/>
      <c r="X25" s="336"/>
      <c r="Y25" s="297" t="str">
        <f t="shared" si="6"/>
        <v/>
      </c>
      <c r="Z25" s="296">
        <f t="shared" si="2"/>
        <v>0</v>
      </c>
      <c r="AA25" s="296">
        <f t="shared" si="3"/>
        <v>0</v>
      </c>
      <c r="AB25" s="299">
        <f t="shared" si="4"/>
        <v>0</v>
      </c>
      <c r="AC25" s="286"/>
    </row>
    <row r="26" spans="1:29" ht="40.049999999999997" customHeight="1" x14ac:dyDescent="0.45">
      <c r="A26" s="324" t="str">
        <f>'Horaire dimanche1'!A25</f>
        <v>PASSAMAINTY</v>
      </c>
      <c r="B26" s="325">
        <f>'Horaire dimanche1'!B25</f>
        <v>0.6875</v>
      </c>
      <c r="C26" s="325" t="str">
        <f>'Horaire dimanche1'!C25</f>
        <v>C8</v>
      </c>
      <c r="D26" s="294" t="str">
        <f>VLOOKUP(C26,'Liste chauffeur'!$B$5:$L$20,2,TRUE)&amp;" "&amp;VLOOKUP(C26,'Liste chauffeur'!$B$5:$L$20,3,TRUE)</f>
        <v>HADHURAMI Makinedine</v>
      </c>
      <c r="E26" s="334"/>
      <c r="F26" s="335">
        <f t="shared" si="0"/>
        <v>1</v>
      </c>
      <c r="G26" s="350"/>
      <c r="H26" s="336"/>
      <c r="I26" s="336"/>
      <c r="J26" s="336"/>
      <c r="K26" s="334"/>
      <c r="L26" s="334"/>
      <c r="M26" s="336"/>
      <c r="N26" s="336"/>
      <c r="O26" s="334"/>
      <c r="P26" s="334"/>
      <c r="Q26" s="336"/>
      <c r="R26" s="336"/>
      <c r="S26" s="334"/>
      <c r="T26" s="334"/>
      <c r="U26" s="336"/>
      <c r="V26" s="336"/>
      <c r="W26" s="334"/>
      <c r="X26" s="336"/>
      <c r="Y26" s="297"/>
      <c r="Z26" s="296">
        <f t="shared" si="2"/>
        <v>0</v>
      </c>
      <c r="AA26" s="296">
        <f t="shared" si="3"/>
        <v>0</v>
      </c>
      <c r="AB26" s="299">
        <f t="shared" si="4"/>
        <v>0</v>
      </c>
      <c r="AC26" s="286"/>
    </row>
    <row r="27" spans="1:29" ht="40.049999999999997" customHeight="1" x14ac:dyDescent="0.45">
      <c r="A27" s="324" t="str">
        <f>'Horaire dimanche1'!A26</f>
        <v>VAHIBE</v>
      </c>
      <c r="B27" s="325">
        <f>'Horaire dimanche1'!B26</f>
        <v>0.70833333333333304</v>
      </c>
      <c r="C27" s="325" t="str">
        <f>'Horaire dimanche1'!C26</f>
        <v>C8</v>
      </c>
      <c r="D27" s="294" t="str">
        <f>VLOOKUP(C27,'Liste chauffeur'!$B$5:$L$20,2,TRUE)&amp;" "&amp;VLOOKUP(C27,'Liste chauffeur'!$B$5:$L$20,3,TRUE)</f>
        <v>HADHURAMI Makinedine</v>
      </c>
      <c r="E27" s="334"/>
      <c r="F27" s="335">
        <f t="shared" si="0"/>
        <v>1</v>
      </c>
      <c r="G27" s="350"/>
      <c r="H27" s="336"/>
      <c r="I27" s="336"/>
      <c r="J27" s="336"/>
      <c r="K27" s="334"/>
      <c r="L27" s="334">
        <f t="shared" si="5"/>
        <v>0</v>
      </c>
      <c r="M27" s="336"/>
      <c r="N27" s="336"/>
      <c r="O27" s="334"/>
      <c r="P27" s="334">
        <f t="shared" si="7"/>
        <v>0</v>
      </c>
      <c r="Q27" s="336"/>
      <c r="R27" s="336"/>
      <c r="S27" s="334"/>
      <c r="T27" s="334">
        <f t="shared" si="8"/>
        <v>0</v>
      </c>
      <c r="U27" s="336"/>
      <c r="V27" s="336" t="str">
        <f t="shared" si="9"/>
        <v>OK</v>
      </c>
      <c r="W27" s="334"/>
      <c r="X27" s="336"/>
      <c r="Y27" s="297" t="str">
        <f t="shared" si="6"/>
        <v/>
      </c>
      <c r="Z27" s="296">
        <f t="shared" si="2"/>
        <v>0</v>
      </c>
      <c r="AA27" s="296">
        <f t="shared" si="3"/>
        <v>0</v>
      </c>
      <c r="AB27" s="299">
        <f t="shared" si="4"/>
        <v>0</v>
      </c>
      <c r="AC27" s="286"/>
    </row>
    <row r="28" spans="1:29" ht="40.049999999999997" customHeight="1" x14ac:dyDescent="0.45">
      <c r="A28" s="324" t="str">
        <f>'Horaire dimanche1'!A27</f>
        <v>PASSAMAINTY</v>
      </c>
      <c r="B28" s="325">
        <f>'Horaire dimanche1'!B27</f>
        <v>0.72222222222222221</v>
      </c>
      <c r="C28" s="325" t="str">
        <f>'Horaire dimanche1'!C27</f>
        <v>C8</v>
      </c>
      <c r="D28" s="294" t="str">
        <f>VLOOKUP(C28,'Liste chauffeur'!$B$5:$L$20,2,TRUE)&amp;" "&amp;VLOOKUP(C28,'Liste chauffeur'!$B$5:$L$20,3,TRUE)</f>
        <v>HADHURAMI Makinedine</v>
      </c>
      <c r="E28" s="334"/>
      <c r="F28" s="335">
        <f t="shared" si="0"/>
        <v>1</v>
      </c>
      <c r="G28" s="350"/>
      <c r="H28" s="336"/>
      <c r="I28" s="336"/>
      <c r="J28" s="336"/>
      <c r="K28" s="334"/>
      <c r="L28" s="334">
        <f t="shared" si="5"/>
        <v>0</v>
      </c>
      <c r="M28" s="336"/>
      <c r="N28" s="336"/>
      <c r="O28" s="334"/>
      <c r="P28" s="334">
        <f t="shared" si="7"/>
        <v>0</v>
      </c>
      <c r="Q28" s="336"/>
      <c r="R28" s="336"/>
      <c r="S28" s="334"/>
      <c r="T28" s="334">
        <f t="shared" si="8"/>
        <v>0</v>
      </c>
      <c r="U28" s="336"/>
      <c r="V28" s="336" t="str">
        <f t="shared" si="9"/>
        <v>OK</v>
      </c>
      <c r="W28" s="334"/>
      <c r="X28" s="336"/>
      <c r="Y28" s="297" t="str">
        <f t="shared" si="6"/>
        <v/>
      </c>
      <c r="Z28" s="296">
        <f t="shared" si="2"/>
        <v>0</v>
      </c>
      <c r="AA28" s="296">
        <f t="shared" si="3"/>
        <v>0</v>
      </c>
      <c r="AB28" s="299">
        <f t="shared" si="4"/>
        <v>0</v>
      </c>
      <c r="AC28" s="286"/>
    </row>
    <row r="29" spans="1:29" ht="40.049999999999997" customHeight="1" x14ac:dyDescent="0.45">
      <c r="A29" s="324" t="str">
        <f>'Horaire dimanche1'!A28</f>
        <v>VAHIBE</v>
      </c>
      <c r="B29" s="325">
        <f>'Horaire dimanche1'!B28</f>
        <v>0.74305555555555558</v>
      </c>
      <c r="C29" s="325" t="str">
        <f>'Horaire dimanche1'!C28</f>
        <v>C8</v>
      </c>
      <c r="D29" s="294" t="str">
        <f>VLOOKUP(C29,'Liste chauffeur'!$B$5:$L$20,2,TRUE)&amp;" "&amp;VLOOKUP(C29,'Liste chauffeur'!$B$5:$L$20,3,TRUE)</f>
        <v>HADHURAMI Makinedine</v>
      </c>
      <c r="E29" s="334"/>
      <c r="F29" s="335">
        <f t="shared" si="0"/>
        <v>1</v>
      </c>
      <c r="G29" s="350"/>
      <c r="H29" s="336"/>
      <c r="I29" s="336"/>
      <c r="J29" s="336"/>
      <c r="K29" s="334"/>
      <c r="L29" s="334">
        <f t="shared" si="5"/>
        <v>0</v>
      </c>
      <c r="M29" s="336"/>
      <c r="N29" s="336"/>
      <c r="O29" s="334"/>
      <c r="P29" s="334">
        <f t="shared" si="7"/>
        <v>0</v>
      </c>
      <c r="Q29" s="336"/>
      <c r="R29" s="336"/>
      <c r="S29" s="334"/>
      <c r="T29" s="334">
        <f t="shared" si="8"/>
        <v>0</v>
      </c>
      <c r="U29" s="336"/>
      <c r="V29" s="336" t="str">
        <f t="shared" si="9"/>
        <v>OK</v>
      </c>
      <c r="W29" s="334"/>
      <c r="X29" s="336"/>
      <c r="Y29" s="297" t="str">
        <f t="shared" si="6"/>
        <v/>
      </c>
      <c r="Z29" s="296">
        <f t="shared" si="2"/>
        <v>0</v>
      </c>
      <c r="AA29" s="296">
        <f t="shared" si="3"/>
        <v>0</v>
      </c>
      <c r="AB29" s="299">
        <f t="shared" si="4"/>
        <v>0</v>
      </c>
      <c r="AC29" s="286"/>
    </row>
    <row r="30" spans="1:29" ht="40.049999999999997" customHeight="1" x14ac:dyDescent="0.45">
      <c r="A30" s="324" t="str">
        <f>'Horaire dimanche1'!A29</f>
        <v>PASSAMAINTY</v>
      </c>
      <c r="B30" s="325">
        <f>'Horaire dimanche1'!B29</f>
        <v>0.75694444444444442</v>
      </c>
      <c r="C30" s="325" t="str">
        <f>'Horaire dimanche1'!C29</f>
        <v>C8</v>
      </c>
      <c r="D30" s="294" t="str">
        <f>VLOOKUP(C30,'Liste chauffeur'!$B$5:$L$20,2,TRUE)&amp;" "&amp;VLOOKUP(C30,'Liste chauffeur'!$B$5:$L$20,3,TRUE)</f>
        <v>HADHURAMI Makinedine</v>
      </c>
      <c r="E30" s="334"/>
      <c r="F30" s="335">
        <f t="shared" si="0"/>
        <v>1</v>
      </c>
      <c r="G30" s="350"/>
      <c r="H30" s="336"/>
      <c r="I30" s="336"/>
      <c r="J30" s="336"/>
      <c r="K30" s="334"/>
      <c r="L30" s="334">
        <f t="shared" si="5"/>
        <v>0</v>
      </c>
      <c r="M30" s="336"/>
      <c r="N30" s="336"/>
      <c r="O30" s="334"/>
      <c r="P30" s="334">
        <f t="shared" si="7"/>
        <v>0</v>
      </c>
      <c r="Q30" s="336"/>
      <c r="R30" s="336"/>
      <c r="S30" s="334"/>
      <c r="T30" s="334">
        <f t="shared" si="8"/>
        <v>0</v>
      </c>
      <c r="U30" s="336"/>
      <c r="V30" s="336" t="str">
        <f t="shared" si="9"/>
        <v>OK</v>
      </c>
      <c r="W30" s="334"/>
      <c r="X30" s="336"/>
      <c r="Y30" s="297" t="str">
        <f t="shared" si="6"/>
        <v/>
      </c>
      <c r="Z30" s="296">
        <f t="shared" si="2"/>
        <v>0</v>
      </c>
      <c r="AA30" s="296">
        <f t="shared" si="3"/>
        <v>0</v>
      </c>
      <c r="AB30" s="299">
        <f t="shared" si="4"/>
        <v>0</v>
      </c>
      <c r="AC30" s="286"/>
    </row>
    <row r="31" spans="1:29" ht="40.049999999999997" customHeight="1" x14ac:dyDescent="0.45">
      <c r="A31" s="345"/>
      <c r="B31" s="346" t="s">
        <v>472</v>
      </c>
      <c r="C31" s="346"/>
      <c r="D31" s="304"/>
      <c r="E31" s="337"/>
      <c r="F31" s="347">
        <f>SUM(F18:F30)</f>
        <v>13</v>
      </c>
      <c r="G31" s="347">
        <f>SUM(G18:G30)</f>
        <v>0</v>
      </c>
      <c r="H31" s="339"/>
      <c r="I31" s="339"/>
      <c r="J31" s="339"/>
      <c r="K31" s="337"/>
      <c r="L31" s="337"/>
      <c r="M31" s="339"/>
      <c r="N31" s="339"/>
      <c r="O31" s="337"/>
      <c r="P31" s="337"/>
      <c r="Q31" s="339"/>
      <c r="R31" s="339"/>
      <c r="S31" s="337"/>
      <c r="T31" s="337"/>
      <c r="U31" s="339"/>
      <c r="V31" s="339"/>
      <c r="W31" s="337"/>
      <c r="X31" s="338"/>
      <c r="Y31" s="301" t="e">
        <f>AVERAGE(Y18:Y30)</f>
        <v>#DIV/0!</v>
      </c>
      <c r="Z31" s="283">
        <f>SUM(Z18:Z30)</f>
        <v>0</v>
      </c>
      <c r="AA31" s="283">
        <f>SUM(AA18:AA30)</f>
        <v>0</v>
      </c>
      <c r="AB31" s="284">
        <f t="shared" ref="AB31:AB32" si="10">IF(AA31=0,0,Z31/AA31)</f>
        <v>0</v>
      </c>
      <c r="AC31" s="300"/>
    </row>
    <row r="32" spans="1:29" ht="40.049999999999997" customHeight="1" x14ac:dyDescent="0.45">
      <c r="A32" s="345"/>
      <c r="B32" s="346" t="s">
        <v>473</v>
      </c>
      <c r="C32" s="346"/>
      <c r="D32" s="304"/>
      <c r="E32" s="337"/>
      <c r="F32" s="347">
        <f>F17+F31</f>
        <v>22</v>
      </c>
      <c r="G32" s="347">
        <f>G17+G31</f>
        <v>0</v>
      </c>
      <c r="H32" s="339"/>
      <c r="I32" s="339"/>
      <c r="J32" s="339"/>
      <c r="K32" s="337"/>
      <c r="L32" s="337"/>
      <c r="M32" s="339"/>
      <c r="N32" s="339"/>
      <c r="O32" s="337"/>
      <c r="P32" s="337"/>
      <c r="Q32" s="339"/>
      <c r="R32" s="339"/>
      <c r="S32" s="337"/>
      <c r="T32" s="337"/>
      <c r="U32" s="339"/>
      <c r="V32" s="339"/>
      <c r="W32" s="337"/>
      <c r="X32" s="338"/>
      <c r="Y32" s="301" t="e">
        <f>AVERAGE(Y8:Y16,Y18:Y30)</f>
        <v>#DIV/0!</v>
      </c>
      <c r="Z32" s="283">
        <f>Z17+Z31</f>
        <v>0</v>
      </c>
      <c r="AA32" s="283">
        <f>AA17+AA31</f>
        <v>0</v>
      </c>
      <c r="AB32" s="284">
        <f t="shared" si="10"/>
        <v>0</v>
      </c>
      <c r="AC32" s="300"/>
    </row>
    <row r="33" spans="1:29" ht="30.85" customHeight="1" x14ac:dyDescent="0.45">
      <c r="A33" s="303" t="s">
        <v>358</v>
      </c>
      <c r="B33" s="293"/>
      <c r="C33" s="293" t="s">
        <v>359</v>
      </c>
      <c r="D33" s="294"/>
      <c r="E33" s="295"/>
      <c r="F33" s="296"/>
      <c r="G33" s="296"/>
      <c r="H33" s="296"/>
      <c r="I33" s="296"/>
      <c r="J33" s="302"/>
      <c r="K33" s="296"/>
      <c r="L33" s="296"/>
      <c r="M33" s="295"/>
      <c r="N33" s="286"/>
      <c r="O33" s="297" t="e">
        <f t="shared" ref="O33:O38" si="11">M33-#REF!</f>
        <v>#REF!</v>
      </c>
      <c r="P33" s="296" t="e">
        <f t="shared" ref="P33:P38" si="12">#REF!+#REF!-#REF!</f>
        <v>#REF!</v>
      </c>
      <c r="Q33" s="296"/>
      <c r="R33" s="299"/>
      <c r="S33" s="286"/>
      <c r="T33" s="286"/>
      <c r="U33" s="286"/>
      <c r="V33" s="286"/>
      <c r="W33" s="295"/>
      <c r="X33" s="286"/>
      <c r="Y33" s="297"/>
      <c r="Z33" s="296"/>
      <c r="AA33" s="296"/>
      <c r="AB33" s="299"/>
      <c r="AC33" s="286"/>
    </row>
    <row r="34" spans="1:29" ht="30.85" customHeight="1" x14ac:dyDescent="0.45">
      <c r="A34" s="303" t="s">
        <v>358</v>
      </c>
      <c r="B34" s="293"/>
      <c r="C34" s="293" t="s">
        <v>359</v>
      </c>
      <c r="D34" s="294"/>
      <c r="E34" s="295"/>
      <c r="F34" s="296"/>
      <c r="G34" s="296"/>
      <c r="H34" s="296"/>
      <c r="I34" s="296"/>
      <c r="J34" s="302"/>
      <c r="K34" s="296"/>
      <c r="L34" s="296"/>
      <c r="M34" s="295"/>
      <c r="N34" s="286"/>
      <c r="O34" s="297"/>
      <c r="P34" s="296"/>
      <c r="Q34" s="296"/>
      <c r="R34" s="299"/>
      <c r="S34" s="286"/>
      <c r="T34" s="286"/>
      <c r="U34" s="286"/>
      <c r="V34" s="286"/>
      <c r="W34" s="295"/>
      <c r="X34" s="286"/>
      <c r="Y34" s="297"/>
      <c r="Z34" s="296"/>
      <c r="AA34" s="296"/>
      <c r="AB34" s="299"/>
      <c r="AC34" s="286"/>
    </row>
    <row r="35" spans="1:29" ht="30.85" customHeight="1" x14ac:dyDescent="0.45">
      <c r="A35" s="303" t="s">
        <v>358</v>
      </c>
      <c r="B35" s="293"/>
      <c r="C35" s="293" t="s">
        <v>359</v>
      </c>
      <c r="D35" s="294"/>
      <c r="E35" s="295"/>
      <c r="F35" s="296"/>
      <c r="G35" s="296"/>
      <c r="H35" s="296"/>
      <c r="I35" s="296"/>
      <c r="J35" s="302"/>
      <c r="K35" s="296"/>
      <c r="L35" s="296"/>
      <c r="M35" s="295"/>
      <c r="N35" s="286"/>
      <c r="O35" s="297"/>
      <c r="P35" s="296"/>
      <c r="Q35" s="296"/>
      <c r="R35" s="299"/>
      <c r="S35" s="286"/>
      <c r="T35" s="286"/>
      <c r="U35" s="286"/>
      <c r="V35" s="286"/>
      <c r="W35" s="295"/>
      <c r="X35" s="286"/>
      <c r="Y35" s="297"/>
      <c r="Z35" s="296"/>
      <c r="AA35" s="296"/>
      <c r="AB35" s="299"/>
      <c r="AC35" s="286"/>
    </row>
    <row r="36" spans="1:29" ht="30.85" customHeight="1" x14ac:dyDescent="0.45">
      <c r="A36" s="303" t="s">
        <v>358</v>
      </c>
      <c r="B36" s="293"/>
      <c r="C36" s="293" t="s">
        <v>359</v>
      </c>
      <c r="D36" s="294"/>
      <c r="E36" s="295"/>
      <c r="F36" s="296"/>
      <c r="G36" s="296"/>
      <c r="H36" s="296"/>
      <c r="I36" s="296"/>
      <c r="J36" s="302"/>
      <c r="K36" s="296"/>
      <c r="L36" s="296"/>
      <c r="M36" s="295"/>
      <c r="N36" s="286"/>
      <c r="O36" s="297"/>
      <c r="P36" s="296"/>
      <c r="Q36" s="296"/>
      <c r="R36" s="299"/>
      <c r="S36" s="286"/>
      <c r="T36" s="286"/>
      <c r="U36" s="286"/>
      <c r="V36" s="286"/>
      <c r="W36" s="295"/>
      <c r="X36" s="286"/>
      <c r="Y36" s="297"/>
      <c r="Z36" s="296"/>
      <c r="AA36" s="296"/>
      <c r="AB36" s="299"/>
      <c r="AC36" s="286"/>
    </row>
    <row r="37" spans="1:29" ht="30.85" customHeight="1" x14ac:dyDescent="0.45">
      <c r="A37" s="303" t="s">
        <v>358</v>
      </c>
      <c r="B37" s="293"/>
      <c r="C37" s="293" t="s">
        <v>359</v>
      </c>
      <c r="D37" s="294"/>
      <c r="E37" s="295"/>
      <c r="F37" s="296"/>
      <c r="G37" s="296"/>
      <c r="H37" s="296"/>
      <c r="I37" s="296"/>
      <c r="J37" s="302"/>
      <c r="K37" s="296"/>
      <c r="L37" s="296"/>
      <c r="M37" s="295"/>
      <c r="N37" s="286"/>
      <c r="O37" s="297"/>
      <c r="P37" s="296"/>
      <c r="Q37" s="296"/>
      <c r="R37" s="299"/>
      <c r="S37" s="286"/>
      <c r="T37" s="286"/>
      <c r="U37" s="286"/>
      <c r="V37" s="286"/>
      <c r="W37" s="295"/>
      <c r="X37" s="286"/>
      <c r="Y37" s="297"/>
      <c r="Z37" s="296"/>
      <c r="AA37" s="296"/>
      <c r="AB37" s="299"/>
      <c r="AC37" s="286"/>
    </row>
    <row r="38" spans="1:29" ht="30.85" customHeight="1" x14ac:dyDescent="0.45">
      <c r="A38" s="303" t="s">
        <v>358</v>
      </c>
      <c r="B38" s="293"/>
      <c r="C38" s="293" t="s">
        <v>359</v>
      </c>
      <c r="D38" s="294"/>
      <c r="E38" s="295"/>
      <c r="F38" s="296"/>
      <c r="G38" s="296"/>
      <c r="H38" s="296"/>
      <c r="I38" s="296"/>
      <c r="J38" s="302"/>
      <c r="K38" s="296"/>
      <c r="L38" s="296"/>
      <c r="M38" s="295"/>
      <c r="N38" s="286"/>
      <c r="O38" s="297" t="e">
        <f t="shared" si="11"/>
        <v>#REF!</v>
      </c>
      <c r="P38" s="296" t="e">
        <f t="shared" si="12"/>
        <v>#REF!</v>
      </c>
      <c r="Q38" s="296"/>
      <c r="R38" s="299"/>
      <c r="S38" s="286"/>
      <c r="T38" s="286"/>
      <c r="U38" s="286"/>
      <c r="V38" s="286"/>
      <c r="W38" s="295"/>
      <c r="X38" s="286"/>
      <c r="Y38" s="297"/>
      <c r="Z38" s="296"/>
      <c r="AA38" s="296"/>
      <c r="AB38" s="299"/>
      <c r="AC38" s="286"/>
    </row>
    <row r="40" spans="1:29" x14ac:dyDescent="0.45">
      <c r="E40" s="137" t="s">
        <v>15</v>
      </c>
      <c r="I40" s="137" t="s">
        <v>16</v>
      </c>
    </row>
    <row r="42" spans="1:29" x14ac:dyDescent="0.45">
      <c r="C42" s="276"/>
    </row>
    <row r="43" spans="1:29" ht="57" x14ac:dyDescent="0.45">
      <c r="B43" s="137" t="s">
        <v>401</v>
      </c>
      <c r="C43" s="137" t="s">
        <v>402</v>
      </c>
      <c r="D43" s="137" t="s">
        <v>403</v>
      </c>
      <c r="E43" s="215" t="s">
        <v>404</v>
      </c>
      <c r="F43" s="215" t="s">
        <v>474</v>
      </c>
    </row>
    <row r="44" spans="1:29" x14ac:dyDescent="0.45">
      <c r="B44" s="137" t="s">
        <v>24</v>
      </c>
      <c r="C44" s="327">
        <f t="shared" ref="C44:C70" si="13">COUNTIF($B$8:$C$30,B44)</f>
        <v>0</v>
      </c>
      <c r="D44" s="430">
        <f t="shared" ref="D44:D70" si="14">C44-(COUNTIFS(C$8:C$30,B44,M$8:M$30,""))</f>
        <v>0</v>
      </c>
      <c r="E44" s="189">
        <f t="shared" ref="E44:E70" si="15">COUNTIFS(M$8:M$30,$B44)</f>
        <v>0</v>
      </c>
      <c r="F44" s="189">
        <f t="shared" ref="F44:F70" si="16">COUNTIFS(G$8:G$30,$B44)</f>
        <v>0</v>
      </c>
    </row>
    <row r="45" spans="1:29" x14ac:dyDescent="0.45">
      <c r="B45" s="137" t="s">
        <v>36</v>
      </c>
      <c r="C45" s="327">
        <f t="shared" si="13"/>
        <v>0</v>
      </c>
      <c r="D45" s="430">
        <f t="shared" si="14"/>
        <v>0</v>
      </c>
      <c r="E45" s="189">
        <f t="shared" si="15"/>
        <v>0</v>
      </c>
      <c r="F45" s="189">
        <f t="shared" si="16"/>
        <v>0</v>
      </c>
    </row>
    <row r="46" spans="1:29" x14ac:dyDescent="0.45">
      <c r="B46" s="137" t="s">
        <v>27</v>
      </c>
      <c r="C46" s="327">
        <f t="shared" si="13"/>
        <v>0</v>
      </c>
      <c r="D46" s="430">
        <f t="shared" si="14"/>
        <v>0</v>
      </c>
      <c r="E46" s="189">
        <f t="shared" si="15"/>
        <v>0</v>
      </c>
      <c r="F46" s="189">
        <f t="shared" si="16"/>
        <v>0</v>
      </c>
    </row>
    <row r="47" spans="1:29" x14ac:dyDescent="0.45">
      <c r="B47" s="137" t="s">
        <v>48</v>
      </c>
      <c r="C47" s="327">
        <f t="shared" si="13"/>
        <v>0</v>
      </c>
      <c r="D47" s="430">
        <f t="shared" si="14"/>
        <v>0</v>
      </c>
      <c r="E47" s="189">
        <f t="shared" si="15"/>
        <v>0</v>
      </c>
      <c r="F47" s="189">
        <f t="shared" si="16"/>
        <v>0</v>
      </c>
    </row>
    <row r="48" spans="1:29" x14ac:dyDescent="0.45">
      <c r="B48" s="137" t="s">
        <v>49</v>
      </c>
      <c r="C48" s="327">
        <f t="shared" si="13"/>
        <v>12</v>
      </c>
      <c r="D48" s="430">
        <f t="shared" si="14"/>
        <v>0</v>
      </c>
      <c r="E48" s="189">
        <f t="shared" si="15"/>
        <v>0</v>
      </c>
      <c r="F48" s="189">
        <f t="shared" si="16"/>
        <v>0</v>
      </c>
    </row>
    <row r="49" spans="2:6" x14ac:dyDescent="0.45">
      <c r="B49" s="137" t="s">
        <v>50</v>
      </c>
      <c r="C49" s="327">
        <f t="shared" si="13"/>
        <v>0</v>
      </c>
      <c r="D49" s="430">
        <f t="shared" si="14"/>
        <v>0</v>
      </c>
      <c r="E49" s="189">
        <f t="shared" si="15"/>
        <v>0</v>
      </c>
      <c r="F49" s="189">
        <f t="shared" si="16"/>
        <v>0</v>
      </c>
    </row>
    <row r="50" spans="2:6" x14ac:dyDescent="0.45">
      <c r="B50" s="137" t="s">
        <v>51</v>
      </c>
      <c r="C50" s="327">
        <f t="shared" si="13"/>
        <v>0</v>
      </c>
      <c r="D50" s="430">
        <f t="shared" si="14"/>
        <v>0</v>
      </c>
      <c r="E50" s="189">
        <f t="shared" si="15"/>
        <v>0</v>
      </c>
      <c r="F50" s="189">
        <f t="shared" si="16"/>
        <v>0</v>
      </c>
    </row>
    <row r="51" spans="2:6" x14ac:dyDescent="0.45">
      <c r="B51" s="137" t="s">
        <v>37</v>
      </c>
      <c r="C51" s="327">
        <f t="shared" si="13"/>
        <v>10</v>
      </c>
      <c r="D51" s="430">
        <f t="shared" si="14"/>
        <v>0</v>
      </c>
      <c r="E51" s="189">
        <f t="shared" si="15"/>
        <v>0</v>
      </c>
      <c r="F51" s="189">
        <f t="shared" si="16"/>
        <v>0</v>
      </c>
    </row>
    <row r="52" spans="2:6" x14ac:dyDescent="0.45">
      <c r="B52" s="137" t="s">
        <v>41</v>
      </c>
      <c r="C52" s="327">
        <f t="shared" si="13"/>
        <v>0</v>
      </c>
      <c r="D52" s="430">
        <f t="shared" si="14"/>
        <v>0</v>
      </c>
      <c r="E52" s="189">
        <f t="shared" si="15"/>
        <v>0</v>
      </c>
      <c r="F52" s="189">
        <f t="shared" si="16"/>
        <v>0</v>
      </c>
    </row>
    <row r="53" spans="2:6" x14ac:dyDescent="0.45">
      <c r="B53" s="137" t="s">
        <v>42</v>
      </c>
      <c r="C53" s="327">
        <f t="shared" si="13"/>
        <v>0</v>
      </c>
      <c r="D53" s="430">
        <f t="shared" si="14"/>
        <v>0</v>
      </c>
      <c r="E53" s="189">
        <f t="shared" si="15"/>
        <v>0</v>
      </c>
      <c r="F53" s="189">
        <f t="shared" si="16"/>
        <v>0</v>
      </c>
    </row>
    <row r="54" spans="2:6" x14ac:dyDescent="0.45">
      <c r="B54" s="137" t="s">
        <v>43</v>
      </c>
      <c r="C54" s="327">
        <f t="shared" si="13"/>
        <v>0</v>
      </c>
      <c r="D54" s="430">
        <f t="shared" si="14"/>
        <v>0</v>
      </c>
      <c r="E54" s="189">
        <f t="shared" si="15"/>
        <v>0</v>
      </c>
      <c r="F54" s="189">
        <f t="shared" si="16"/>
        <v>0</v>
      </c>
    </row>
    <row r="55" spans="2:6" x14ac:dyDescent="0.45">
      <c r="B55" s="137" t="s">
        <v>44</v>
      </c>
      <c r="C55" s="327">
        <f t="shared" si="13"/>
        <v>0</v>
      </c>
      <c r="D55" s="430">
        <f t="shared" si="14"/>
        <v>0</v>
      </c>
      <c r="E55" s="189">
        <f t="shared" si="15"/>
        <v>0</v>
      </c>
      <c r="F55" s="189">
        <f t="shared" si="16"/>
        <v>0</v>
      </c>
    </row>
    <row r="56" spans="2:6" x14ac:dyDescent="0.45">
      <c r="B56" s="137" t="s">
        <v>45</v>
      </c>
      <c r="C56" s="327">
        <f t="shared" si="13"/>
        <v>0</v>
      </c>
      <c r="D56" s="430">
        <f t="shared" si="14"/>
        <v>0</v>
      </c>
      <c r="E56" s="189">
        <f t="shared" si="15"/>
        <v>0</v>
      </c>
      <c r="F56" s="189">
        <f t="shared" si="16"/>
        <v>0</v>
      </c>
    </row>
    <row r="57" spans="2:6" x14ac:dyDescent="0.45">
      <c r="B57" s="137" t="s">
        <v>46</v>
      </c>
      <c r="C57" s="327">
        <f t="shared" si="13"/>
        <v>0</v>
      </c>
      <c r="D57" s="430">
        <f t="shared" si="14"/>
        <v>0</v>
      </c>
      <c r="E57" s="189">
        <f t="shared" si="15"/>
        <v>0</v>
      </c>
      <c r="F57" s="189">
        <f t="shared" si="16"/>
        <v>0</v>
      </c>
    </row>
    <row r="58" spans="2:6" x14ac:dyDescent="0.45">
      <c r="B58" s="137" t="s">
        <v>31</v>
      </c>
      <c r="C58" s="327">
        <f t="shared" si="13"/>
        <v>0</v>
      </c>
      <c r="D58" s="430">
        <f t="shared" si="14"/>
        <v>0</v>
      </c>
      <c r="E58" s="189">
        <f t="shared" si="15"/>
        <v>0</v>
      </c>
      <c r="F58" s="189">
        <f t="shared" si="16"/>
        <v>0</v>
      </c>
    </row>
    <row r="59" spans="2:6" x14ac:dyDescent="0.45">
      <c r="B59" s="137" t="s">
        <v>47</v>
      </c>
      <c r="C59" s="327">
        <f t="shared" si="13"/>
        <v>0</v>
      </c>
      <c r="D59" s="430">
        <f t="shared" si="14"/>
        <v>0</v>
      </c>
      <c r="E59" s="189">
        <f t="shared" si="15"/>
        <v>0</v>
      </c>
      <c r="F59" s="189">
        <f t="shared" si="16"/>
        <v>0</v>
      </c>
    </row>
    <row r="60" spans="2:6" x14ac:dyDescent="0.45">
      <c r="B60" s="137" t="s">
        <v>337</v>
      </c>
      <c r="C60" s="327">
        <f t="shared" si="13"/>
        <v>0</v>
      </c>
      <c r="D60" s="430">
        <f t="shared" si="14"/>
        <v>0</v>
      </c>
      <c r="E60" s="189">
        <f t="shared" si="15"/>
        <v>0</v>
      </c>
      <c r="F60" s="189">
        <f t="shared" si="16"/>
        <v>0</v>
      </c>
    </row>
    <row r="61" spans="2:6" x14ac:dyDescent="0.45">
      <c r="B61" s="137" t="s">
        <v>338</v>
      </c>
      <c r="C61" s="327">
        <f t="shared" si="13"/>
        <v>0</v>
      </c>
      <c r="D61" s="430">
        <f t="shared" si="14"/>
        <v>0</v>
      </c>
      <c r="E61" s="189">
        <f t="shared" si="15"/>
        <v>0</v>
      </c>
      <c r="F61" s="189">
        <f t="shared" si="16"/>
        <v>0</v>
      </c>
    </row>
    <row r="62" spans="2:6" x14ac:dyDescent="0.45">
      <c r="B62" s="137" t="s">
        <v>339</v>
      </c>
      <c r="C62" s="327">
        <f t="shared" si="13"/>
        <v>0</v>
      </c>
      <c r="D62" s="430">
        <f t="shared" si="14"/>
        <v>0</v>
      </c>
      <c r="E62" s="189">
        <f t="shared" si="15"/>
        <v>0</v>
      </c>
      <c r="F62" s="189">
        <f t="shared" si="16"/>
        <v>0</v>
      </c>
    </row>
    <row r="63" spans="2:6" x14ac:dyDescent="0.45">
      <c r="B63" s="137" t="s">
        <v>463</v>
      </c>
      <c r="C63" s="327">
        <f t="shared" si="13"/>
        <v>0</v>
      </c>
      <c r="D63" s="430">
        <f t="shared" si="14"/>
        <v>0</v>
      </c>
      <c r="E63" s="189">
        <f t="shared" si="15"/>
        <v>0</v>
      </c>
      <c r="F63" s="189">
        <f t="shared" si="16"/>
        <v>0</v>
      </c>
    </row>
    <row r="64" spans="2:6" x14ac:dyDescent="0.45">
      <c r="B64" s="137" t="s">
        <v>465</v>
      </c>
      <c r="C64" s="327">
        <f t="shared" si="13"/>
        <v>0</v>
      </c>
      <c r="D64" s="430">
        <f t="shared" si="14"/>
        <v>0</v>
      </c>
      <c r="E64" s="189">
        <f t="shared" si="15"/>
        <v>0</v>
      </c>
      <c r="F64" s="189">
        <f t="shared" si="16"/>
        <v>0</v>
      </c>
    </row>
    <row r="65" spans="2:6" x14ac:dyDescent="0.45">
      <c r="B65" s="137" t="s">
        <v>340</v>
      </c>
      <c r="C65" s="327">
        <f t="shared" si="13"/>
        <v>0</v>
      </c>
      <c r="D65" s="430">
        <f t="shared" si="14"/>
        <v>0</v>
      </c>
      <c r="E65" s="189">
        <f t="shared" si="15"/>
        <v>0</v>
      </c>
      <c r="F65" s="189">
        <f t="shared" si="16"/>
        <v>0</v>
      </c>
    </row>
    <row r="66" spans="2:6" x14ac:dyDescent="0.45">
      <c r="B66" s="137" t="s">
        <v>475</v>
      </c>
      <c r="C66" s="327">
        <f t="shared" si="13"/>
        <v>0</v>
      </c>
      <c r="D66" s="430">
        <f t="shared" si="14"/>
        <v>0</v>
      </c>
      <c r="E66" s="189">
        <f t="shared" si="15"/>
        <v>0</v>
      </c>
      <c r="F66" s="189">
        <f t="shared" si="16"/>
        <v>0</v>
      </c>
    </row>
    <row r="67" spans="2:6" x14ac:dyDescent="0.45">
      <c r="B67" s="137" t="s">
        <v>369</v>
      </c>
      <c r="C67" s="327">
        <f t="shared" si="13"/>
        <v>0</v>
      </c>
      <c r="D67" s="430">
        <f t="shared" si="14"/>
        <v>0</v>
      </c>
      <c r="E67" s="189">
        <f t="shared" si="15"/>
        <v>0</v>
      </c>
      <c r="F67" s="189">
        <f t="shared" si="16"/>
        <v>0</v>
      </c>
    </row>
    <row r="68" spans="2:6" x14ac:dyDescent="0.45">
      <c r="B68" s="137" t="s">
        <v>377</v>
      </c>
      <c r="C68" s="327">
        <f t="shared" si="13"/>
        <v>0</v>
      </c>
      <c r="D68" s="430">
        <f t="shared" si="14"/>
        <v>0</v>
      </c>
      <c r="E68" s="189">
        <f t="shared" si="15"/>
        <v>0</v>
      </c>
      <c r="F68" s="189">
        <f t="shared" si="16"/>
        <v>0</v>
      </c>
    </row>
    <row r="69" spans="2:6" x14ac:dyDescent="0.45">
      <c r="B69" s="137" t="s">
        <v>383</v>
      </c>
      <c r="C69" s="327">
        <f t="shared" si="13"/>
        <v>0</v>
      </c>
      <c r="D69" s="430">
        <f t="shared" si="14"/>
        <v>0</v>
      </c>
      <c r="E69" s="189">
        <f t="shared" si="15"/>
        <v>0</v>
      </c>
      <c r="F69" s="189">
        <f t="shared" si="16"/>
        <v>0</v>
      </c>
    </row>
    <row r="70" spans="2:6" x14ac:dyDescent="0.45">
      <c r="B70" s="137" t="s">
        <v>386</v>
      </c>
      <c r="C70" s="327">
        <f t="shared" si="13"/>
        <v>0</v>
      </c>
      <c r="D70" s="430">
        <f t="shared" si="14"/>
        <v>0</v>
      </c>
      <c r="E70" s="189">
        <f t="shared" si="15"/>
        <v>0</v>
      </c>
      <c r="F70" s="189">
        <f t="shared" si="16"/>
        <v>0</v>
      </c>
    </row>
    <row r="71" spans="2:6" x14ac:dyDescent="0.45">
      <c r="C71" s="431">
        <f>SUM(C44:C70)</f>
        <v>22</v>
      </c>
      <c r="D71" s="432">
        <f t="shared" ref="D71:F71" si="17">SUM(D44:D70)</f>
        <v>0</v>
      </c>
      <c r="E71" s="432">
        <f t="shared" si="17"/>
        <v>0</v>
      </c>
      <c r="F71" s="432">
        <f t="shared" si="17"/>
        <v>0</v>
      </c>
    </row>
    <row r="72" spans="2:6" x14ac:dyDescent="0.45">
      <c r="E72" s="430">
        <f>D71-E71</f>
        <v>0</v>
      </c>
      <c r="F72" s="189" t="str">
        <f>IF(E72=F71,"OK","ERREUR")</f>
        <v>OK</v>
      </c>
    </row>
  </sheetData>
  <sheetProtection formatCells="0" formatColumns="0" formatRows="0" autoFilter="0"/>
  <autoFilter ref="A7:AB38" xr:uid="{5B5BBBDE-33E3-4462-B288-63EC9F5FA152}"/>
  <mergeCells count="4">
    <mergeCell ref="B3:D3"/>
    <mergeCell ref="I6:J6"/>
    <mergeCell ref="M6:O6"/>
    <mergeCell ref="Q6:S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4" orientation="portrait" copies="1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19EE-7EA3-4C23-BB9D-F6B4DCEDD8C2}">
  <sheetPr>
    <pageSetUpPr fitToPage="1"/>
  </sheetPr>
  <dimension ref="A2:AC71"/>
  <sheetViews>
    <sheetView showGridLines="0" topLeftCell="A26" workbookViewId="0">
      <selection activeCell="D11" sqref="D11"/>
    </sheetView>
  </sheetViews>
  <sheetFormatPr baseColWidth="10" defaultColWidth="10.796875" defaultRowHeight="14.25" outlineLevelCol="1" x14ac:dyDescent="0.45"/>
  <cols>
    <col min="1" max="1" width="11.796875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0.796875" style="137"/>
    <col min="9" max="22" width="10.796875" style="137" hidden="1" customWidth="1"/>
    <col min="23" max="23" width="13.1328125" style="137" customWidth="1"/>
    <col min="24" max="24" width="34.796875" style="137" customWidth="1"/>
    <col min="25" max="28" width="10.796875" style="137" customWidth="1"/>
    <col min="29" max="16384" width="10.796875" style="137"/>
  </cols>
  <sheetData>
    <row r="2" spans="1:29" ht="23.25" x14ac:dyDescent="0.45">
      <c r="A2" s="137" t="s">
        <v>18</v>
      </c>
      <c r="B2" s="269" t="s">
        <v>46</v>
      </c>
      <c r="C2" s="238"/>
      <c r="D2" s="238"/>
    </row>
    <row r="3" spans="1:29" ht="22.5" hidden="1" customHeight="1" x14ac:dyDescent="0.45">
      <c r="A3" s="137" t="s">
        <v>14</v>
      </c>
      <c r="B3" s="492">
        <v>45627</v>
      </c>
      <c r="C3" s="493"/>
      <c r="D3" s="493"/>
      <c r="E3" s="249"/>
      <c r="F3" s="249"/>
      <c r="G3" s="249"/>
      <c r="H3" s="140"/>
    </row>
    <row r="4" spans="1:29" ht="28.5" customHeight="1" x14ac:dyDescent="0.45">
      <c r="A4" s="137" t="s">
        <v>13</v>
      </c>
      <c r="B4" s="306" t="str">
        <f>VLOOKUP(B2,'Liste chauffeur'!$B$5:$L$20,2,TRUE)&amp;" "&amp;VLOOKUP(B2,'Liste chauffeur'!$B$5:$L$20,3,TRUE)</f>
        <v>KAMARDINE Mansour</v>
      </c>
      <c r="C4" s="259"/>
      <c r="D4" s="259"/>
      <c r="E4" s="139"/>
      <c r="F4" s="139"/>
      <c r="G4" s="139"/>
      <c r="H4" s="140"/>
      <c r="J4" s="276"/>
      <c r="M4" s="276"/>
    </row>
    <row r="6" spans="1:29" x14ac:dyDescent="0.45">
      <c r="A6" s="141"/>
      <c r="B6" s="142"/>
      <c r="C6" s="142"/>
      <c r="D6" s="142"/>
      <c r="E6" s="142"/>
      <c r="F6" s="142"/>
      <c r="G6" s="142"/>
      <c r="H6" s="142"/>
      <c r="I6" s="496" t="s">
        <v>2</v>
      </c>
      <c r="J6" s="497"/>
      <c r="K6" s="340"/>
      <c r="L6" s="281"/>
      <c r="M6" s="498" t="s">
        <v>6</v>
      </c>
      <c r="N6" s="498"/>
      <c r="O6" s="498"/>
      <c r="P6" s="281"/>
      <c r="Q6" s="498" t="s">
        <v>7</v>
      </c>
      <c r="R6" s="498"/>
      <c r="S6" s="498"/>
      <c r="T6" s="281"/>
      <c r="U6" s="282"/>
      <c r="V6" s="305"/>
      <c r="W6" s="305" t="s">
        <v>360</v>
      </c>
      <c r="X6" s="282"/>
      <c r="Y6" s="282"/>
      <c r="Z6" s="282"/>
      <c r="AA6" s="282">
        <v>8</v>
      </c>
      <c r="AB6" s="282"/>
    </row>
    <row r="7" spans="1:29" ht="69.75" x14ac:dyDescent="0.45">
      <c r="A7" s="286"/>
      <c r="B7" s="287" t="s">
        <v>0</v>
      </c>
      <c r="C7" s="287" t="s">
        <v>341</v>
      </c>
      <c r="D7" s="287" t="s">
        <v>342</v>
      </c>
      <c r="E7" s="287" t="s">
        <v>1</v>
      </c>
      <c r="F7" s="287" t="s">
        <v>343</v>
      </c>
      <c r="G7" s="287" t="s">
        <v>344</v>
      </c>
      <c r="H7" s="287" t="s">
        <v>23</v>
      </c>
      <c r="I7" s="288" t="s">
        <v>131</v>
      </c>
      <c r="J7" s="288" t="s">
        <v>328</v>
      </c>
      <c r="K7" s="289" t="s">
        <v>5</v>
      </c>
      <c r="L7" s="289" t="s">
        <v>19</v>
      </c>
      <c r="M7" s="288" t="s">
        <v>131</v>
      </c>
      <c r="N7" s="288" t="s">
        <v>328</v>
      </c>
      <c r="O7" s="289" t="s">
        <v>9</v>
      </c>
      <c r="P7" s="289" t="s">
        <v>19</v>
      </c>
      <c r="Q7" s="288" t="s">
        <v>131</v>
      </c>
      <c r="R7" s="288" t="s">
        <v>328</v>
      </c>
      <c r="S7" s="290" t="s">
        <v>10</v>
      </c>
      <c r="T7" s="290" t="s">
        <v>19</v>
      </c>
      <c r="U7" s="290" t="s">
        <v>22</v>
      </c>
      <c r="V7" s="290"/>
      <c r="W7" s="287" t="s">
        <v>17</v>
      </c>
      <c r="X7" s="291" t="s">
        <v>12</v>
      </c>
      <c r="Y7" s="286" t="s">
        <v>20</v>
      </c>
      <c r="Z7" s="292" t="s">
        <v>38</v>
      </c>
      <c r="AA7" s="292" t="s">
        <v>39</v>
      </c>
      <c r="AB7" s="292" t="s">
        <v>40</v>
      </c>
      <c r="AC7" s="286"/>
    </row>
    <row r="8" spans="1:29" ht="23.25" x14ac:dyDescent="0.45">
      <c r="A8" s="324" t="str">
        <f>'Horaire dimanche2'!A8</f>
        <v>VAHIBE</v>
      </c>
      <c r="B8" s="325">
        <f>'Horaire dimanche1'!B8</f>
        <v>0.33333333333333331</v>
      </c>
      <c r="C8" s="325" t="str">
        <f>'Horaire dimanche2'!C8</f>
        <v>C10</v>
      </c>
      <c r="D8" s="294" t="str">
        <f>VLOOKUP(C8,'Liste chauffeur'!$B$5:$L$20,2,TRUE)&amp;" "&amp;VLOOKUP(C8,'Liste chauffeur'!$B$5:$L$20,3,TRUE)</f>
        <v>ISSIHAKA M'Changama</v>
      </c>
      <c r="E8" s="481"/>
      <c r="F8" s="335">
        <f t="shared" ref="F8:F30" si="0">COUNTBLANK(E8)</f>
        <v>1</v>
      </c>
      <c r="G8" s="348"/>
      <c r="H8" s="349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2"/>
      <c r="T8" s="332"/>
      <c r="U8" s="332"/>
      <c r="V8" s="332"/>
      <c r="W8" s="349"/>
      <c r="X8" s="333"/>
      <c r="Y8" s="297" t="str">
        <f t="shared" ref="Y8:Y11" si="1">IF(F8=1,"",W8-E8)</f>
        <v/>
      </c>
      <c r="Z8" s="296">
        <f t="shared" ref="Z8:Z30" si="2">H8+J8-I8</f>
        <v>0</v>
      </c>
      <c r="AA8" s="296">
        <f t="shared" ref="AA8:AA30" si="3">IF(F8=1,0,AA$6)</f>
        <v>0</v>
      </c>
      <c r="AB8" s="298">
        <f t="shared" ref="AB8:AB32" si="4">IF(AA8=0,0,Z8/AA8)</f>
        <v>0</v>
      </c>
      <c r="AC8" s="286"/>
    </row>
    <row r="9" spans="1:29" ht="33" customHeight="1" x14ac:dyDescent="0.45">
      <c r="A9" s="324" t="str">
        <f>'Horaire dimanche2'!A9</f>
        <v>PASSAMAINTY</v>
      </c>
      <c r="B9" s="325">
        <f>'Horaire dimanche1'!B9</f>
        <v>0.35416666666666669</v>
      </c>
      <c r="C9" s="325" t="str">
        <f>'Horaire dimanche2'!C9</f>
        <v>C10</v>
      </c>
      <c r="D9" s="294" t="str">
        <f>VLOOKUP(C9,'Liste chauffeur'!$B$5:$L$20,2,TRUE)&amp;" "&amp;VLOOKUP(C9,'Liste chauffeur'!$B$5:$L$20,3,TRUE)</f>
        <v>ISSIHAKA M'Changama</v>
      </c>
      <c r="E9" s="481"/>
      <c r="F9" s="335">
        <f t="shared" si="0"/>
        <v>1</v>
      </c>
      <c r="G9" s="348"/>
      <c r="H9" s="349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2"/>
      <c r="T9" s="332"/>
      <c r="U9" s="332"/>
      <c r="V9" s="332"/>
      <c r="W9" s="349"/>
      <c r="X9" s="333"/>
      <c r="Y9" s="297" t="str">
        <f t="shared" si="1"/>
        <v/>
      </c>
      <c r="Z9" s="296">
        <f>H9+J9-I9</f>
        <v>0</v>
      </c>
      <c r="AA9" s="296">
        <f t="shared" si="3"/>
        <v>0</v>
      </c>
      <c r="AB9" s="298">
        <f t="shared" si="4"/>
        <v>0</v>
      </c>
      <c r="AC9" s="286"/>
    </row>
    <row r="10" spans="1:29" ht="29" customHeight="1" x14ac:dyDescent="0.45">
      <c r="A10" s="324" t="str">
        <f>'Horaire dimanche2'!A10</f>
        <v>VAHIBE</v>
      </c>
      <c r="B10" s="325">
        <f>'Horaire dimanche1'!B10</f>
        <v>0.375</v>
      </c>
      <c r="C10" s="325" t="str">
        <f>'Horaire dimanche2'!C10</f>
        <v>C10</v>
      </c>
      <c r="D10" s="294" t="str">
        <f>VLOOKUP(C10,'Liste chauffeur'!$B$5:$L$20,2,TRUE)&amp;" "&amp;VLOOKUP(C10,'Liste chauffeur'!$B$5:$L$20,3,TRUE)</f>
        <v>ISSIHAKA M'Changama</v>
      </c>
      <c r="E10" s="481"/>
      <c r="F10" s="335">
        <f t="shared" si="0"/>
        <v>1</v>
      </c>
      <c r="G10" s="348"/>
      <c r="H10" s="349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2"/>
      <c r="T10" s="332"/>
      <c r="U10" s="332"/>
      <c r="V10" s="332"/>
      <c r="W10" s="349"/>
      <c r="X10" s="333"/>
      <c r="Y10" s="297" t="str">
        <f t="shared" si="1"/>
        <v/>
      </c>
      <c r="Z10" s="296">
        <f t="shared" si="2"/>
        <v>0</v>
      </c>
      <c r="AA10" s="296">
        <f t="shared" si="3"/>
        <v>0</v>
      </c>
      <c r="AB10" s="298">
        <f t="shared" si="4"/>
        <v>0</v>
      </c>
      <c r="AC10" s="286"/>
    </row>
    <row r="11" spans="1:29" ht="35.25" customHeight="1" x14ac:dyDescent="0.45">
      <c r="A11" s="324" t="str">
        <f>'Horaire dimanche2'!A11</f>
        <v>PASSAMAINTY</v>
      </c>
      <c r="B11" s="325">
        <f>'Horaire dimanche1'!B11</f>
        <v>0.39583333333333331</v>
      </c>
      <c r="C11" s="325" t="str">
        <f>'Horaire dimanche2'!C11</f>
        <v>C10</v>
      </c>
      <c r="D11" s="294" t="str">
        <f>VLOOKUP(C11,'Liste chauffeur'!$B$5:$L$20,2,TRUE)&amp;" "&amp;VLOOKUP(C11,'Liste chauffeur'!$B$5:$L$20,3,TRUE)</f>
        <v>ISSIHAKA M'Changama</v>
      </c>
      <c r="E11" s="481"/>
      <c r="F11" s="335">
        <f t="shared" si="0"/>
        <v>1</v>
      </c>
      <c r="G11" s="348"/>
      <c r="H11" s="349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2"/>
      <c r="T11" s="332"/>
      <c r="U11" s="332"/>
      <c r="V11" s="332"/>
      <c r="W11" s="349"/>
      <c r="X11" s="333"/>
      <c r="Y11" s="297" t="str">
        <f t="shared" si="1"/>
        <v/>
      </c>
      <c r="Z11" s="296">
        <f t="shared" si="2"/>
        <v>0</v>
      </c>
      <c r="AA11" s="296">
        <f t="shared" si="3"/>
        <v>0</v>
      </c>
      <c r="AB11" s="298">
        <f t="shared" si="4"/>
        <v>0</v>
      </c>
      <c r="AC11" s="286"/>
    </row>
    <row r="12" spans="1:29" ht="40.049999999999997" customHeight="1" x14ac:dyDescent="0.45">
      <c r="A12" s="324" t="str">
        <f>'Horaire dimanche2'!A12</f>
        <v>VAHIBE</v>
      </c>
      <c r="B12" s="325">
        <f>'Horaire dimanche1'!B12</f>
        <v>0.41666666666666702</v>
      </c>
      <c r="C12" s="325" t="str">
        <f>'Horaire dimanche2'!C12</f>
        <v>C10</v>
      </c>
      <c r="D12" s="294" t="str">
        <f>VLOOKUP(C12,'Liste chauffeur'!$B$5:$L$20,2,TRUE)&amp;" "&amp;VLOOKUP(C12,'Liste chauffeur'!$B$5:$L$20,3,TRUE)</f>
        <v>ISSIHAKA M'Changama</v>
      </c>
      <c r="E12" s="481"/>
      <c r="F12" s="335">
        <f t="shared" si="0"/>
        <v>1</v>
      </c>
      <c r="G12" s="350"/>
      <c r="H12" s="336"/>
      <c r="I12" s="336"/>
      <c r="J12" s="336"/>
      <c r="K12" s="334"/>
      <c r="L12" s="334">
        <f t="shared" ref="L12:L30" si="5">K12-E12</f>
        <v>0</v>
      </c>
      <c r="M12" s="336"/>
      <c r="N12" s="336"/>
      <c r="O12" s="334"/>
      <c r="P12" s="334">
        <f>O12-K12</f>
        <v>0</v>
      </c>
      <c r="Q12" s="336"/>
      <c r="R12" s="336"/>
      <c r="S12" s="334"/>
      <c r="T12" s="334">
        <f>S12-O12</f>
        <v>0</v>
      </c>
      <c r="U12" s="336"/>
      <c r="V12" s="336" t="str">
        <f>IF(H12-I12+J12-M12+N12-Q12+R12=U12,"OK",H12-I12+J12-M12+N12-Q12+R12-U12)</f>
        <v>OK</v>
      </c>
      <c r="W12" s="334"/>
      <c r="X12" s="336"/>
      <c r="Y12" s="297" t="str">
        <f t="shared" ref="Y12:Y30" si="6">IF(F12=1,"",W12-E12)</f>
        <v/>
      </c>
      <c r="Z12" s="296">
        <f t="shared" si="2"/>
        <v>0</v>
      </c>
      <c r="AA12" s="296">
        <f t="shared" si="3"/>
        <v>0</v>
      </c>
      <c r="AB12" s="298">
        <f t="shared" si="4"/>
        <v>0</v>
      </c>
      <c r="AC12" s="286"/>
    </row>
    <row r="13" spans="1:29" ht="40.049999999999997" customHeight="1" x14ac:dyDescent="0.45">
      <c r="A13" s="324" t="str">
        <f>'Horaire dimanche2'!A13</f>
        <v>PASSAMAINTY</v>
      </c>
      <c r="B13" s="325">
        <f>'Horaire dimanche1'!B13</f>
        <v>0.4375</v>
      </c>
      <c r="C13" s="325" t="str">
        <f>'Horaire dimanche2'!C13</f>
        <v>C10</v>
      </c>
      <c r="D13" s="294" t="str">
        <f>VLOOKUP(C13,'Liste chauffeur'!$B$5:$L$20,2,TRUE)&amp;" "&amp;VLOOKUP(C13,'Liste chauffeur'!$B$5:$L$20,3,TRUE)</f>
        <v>ISSIHAKA M'Changama</v>
      </c>
      <c r="E13" s="481"/>
      <c r="F13" s="335">
        <f t="shared" si="0"/>
        <v>1</v>
      </c>
      <c r="G13" s="350"/>
      <c r="H13" s="336"/>
      <c r="I13" s="336"/>
      <c r="J13" s="336"/>
      <c r="K13" s="334"/>
      <c r="L13" s="334">
        <f t="shared" si="5"/>
        <v>0</v>
      </c>
      <c r="M13" s="336"/>
      <c r="N13" s="336"/>
      <c r="O13" s="334"/>
      <c r="P13" s="334">
        <f t="shared" ref="P13:P30" si="7">O13-K13</f>
        <v>0</v>
      </c>
      <c r="Q13" s="336"/>
      <c r="R13" s="336"/>
      <c r="S13" s="334"/>
      <c r="T13" s="334">
        <f t="shared" ref="T13:T30" si="8">S13-O13</f>
        <v>0</v>
      </c>
      <c r="U13" s="336"/>
      <c r="V13" s="336"/>
      <c r="W13" s="334"/>
      <c r="X13" s="336"/>
      <c r="Y13" s="297" t="str">
        <f t="shared" si="6"/>
        <v/>
      </c>
      <c r="Z13" s="296">
        <f t="shared" si="2"/>
        <v>0</v>
      </c>
      <c r="AA13" s="296">
        <f t="shared" si="3"/>
        <v>0</v>
      </c>
      <c r="AB13" s="299">
        <f t="shared" si="4"/>
        <v>0</v>
      </c>
      <c r="AC13" s="286"/>
    </row>
    <row r="14" spans="1:29" ht="40.049999999999997" customHeight="1" x14ac:dyDescent="0.45">
      <c r="A14" s="324" t="str">
        <f>'Horaire dimanche2'!A14</f>
        <v>VAHIBE</v>
      </c>
      <c r="B14" s="325">
        <f>'Horaire dimanche1'!B14</f>
        <v>0.45833333333333298</v>
      </c>
      <c r="C14" s="325" t="str">
        <f>'Horaire dimanche2'!C14</f>
        <v>C10</v>
      </c>
      <c r="D14" s="294" t="str">
        <f>VLOOKUP(C14,'Liste chauffeur'!$B$5:$L$20,2,TRUE)&amp;" "&amp;VLOOKUP(C14,'Liste chauffeur'!$B$5:$L$20,3,TRUE)</f>
        <v>ISSIHAKA M'Changama</v>
      </c>
      <c r="E14" s="481"/>
      <c r="F14" s="335">
        <f t="shared" si="0"/>
        <v>1</v>
      </c>
      <c r="G14" s="350"/>
      <c r="H14" s="336"/>
      <c r="I14" s="336"/>
      <c r="J14" s="336"/>
      <c r="K14" s="334"/>
      <c r="L14" s="334">
        <f t="shared" si="5"/>
        <v>0</v>
      </c>
      <c r="M14" s="336"/>
      <c r="N14" s="336"/>
      <c r="O14" s="334"/>
      <c r="P14" s="334">
        <f t="shared" si="7"/>
        <v>0</v>
      </c>
      <c r="Q14" s="336"/>
      <c r="R14" s="336"/>
      <c r="S14" s="334"/>
      <c r="T14" s="334">
        <f t="shared" si="8"/>
        <v>0</v>
      </c>
      <c r="U14" s="336"/>
      <c r="V14" s="336"/>
      <c r="W14" s="334"/>
      <c r="X14" s="336"/>
      <c r="Y14" s="297" t="str">
        <f t="shared" si="6"/>
        <v/>
      </c>
      <c r="Z14" s="296">
        <f t="shared" si="2"/>
        <v>0</v>
      </c>
      <c r="AA14" s="296">
        <f t="shared" si="3"/>
        <v>0</v>
      </c>
      <c r="AB14" s="299">
        <f t="shared" si="4"/>
        <v>0</v>
      </c>
      <c r="AC14" s="286"/>
    </row>
    <row r="15" spans="1:29" ht="32.25" customHeight="1" x14ac:dyDescent="0.45">
      <c r="A15" s="324" t="str">
        <f>'Horaire dimanche2'!A15</f>
        <v>PASSAMAINTY</v>
      </c>
      <c r="B15" s="325">
        <f>'Horaire dimanche1'!B15</f>
        <v>0.47916666666666702</v>
      </c>
      <c r="C15" s="325" t="str">
        <f>'Horaire dimanche2'!C15</f>
        <v>C10</v>
      </c>
      <c r="D15" s="294" t="str">
        <f>VLOOKUP(C15,'Liste chauffeur'!$B$5:$L$20,2,TRUE)&amp;" "&amp;VLOOKUP(C15,'Liste chauffeur'!$B$5:$L$20,3,TRUE)</f>
        <v>ISSIHAKA M'Changama</v>
      </c>
      <c r="E15" s="481"/>
      <c r="F15" s="335">
        <f t="shared" si="0"/>
        <v>1</v>
      </c>
      <c r="G15" s="350"/>
      <c r="H15" s="336"/>
      <c r="I15" s="336"/>
      <c r="J15" s="336"/>
      <c r="K15" s="334"/>
      <c r="L15" s="334">
        <f t="shared" si="5"/>
        <v>0</v>
      </c>
      <c r="M15" s="336"/>
      <c r="N15" s="336"/>
      <c r="O15" s="334"/>
      <c r="P15" s="334">
        <f t="shared" si="7"/>
        <v>0</v>
      </c>
      <c r="Q15" s="336"/>
      <c r="R15" s="336"/>
      <c r="S15" s="334"/>
      <c r="T15" s="334">
        <f t="shared" si="8"/>
        <v>0</v>
      </c>
      <c r="U15" s="336"/>
      <c r="V15" s="336"/>
      <c r="W15" s="334"/>
      <c r="X15" s="336"/>
      <c r="Y15" s="297" t="str">
        <f t="shared" si="6"/>
        <v/>
      </c>
      <c r="Z15" s="296">
        <f t="shared" si="2"/>
        <v>0</v>
      </c>
      <c r="AA15" s="296">
        <f t="shared" si="3"/>
        <v>0</v>
      </c>
      <c r="AB15" s="299">
        <f t="shared" si="4"/>
        <v>0</v>
      </c>
      <c r="AC15" s="286"/>
    </row>
    <row r="16" spans="1:29" ht="40.049999999999997" customHeight="1" x14ac:dyDescent="0.45">
      <c r="A16" s="324" t="str">
        <f>'Horaire dimanche2'!A16</f>
        <v>VAHIBE</v>
      </c>
      <c r="B16" s="325">
        <f>'Horaire dimanche1'!B16</f>
        <v>0.5</v>
      </c>
      <c r="C16" s="325" t="str">
        <f>'Horaire dimanche2'!C16</f>
        <v>C10</v>
      </c>
      <c r="D16" s="294" t="str">
        <f>VLOOKUP(C16,'Liste chauffeur'!$B$5:$L$20,2,TRUE)&amp;" "&amp;VLOOKUP(C16,'Liste chauffeur'!$B$5:$L$20,3,TRUE)</f>
        <v>ISSIHAKA M'Changama</v>
      </c>
      <c r="E16" s="481"/>
      <c r="F16" s="335">
        <f t="shared" si="0"/>
        <v>1</v>
      </c>
      <c r="G16" s="350"/>
      <c r="H16" s="336"/>
      <c r="I16" s="336"/>
      <c r="J16" s="336"/>
      <c r="K16" s="334"/>
      <c r="L16" s="334">
        <f t="shared" si="5"/>
        <v>0</v>
      </c>
      <c r="M16" s="336"/>
      <c r="N16" s="336"/>
      <c r="O16" s="334"/>
      <c r="P16" s="334">
        <f t="shared" si="7"/>
        <v>0</v>
      </c>
      <c r="Q16" s="336"/>
      <c r="R16" s="336"/>
      <c r="S16" s="334"/>
      <c r="T16" s="334">
        <f t="shared" si="8"/>
        <v>0</v>
      </c>
      <c r="U16" s="336"/>
      <c r="V16" s="336" t="str">
        <f t="shared" ref="V16:V30" si="9">IF(H16-I16+J16-M16+N16-Q16+R16=U16,"OK",H16-I16+J16-M16+N16-Q16+R16-U16)</f>
        <v>OK</v>
      </c>
      <c r="W16" s="334"/>
      <c r="X16" s="336"/>
      <c r="Y16" s="297" t="str">
        <f t="shared" si="6"/>
        <v/>
      </c>
      <c r="Z16" s="296">
        <f t="shared" si="2"/>
        <v>0</v>
      </c>
      <c r="AA16" s="296">
        <f t="shared" si="3"/>
        <v>0</v>
      </c>
      <c r="AB16" s="299">
        <f t="shared" si="4"/>
        <v>0</v>
      </c>
      <c r="AC16" s="286"/>
    </row>
    <row r="17" spans="1:29" ht="40.049999999999997" customHeight="1" x14ac:dyDescent="0.45">
      <c r="A17" s="324"/>
      <c r="B17" s="346" t="s">
        <v>471</v>
      </c>
      <c r="C17" s="346"/>
      <c r="D17" s="304"/>
      <c r="E17" s="337"/>
      <c r="F17" s="347">
        <f>SUM(F8:F16)</f>
        <v>9</v>
      </c>
      <c r="G17" s="347">
        <f>SUM(G8:G16)</f>
        <v>0</v>
      </c>
      <c r="H17" s="338"/>
      <c r="I17" s="338"/>
      <c r="J17" s="338"/>
      <c r="K17" s="337"/>
      <c r="L17" s="337"/>
      <c r="M17" s="338"/>
      <c r="N17" s="338"/>
      <c r="O17" s="337"/>
      <c r="P17" s="337"/>
      <c r="Q17" s="338"/>
      <c r="R17" s="338"/>
      <c r="S17" s="337"/>
      <c r="T17" s="337"/>
      <c r="U17" s="338"/>
      <c r="V17" s="338"/>
      <c r="W17" s="337"/>
      <c r="X17" s="338"/>
      <c r="Y17" s="301" t="e">
        <f>AVERAGE(Y8:Y16)</f>
        <v>#DIV/0!</v>
      </c>
      <c r="Z17" s="283">
        <f>SUM(Z8:Z16)</f>
        <v>0</v>
      </c>
      <c r="AA17" s="283">
        <f>SUM(AA8:AA16)</f>
        <v>0</v>
      </c>
      <c r="AB17" s="284">
        <f t="shared" si="4"/>
        <v>0</v>
      </c>
      <c r="AC17" s="286"/>
    </row>
    <row r="18" spans="1:29" ht="40.049999999999997" customHeight="1" x14ac:dyDescent="0.45">
      <c r="A18" s="324" t="str">
        <f>'Horaire dimanche2'!A17</f>
        <v>PASSAMAINTY</v>
      </c>
      <c r="B18" s="325">
        <f>'Horaire dimanche1'!B17</f>
        <v>0.52083333333333304</v>
      </c>
      <c r="C18" s="325" t="str">
        <f>'Horaire dimanche2'!C17</f>
        <v>C10</v>
      </c>
      <c r="D18" s="294" t="str">
        <f>VLOOKUP(C18,'Liste chauffeur'!$B$5:$L$20,2,TRUE)&amp;" "&amp;VLOOKUP(C18,'Liste chauffeur'!$B$5:$L$20,3,TRUE)</f>
        <v>ISSIHAKA M'Changama</v>
      </c>
      <c r="E18" s="481"/>
      <c r="F18" s="335">
        <f t="shared" si="0"/>
        <v>1</v>
      </c>
      <c r="G18" s="350"/>
      <c r="H18" s="336"/>
      <c r="I18" s="336"/>
      <c r="J18" s="336"/>
      <c r="K18" s="334"/>
      <c r="L18" s="334">
        <f t="shared" si="5"/>
        <v>0</v>
      </c>
      <c r="M18" s="336"/>
      <c r="N18" s="336"/>
      <c r="O18" s="334"/>
      <c r="P18" s="334">
        <f t="shared" si="7"/>
        <v>0</v>
      </c>
      <c r="Q18" s="336"/>
      <c r="R18" s="336"/>
      <c r="S18" s="334"/>
      <c r="T18" s="334">
        <f t="shared" si="8"/>
        <v>0</v>
      </c>
      <c r="U18" s="336"/>
      <c r="V18" s="336" t="str">
        <f t="shared" si="9"/>
        <v>OK</v>
      </c>
      <c r="W18" s="334"/>
      <c r="X18" s="336"/>
      <c r="Y18" s="297" t="str">
        <f t="shared" si="6"/>
        <v/>
      </c>
      <c r="Z18" s="296">
        <f t="shared" si="2"/>
        <v>0</v>
      </c>
      <c r="AA18" s="296">
        <f t="shared" si="3"/>
        <v>0</v>
      </c>
      <c r="AB18" s="299">
        <f t="shared" si="4"/>
        <v>0</v>
      </c>
      <c r="AC18" s="286"/>
    </row>
    <row r="19" spans="1:29" ht="40.049999999999997" customHeight="1" x14ac:dyDescent="0.45">
      <c r="A19" s="324" t="str">
        <f>'Horaire dimanche2'!A18</f>
        <v>VAHIBE</v>
      </c>
      <c r="B19" s="325">
        <f>'Horaire dimanche1'!B18</f>
        <v>0.54166666666666696</v>
      </c>
      <c r="C19" s="325" t="str">
        <f>'Horaire dimanche2'!C18</f>
        <v>C10</v>
      </c>
      <c r="D19" s="326" t="str">
        <f>VLOOKUP(C19,'Liste chauffeur'!$B$5:$L$20,2,TRUE)&amp;" "&amp;VLOOKUP(C19,'Liste chauffeur'!$B$5:$L$20,3,TRUE)</f>
        <v>ISSIHAKA M'Changama</v>
      </c>
      <c r="E19" s="481"/>
      <c r="F19" s="335">
        <f t="shared" si="0"/>
        <v>1</v>
      </c>
      <c r="G19" s="350"/>
      <c r="H19" s="336"/>
      <c r="I19" s="336"/>
      <c r="J19" s="336"/>
      <c r="K19" s="334"/>
      <c r="L19" s="334"/>
      <c r="M19" s="336"/>
      <c r="N19" s="336"/>
      <c r="O19" s="334"/>
      <c r="P19" s="334"/>
      <c r="Q19" s="336"/>
      <c r="R19" s="336"/>
      <c r="S19" s="334"/>
      <c r="T19" s="334"/>
      <c r="U19" s="336"/>
      <c r="V19" s="336"/>
      <c r="W19" s="334"/>
      <c r="X19" s="336"/>
      <c r="Y19" s="297" t="str">
        <f t="shared" si="6"/>
        <v/>
      </c>
      <c r="Z19" s="296">
        <f t="shared" si="2"/>
        <v>0</v>
      </c>
      <c r="AA19" s="296">
        <f t="shared" si="3"/>
        <v>0</v>
      </c>
      <c r="AB19" s="299">
        <f t="shared" si="4"/>
        <v>0</v>
      </c>
      <c r="AC19" s="286"/>
    </row>
    <row r="20" spans="1:29" ht="40.049999999999997" customHeight="1" x14ac:dyDescent="0.45">
      <c r="A20" s="324" t="str">
        <f>'Horaire dimanche2'!A19</f>
        <v>PASSAMAINTY</v>
      </c>
      <c r="B20" s="325">
        <f>'Horaire dimanche1'!B19</f>
        <v>0.5625</v>
      </c>
      <c r="C20" s="325" t="str">
        <f>'Horaire dimanche2'!C19</f>
        <v>C10</v>
      </c>
      <c r="D20" s="294" t="str">
        <f>VLOOKUP(C20,'Liste chauffeur'!$B$5:$L$20,2,TRUE)&amp;" "&amp;VLOOKUP(C20,'Liste chauffeur'!$B$5:$L$20,3,TRUE)</f>
        <v>ISSIHAKA M'Changama</v>
      </c>
      <c r="E20" s="481"/>
      <c r="F20" s="335">
        <f t="shared" si="0"/>
        <v>1</v>
      </c>
      <c r="G20" s="350"/>
      <c r="H20" s="336"/>
      <c r="I20" s="336"/>
      <c r="J20" s="336"/>
      <c r="K20" s="334"/>
      <c r="L20" s="334">
        <f t="shared" si="5"/>
        <v>0</v>
      </c>
      <c r="M20" s="336"/>
      <c r="N20" s="336"/>
      <c r="O20" s="334"/>
      <c r="P20" s="334">
        <f t="shared" si="7"/>
        <v>0</v>
      </c>
      <c r="Q20" s="336"/>
      <c r="R20" s="336"/>
      <c r="S20" s="334"/>
      <c r="T20" s="334">
        <f t="shared" si="8"/>
        <v>0</v>
      </c>
      <c r="U20" s="336"/>
      <c r="V20" s="336" t="str">
        <f t="shared" si="9"/>
        <v>OK</v>
      </c>
      <c r="W20" s="334"/>
      <c r="X20" s="336"/>
      <c r="Y20" s="297" t="str">
        <f t="shared" si="6"/>
        <v/>
      </c>
      <c r="Z20" s="296">
        <f t="shared" si="2"/>
        <v>0</v>
      </c>
      <c r="AA20" s="296">
        <f t="shared" si="3"/>
        <v>0</v>
      </c>
      <c r="AB20" s="299">
        <f t="shared" si="4"/>
        <v>0</v>
      </c>
      <c r="AC20" s="286"/>
    </row>
    <row r="21" spans="1:29" ht="40.049999999999997" customHeight="1" x14ac:dyDescent="0.45">
      <c r="A21" s="324" t="str">
        <f>'Horaire dimanche2'!A20</f>
        <v>VAHIBE</v>
      </c>
      <c r="B21" s="325">
        <f>'Horaire dimanche1'!B20</f>
        <v>0.58333333333333304</v>
      </c>
      <c r="C21" s="325" t="str">
        <f>'Horaire dimanche2'!C20</f>
        <v>C15</v>
      </c>
      <c r="D21" s="294" t="str">
        <f>VLOOKUP(C21,'Liste chauffeur'!$B$5:$L$20,2,TRUE)&amp;" "&amp;VLOOKUP(C21,'Liste chauffeur'!$B$5:$L$20,3,TRUE)</f>
        <v>HAMADA Babou</v>
      </c>
      <c r="E21" s="481"/>
      <c r="F21" s="335">
        <f t="shared" si="0"/>
        <v>1</v>
      </c>
      <c r="G21" s="350"/>
      <c r="H21" s="336"/>
      <c r="I21" s="336"/>
      <c r="J21" s="336"/>
      <c r="K21" s="334"/>
      <c r="L21" s="334">
        <f t="shared" si="5"/>
        <v>0</v>
      </c>
      <c r="M21" s="336"/>
      <c r="N21" s="336"/>
      <c r="O21" s="334"/>
      <c r="P21" s="334">
        <f t="shared" si="7"/>
        <v>0</v>
      </c>
      <c r="Q21" s="336"/>
      <c r="R21" s="336"/>
      <c r="S21" s="334"/>
      <c r="T21" s="334">
        <f t="shared" si="8"/>
        <v>0</v>
      </c>
      <c r="U21" s="336"/>
      <c r="V21" s="336" t="str">
        <f t="shared" si="9"/>
        <v>OK</v>
      </c>
      <c r="W21" s="334"/>
      <c r="X21" s="336"/>
      <c r="Y21" s="297" t="str">
        <f t="shared" si="6"/>
        <v/>
      </c>
      <c r="Z21" s="296">
        <f t="shared" si="2"/>
        <v>0</v>
      </c>
      <c r="AA21" s="296">
        <f t="shared" si="3"/>
        <v>0</v>
      </c>
      <c r="AB21" s="299">
        <f t="shared" si="4"/>
        <v>0</v>
      </c>
      <c r="AC21" s="286"/>
    </row>
    <row r="22" spans="1:29" ht="40.049999999999997" customHeight="1" x14ac:dyDescent="0.45">
      <c r="A22" s="324" t="str">
        <f>'Horaire dimanche2'!A21</f>
        <v>PASSAMAINTY</v>
      </c>
      <c r="B22" s="325">
        <f>'Horaire dimanche1'!B21</f>
        <v>0.60416666666666596</v>
      </c>
      <c r="C22" s="325" t="str">
        <f>'Horaire dimanche2'!C21</f>
        <v>C15</v>
      </c>
      <c r="D22" s="294" t="str">
        <f>VLOOKUP(C22,'Liste chauffeur'!$B$5:$L$20,2,TRUE)&amp;" "&amp;VLOOKUP(C22,'Liste chauffeur'!$B$5:$L$20,3,TRUE)</f>
        <v>HAMADA Babou</v>
      </c>
      <c r="E22" s="481"/>
      <c r="F22" s="335">
        <f t="shared" si="0"/>
        <v>1</v>
      </c>
      <c r="G22" s="350"/>
      <c r="H22" s="336"/>
      <c r="I22" s="336"/>
      <c r="J22" s="336"/>
      <c r="K22" s="334"/>
      <c r="L22" s="334">
        <f t="shared" si="5"/>
        <v>0</v>
      </c>
      <c r="M22" s="336"/>
      <c r="N22" s="336"/>
      <c r="O22" s="334"/>
      <c r="P22" s="334">
        <f t="shared" si="7"/>
        <v>0</v>
      </c>
      <c r="Q22" s="336"/>
      <c r="R22" s="336"/>
      <c r="S22" s="334"/>
      <c r="T22" s="334">
        <f t="shared" si="8"/>
        <v>0</v>
      </c>
      <c r="U22" s="336"/>
      <c r="V22" s="336" t="str">
        <f t="shared" si="9"/>
        <v>OK</v>
      </c>
      <c r="W22" s="334"/>
      <c r="X22" s="336"/>
      <c r="Y22" s="297" t="str">
        <f t="shared" si="6"/>
        <v/>
      </c>
      <c r="Z22" s="296">
        <f t="shared" si="2"/>
        <v>0</v>
      </c>
      <c r="AA22" s="296">
        <f t="shared" si="3"/>
        <v>0</v>
      </c>
      <c r="AB22" s="299">
        <f t="shared" si="4"/>
        <v>0</v>
      </c>
      <c r="AC22" s="286"/>
    </row>
    <row r="23" spans="1:29" ht="40.049999999999997" customHeight="1" x14ac:dyDescent="0.45">
      <c r="A23" s="324" t="str">
        <f>'Horaire dimanche2'!A22</f>
        <v>VAHIBE</v>
      </c>
      <c r="B23" s="325">
        <f>'Horaire dimanche1'!B22</f>
        <v>0.625</v>
      </c>
      <c r="C23" s="325" t="str">
        <f>'Horaire dimanche2'!C22</f>
        <v>C15</v>
      </c>
      <c r="D23" s="294" t="str">
        <f>VLOOKUP(C23,'Liste chauffeur'!$B$5:$L$20,2,TRUE)&amp;" "&amp;VLOOKUP(C23,'Liste chauffeur'!$B$5:$L$20,3,TRUE)</f>
        <v>HAMADA Babou</v>
      </c>
      <c r="E23" s="481"/>
      <c r="F23" s="335">
        <f t="shared" si="0"/>
        <v>1</v>
      </c>
      <c r="G23" s="350"/>
      <c r="H23" s="336"/>
      <c r="I23" s="336"/>
      <c r="J23" s="336"/>
      <c r="K23" s="334"/>
      <c r="L23" s="334">
        <f t="shared" si="5"/>
        <v>0</v>
      </c>
      <c r="M23" s="336"/>
      <c r="N23" s="336"/>
      <c r="O23" s="334"/>
      <c r="P23" s="334">
        <f t="shared" si="7"/>
        <v>0</v>
      </c>
      <c r="Q23" s="336"/>
      <c r="R23" s="336"/>
      <c r="S23" s="334"/>
      <c r="T23" s="334">
        <f t="shared" si="8"/>
        <v>0</v>
      </c>
      <c r="U23" s="336"/>
      <c r="V23" s="336" t="str">
        <f t="shared" si="9"/>
        <v>OK</v>
      </c>
      <c r="W23" s="334"/>
      <c r="X23" s="336"/>
      <c r="Y23" s="297" t="str">
        <f t="shared" si="6"/>
        <v/>
      </c>
      <c r="Z23" s="296">
        <f t="shared" si="2"/>
        <v>0</v>
      </c>
      <c r="AA23" s="296">
        <f t="shared" si="3"/>
        <v>0</v>
      </c>
      <c r="AB23" s="299">
        <f t="shared" si="4"/>
        <v>0</v>
      </c>
      <c r="AC23" s="286"/>
    </row>
    <row r="24" spans="1:29" ht="40.049999999999997" customHeight="1" x14ac:dyDescent="0.45">
      <c r="A24" s="324" t="str">
        <f>'Horaire dimanche2'!A23</f>
        <v>PASSAMAINTY</v>
      </c>
      <c r="B24" s="325">
        <f>'Horaire dimanche1'!B23</f>
        <v>0.64583333333333304</v>
      </c>
      <c r="C24" s="325" t="str">
        <f>'Horaire dimanche2'!C23</f>
        <v>C15</v>
      </c>
      <c r="D24" s="294" t="str">
        <f>VLOOKUP(C24,'Liste chauffeur'!$B$5:$L$20,2,TRUE)&amp;" "&amp;VLOOKUP(C24,'Liste chauffeur'!$B$5:$L$20,3,TRUE)</f>
        <v>HAMADA Babou</v>
      </c>
      <c r="E24" s="481"/>
      <c r="F24" s="335">
        <f t="shared" si="0"/>
        <v>1</v>
      </c>
      <c r="G24" s="350"/>
      <c r="H24" s="336"/>
      <c r="I24" s="336"/>
      <c r="J24" s="336"/>
      <c r="K24" s="334"/>
      <c r="L24" s="334">
        <f t="shared" si="5"/>
        <v>0</v>
      </c>
      <c r="M24" s="336"/>
      <c r="N24" s="336"/>
      <c r="O24" s="334"/>
      <c r="P24" s="334">
        <f t="shared" si="7"/>
        <v>0</v>
      </c>
      <c r="Q24" s="336"/>
      <c r="R24" s="336"/>
      <c r="S24" s="334"/>
      <c r="T24" s="334">
        <f t="shared" si="8"/>
        <v>0</v>
      </c>
      <c r="U24" s="336"/>
      <c r="V24" s="336" t="str">
        <f t="shared" si="9"/>
        <v>OK</v>
      </c>
      <c r="W24" s="334"/>
      <c r="X24" s="336"/>
      <c r="Y24" s="297" t="str">
        <f t="shared" si="6"/>
        <v/>
      </c>
      <c r="Z24" s="296">
        <f t="shared" si="2"/>
        <v>0</v>
      </c>
      <c r="AA24" s="296">
        <f t="shared" si="3"/>
        <v>0</v>
      </c>
      <c r="AB24" s="299">
        <f t="shared" si="4"/>
        <v>0</v>
      </c>
      <c r="AC24" s="286"/>
    </row>
    <row r="25" spans="1:29" ht="40.049999999999997" customHeight="1" x14ac:dyDescent="0.45">
      <c r="A25" s="324" t="str">
        <f>'Horaire dimanche2'!A24</f>
        <v>VAHIBE</v>
      </c>
      <c r="B25" s="325">
        <f>'Horaire dimanche1'!B24</f>
        <v>0.66666666666666596</v>
      </c>
      <c r="C25" s="325" t="str">
        <f>'Horaire dimanche2'!C24</f>
        <v>C15</v>
      </c>
      <c r="D25" s="294" t="str">
        <f>VLOOKUP(C25,'Liste chauffeur'!$B$5:$L$20,2,TRUE)&amp;" "&amp;VLOOKUP(C25,'Liste chauffeur'!$B$5:$L$20,3,TRUE)</f>
        <v>HAMADA Babou</v>
      </c>
      <c r="E25" s="481"/>
      <c r="F25" s="335">
        <f t="shared" si="0"/>
        <v>1</v>
      </c>
      <c r="G25" s="350"/>
      <c r="H25" s="336"/>
      <c r="I25" s="336"/>
      <c r="J25" s="336"/>
      <c r="K25" s="334"/>
      <c r="L25" s="334">
        <f t="shared" si="5"/>
        <v>0</v>
      </c>
      <c r="M25" s="336"/>
      <c r="N25" s="336"/>
      <c r="O25" s="334"/>
      <c r="P25" s="334">
        <f t="shared" si="7"/>
        <v>0</v>
      </c>
      <c r="Q25" s="336"/>
      <c r="R25" s="336"/>
      <c r="S25" s="334"/>
      <c r="T25" s="334">
        <f t="shared" si="8"/>
        <v>0</v>
      </c>
      <c r="U25" s="336"/>
      <c r="V25" s="336" t="str">
        <f t="shared" si="9"/>
        <v>OK</v>
      </c>
      <c r="W25" s="334"/>
      <c r="X25" s="336"/>
      <c r="Y25" s="297" t="str">
        <f t="shared" si="6"/>
        <v/>
      </c>
      <c r="Z25" s="296">
        <f t="shared" si="2"/>
        <v>0</v>
      </c>
      <c r="AA25" s="296">
        <f t="shared" si="3"/>
        <v>0</v>
      </c>
      <c r="AB25" s="299">
        <f t="shared" si="4"/>
        <v>0</v>
      </c>
      <c r="AC25" s="286"/>
    </row>
    <row r="26" spans="1:29" ht="40.049999999999997" customHeight="1" x14ac:dyDescent="0.45">
      <c r="A26" s="324" t="str">
        <f>'Horaire dimanche2'!A25</f>
        <v>PASSAMAINTY</v>
      </c>
      <c r="B26" s="325">
        <f>'Horaire dimanche1'!B25</f>
        <v>0.6875</v>
      </c>
      <c r="C26" s="325" t="str">
        <f>'Horaire dimanche2'!C25</f>
        <v>C15</v>
      </c>
      <c r="D26" s="294" t="str">
        <f>VLOOKUP(C26,'Liste chauffeur'!$B$5:$L$20,2,TRUE)&amp;" "&amp;VLOOKUP(C26,'Liste chauffeur'!$B$5:$L$20,3,TRUE)</f>
        <v>HAMADA Babou</v>
      </c>
      <c r="E26" s="481"/>
      <c r="F26" s="335">
        <f t="shared" si="0"/>
        <v>1</v>
      </c>
      <c r="G26" s="350"/>
      <c r="H26" s="336"/>
      <c r="I26" s="336"/>
      <c r="J26" s="336"/>
      <c r="K26" s="334"/>
      <c r="L26" s="334"/>
      <c r="M26" s="336"/>
      <c r="N26" s="336"/>
      <c r="O26" s="334"/>
      <c r="P26" s="334"/>
      <c r="Q26" s="336"/>
      <c r="R26" s="336"/>
      <c r="S26" s="334"/>
      <c r="T26" s="334"/>
      <c r="U26" s="336"/>
      <c r="V26" s="336"/>
      <c r="W26" s="334"/>
      <c r="X26" s="336"/>
      <c r="Y26" s="297" t="str">
        <f t="shared" si="6"/>
        <v/>
      </c>
      <c r="Z26" s="296">
        <f t="shared" si="2"/>
        <v>0</v>
      </c>
      <c r="AA26" s="296">
        <f t="shared" si="3"/>
        <v>0</v>
      </c>
      <c r="AB26" s="299">
        <f t="shared" si="4"/>
        <v>0</v>
      </c>
      <c r="AC26" s="286"/>
    </row>
    <row r="27" spans="1:29" ht="40.049999999999997" customHeight="1" x14ac:dyDescent="0.45">
      <c r="A27" s="324" t="str">
        <f>'Horaire dimanche2'!A26</f>
        <v>VAHIBE</v>
      </c>
      <c r="B27" s="325">
        <f>'Horaire dimanche1'!B26</f>
        <v>0.70833333333333304</v>
      </c>
      <c r="C27" s="325" t="str">
        <f>'Horaire dimanche2'!C26</f>
        <v>C15</v>
      </c>
      <c r="D27" s="294" t="str">
        <f>VLOOKUP(C27,'Liste chauffeur'!$B$5:$L$20,2,TRUE)&amp;" "&amp;VLOOKUP(C27,'Liste chauffeur'!$B$5:$L$20,3,TRUE)</f>
        <v>HAMADA Babou</v>
      </c>
      <c r="E27" s="481"/>
      <c r="F27" s="335">
        <f t="shared" si="0"/>
        <v>1</v>
      </c>
      <c r="G27" s="350"/>
      <c r="H27" s="336"/>
      <c r="I27" s="336"/>
      <c r="J27" s="336"/>
      <c r="K27" s="334"/>
      <c r="L27" s="334">
        <f t="shared" si="5"/>
        <v>0</v>
      </c>
      <c r="M27" s="336"/>
      <c r="N27" s="336"/>
      <c r="O27" s="334"/>
      <c r="P27" s="334">
        <f t="shared" si="7"/>
        <v>0</v>
      </c>
      <c r="Q27" s="336"/>
      <c r="R27" s="336"/>
      <c r="S27" s="334"/>
      <c r="T27" s="334">
        <f t="shared" si="8"/>
        <v>0</v>
      </c>
      <c r="U27" s="336"/>
      <c r="V27" s="336" t="str">
        <f t="shared" si="9"/>
        <v>OK</v>
      </c>
      <c r="W27" s="334"/>
      <c r="X27" s="336"/>
      <c r="Y27" s="297" t="str">
        <f t="shared" si="6"/>
        <v/>
      </c>
      <c r="Z27" s="296">
        <f t="shared" si="2"/>
        <v>0</v>
      </c>
      <c r="AA27" s="296">
        <f t="shared" si="3"/>
        <v>0</v>
      </c>
      <c r="AB27" s="299">
        <f t="shared" si="4"/>
        <v>0</v>
      </c>
      <c r="AC27" s="286"/>
    </row>
    <row r="28" spans="1:29" ht="40.049999999999997" customHeight="1" x14ac:dyDescent="0.45">
      <c r="A28" s="324" t="str">
        <f>'Horaire dimanche2'!A27</f>
        <v>PASSAMAINTY</v>
      </c>
      <c r="B28" s="325">
        <f>'Horaire dimanche1'!B27</f>
        <v>0.72222222222222221</v>
      </c>
      <c r="C28" s="325" t="str">
        <f>'Horaire dimanche2'!C27</f>
        <v>C15</v>
      </c>
      <c r="D28" s="294" t="str">
        <f>VLOOKUP(C28,'Liste chauffeur'!$B$5:$L$20,2,TRUE)&amp;" "&amp;VLOOKUP(C28,'Liste chauffeur'!$B$5:$L$20,3,TRUE)</f>
        <v>HAMADA Babou</v>
      </c>
      <c r="E28" s="481"/>
      <c r="F28" s="335">
        <f t="shared" si="0"/>
        <v>1</v>
      </c>
      <c r="G28" s="350"/>
      <c r="H28" s="336"/>
      <c r="I28" s="336"/>
      <c r="J28" s="336"/>
      <c r="K28" s="334"/>
      <c r="L28" s="334">
        <f t="shared" si="5"/>
        <v>0</v>
      </c>
      <c r="M28" s="336"/>
      <c r="N28" s="336"/>
      <c r="O28" s="334"/>
      <c r="P28" s="334">
        <f t="shared" si="7"/>
        <v>0</v>
      </c>
      <c r="Q28" s="336"/>
      <c r="R28" s="336"/>
      <c r="S28" s="334"/>
      <c r="T28" s="334">
        <f t="shared" si="8"/>
        <v>0</v>
      </c>
      <c r="U28" s="336"/>
      <c r="V28" s="336" t="str">
        <f t="shared" si="9"/>
        <v>OK</v>
      </c>
      <c r="W28" s="334"/>
      <c r="X28" s="336"/>
      <c r="Y28" s="297" t="str">
        <f t="shared" si="6"/>
        <v/>
      </c>
      <c r="Z28" s="296">
        <f t="shared" si="2"/>
        <v>0</v>
      </c>
      <c r="AA28" s="296">
        <f t="shared" si="3"/>
        <v>0</v>
      </c>
      <c r="AB28" s="299">
        <f t="shared" si="4"/>
        <v>0</v>
      </c>
      <c r="AC28" s="286"/>
    </row>
    <row r="29" spans="1:29" ht="40.049999999999997" customHeight="1" x14ac:dyDescent="0.45">
      <c r="A29" s="324" t="str">
        <f>'Horaire dimanche2'!A28</f>
        <v>VAHIBE</v>
      </c>
      <c r="B29" s="325">
        <f>'Horaire dimanche1'!B28</f>
        <v>0.74305555555555558</v>
      </c>
      <c r="C29" s="325" t="str">
        <f>'Horaire dimanche2'!C28</f>
        <v>C15</v>
      </c>
      <c r="D29" s="294" t="str">
        <f>VLOOKUP(C29,'Liste chauffeur'!$B$5:$L$20,2,TRUE)&amp;" "&amp;VLOOKUP(C29,'Liste chauffeur'!$B$5:$L$20,3,TRUE)</f>
        <v>HAMADA Babou</v>
      </c>
      <c r="E29" s="481"/>
      <c r="F29" s="335">
        <f t="shared" si="0"/>
        <v>1</v>
      </c>
      <c r="G29" s="350"/>
      <c r="H29" s="336"/>
      <c r="I29" s="336"/>
      <c r="J29" s="336"/>
      <c r="K29" s="334"/>
      <c r="L29" s="334">
        <f t="shared" si="5"/>
        <v>0</v>
      </c>
      <c r="M29" s="336"/>
      <c r="N29" s="336"/>
      <c r="O29" s="334"/>
      <c r="P29" s="334">
        <f t="shared" si="7"/>
        <v>0</v>
      </c>
      <c r="Q29" s="336"/>
      <c r="R29" s="336"/>
      <c r="S29" s="334"/>
      <c r="T29" s="334">
        <f t="shared" si="8"/>
        <v>0</v>
      </c>
      <c r="U29" s="336"/>
      <c r="V29" s="336" t="str">
        <f t="shared" si="9"/>
        <v>OK</v>
      </c>
      <c r="W29" s="334"/>
      <c r="X29" s="336"/>
      <c r="Y29" s="297" t="str">
        <f t="shared" si="6"/>
        <v/>
      </c>
      <c r="Z29" s="296">
        <f t="shared" si="2"/>
        <v>0</v>
      </c>
      <c r="AA29" s="296">
        <f t="shared" si="3"/>
        <v>0</v>
      </c>
      <c r="AB29" s="299">
        <f t="shared" si="4"/>
        <v>0</v>
      </c>
      <c r="AC29" s="286"/>
    </row>
    <row r="30" spans="1:29" ht="40.049999999999997" customHeight="1" x14ac:dyDescent="0.45">
      <c r="A30" s="324" t="str">
        <f>'Horaire dimanche2'!A29</f>
        <v>PASSAMAINTY</v>
      </c>
      <c r="B30" s="325">
        <f>'Horaire dimanche1'!B29</f>
        <v>0.75694444444444442</v>
      </c>
      <c r="C30" s="325" t="str">
        <f>'Horaire dimanche2'!C29</f>
        <v>C15</v>
      </c>
      <c r="D30" s="294" t="str">
        <f>VLOOKUP(C30,'Liste chauffeur'!$B$5:$L$20,2,TRUE)&amp;" "&amp;VLOOKUP(C30,'Liste chauffeur'!$B$5:$L$20,3,TRUE)</f>
        <v>HAMADA Babou</v>
      </c>
      <c r="E30" s="481"/>
      <c r="F30" s="335">
        <f t="shared" si="0"/>
        <v>1</v>
      </c>
      <c r="G30" s="350"/>
      <c r="H30" s="336"/>
      <c r="I30" s="336"/>
      <c r="J30" s="336"/>
      <c r="K30" s="334"/>
      <c r="L30" s="334">
        <f t="shared" si="5"/>
        <v>0</v>
      </c>
      <c r="M30" s="336"/>
      <c r="N30" s="336"/>
      <c r="O30" s="334"/>
      <c r="P30" s="334">
        <f t="shared" si="7"/>
        <v>0</v>
      </c>
      <c r="Q30" s="336"/>
      <c r="R30" s="336"/>
      <c r="S30" s="334"/>
      <c r="T30" s="334">
        <f t="shared" si="8"/>
        <v>0</v>
      </c>
      <c r="U30" s="336"/>
      <c r="V30" s="336" t="str">
        <f t="shared" si="9"/>
        <v>OK</v>
      </c>
      <c r="W30" s="334"/>
      <c r="X30" s="336"/>
      <c r="Y30" s="297" t="str">
        <f t="shared" si="6"/>
        <v/>
      </c>
      <c r="Z30" s="296">
        <f t="shared" si="2"/>
        <v>0</v>
      </c>
      <c r="AA30" s="296">
        <f t="shared" si="3"/>
        <v>0</v>
      </c>
      <c r="AB30" s="299">
        <f t="shared" si="4"/>
        <v>0</v>
      </c>
      <c r="AC30" s="286"/>
    </row>
    <row r="31" spans="1:29" ht="40.049999999999997" customHeight="1" x14ac:dyDescent="0.45">
      <c r="A31" s="345"/>
      <c r="B31" s="346" t="s">
        <v>472</v>
      </c>
      <c r="C31" s="346"/>
      <c r="D31" s="304"/>
      <c r="E31" s="337"/>
      <c r="F31" s="347">
        <f>SUM(F18:F30)</f>
        <v>13</v>
      </c>
      <c r="G31" s="347">
        <f>SUM(G18:G30)</f>
        <v>0</v>
      </c>
      <c r="H31" s="339"/>
      <c r="I31" s="339"/>
      <c r="J31" s="339"/>
      <c r="K31" s="337"/>
      <c r="L31" s="337"/>
      <c r="M31" s="339"/>
      <c r="N31" s="339"/>
      <c r="O31" s="337"/>
      <c r="P31" s="337"/>
      <c r="Q31" s="339"/>
      <c r="R31" s="339"/>
      <c r="S31" s="337"/>
      <c r="T31" s="337"/>
      <c r="U31" s="339"/>
      <c r="V31" s="339"/>
      <c r="W31" s="337"/>
      <c r="X31" s="338"/>
      <c r="Y31" s="301" t="e">
        <f>AVERAGE(Y18:Y30)</f>
        <v>#DIV/0!</v>
      </c>
      <c r="Z31" s="283">
        <f>SUM(Z18:Z30)</f>
        <v>0</v>
      </c>
      <c r="AA31" s="283">
        <f>SUM(AA18:AA30)</f>
        <v>0</v>
      </c>
      <c r="AB31" s="284">
        <f t="shared" si="4"/>
        <v>0</v>
      </c>
      <c r="AC31" s="300"/>
    </row>
    <row r="32" spans="1:29" ht="40.049999999999997" customHeight="1" x14ac:dyDescent="0.45">
      <c r="A32" s="345"/>
      <c r="B32" s="346" t="s">
        <v>473</v>
      </c>
      <c r="C32" s="346"/>
      <c r="D32" s="304"/>
      <c r="E32" s="337"/>
      <c r="F32" s="347">
        <f>F17+F31</f>
        <v>22</v>
      </c>
      <c r="G32" s="347">
        <f>G17+G31</f>
        <v>0</v>
      </c>
      <c r="H32" s="339"/>
      <c r="I32" s="339"/>
      <c r="J32" s="339"/>
      <c r="K32" s="337"/>
      <c r="L32" s="337"/>
      <c r="M32" s="339"/>
      <c r="N32" s="339"/>
      <c r="O32" s="337"/>
      <c r="P32" s="337"/>
      <c r="Q32" s="339"/>
      <c r="R32" s="339"/>
      <c r="S32" s="337"/>
      <c r="T32" s="337"/>
      <c r="U32" s="339"/>
      <c r="V32" s="339"/>
      <c r="W32" s="337"/>
      <c r="X32" s="338"/>
      <c r="Y32" s="301" t="e">
        <f>AVERAGE(Y8:Y16,Y18:Y30)</f>
        <v>#DIV/0!</v>
      </c>
      <c r="Z32" s="283">
        <f>Z17+Z31</f>
        <v>0</v>
      </c>
      <c r="AA32" s="283">
        <f>AA17+AA31</f>
        <v>0</v>
      </c>
      <c r="AB32" s="284">
        <f t="shared" si="4"/>
        <v>0</v>
      </c>
      <c r="AC32" s="300"/>
    </row>
    <row r="33" spans="1:29" ht="30" customHeight="1" x14ac:dyDescent="0.45">
      <c r="A33" s="303" t="s">
        <v>358</v>
      </c>
      <c r="B33" s="293"/>
      <c r="C33" s="293" t="s">
        <v>359</v>
      </c>
      <c r="D33" s="294"/>
      <c r="E33" s="295"/>
      <c r="F33" s="296"/>
      <c r="G33" s="296"/>
      <c r="H33" s="296"/>
      <c r="I33" s="296"/>
      <c r="J33" s="302"/>
      <c r="K33" s="296"/>
      <c r="L33" s="296"/>
      <c r="M33" s="295"/>
      <c r="N33" s="286"/>
      <c r="O33" s="297" t="e">
        <f t="shared" ref="O33:O37" si="10">M33-#REF!</f>
        <v>#REF!</v>
      </c>
      <c r="P33" s="296" t="e">
        <f t="shared" ref="P33:P37" si="11">#REF!+#REF!-#REF!</f>
        <v>#REF!</v>
      </c>
      <c r="Q33" s="296"/>
      <c r="R33" s="299"/>
      <c r="S33" s="286"/>
      <c r="T33" s="286"/>
      <c r="U33" s="286"/>
      <c r="V33" s="286"/>
      <c r="W33" s="295"/>
      <c r="X33" s="286"/>
      <c r="Y33" s="297"/>
      <c r="Z33" s="296"/>
      <c r="AA33" s="296"/>
      <c r="AB33" s="299"/>
      <c r="AC33" s="286"/>
    </row>
    <row r="34" spans="1:29" ht="30" customHeight="1" x14ac:dyDescent="0.45">
      <c r="A34" s="303" t="s">
        <v>358</v>
      </c>
      <c r="B34" s="293"/>
      <c r="C34" s="293" t="s">
        <v>359</v>
      </c>
      <c r="D34" s="294"/>
      <c r="E34" s="295"/>
      <c r="F34" s="296"/>
      <c r="G34" s="296"/>
      <c r="H34" s="296"/>
      <c r="I34" s="296"/>
      <c r="J34" s="302"/>
      <c r="K34" s="296"/>
      <c r="L34" s="296"/>
      <c r="M34" s="295"/>
      <c r="N34" s="286"/>
      <c r="O34" s="297"/>
      <c r="P34" s="296"/>
      <c r="Q34" s="296"/>
      <c r="R34" s="299"/>
      <c r="S34" s="286"/>
      <c r="T34" s="286"/>
      <c r="U34" s="286"/>
      <c r="V34" s="286"/>
      <c r="W34" s="295"/>
      <c r="X34" s="286"/>
      <c r="Y34" s="297"/>
      <c r="Z34" s="296"/>
      <c r="AA34" s="296"/>
      <c r="AB34" s="299"/>
      <c r="AC34" s="286"/>
    </row>
    <row r="35" spans="1:29" ht="30" customHeight="1" x14ac:dyDescent="0.45">
      <c r="A35" s="303" t="s">
        <v>358</v>
      </c>
      <c r="B35" s="293"/>
      <c r="C35" s="293" t="s">
        <v>359</v>
      </c>
      <c r="D35" s="294"/>
      <c r="E35" s="295"/>
      <c r="F35" s="296"/>
      <c r="G35" s="296"/>
      <c r="H35" s="296"/>
      <c r="I35" s="296"/>
      <c r="J35" s="302"/>
      <c r="K35" s="296"/>
      <c r="L35" s="296"/>
      <c r="M35" s="295"/>
      <c r="N35" s="286"/>
      <c r="O35" s="297"/>
      <c r="P35" s="296"/>
      <c r="Q35" s="296"/>
      <c r="R35" s="299"/>
      <c r="S35" s="286"/>
      <c r="T35" s="286"/>
      <c r="U35" s="286"/>
      <c r="V35" s="286"/>
      <c r="W35" s="295"/>
      <c r="X35" s="286"/>
      <c r="Y35" s="297"/>
      <c r="Z35" s="296"/>
      <c r="AA35" s="296"/>
      <c r="AB35" s="299"/>
      <c r="AC35" s="286"/>
    </row>
    <row r="36" spans="1:29" ht="30" customHeight="1" x14ac:dyDescent="0.45">
      <c r="A36" s="303" t="s">
        <v>358</v>
      </c>
      <c r="B36" s="293"/>
      <c r="C36" s="293" t="s">
        <v>359</v>
      </c>
      <c r="D36" s="294"/>
      <c r="E36" s="295"/>
      <c r="F36" s="296"/>
      <c r="G36" s="296"/>
      <c r="H36" s="296"/>
      <c r="I36" s="296"/>
      <c r="J36" s="302"/>
      <c r="K36" s="296"/>
      <c r="L36" s="296"/>
      <c r="M36" s="295"/>
      <c r="N36" s="286"/>
      <c r="O36" s="297"/>
      <c r="P36" s="296"/>
      <c r="Q36" s="296"/>
      <c r="R36" s="299"/>
      <c r="S36" s="286"/>
      <c r="T36" s="286"/>
      <c r="U36" s="286"/>
      <c r="V36" s="286"/>
      <c r="W36" s="295"/>
      <c r="X36" s="286"/>
      <c r="Y36" s="297"/>
      <c r="Z36" s="296"/>
      <c r="AA36" s="296"/>
      <c r="AB36" s="299"/>
      <c r="AC36" s="286"/>
    </row>
    <row r="37" spans="1:29" ht="30" customHeight="1" x14ac:dyDescent="0.45">
      <c r="A37" s="303" t="s">
        <v>358</v>
      </c>
      <c r="B37" s="293"/>
      <c r="C37" s="293" t="s">
        <v>359</v>
      </c>
      <c r="D37" s="294"/>
      <c r="E37" s="295"/>
      <c r="F37" s="296"/>
      <c r="G37" s="296"/>
      <c r="H37" s="296"/>
      <c r="I37" s="296"/>
      <c r="J37" s="302"/>
      <c r="K37" s="296"/>
      <c r="L37" s="296"/>
      <c r="M37" s="295"/>
      <c r="N37" s="286"/>
      <c r="O37" s="297" t="e">
        <f t="shared" si="10"/>
        <v>#REF!</v>
      </c>
      <c r="P37" s="296" t="e">
        <f t="shared" si="11"/>
        <v>#REF!</v>
      </c>
      <c r="Q37" s="296"/>
      <c r="R37" s="299"/>
      <c r="S37" s="286"/>
      <c r="T37" s="286"/>
      <c r="U37" s="286"/>
      <c r="V37" s="286"/>
      <c r="W37" s="295"/>
      <c r="X37" s="286"/>
      <c r="Y37" s="297"/>
      <c r="Z37" s="296"/>
      <c r="AA37" s="296"/>
      <c r="AB37" s="299"/>
      <c r="AC37" s="286"/>
    </row>
    <row r="39" spans="1:29" x14ac:dyDescent="0.45">
      <c r="E39" s="137" t="s">
        <v>15</v>
      </c>
      <c r="I39" s="137" t="s">
        <v>16</v>
      </c>
    </row>
    <row r="41" spans="1:29" x14ac:dyDescent="0.45">
      <c r="C41" s="276"/>
    </row>
    <row r="42" spans="1:29" ht="57" x14ac:dyDescent="0.45">
      <c r="B42" s="137" t="s">
        <v>401</v>
      </c>
      <c r="C42" s="137" t="s">
        <v>402</v>
      </c>
      <c r="D42" s="137" t="s">
        <v>403</v>
      </c>
      <c r="E42" s="215" t="s">
        <v>404</v>
      </c>
      <c r="F42" s="215" t="s">
        <v>474</v>
      </c>
    </row>
    <row r="43" spans="1:29" x14ac:dyDescent="0.45">
      <c r="B43" s="137" t="s">
        <v>24</v>
      </c>
      <c r="C43" s="327">
        <f t="shared" ref="C43:C69" si="12">COUNTIF($B$8:$C$30,B43)</f>
        <v>0</v>
      </c>
      <c r="D43" s="430">
        <f t="shared" ref="D43:D69" si="13">C43-(COUNTIFS(C$8:C$30,B43,M$8:M$30,""))</f>
        <v>0</v>
      </c>
      <c r="E43" s="189">
        <f t="shared" ref="E43:E69" si="14">COUNTIFS(M$8:M$30,$B43)</f>
        <v>0</v>
      </c>
      <c r="F43" s="189">
        <f t="shared" ref="F43:F69" si="15">COUNTIFS(G$8:G$30,$B43)</f>
        <v>0</v>
      </c>
    </row>
    <row r="44" spans="1:29" x14ac:dyDescent="0.45">
      <c r="B44" s="137" t="s">
        <v>36</v>
      </c>
      <c r="C44" s="327">
        <f t="shared" si="12"/>
        <v>0</v>
      </c>
      <c r="D44" s="430">
        <f t="shared" si="13"/>
        <v>0</v>
      </c>
      <c r="E44" s="189">
        <f t="shared" si="14"/>
        <v>0</v>
      </c>
      <c r="F44" s="189">
        <f t="shared" si="15"/>
        <v>0</v>
      </c>
    </row>
    <row r="45" spans="1:29" x14ac:dyDescent="0.45">
      <c r="B45" s="137" t="s">
        <v>27</v>
      </c>
      <c r="C45" s="327">
        <f t="shared" si="12"/>
        <v>0</v>
      </c>
      <c r="D45" s="430">
        <f t="shared" si="13"/>
        <v>0</v>
      </c>
      <c r="E45" s="189">
        <f t="shared" si="14"/>
        <v>0</v>
      </c>
      <c r="F45" s="189">
        <f t="shared" si="15"/>
        <v>0</v>
      </c>
    </row>
    <row r="46" spans="1:29" x14ac:dyDescent="0.45">
      <c r="B46" s="137" t="s">
        <v>48</v>
      </c>
      <c r="C46" s="327">
        <f t="shared" si="12"/>
        <v>0</v>
      </c>
      <c r="D46" s="430">
        <f t="shared" si="13"/>
        <v>0</v>
      </c>
      <c r="E46" s="189">
        <f t="shared" si="14"/>
        <v>0</v>
      </c>
      <c r="F46" s="189">
        <f t="shared" si="15"/>
        <v>0</v>
      </c>
    </row>
    <row r="47" spans="1:29" x14ac:dyDescent="0.45">
      <c r="B47" s="137" t="s">
        <v>49</v>
      </c>
      <c r="C47" s="327">
        <f t="shared" si="12"/>
        <v>0</v>
      </c>
      <c r="D47" s="430">
        <f t="shared" si="13"/>
        <v>0</v>
      </c>
      <c r="E47" s="189">
        <f t="shared" si="14"/>
        <v>0</v>
      </c>
      <c r="F47" s="189">
        <f t="shared" si="15"/>
        <v>0</v>
      </c>
    </row>
    <row r="48" spans="1:29" x14ac:dyDescent="0.45">
      <c r="B48" s="137" t="s">
        <v>50</v>
      </c>
      <c r="C48" s="327">
        <f t="shared" si="12"/>
        <v>0</v>
      </c>
      <c r="D48" s="430">
        <f t="shared" si="13"/>
        <v>0</v>
      </c>
      <c r="E48" s="189">
        <f t="shared" si="14"/>
        <v>0</v>
      </c>
      <c r="F48" s="189">
        <f t="shared" si="15"/>
        <v>0</v>
      </c>
    </row>
    <row r="49" spans="2:6" x14ac:dyDescent="0.45">
      <c r="B49" s="137" t="s">
        <v>51</v>
      </c>
      <c r="C49" s="327">
        <f t="shared" si="12"/>
        <v>0</v>
      </c>
      <c r="D49" s="430">
        <f t="shared" si="13"/>
        <v>0</v>
      </c>
      <c r="E49" s="189">
        <f t="shared" si="14"/>
        <v>0</v>
      </c>
      <c r="F49" s="189">
        <f t="shared" si="15"/>
        <v>0</v>
      </c>
    </row>
    <row r="50" spans="2:6" x14ac:dyDescent="0.45">
      <c r="B50" s="137" t="s">
        <v>37</v>
      </c>
      <c r="C50" s="327">
        <f t="shared" si="12"/>
        <v>0</v>
      </c>
      <c r="D50" s="430">
        <f t="shared" si="13"/>
        <v>0</v>
      </c>
      <c r="E50" s="189">
        <f t="shared" si="14"/>
        <v>0</v>
      </c>
      <c r="F50" s="189">
        <f t="shared" si="15"/>
        <v>0</v>
      </c>
    </row>
    <row r="51" spans="2:6" x14ac:dyDescent="0.45">
      <c r="B51" s="137" t="s">
        <v>41</v>
      </c>
      <c r="C51" s="327">
        <f t="shared" si="12"/>
        <v>0</v>
      </c>
      <c r="D51" s="430">
        <f t="shared" si="13"/>
        <v>0</v>
      </c>
      <c r="E51" s="189">
        <f t="shared" si="14"/>
        <v>0</v>
      </c>
      <c r="F51" s="189">
        <f t="shared" si="15"/>
        <v>0</v>
      </c>
    </row>
    <row r="52" spans="2:6" x14ac:dyDescent="0.45">
      <c r="B52" s="137" t="s">
        <v>42</v>
      </c>
      <c r="C52" s="327">
        <f t="shared" si="12"/>
        <v>12</v>
      </c>
      <c r="D52" s="430">
        <f t="shared" si="13"/>
        <v>0</v>
      </c>
      <c r="E52" s="189">
        <f t="shared" si="14"/>
        <v>0</v>
      </c>
      <c r="F52" s="189">
        <f t="shared" si="15"/>
        <v>0</v>
      </c>
    </row>
    <row r="53" spans="2:6" x14ac:dyDescent="0.45">
      <c r="B53" s="137" t="s">
        <v>43</v>
      </c>
      <c r="C53" s="327">
        <f t="shared" si="12"/>
        <v>0</v>
      </c>
      <c r="D53" s="430">
        <f t="shared" si="13"/>
        <v>0</v>
      </c>
      <c r="E53" s="189">
        <f t="shared" si="14"/>
        <v>0</v>
      </c>
      <c r="F53" s="189">
        <f t="shared" si="15"/>
        <v>0</v>
      </c>
    </row>
    <row r="54" spans="2:6" x14ac:dyDescent="0.45">
      <c r="B54" s="137" t="s">
        <v>44</v>
      </c>
      <c r="C54" s="327">
        <f t="shared" si="12"/>
        <v>0</v>
      </c>
      <c r="D54" s="430">
        <f t="shared" si="13"/>
        <v>0</v>
      </c>
      <c r="E54" s="189">
        <f t="shared" si="14"/>
        <v>0</v>
      </c>
      <c r="F54" s="189">
        <f t="shared" si="15"/>
        <v>0</v>
      </c>
    </row>
    <row r="55" spans="2:6" x14ac:dyDescent="0.45">
      <c r="B55" s="137" t="s">
        <v>45</v>
      </c>
      <c r="C55" s="327">
        <f t="shared" si="12"/>
        <v>0</v>
      </c>
      <c r="D55" s="430">
        <f t="shared" si="13"/>
        <v>0</v>
      </c>
      <c r="E55" s="189">
        <f t="shared" si="14"/>
        <v>0</v>
      </c>
      <c r="F55" s="189">
        <f t="shared" si="15"/>
        <v>0</v>
      </c>
    </row>
    <row r="56" spans="2:6" x14ac:dyDescent="0.45">
      <c r="B56" s="137" t="s">
        <v>46</v>
      </c>
      <c r="C56" s="327">
        <f t="shared" si="12"/>
        <v>0</v>
      </c>
      <c r="D56" s="430">
        <f t="shared" si="13"/>
        <v>0</v>
      </c>
      <c r="E56" s="189">
        <f t="shared" si="14"/>
        <v>0</v>
      </c>
      <c r="F56" s="189">
        <f t="shared" si="15"/>
        <v>0</v>
      </c>
    </row>
    <row r="57" spans="2:6" x14ac:dyDescent="0.45">
      <c r="B57" s="137" t="s">
        <v>31</v>
      </c>
      <c r="C57" s="327">
        <f t="shared" si="12"/>
        <v>10</v>
      </c>
      <c r="D57" s="430">
        <f t="shared" si="13"/>
        <v>0</v>
      </c>
      <c r="E57" s="189">
        <f t="shared" si="14"/>
        <v>0</v>
      </c>
      <c r="F57" s="189">
        <f t="shared" si="15"/>
        <v>0</v>
      </c>
    </row>
    <row r="58" spans="2:6" x14ac:dyDescent="0.45">
      <c r="B58" s="137" t="s">
        <v>47</v>
      </c>
      <c r="C58" s="327">
        <f t="shared" si="12"/>
        <v>0</v>
      </c>
      <c r="D58" s="430">
        <f t="shared" si="13"/>
        <v>0</v>
      </c>
      <c r="E58" s="189">
        <f t="shared" si="14"/>
        <v>0</v>
      </c>
      <c r="F58" s="189">
        <f t="shared" si="15"/>
        <v>0</v>
      </c>
    </row>
    <row r="59" spans="2:6" x14ac:dyDescent="0.45">
      <c r="B59" s="137" t="s">
        <v>337</v>
      </c>
      <c r="C59" s="327">
        <f t="shared" si="12"/>
        <v>0</v>
      </c>
      <c r="D59" s="430">
        <f t="shared" si="13"/>
        <v>0</v>
      </c>
      <c r="E59" s="189">
        <f t="shared" si="14"/>
        <v>0</v>
      </c>
      <c r="F59" s="189">
        <f t="shared" si="15"/>
        <v>0</v>
      </c>
    </row>
    <row r="60" spans="2:6" x14ac:dyDescent="0.45">
      <c r="B60" s="137" t="s">
        <v>338</v>
      </c>
      <c r="C60" s="327">
        <f t="shared" si="12"/>
        <v>0</v>
      </c>
      <c r="D60" s="430">
        <f t="shared" si="13"/>
        <v>0</v>
      </c>
      <c r="E60" s="189">
        <f t="shared" si="14"/>
        <v>0</v>
      </c>
      <c r="F60" s="189">
        <f t="shared" si="15"/>
        <v>0</v>
      </c>
    </row>
    <row r="61" spans="2:6" x14ac:dyDescent="0.45">
      <c r="B61" s="137" t="s">
        <v>339</v>
      </c>
      <c r="C61" s="327">
        <f t="shared" si="12"/>
        <v>0</v>
      </c>
      <c r="D61" s="430">
        <f t="shared" si="13"/>
        <v>0</v>
      </c>
      <c r="E61" s="189">
        <f t="shared" si="14"/>
        <v>0</v>
      </c>
      <c r="F61" s="189">
        <f t="shared" si="15"/>
        <v>0</v>
      </c>
    </row>
    <row r="62" spans="2:6" x14ac:dyDescent="0.45">
      <c r="B62" s="137" t="s">
        <v>463</v>
      </c>
      <c r="C62" s="327">
        <f t="shared" si="12"/>
        <v>0</v>
      </c>
      <c r="D62" s="430">
        <f t="shared" si="13"/>
        <v>0</v>
      </c>
      <c r="E62" s="189">
        <f t="shared" si="14"/>
        <v>0</v>
      </c>
      <c r="F62" s="189">
        <f t="shared" si="15"/>
        <v>0</v>
      </c>
    </row>
    <row r="63" spans="2:6" x14ac:dyDescent="0.45">
      <c r="B63" s="137" t="s">
        <v>465</v>
      </c>
      <c r="C63" s="327">
        <f t="shared" si="12"/>
        <v>0</v>
      </c>
      <c r="D63" s="430">
        <f t="shared" si="13"/>
        <v>0</v>
      </c>
      <c r="E63" s="189">
        <f t="shared" si="14"/>
        <v>0</v>
      </c>
      <c r="F63" s="189">
        <f t="shared" si="15"/>
        <v>0</v>
      </c>
    </row>
    <row r="64" spans="2:6" x14ac:dyDescent="0.45">
      <c r="B64" s="137" t="s">
        <v>340</v>
      </c>
      <c r="C64" s="327">
        <f t="shared" si="12"/>
        <v>0</v>
      </c>
      <c r="D64" s="430">
        <f t="shared" si="13"/>
        <v>0</v>
      </c>
      <c r="E64" s="189">
        <f t="shared" si="14"/>
        <v>0</v>
      </c>
      <c r="F64" s="189">
        <f t="shared" si="15"/>
        <v>0</v>
      </c>
    </row>
    <row r="65" spans="2:6" x14ac:dyDescent="0.45">
      <c r="B65" s="137" t="s">
        <v>475</v>
      </c>
      <c r="C65" s="327">
        <f t="shared" si="12"/>
        <v>0</v>
      </c>
      <c r="D65" s="430">
        <f t="shared" si="13"/>
        <v>0</v>
      </c>
      <c r="E65" s="189">
        <f t="shared" si="14"/>
        <v>0</v>
      </c>
      <c r="F65" s="189">
        <f t="shared" si="15"/>
        <v>0</v>
      </c>
    </row>
    <row r="66" spans="2:6" x14ac:dyDescent="0.45">
      <c r="B66" s="137" t="s">
        <v>369</v>
      </c>
      <c r="C66" s="327">
        <f t="shared" si="12"/>
        <v>0</v>
      </c>
      <c r="D66" s="430">
        <f t="shared" si="13"/>
        <v>0</v>
      </c>
      <c r="E66" s="189">
        <f t="shared" si="14"/>
        <v>0</v>
      </c>
      <c r="F66" s="189">
        <f t="shared" si="15"/>
        <v>0</v>
      </c>
    </row>
    <row r="67" spans="2:6" x14ac:dyDescent="0.45">
      <c r="B67" s="137" t="s">
        <v>377</v>
      </c>
      <c r="C67" s="327">
        <f t="shared" si="12"/>
        <v>0</v>
      </c>
      <c r="D67" s="430">
        <f t="shared" si="13"/>
        <v>0</v>
      </c>
      <c r="E67" s="189">
        <f t="shared" si="14"/>
        <v>0</v>
      </c>
      <c r="F67" s="189">
        <f t="shared" si="15"/>
        <v>0</v>
      </c>
    </row>
    <row r="68" spans="2:6" x14ac:dyDescent="0.45">
      <c r="B68" s="137" t="s">
        <v>383</v>
      </c>
      <c r="C68" s="327">
        <f t="shared" si="12"/>
        <v>0</v>
      </c>
      <c r="D68" s="430">
        <f t="shared" si="13"/>
        <v>0</v>
      </c>
      <c r="E68" s="189">
        <f t="shared" si="14"/>
        <v>0</v>
      </c>
      <c r="F68" s="189">
        <f t="shared" si="15"/>
        <v>0</v>
      </c>
    </row>
    <row r="69" spans="2:6" x14ac:dyDescent="0.45">
      <c r="B69" s="137" t="s">
        <v>386</v>
      </c>
      <c r="C69" s="327">
        <f t="shared" si="12"/>
        <v>0</v>
      </c>
      <c r="D69" s="430">
        <f t="shared" si="13"/>
        <v>0</v>
      </c>
      <c r="E69" s="189">
        <f t="shared" si="14"/>
        <v>0</v>
      </c>
      <c r="F69" s="189">
        <f t="shared" si="15"/>
        <v>0</v>
      </c>
    </row>
    <row r="70" spans="2:6" x14ac:dyDescent="0.45">
      <c r="C70" s="431">
        <f>SUM(C43:C69)</f>
        <v>22</v>
      </c>
      <c r="D70" s="432">
        <f t="shared" ref="D70:F70" si="16">SUM(D43:D69)</f>
        <v>0</v>
      </c>
      <c r="E70" s="432">
        <f t="shared" si="16"/>
        <v>0</v>
      </c>
      <c r="F70" s="432">
        <f t="shared" si="16"/>
        <v>0</v>
      </c>
    </row>
    <row r="71" spans="2:6" x14ac:dyDescent="0.45">
      <c r="E71" s="430">
        <f>D70-E70</f>
        <v>0</v>
      </c>
      <c r="F71" s="189" t="str">
        <f>IF(E71=F70,"OK","ERREUR")</f>
        <v>OK</v>
      </c>
    </row>
  </sheetData>
  <sheetProtection formatCells="0" formatColumns="0" formatRows="0" autoFilter="0"/>
  <autoFilter ref="A7:AB37" xr:uid="{5B5BBBDE-33E3-4462-B288-63EC9F5FA152}"/>
  <mergeCells count="4">
    <mergeCell ref="B3:D3"/>
    <mergeCell ref="I6:J6"/>
    <mergeCell ref="M6:O6"/>
    <mergeCell ref="Q6:S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4" orientation="portrait" copies="1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E119-2645-4680-ABA4-211EDBAC8958}">
  <sheetPr>
    <pageSetUpPr fitToPage="1"/>
  </sheetPr>
  <dimension ref="A1:I133"/>
  <sheetViews>
    <sheetView topLeftCell="A66" workbookViewId="0">
      <selection activeCell="C63" sqref="C63"/>
    </sheetView>
  </sheetViews>
  <sheetFormatPr baseColWidth="10" defaultColWidth="10.796875" defaultRowHeight="14.25" x14ac:dyDescent="0.45"/>
  <cols>
    <col min="1" max="1" width="26.1328125" style="137" customWidth="1"/>
    <col min="2" max="2" width="17.796875" style="310" bestFit="1" customWidth="1"/>
    <col min="3" max="3" width="13" style="315" customWidth="1"/>
    <col min="4" max="4" width="53.79687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312" t="s">
        <v>458</v>
      </c>
      <c r="F1" s="434">
        <v>46143</v>
      </c>
      <c r="I1" s="313" t="s">
        <v>438</v>
      </c>
    </row>
    <row r="2" spans="1:9" s="189" customFormat="1" ht="54" x14ac:dyDescent="0.45">
      <c r="A2" s="308" t="s">
        <v>440</v>
      </c>
      <c r="B2" s="311" t="s">
        <v>0</v>
      </c>
      <c r="C2" s="316" t="s">
        <v>25</v>
      </c>
      <c r="D2" s="279" t="s">
        <v>26</v>
      </c>
      <c r="E2" s="279" t="s">
        <v>32</v>
      </c>
      <c r="F2" s="279" t="s">
        <v>393</v>
      </c>
      <c r="G2" s="279" t="s">
        <v>1</v>
      </c>
      <c r="H2" s="279" t="s">
        <v>331</v>
      </c>
      <c r="I2" s="279"/>
    </row>
    <row r="3" spans="1:9" s="189" customFormat="1" ht="39.4" customHeight="1" x14ac:dyDescent="0.45">
      <c r="A3" s="357" t="str">
        <f>Horaire!A8</f>
        <v>VAHIBE</v>
      </c>
      <c r="B3" s="358">
        <f>Horaire!B8</f>
        <v>0.1875</v>
      </c>
      <c r="C3" s="342" t="str">
        <f>Horaire!C8</f>
        <v>C2</v>
      </c>
      <c r="D3" s="341" t="str">
        <f>VLOOKUP(C3,'Liste chauffeur'!$B$5:$L$20,2,TRUE)&amp;" "&amp;VLOOKUP(C3,'Liste chauffeur'!$B$5:$L$20,3,TRUE)</f>
        <v>BINA HALADI Bina</v>
      </c>
      <c r="E3" s="417" t="s">
        <v>51</v>
      </c>
      <c r="F3" s="279"/>
      <c r="G3" s="279"/>
      <c r="H3" s="279"/>
      <c r="I3" s="323"/>
    </row>
    <row r="4" spans="1:9" s="189" customFormat="1" ht="39.4" customHeight="1" x14ac:dyDescent="0.45">
      <c r="A4" s="357" t="str">
        <f>Horaire!A9</f>
        <v>VAHIBE</v>
      </c>
      <c r="B4" s="358">
        <f>Horaire!B9</f>
        <v>0.19444444444444445</v>
      </c>
      <c r="C4" s="342" t="str">
        <f>Horaire!C9</f>
        <v>C1</v>
      </c>
      <c r="D4" s="341" t="str">
        <f>VLOOKUP(C4,'Liste chauffeur'!$B$5:$L$20,2,TRUE)&amp;" "&amp;VLOOKUP(C4,'Liste chauffeur'!$B$5:$L$20,3,TRUE)</f>
        <v>EL ANZIZE SALIM Hamada</v>
      </c>
      <c r="E4" s="417" t="s">
        <v>51</v>
      </c>
      <c r="F4" s="279"/>
      <c r="G4" s="279"/>
      <c r="H4" s="279"/>
      <c r="I4" s="323"/>
    </row>
    <row r="5" spans="1:9" s="189" customFormat="1" ht="39.4" customHeight="1" x14ac:dyDescent="0.45">
      <c r="A5" s="357" t="str">
        <f>Horaire!A10</f>
        <v>VAHIBE</v>
      </c>
      <c r="B5" s="358">
        <f>Horaire!B10</f>
        <v>0.2013888888888889</v>
      </c>
      <c r="C5" s="342" t="str">
        <f>Horaire!C10</f>
        <v>C3</v>
      </c>
      <c r="D5" s="341" t="str">
        <f>VLOOKUP(C5,'Liste chauffeur'!$B$5:$L$20,2,TRUE)&amp;" "&amp;VLOOKUP(C5,'Liste chauffeur'!$B$5:$L$20,3,TRUE)</f>
        <v>ABDOU MINIHADJI Amada</v>
      </c>
      <c r="E5" s="417" t="s">
        <v>51</v>
      </c>
      <c r="F5" s="279"/>
      <c r="G5" s="279"/>
      <c r="H5" s="279"/>
      <c r="I5" s="323"/>
    </row>
    <row r="6" spans="1:9" s="189" customFormat="1" ht="39.4" customHeight="1" x14ac:dyDescent="0.45">
      <c r="A6" s="408" t="str">
        <f>Horaire!A11</f>
        <v>PASSAMAINTY</v>
      </c>
      <c r="B6" s="409">
        <f>Horaire!B11</f>
        <v>0.2013888888888889</v>
      </c>
      <c r="C6" s="410" t="str">
        <f>Horaire!C11</f>
        <v>C2</v>
      </c>
      <c r="D6" s="411" t="str">
        <f>VLOOKUP(C6,'Liste chauffeur'!$B$5:$L$20,2,TRUE)&amp;" "&amp;VLOOKUP(C6,'Liste chauffeur'!$B$5:$L$20,3,TRUE)</f>
        <v>BINA HALADI Bina</v>
      </c>
      <c r="E6" s="418" t="s">
        <v>51</v>
      </c>
      <c r="F6" s="413"/>
      <c r="G6" s="413"/>
      <c r="H6" s="413"/>
      <c r="I6" s="323"/>
    </row>
    <row r="7" spans="1:9" ht="39.4" customHeight="1" x14ac:dyDescent="0.45">
      <c r="A7" s="357" t="str">
        <f>Horaire!A12</f>
        <v>VAHIBE</v>
      </c>
      <c r="B7" s="358">
        <f>Horaire!B12</f>
        <v>0.20833333333333334</v>
      </c>
      <c r="C7" s="342" t="str">
        <f>Horaire!C12</f>
        <v>C4</v>
      </c>
      <c r="D7" s="341" t="str">
        <f>VLOOKUP(C7,'Liste chauffeur'!$B$5:$L$20,2,TRUE)&amp;" "&amp;VLOOKUP(C7,'Liste chauffeur'!$B$5:$L$20,3,TRUE)</f>
        <v>TOUMBOU  Toibourani</v>
      </c>
      <c r="E7" s="417" t="s">
        <v>51</v>
      </c>
      <c r="F7" s="280" t="str">
        <f>IF(ISBLANK('Feuille saisie'!M12)=TRUE,"",'Feuille saisie'!M12)</f>
        <v/>
      </c>
      <c r="G7" s="280"/>
      <c r="H7" s="281"/>
    </row>
    <row r="8" spans="1:9" ht="39.4" customHeight="1" x14ac:dyDescent="0.45">
      <c r="A8" s="408" t="str">
        <f>Horaire!A13</f>
        <v>PASSAMAINTY</v>
      </c>
      <c r="B8" s="409">
        <f>Horaire!B13</f>
        <v>0.20833333333333334</v>
      </c>
      <c r="C8" s="410" t="str">
        <f>Horaire!C13</f>
        <v>C1</v>
      </c>
      <c r="D8" s="411" t="str">
        <f>VLOOKUP(C8,'Liste chauffeur'!$B$5:$L$20,2,TRUE)&amp;" "&amp;VLOOKUP(C8,'Liste chauffeur'!$B$5:$L$20,3,TRUE)</f>
        <v>EL ANZIZE SALIM Hamada</v>
      </c>
      <c r="E8" s="418" t="s">
        <v>51</v>
      </c>
      <c r="F8" s="414" t="str">
        <f>IF(ISBLANK('Feuille saisie'!M13)=TRUE,"",'Feuille saisie'!M13)</f>
        <v/>
      </c>
      <c r="G8" s="414"/>
      <c r="H8" s="415"/>
      <c r="I8" s="309" t="s">
        <v>389</v>
      </c>
    </row>
    <row r="9" spans="1:9" ht="39.4" customHeight="1" x14ac:dyDescent="0.45">
      <c r="A9" s="357" t="str">
        <f>Horaire!A14</f>
        <v>VAHIBE 2</v>
      </c>
      <c r="B9" s="358">
        <f>Horaire!B14</f>
        <v>0.20833333333333334</v>
      </c>
      <c r="C9" s="342" t="str">
        <f>Horaire!C14</f>
        <v>C11</v>
      </c>
      <c r="D9" s="341" t="str">
        <f>VLOOKUP(C9,'Liste chauffeur'!$B$5:$L$20,2,TRUE)&amp;" "&amp;VLOOKUP(C9,'Liste chauffeur'!$B$5:$L$20,3,TRUE)</f>
        <v>MADI BOINA Mkidachi</v>
      </c>
      <c r="E9" s="417" t="s">
        <v>51</v>
      </c>
      <c r="F9" s="307" t="str">
        <f>IF(ISBLANK('Feuille saisie'!M14)=TRUE,"",'Feuille saisie'!M14)</f>
        <v/>
      </c>
      <c r="G9" s="280"/>
      <c r="H9" s="281"/>
      <c r="I9" s="309"/>
    </row>
    <row r="10" spans="1:9" ht="39.4" customHeight="1" x14ac:dyDescent="0.45">
      <c r="A10" s="357" t="str">
        <f>Horaire!A15</f>
        <v>VAHIBE</v>
      </c>
      <c r="B10" s="343">
        <f>Horaire!B15</f>
        <v>0.21527777777777779</v>
      </c>
      <c r="C10" s="342" t="str">
        <f>Horaire!C15</f>
        <v>C2</v>
      </c>
      <c r="D10" s="341" t="str">
        <f>VLOOKUP(C10,'Liste chauffeur'!$B$5:$L$20,2,TRUE)&amp;" "&amp;VLOOKUP(C10,'Liste chauffeur'!$B$5:$L$20,3,TRUE)</f>
        <v>BINA HALADI Bina</v>
      </c>
      <c r="E10" s="417" t="s">
        <v>51</v>
      </c>
      <c r="F10" s="280" t="str">
        <f>IF(ISBLANK('Feuille saisie'!M15)=TRUE,"",'Feuille saisie'!M15)</f>
        <v/>
      </c>
      <c r="G10" s="280"/>
      <c r="H10" s="281"/>
      <c r="I10" s="309"/>
    </row>
    <row r="11" spans="1:9" ht="39.4" customHeight="1" x14ac:dyDescent="0.45">
      <c r="A11" s="357" t="str">
        <f>Horaire!A16</f>
        <v>VAHIBE 2</v>
      </c>
      <c r="B11" s="358">
        <f>Horaire!B16</f>
        <v>0.21527777777777779</v>
      </c>
      <c r="C11" s="342" t="str">
        <f>Horaire!C16</f>
        <v>C8</v>
      </c>
      <c r="D11" s="341" t="str">
        <f>VLOOKUP(C11,'Liste chauffeur'!$B$5:$L$20,2,TRUE)&amp;" "&amp;VLOOKUP(C11,'Liste chauffeur'!$B$5:$L$20,3,TRUE)</f>
        <v>HADHURAMI Makinedine</v>
      </c>
      <c r="E11" s="417" t="s">
        <v>51</v>
      </c>
      <c r="F11" s="280" t="str">
        <f>IF(ISBLANK('Feuille saisie'!M16)=TRUE,"",'Feuille saisie'!M16)</f>
        <v/>
      </c>
      <c r="G11" s="280"/>
      <c r="H11" s="281"/>
      <c r="I11" s="309"/>
    </row>
    <row r="12" spans="1:9" ht="39.4" customHeight="1" x14ac:dyDescent="0.45">
      <c r="A12" s="408" t="str">
        <f>Horaire!A17</f>
        <v>PASSAMAINTY</v>
      </c>
      <c r="B12" s="409">
        <f>Horaire!B17</f>
        <v>0.21527777777777779</v>
      </c>
      <c r="C12" s="410" t="str">
        <f>Horaire!C17</f>
        <v>C3</v>
      </c>
      <c r="D12" s="411" t="str">
        <f>VLOOKUP(C12,'Liste chauffeur'!$B$5:$L$20,2,TRUE)&amp;" "&amp;VLOOKUP(C12,'Liste chauffeur'!$B$5:$L$20,3,TRUE)</f>
        <v>ABDOU MINIHADJI Amada</v>
      </c>
      <c r="E12" s="418" t="s">
        <v>51</v>
      </c>
      <c r="F12" s="414" t="str">
        <f>IF(ISBLANK('Feuille saisie'!M17)=TRUE,"",'Feuille saisie'!M17)</f>
        <v/>
      </c>
      <c r="G12" s="414"/>
      <c r="H12" s="415"/>
      <c r="I12" s="309"/>
    </row>
    <row r="13" spans="1:9" ht="39.4" customHeight="1" x14ac:dyDescent="0.45">
      <c r="A13" s="357" t="str">
        <f>Horaire!A18</f>
        <v>VAHIBE</v>
      </c>
      <c r="B13" s="343">
        <f>Horaire!B18</f>
        <v>0.22222222222222199</v>
      </c>
      <c r="C13" s="342" t="str">
        <f>Horaire!C18</f>
        <v>C1</v>
      </c>
      <c r="D13" s="341" t="str">
        <f>VLOOKUP(C13,'Liste chauffeur'!$B$5:$L$20,2,TRUE)&amp;" "&amp;VLOOKUP(C13,'Liste chauffeur'!$B$5:$L$20,3,TRUE)</f>
        <v>EL ANZIZE SALIM Hamada</v>
      </c>
      <c r="E13" s="417" t="s">
        <v>51</v>
      </c>
      <c r="F13" s="280"/>
      <c r="G13" s="280"/>
      <c r="H13" s="281"/>
      <c r="I13" s="309"/>
    </row>
    <row r="14" spans="1:9" ht="39.4" customHeight="1" x14ac:dyDescent="0.45">
      <c r="A14" s="357" t="str">
        <f>Horaire!A19</f>
        <v>VAHIBE 2</v>
      </c>
      <c r="B14" s="358">
        <f>Horaire!B19</f>
        <v>0.22222222222222221</v>
      </c>
      <c r="C14" s="342" t="str">
        <f>Horaire!C19</f>
        <v>C9</v>
      </c>
      <c r="D14" s="341" t="str">
        <f>VLOOKUP(C14,'Liste chauffeur'!$B$5:$L$20,2,TRUE)&amp;" "&amp;VLOOKUP(C14,'Liste chauffeur'!$B$5:$L$20,3,TRUE)</f>
        <v>SANDI Maanrouf</v>
      </c>
      <c r="E14" s="417" t="s">
        <v>51</v>
      </c>
      <c r="F14" s="280" t="str">
        <f>IF(ISBLANK('Feuille saisie'!M19)=TRUE,"",'Feuille saisie'!M19)</f>
        <v/>
      </c>
      <c r="G14" s="280"/>
      <c r="H14" s="281"/>
      <c r="I14" s="309"/>
    </row>
    <row r="15" spans="1:9" ht="39.4" customHeight="1" x14ac:dyDescent="0.45">
      <c r="A15" s="408" t="str">
        <f>Horaire!A20</f>
        <v>PASSAMAINTY</v>
      </c>
      <c r="B15" s="409">
        <f>Horaire!B20</f>
        <v>0.22222222222222221</v>
      </c>
      <c r="C15" s="410" t="str">
        <f>Horaire!C20</f>
        <v>C4</v>
      </c>
      <c r="D15" s="411" t="str">
        <f>VLOOKUP(C15,'Liste chauffeur'!$B$5:$L$20,2,TRUE)&amp;" "&amp;VLOOKUP(C15,'Liste chauffeur'!$B$5:$L$20,3,TRUE)</f>
        <v>TOUMBOU  Toibourani</v>
      </c>
      <c r="E15" s="418" t="s">
        <v>51</v>
      </c>
      <c r="F15" s="414" t="str">
        <f>IF(ISBLANK('Feuille saisie'!M20)=TRUE,"",'Feuille saisie'!M20)</f>
        <v/>
      </c>
      <c r="G15" s="414"/>
      <c r="H15" s="415"/>
      <c r="I15" s="309"/>
    </row>
    <row r="16" spans="1:9" ht="39.4" customHeight="1" x14ac:dyDescent="0.45">
      <c r="A16" s="408" t="str">
        <f>Horaire!A21</f>
        <v>PASSAMAINTY</v>
      </c>
      <c r="B16" s="409">
        <f>Horaire!B21</f>
        <v>0.22222222222222221</v>
      </c>
      <c r="C16" s="410" t="str">
        <f>Horaire!C21</f>
        <v>C11</v>
      </c>
      <c r="D16" s="411" t="str">
        <f>VLOOKUP(C16,'Liste chauffeur'!$B$5:$L$20,2,TRUE)&amp;" "&amp;VLOOKUP(C16,'Liste chauffeur'!$B$5:$L$20,3,TRUE)</f>
        <v>MADI BOINA Mkidachi</v>
      </c>
      <c r="E16" s="418" t="s">
        <v>51</v>
      </c>
      <c r="F16" s="414" t="str">
        <f>IF(ISBLANK('Feuille saisie'!M21)=TRUE,"",'Feuille saisie'!M21)</f>
        <v/>
      </c>
      <c r="G16" s="414"/>
      <c r="H16" s="415"/>
      <c r="I16" s="309"/>
    </row>
    <row r="17" spans="1:9" ht="39.4" customHeight="1" x14ac:dyDescent="0.45">
      <c r="A17" s="357" t="str">
        <f>Horaire!A22</f>
        <v>VAHIBE</v>
      </c>
      <c r="B17" s="343">
        <f>Horaire!B22</f>
        <v>0.22916666666666666</v>
      </c>
      <c r="C17" s="342" t="str">
        <f>Horaire!C22</f>
        <v>C3</v>
      </c>
      <c r="D17" s="341" t="str">
        <f>VLOOKUP(C17,'Liste chauffeur'!$B$5:$L$20,2,TRUE)&amp;" "&amp;VLOOKUP(C17,'Liste chauffeur'!$B$5:$L$20,3,TRUE)</f>
        <v>ABDOU MINIHADJI Amada</v>
      </c>
      <c r="E17" s="417" t="s">
        <v>51</v>
      </c>
      <c r="F17" s="280" t="str">
        <f>IF(ISBLANK('Feuille saisie'!M22)=TRUE,"",'Feuille saisie'!M22)</f>
        <v/>
      </c>
      <c r="G17" s="280"/>
      <c r="H17" s="281"/>
      <c r="I17" s="309"/>
    </row>
    <row r="18" spans="1:9" ht="39.4" customHeight="1" x14ac:dyDescent="0.45">
      <c r="A18" s="357" t="str">
        <f>Horaire!A23</f>
        <v>VAHIBE 2</v>
      </c>
      <c r="B18" s="358">
        <f>Horaire!B23</f>
        <v>0.22916666666666666</v>
      </c>
      <c r="C18" s="342" t="str">
        <f>Horaire!C23</f>
        <v>C10</v>
      </c>
      <c r="D18" s="341" t="str">
        <f>VLOOKUP(C18,'Liste chauffeur'!$B$5:$L$20,2,TRUE)&amp;" "&amp;VLOOKUP(C18,'Liste chauffeur'!$B$5:$L$20,3,TRUE)</f>
        <v>ISSIHAKA M'Changama</v>
      </c>
      <c r="E18" s="417" t="s">
        <v>51</v>
      </c>
      <c r="F18" s="280" t="str">
        <f>IF(ISBLANK('Feuille saisie'!M23)=TRUE,"",'Feuille saisie'!M23)</f>
        <v/>
      </c>
      <c r="G18" s="280"/>
      <c r="H18" s="281"/>
      <c r="I18" s="309"/>
    </row>
    <row r="19" spans="1:9" ht="39.4" customHeight="1" x14ac:dyDescent="0.45">
      <c r="A19" s="408" t="str">
        <f>Horaire!A24</f>
        <v>PASSAMAINTY</v>
      </c>
      <c r="B19" s="409">
        <f>Horaire!B24</f>
        <v>0.22916666666666666</v>
      </c>
      <c r="C19" s="410" t="str">
        <f>Horaire!C24</f>
        <v>C2</v>
      </c>
      <c r="D19" s="411" t="str">
        <f>VLOOKUP(C19,'Liste chauffeur'!$B$5:$L$20,2,TRUE)&amp;" "&amp;VLOOKUP(C19,'Liste chauffeur'!$B$5:$L$20,3,TRUE)</f>
        <v>BINA HALADI Bina</v>
      </c>
      <c r="E19" s="418" t="s">
        <v>51</v>
      </c>
      <c r="F19" s="414" t="str">
        <f>IF(ISBLANK('Feuille saisie'!M24)=TRUE,"",'Feuille saisie'!M24)</f>
        <v/>
      </c>
      <c r="G19" s="414"/>
      <c r="H19" s="415"/>
      <c r="I19" s="309"/>
    </row>
    <row r="20" spans="1:9" ht="39.4" customHeight="1" x14ac:dyDescent="0.45">
      <c r="A20" s="408" t="str">
        <f>Horaire!A25</f>
        <v>PASSAMAINTY</v>
      </c>
      <c r="B20" s="409">
        <f>Horaire!B25</f>
        <v>0.22916666666666666</v>
      </c>
      <c r="C20" s="410" t="str">
        <f>Horaire!C25</f>
        <v>C8</v>
      </c>
      <c r="D20" s="411" t="str">
        <f>VLOOKUP(C20,'Liste chauffeur'!$B$5:$L$20,2,TRUE)&amp;" "&amp;VLOOKUP(C20,'Liste chauffeur'!$B$5:$L$20,3,TRUE)</f>
        <v>HADHURAMI Makinedine</v>
      </c>
      <c r="E20" s="418" t="s">
        <v>51</v>
      </c>
      <c r="F20" s="414"/>
      <c r="G20" s="414"/>
      <c r="H20" s="415"/>
      <c r="I20" s="309"/>
    </row>
    <row r="21" spans="1:9" ht="39.4" customHeight="1" x14ac:dyDescent="0.45">
      <c r="A21" s="357" t="str">
        <f>Horaire!A26</f>
        <v>VAHIBE</v>
      </c>
      <c r="B21" s="343">
        <f>Horaire!B26</f>
        <v>0.2361111111111111</v>
      </c>
      <c r="C21" s="342" t="str">
        <f>Horaire!C26</f>
        <v>C4</v>
      </c>
      <c r="D21" s="341" t="str">
        <f>VLOOKUP(C21,'Liste chauffeur'!$B$5:$L$20,2,TRUE)&amp;" "&amp;VLOOKUP(C21,'Liste chauffeur'!$B$5:$L$20,3,TRUE)</f>
        <v>TOUMBOU  Toibourani</v>
      </c>
      <c r="E21" s="417" t="s">
        <v>51</v>
      </c>
      <c r="F21" s="280" t="str">
        <f>IF(ISBLANK('Feuille saisie'!M26)=TRUE,"",'Feuille saisie'!M26)</f>
        <v/>
      </c>
      <c r="G21" s="280"/>
      <c r="H21" s="281"/>
      <c r="I21" s="309"/>
    </row>
    <row r="22" spans="1:9" ht="39.4" customHeight="1" x14ac:dyDescent="0.45">
      <c r="A22" s="357" t="str">
        <f>Horaire!A27</f>
        <v>VAHIBE 2</v>
      </c>
      <c r="B22" s="343">
        <f>Horaire!B27</f>
        <v>0.2361111111111111</v>
      </c>
      <c r="C22" s="342" t="str">
        <f>Horaire!C27</f>
        <v>C11</v>
      </c>
      <c r="D22" s="341" t="str">
        <f>VLOOKUP(C22,'Liste chauffeur'!$B$5:$L$20,2,TRUE)&amp;" "&amp;VLOOKUP(C22,'Liste chauffeur'!$B$5:$L$20,3,TRUE)</f>
        <v>MADI BOINA Mkidachi</v>
      </c>
      <c r="E22" s="417" t="s">
        <v>51</v>
      </c>
      <c r="F22" s="280" t="str">
        <f>IF(ISBLANK('Feuille saisie'!M27)=TRUE,"",'Feuille saisie'!M27)</f>
        <v/>
      </c>
      <c r="G22" s="280"/>
      <c r="H22" s="281"/>
    </row>
    <row r="23" spans="1:9" ht="39.4" customHeight="1" x14ac:dyDescent="0.45">
      <c r="A23" s="408" t="str">
        <f>Horaire!A28</f>
        <v>PASSAMAINTY</v>
      </c>
      <c r="B23" s="409">
        <f>Horaire!B28</f>
        <v>0.2361111111111111</v>
      </c>
      <c r="C23" s="410" t="str">
        <f>Horaire!C28</f>
        <v>C1</v>
      </c>
      <c r="D23" s="411" t="str">
        <f>VLOOKUP(C23,'Liste chauffeur'!$B$5:$L$20,2,TRUE)&amp;" "&amp;VLOOKUP(C23,'Liste chauffeur'!$B$5:$L$20,3,TRUE)</f>
        <v>EL ANZIZE SALIM Hamada</v>
      </c>
      <c r="E23" s="418" t="s">
        <v>51</v>
      </c>
      <c r="F23" s="414" t="str">
        <f>IF(ISBLANK('Feuille saisie'!M28)=TRUE,"",'Feuille saisie'!M28)</f>
        <v/>
      </c>
      <c r="G23" s="414"/>
      <c r="H23" s="415"/>
    </row>
    <row r="24" spans="1:9" ht="39.4" customHeight="1" x14ac:dyDescent="0.45">
      <c r="A24" s="408" t="str">
        <f>Horaire!A29</f>
        <v>PASSAMAINTY</v>
      </c>
      <c r="B24" s="409">
        <f>Horaire!B29</f>
        <v>0.2361111111111111</v>
      </c>
      <c r="C24" s="410" t="str">
        <f>Horaire!C29</f>
        <v>C9</v>
      </c>
      <c r="D24" s="411" t="str">
        <f>VLOOKUP(C24,'Liste chauffeur'!$B$5:$L$20,2,TRUE)&amp;" "&amp;VLOOKUP(C24,'Liste chauffeur'!$B$5:$L$20,3,TRUE)</f>
        <v>SANDI Maanrouf</v>
      </c>
      <c r="E24" s="418" t="s">
        <v>51</v>
      </c>
      <c r="F24" s="414" t="str">
        <f>IF(ISBLANK('Feuille saisie'!M29)=TRUE,"",'Feuille saisie'!M29)</f>
        <v/>
      </c>
      <c r="G24" s="414"/>
      <c r="H24" s="415"/>
      <c r="I24" s="309" t="s">
        <v>390</v>
      </c>
    </row>
    <row r="25" spans="1:9" ht="39.4" customHeight="1" x14ac:dyDescent="0.45">
      <c r="A25" s="357" t="str">
        <f>Horaire!A30</f>
        <v>VAHIBE</v>
      </c>
      <c r="B25" s="343">
        <f>Horaire!B30</f>
        <v>0.24305555555555555</v>
      </c>
      <c r="C25" s="342" t="str">
        <f>Horaire!C30</f>
        <v>C2</v>
      </c>
      <c r="D25" s="341" t="str">
        <f>VLOOKUP(C25,'Liste chauffeur'!$B$5:$L$20,2,TRUE)&amp;" "&amp;VLOOKUP(C25,'Liste chauffeur'!$B$5:$L$20,3,TRUE)</f>
        <v>BINA HALADI Bina</v>
      </c>
      <c r="E25" s="417" t="s">
        <v>51</v>
      </c>
      <c r="F25" s="280" t="str">
        <f>IF(ISBLANK('Feuille saisie'!M30)=TRUE,"",'Feuille saisie'!M30)</f>
        <v/>
      </c>
      <c r="G25" s="280"/>
      <c r="H25" s="281"/>
    </row>
    <row r="26" spans="1:9" ht="39.4" customHeight="1" x14ac:dyDescent="0.45">
      <c r="A26" s="357" t="str">
        <f>Horaire!A31</f>
        <v>VAHIBE 2</v>
      </c>
      <c r="B26" s="343">
        <f>Horaire!B31</f>
        <v>0.24305555555555555</v>
      </c>
      <c r="C26" s="342" t="str">
        <f>Horaire!C31</f>
        <v>C8</v>
      </c>
      <c r="D26" s="341" t="str">
        <f>VLOOKUP(C26,'Liste chauffeur'!$B$5:$L$20,2,TRUE)&amp;" "&amp;VLOOKUP(C26,'Liste chauffeur'!$B$5:$L$20,3,TRUE)</f>
        <v>HADHURAMI Makinedine</v>
      </c>
      <c r="E26" s="417" t="s">
        <v>51</v>
      </c>
      <c r="F26" s="280" t="str">
        <f>IF(ISBLANK('Feuille saisie'!M31)=TRUE,"",'Feuille saisie'!M31)</f>
        <v/>
      </c>
      <c r="G26" s="280"/>
      <c r="H26" s="281"/>
    </row>
    <row r="27" spans="1:9" ht="39.4" customHeight="1" x14ac:dyDescent="0.45">
      <c r="A27" s="408" t="str">
        <f>Horaire!A32</f>
        <v>PASSAMAINTY</v>
      </c>
      <c r="B27" s="409">
        <f>Horaire!B32</f>
        <v>0.24305555555555555</v>
      </c>
      <c r="C27" s="410" t="str">
        <f>Horaire!C32</f>
        <v>C3</v>
      </c>
      <c r="D27" s="411" t="str">
        <f>VLOOKUP(C27,'Liste chauffeur'!$B$5:$L$20,2,TRUE)&amp;" "&amp;VLOOKUP(C27,'Liste chauffeur'!$B$5:$L$20,3,TRUE)</f>
        <v>ABDOU MINIHADJI Amada</v>
      </c>
      <c r="E27" s="418" t="s">
        <v>51</v>
      </c>
      <c r="F27" s="414"/>
      <c r="G27" s="414"/>
      <c r="H27" s="415"/>
    </row>
    <row r="28" spans="1:9" ht="39.4" customHeight="1" x14ac:dyDescent="0.45">
      <c r="A28" s="408" t="str">
        <f>Horaire!A33</f>
        <v>PASSAMAINTY</v>
      </c>
      <c r="B28" s="409">
        <f>Horaire!B33</f>
        <v>0.24305555555555555</v>
      </c>
      <c r="C28" s="410" t="str">
        <f>Horaire!C33</f>
        <v>C10</v>
      </c>
      <c r="D28" s="411" t="str">
        <f>VLOOKUP(C28,'Liste chauffeur'!$B$5:$L$20,2,TRUE)&amp;" "&amp;VLOOKUP(C28,'Liste chauffeur'!$B$5:$L$20,3,TRUE)</f>
        <v>ISSIHAKA M'Changama</v>
      </c>
      <c r="E28" s="418" t="s">
        <v>51</v>
      </c>
      <c r="F28" s="414" t="str">
        <f>IF(ISBLANK('Feuille saisie'!M33)=TRUE,"",'Feuille saisie'!M33)</f>
        <v/>
      </c>
      <c r="G28" s="414"/>
      <c r="H28" s="415"/>
      <c r="I28" s="309"/>
    </row>
    <row r="29" spans="1:9" ht="39.4" customHeight="1" x14ac:dyDescent="0.45">
      <c r="A29" s="357" t="str">
        <f>Horaire!A34</f>
        <v>VAHIBE</v>
      </c>
      <c r="B29" s="343">
        <f>Horaire!B34</f>
        <v>0.25</v>
      </c>
      <c r="C29" s="342" t="str">
        <f>Horaire!C34</f>
        <v>C1</v>
      </c>
      <c r="D29" s="341" t="str">
        <f>VLOOKUP(C29,'Liste chauffeur'!$B$5:$L$20,2,TRUE)&amp;" "&amp;VLOOKUP(C29,'Liste chauffeur'!$B$5:$L$20,3,TRUE)</f>
        <v>EL ANZIZE SALIM Hamada</v>
      </c>
      <c r="E29" s="417" t="s">
        <v>51</v>
      </c>
      <c r="F29" s="280" t="str">
        <f>IF(ISBLANK('Feuille saisie'!M34)=TRUE,"",'Feuille saisie'!M34)</f>
        <v/>
      </c>
      <c r="G29" s="280"/>
      <c r="H29" s="281"/>
    </row>
    <row r="30" spans="1:9" ht="39.4" customHeight="1" x14ac:dyDescent="0.45">
      <c r="A30" s="357" t="str">
        <f>Horaire!A35</f>
        <v>VAHIBE 2</v>
      </c>
      <c r="B30" s="343">
        <f>Horaire!B35</f>
        <v>0.25</v>
      </c>
      <c r="C30" s="342" t="str">
        <f>Horaire!C35</f>
        <v>C9</v>
      </c>
      <c r="D30" s="341" t="str">
        <f>VLOOKUP(C30,'Liste chauffeur'!$B$5:$L$20,2,TRUE)&amp;" "&amp;VLOOKUP(C30,'Liste chauffeur'!$B$5:$L$20,3,TRUE)</f>
        <v>SANDI Maanrouf</v>
      </c>
      <c r="E30" s="417" t="s">
        <v>51</v>
      </c>
      <c r="F30" s="280" t="str">
        <f>IF(ISBLANK('Feuille saisie'!M35)=TRUE,"",'Feuille saisie'!M35)</f>
        <v/>
      </c>
      <c r="G30" s="280"/>
      <c r="H30" s="281"/>
    </row>
    <row r="31" spans="1:9" ht="39.4" customHeight="1" x14ac:dyDescent="0.45">
      <c r="A31" s="408" t="str">
        <f>Horaire!A36</f>
        <v>PASSAMAINTY</v>
      </c>
      <c r="B31" s="358">
        <f>Horaire!B36</f>
        <v>0.25</v>
      </c>
      <c r="C31" s="410" t="str">
        <f>Horaire!C36</f>
        <v>C5</v>
      </c>
      <c r="D31" s="411" t="str">
        <f>VLOOKUP(C31,'Liste chauffeur'!$B$5:$L$20,2,TRUE)&amp;" "&amp;VLOOKUP(C31,'Liste chauffeur'!$B$5:$L$20,3,TRUE)</f>
        <v>AHAMADI Bacar Raenmouddine</v>
      </c>
      <c r="E31" s="418" t="s">
        <v>51</v>
      </c>
      <c r="F31" s="414" t="str">
        <f>IF(ISBLANK('Feuille saisie'!M36)=TRUE,"",'Feuille saisie'!M36)</f>
        <v/>
      </c>
      <c r="G31" s="414"/>
      <c r="H31" s="415"/>
    </row>
    <row r="32" spans="1:9" ht="39.4" customHeight="1" x14ac:dyDescent="0.45">
      <c r="A32" s="408" t="str">
        <f>Horaire!A37</f>
        <v>PASSAMAINTY</v>
      </c>
      <c r="B32" s="358">
        <f>Horaire!B37</f>
        <v>0.25</v>
      </c>
      <c r="C32" s="410" t="str">
        <f>Horaire!C37</f>
        <v>C12</v>
      </c>
      <c r="D32" s="411" t="str">
        <f>VLOOKUP(C32,'Liste chauffeur'!$B$5:$L$20,2,TRUE)&amp;" "&amp;VLOOKUP(C32,'Liste chauffeur'!$B$5:$L$20,3,TRUE)</f>
        <v>ALILOIFFA Said Siradj</v>
      </c>
      <c r="E32" s="418" t="s">
        <v>51</v>
      </c>
      <c r="F32" s="414" t="str">
        <f>IF(ISBLANK('Feuille saisie'!M37)=TRUE,"",'Feuille saisie'!M37)</f>
        <v/>
      </c>
      <c r="G32" s="414"/>
      <c r="H32" s="415"/>
      <c r="I32" s="309" t="s">
        <v>392</v>
      </c>
    </row>
    <row r="33" spans="1:9" ht="39.4" customHeight="1" x14ac:dyDescent="0.45">
      <c r="A33" s="357" t="str">
        <f>Horaire!A38</f>
        <v>VAHIBE</v>
      </c>
      <c r="B33" s="343">
        <f>Horaire!B38</f>
        <v>0.25694444444444442</v>
      </c>
      <c r="C33" s="342" t="str">
        <f>Horaire!C38</f>
        <v>C3</v>
      </c>
      <c r="D33" s="341" t="str">
        <f>VLOOKUP(C33,'Liste chauffeur'!$B$5:$L$20,2,TRUE)&amp;" "&amp;VLOOKUP(C33,'Liste chauffeur'!$B$5:$L$20,3,TRUE)</f>
        <v>ABDOU MINIHADJI Amada</v>
      </c>
      <c r="E33" s="487" t="s">
        <v>51</v>
      </c>
      <c r="F33" s="280" t="str">
        <f>IF(ISBLANK('Feuille saisie'!M38)=TRUE,"",'Feuille saisie'!M38)</f>
        <v/>
      </c>
      <c r="G33" s="280"/>
      <c r="H33" s="281"/>
    </row>
    <row r="34" spans="1:9" ht="39.4" customHeight="1" x14ac:dyDescent="0.45">
      <c r="A34" s="357" t="str">
        <f>Horaire!A39</f>
        <v>VAHIBE 2</v>
      </c>
      <c r="B34" s="343">
        <f>Horaire!B39</f>
        <v>0.25694444444444442</v>
      </c>
      <c r="C34" s="342" t="str">
        <f>Horaire!C39</f>
        <v>C10</v>
      </c>
      <c r="D34" s="341" t="str">
        <f>VLOOKUP(C34,'Liste chauffeur'!$B$5:$L$20,2,TRUE)&amp;" "&amp;VLOOKUP(C34,'Liste chauffeur'!$B$5:$L$20,3,TRUE)</f>
        <v>ISSIHAKA M'Changama</v>
      </c>
      <c r="E34" s="487" t="s">
        <v>51</v>
      </c>
      <c r="F34" s="280" t="str">
        <f>IF(ISBLANK('Feuille saisie'!M39)=TRUE,"",'Feuille saisie'!M39)</f>
        <v/>
      </c>
      <c r="G34" s="280"/>
      <c r="H34" s="281"/>
      <c r="I34" s="137"/>
    </row>
    <row r="35" spans="1:9" ht="39.4" customHeight="1" x14ac:dyDescent="0.45">
      <c r="A35" s="408" t="str">
        <f>Horaire!A40</f>
        <v>PASSAMAINTY</v>
      </c>
      <c r="B35" s="409">
        <f>Horaire!B40</f>
        <v>0.25694444444444442</v>
      </c>
      <c r="C35" s="410" t="str">
        <f>Horaire!C40</f>
        <v>C4</v>
      </c>
      <c r="D35" s="411" t="str">
        <f>VLOOKUP(C35,'Liste chauffeur'!$B$5:$L$20,2,TRUE)&amp;" "&amp;VLOOKUP(C35,'Liste chauffeur'!$B$5:$L$20,3,TRUE)</f>
        <v>TOUMBOU  Toibourani</v>
      </c>
      <c r="E35" s="418" t="s">
        <v>51</v>
      </c>
      <c r="F35" s="414" t="str">
        <f>IF(ISBLANK('Feuille saisie'!M40)=TRUE,"",'Feuille saisie'!M40)</f>
        <v/>
      </c>
      <c r="G35" s="414"/>
      <c r="H35" s="415"/>
    </row>
    <row r="36" spans="1:9" ht="39.4" customHeight="1" x14ac:dyDescent="0.45">
      <c r="A36" s="408" t="str">
        <f>Horaire!A41</f>
        <v>PASSAMAINTY</v>
      </c>
      <c r="B36" s="409">
        <f>Horaire!B41</f>
        <v>0.25694444444444442</v>
      </c>
      <c r="C36" s="410" t="str">
        <f>Horaire!C41</f>
        <v>C11</v>
      </c>
      <c r="D36" s="411" t="str">
        <f>VLOOKUP(C36,'Liste chauffeur'!$B$5:$L$20,2,TRUE)&amp;" "&amp;VLOOKUP(C36,'Liste chauffeur'!$B$5:$L$20,3,TRUE)</f>
        <v>MADI BOINA Mkidachi</v>
      </c>
      <c r="E36" s="418" t="s">
        <v>51</v>
      </c>
      <c r="F36" s="414" t="str">
        <f>IF(ISBLANK('Feuille saisie'!M41)=TRUE,"",'Feuille saisie'!M41)</f>
        <v/>
      </c>
      <c r="G36" s="414"/>
      <c r="H36" s="415"/>
    </row>
    <row r="37" spans="1:9" ht="39.4" customHeight="1" x14ac:dyDescent="0.45">
      <c r="A37" s="357" t="str">
        <f>Horaire!A42</f>
        <v>VAHIBE</v>
      </c>
      <c r="B37" s="343">
        <f>Horaire!B42</f>
        <v>0.2638888888888889</v>
      </c>
      <c r="C37" s="342" t="str">
        <f>Horaire!C42</f>
        <v>C5</v>
      </c>
      <c r="D37" s="341" t="str">
        <f>VLOOKUP(C37,'Liste chauffeur'!$B$5:$L$20,2,TRUE)&amp;" "&amp;VLOOKUP(C37,'Liste chauffeur'!$B$5:$L$20,3,TRUE)</f>
        <v>AHAMADI Bacar Raenmouddine</v>
      </c>
      <c r="E37" s="487" t="s">
        <v>51</v>
      </c>
      <c r="F37" s="285" t="str">
        <f>IF(ISBLANK('Feuille saisie'!M42)=TRUE,"",'Feuille saisie'!M42)</f>
        <v/>
      </c>
      <c r="G37" s="280"/>
      <c r="H37" s="281"/>
    </row>
    <row r="38" spans="1:9" ht="39.4" customHeight="1" x14ac:dyDescent="0.45">
      <c r="A38" s="357" t="str">
        <f>Horaire!A43</f>
        <v>VAHIBE 2</v>
      </c>
      <c r="B38" s="359">
        <f>Horaire!B43</f>
        <v>0.2638888888888889</v>
      </c>
      <c r="C38" s="342" t="str">
        <f>Horaire!C43</f>
        <v>C12</v>
      </c>
      <c r="D38" s="341" t="str">
        <f>VLOOKUP(C38,'Liste chauffeur'!$B$5:$L$20,2,TRUE)&amp;" "&amp;VLOOKUP(C38,'Liste chauffeur'!$B$5:$L$20,3,TRUE)</f>
        <v>ALILOIFFA Said Siradj</v>
      </c>
      <c r="E38" s="487" t="s">
        <v>51</v>
      </c>
      <c r="F38" s="280" t="str">
        <f>IF(ISBLANK('Feuille saisie'!M43)=TRUE,"",'Feuille saisie'!M43)</f>
        <v/>
      </c>
      <c r="G38" s="280"/>
      <c r="H38" s="281"/>
    </row>
    <row r="39" spans="1:9" ht="39.4" customHeight="1" x14ac:dyDescent="0.45">
      <c r="A39" s="408" t="str">
        <f>Horaire!A44</f>
        <v>PASSAMAINTY</v>
      </c>
      <c r="B39" s="409">
        <f>Horaire!B44</f>
        <v>0.2638888888888889</v>
      </c>
      <c r="C39" s="410" t="str">
        <f>Horaire!C44</f>
        <v>C2</v>
      </c>
      <c r="D39" s="411" t="str">
        <f>VLOOKUP(C39,'Liste chauffeur'!$B$5:$L$20,2,TRUE)&amp;" "&amp;VLOOKUP(C39,'Liste chauffeur'!$B$5:$L$20,3,TRUE)</f>
        <v>BINA HALADI Bina</v>
      </c>
      <c r="E39" s="418" t="s">
        <v>51</v>
      </c>
      <c r="F39" s="414" t="str">
        <f>IF(ISBLANK('Feuille saisie'!M44)=TRUE,"",'Feuille saisie'!M44)</f>
        <v/>
      </c>
      <c r="G39" s="414"/>
      <c r="H39" s="415"/>
    </row>
    <row r="40" spans="1:9" ht="39.4" customHeight="1" x14ac:dyDescent="0.45">
      <c r="A40" s="408" t="str">
        <f>Horaire!A45</f>
        <v>PASSAMAINTY</v>
      </c>
      <c r="B40" s="409">
        <f>Horaire!B45</f>
        <v>0.2638888888888889</v>
      </c>
      <c r="C40" s="410" t="str">
        <f>Horaire!C45</f>
        <v>C8</v>
      </c>
      <c r="D40" s="411" t="str">
        <f>VLOOKUP(C40,'Liste chauffeur'!$B$5:$L$20,2,TRUE)&amp;" "&amp;VLOOKUP(C40,'Liste chauffeur'!$B$5:$L$20,3,TRUE)</f>
        <v>HADHURAMI Makinedine</v>
      </c>
      <c r="E40" s="418" t="s">
        <v>51</v>
      </c>
      <c r="F40" s="414" t="str">
        <f>IF(ISBLANK('Feuille saisie'!M45)=TRUE,"",'Feuille saisie'!M45)</f>
        <v/>
      </c>
      <c r="G40" s="414"/>
      <c r="H40" s="415"/>
    </row>
    <row r="41" spans="1:9" ht="39.4" customHeight="1" x14ac:dyDescent="0.45">
      <c r="A41" s="357" t="str">
        <f>Horaire!A46</f>
        <v>VAHIBE</v>
      </c>
      <c r="B41" s="343">
        <f>Horaire!B46</f>
        <v>0.27083333333333331</v>
      </c>
      <c r="C41" s="342" t="str">
        <f>Horaire!C46</f>
        <v>C4</v>
      </c>
      <c r="D41" s="341" t="str">
        <f>VLOOKUP(C41,'Liste chauffeur'!$B$5:$L$20,2,TRUE)&amp;" "&amp;VLOOKUP(C41,'Liste chauffeur'!$B$5:$L$20,3,TRUE)</f>
        <v>TOUMBOU  Toibourani</v>
      </c>
      <c r="E41" s="487" t="s">
        <v>51</v>
      </c>
      <c r="F41" s="280" t="str">
        <f>IF(ISBLANK('Feuille saisie'!M46)=TRUE,"",'Feuille saisie'!M46)</f>
        <v/>
      </c>
      <c r="G41" s="280"/>
      <c r="H41" s="281"/>
    </row>
    <row r="42" spans="1:9" ht="39.4" customHeight="1" x14ac:dyDescent="0.45">
      <c r="A42" s="357" t="str">
        <f>Horaire!A47</f>
        <v>VAHIBE 2</v>
      </c>
      <c r="B42" s="343">
        <f>Horaire!B47</f>
        <v>0.27083333333333331</v>
      </c>
      <c r="C42" s="342" t="str">
        <f>Horaire!C47</f>
        <v>C11</v>
      </c>
      <c r="D42" s="341" t="str">
        <f>VLOOKUP(C42,'Liste chauffeur'!$B$5:$L$20,2,TRUE)&amp;" "&amp;VLOOKUP(C42,'Liste chauffeur'!$B$5:$L$20,3,TRUE)</f>
        <v>MADI BOINA Mkidachi</v>
      </c>
      <c r="E42" s="487" t="s">
        <v>51</v>
      </c>
      <c r="F42" s="280" t="str">
        <f>IF(ISBLANK('Feuille saisie'!M47)=TRUE,"",'Feuille saisie'!M47)</f>
        <v/>
      </c>
      <c r="G42" s="280"/>
      <c r="H42" s="281"/>
    </row>
    <row r="43" spans="1:9" ht="39.4" customHeight="1" x14ac:dyDescent="0.45">
      <c r="A43" s="408" t="str">
        <f>Horaire!A48</f>
        <v>PASSAMAINTY</v>
      </c>
      <c r="B43" s="358">
        <f>Horaire!B48</f>
        <v>0.27083333333333331</v>
      </c>
      <c r="C43" s="410" t="str">
        <f>Horaire!C48</f>
        <v>C15</v>
      </c>
      <c r="D43" s="411" t="str">
        <f>VLOOKUP(C43,'Liste chauffeur'!$B$5:$L$20,2,TRUE)&amp;" "&amp;VLOOKUP(C43,'Liste chauffeur'!$B$5:$L$20,3,TRUE)</f>
        <v>HAMADA Babou</v>
      </c>
      <c r="E43" s="418" t="s">
        <v>51</v>
      </c>
      <c r="F43" s="414" t="str">
        <f>IF(ISBLANK('Feuille saisie'!M48)=TRUE,"",'Feuille saisie'!M48)</f>
        <v/>
      </c>
      <c r="G43" s="414"/>
      <c r="H43" s="415"/>
      <c r="I43" s="309" t="s">
        <v>391</v>
      </c>
    </row>
    <row r="44" spans="1:9" ht="39.4" customHeight="1" x14ac:dyDescent="0.45">
      <c r="A44" s="408" t="str">
        <f>Horaire!A49</f>
        <v>PASSAMAINTY</v>
      </c>
      <c r="B44" s="409">
        <f>Horaire!B49</f>
        <v>0.27083333333333331</v>
      </c>
      <c r="C44" s="410" t="str">
        <f>Horaire!C49</f>
        <v>C9</v>
      </c>
      <c r="D44" s="411" t="str">
        <f>VLOOKUP(C44,'Liste chauffeur'!$B$5:$L$20,2,TRUE)&amp;" "&amp;VLOOKUP(C44,'Liste chauffeur'!$B$5:$L$20,3,TRUE)</f>
        <v>SANDI Maanrouf</v>
      </c>
      <c r="E44" s="418" t="s">
        <v>51</v>
      </c>
      <c r="F44" s="414" t="str">
        <f>IF(ISBLANK('Feuille saisie'!M49)=TRUE,"",'Feuille saisie'!M49)</f>
        <v/>
      </c>
      <c r="G44" s="414"/>
      <c r="H44" s="415"/>
    </row>
    <row r="45" spans="1:9" ht="39.4" customHeight="1" x14ac:dyDescent="0.45">
      <c r="A45" s="357" t="str">
        <f>Horaire!A50</f>
        <v>VAHIBE</v>
      </c>
      <c r="B45" s="359">
        <f>Horaire!B50</f>
        <v>0.27777777777777779</v>
      </c>
      <c r="C45" s="342" t="str">
        <f>Horaire!C50</f>
        <v>C2</v>
      </c>
      <c r="D45" s="341" t="str">
        <f>VLOOKUP(C45,'Liste chauffeur'!$B$5:$L$20,2,TRUE)&amp;" "&amp;VLOOKUP(C45,'Liste chauffeur'!$B$5:$L$20,3,TRUE)</f>
        <v>BINA HALADI Bina</v>
      </c>
      <c r="E45" s="487" t="s">
        <v>51</v>
      </c>
      <c r="F45" s="280" t="str">
        <f>IF(ISBLANK('Feuille saisie'!M50)=TRUE,"",'Feuille saisie'!M50)</f>
        <v/>
      </c>
      <c r="G45" s="280"/>
      <c r="H45" s="281"/>
    </row>
    <row r="46" spans="1:9" ht="39.4" customHeight="1" x14ac:dyDescent="0.45">
      <c r="A46" s="357" t="str">
        <f>Horaire!A51</f>
        <v>VAHIBE 2</v>
      </c>
      <c r="B46" s="343">
        <f>Horaire!B51</f>
        <v>0.27777777777777779</v>
      </c>
      <c r="C46" s="342" t="str">
        <f>Horaire!C51</f>
        <v>C8</v>
      </c>
      <c r="D46" s="341" t="str">
        <f>VLOOKUP(C46,'Liste chauffeur'!$B$5:$L$20,2,TRUE)&amp;" "&amp;VLOOKUP(C46,'Liste chauffeur'!$B$5:$L$20,3,TRUE)</f>
        <v>HADHURAMI Makinedine</v>
      </c>
      <c r="E46" s="487" t="s">
        <v>51</v>
      </c>
      <c r="F46" s="280" t="str">
        <f>IF(ISBLANK('Feuille saisie'!M51)=TRUE,"",'Feuille saisie'!M51)</f>
        <v/>
      </c>
      <c r="G46" s="280"/>
      <c r="H46" s="281"/>
    </row>
    <row r="47" spans="1:9" ht="39.4" customHeight="1" x14ac:dyDescent="0.45">
      <c r="A47" s="408" t="str">
        <f>Horaire!A52</f>
        <v>PASSAMAINTY</v>
      </c>
      <c r="B47" s="409">
        <f>Horaire!B52</f>
        <v>0.27777777777777779</v>
      </c>
      <c r="C47" s="410" t="str">
        <f>Horaire!C52</f>
        <v>C1</v>
      </c>
      <c r="D47" s="411" t="str">
        <f>VLOOKUP(C47,'Liste chauffeur'!$B$5:$L$20,2,TRUE)&amp;" "&amp;VLOOKUP(C47,'Liste chauffeur'!$B$5:$L$20,3,TRUE)</f>
        <v>EL ANZIZE SALIM Hamada</v>
      </c>
      <c r="E47" s="418" t="s">
        <v>51</v>
      </c>
      <c r="F47" s="414" t="str">
        <f>IF(ISBLANK('Feuille saisie'!M52)=TRUE,"",'Feuille saisie'!M52)</f>
        <v/>
      </c>
      <c r="G47" s="414"/>
      <c r="H47" s="415"/>
    </row>
    <row r="48" spans="1:9" ht="39.4" customHeight="1" x14ac:dyDescent="0.45">
      <c r="A48" s="408" t="str">
        <f>Horaire!A53</f>
        <v>PASSAMAINTY</v>
      </c>
      <c r="B48" s="409">
        <f>Horaire!B53</f>
        <v>0.27777777777777779</v>
      </c>
      <c r="C48" s="410" t="str">
        <f>Horaire!C53</f>
        <v>C3</v>
      </c>
      <c r="D48" s="411" t="str">
        <f>VLOOKUP(C48,'Liste chauffeur'!$B$5:$L$20,2,TRUE)&amp;" "&amp;VLOOKUP(C48,'Liste chauffeur'!$B$5:$L$20,3,TRUE)</f>
        <v>ABDOU MINIHADJI Amada</v>
      </c>
      <c r="E48" s="418" t="s">
        <v>51</v>
      </c>
      <c r="F48" s="414" t="str">
        <f>IF(ISBLANK('Feuille saisie'!M53)=TRUE,"",'Feuille saisie'!M53)</f>
        <v/>
      </c>
      <c r="G48" s="414"/>
      <c r="H48" s="415"/>
      <c r="I48" s="309"/>
    </row>
    <row r="49" spans="1:9" ht="39.4" customHeight="1" x14ac:dyDescent="0.45">
      <c r="A49" s="357" t="str">
        <f>Horaire!A54</f>
        <v>VAHIBE</v>
      </c>
      <c r="B49" s="343">
        <f>Horaire!B54</f>
        <v>0.28472222222222221</v>
      </c>
      <c r="C49" s="342" t="str">
        <f>Horaire!C54</f>
        <v>C15</v>
      </c>
      <c r="D49" s="341" t="str">
        <f>VLOOKUP(C49,'Liste chauffeur'!$B$5:$L$20,2,TRUE)&amp;" "&amp;VLOOKUP(C49,'Liste chauffeur'!$B$5:$L$20,3,TRUE)</f>
        <v>HAMADA Babou</v>
      </c>
      <c r="E49" s="487" t="s">
        <v>51</v>
      </c>
      <c r="F49" s="280" t="str">
        <f>IF(ISBLANK('Feuille saisie'!M54)=TRUE,"",'Feuille saisie'!M54)</f>
        <v/>
      </c>
      <c r="G49" s="280"/>
      <c r="H49" s="281"/>
    </row>
    <row r="50" spans="1:9" ht="39.4" customHeight="1" x14ac:dyDescent="0.45">
      <c r="A50" s="357" t="str">
        <f>Horaire!A55</f>
        <v>VAHIBE 2</v>
      </c>
      <c r="B50" s="343">
        <f>Horaire!B55</f>
        <v>0.28472222222222221</v>
      </c>
      <c r="C50" s="342" t="str">
        <f>Horaire!C55</f>
        <v>C9</v>
      </c>
      <c r="D50" s="341" t="str">
        <f>VLOOKUP(C50,'Liste chauffeur'!$B$5:$L$20,2,TRUE)&amp;" "&amp;VLOOKUP(C50,'Liste chauffeur'!$B$5:$L$20,3,TRUE)</f>
        <v>SANDI Maanrouf</v>
      </c>
      <c r="E50" s="487" t="s">
        <v>51</v>
      </c>
      <c r="F50" s="280" t="str">
        <f>IF(ISBLANK('Feuille saisie'!M55)=TRUE,"",'Feuille saisie'!M55)</f>
        <v/>
      </c>
      <c r="G50" s="280"/>
      <c r="H50" s="281"/>
      <c r="I50" s="309" t="s">
        <v>389</v>
      </c>
    </row>
    <row r="51" spans="1:9" ht="39.4" customHeight="1" x14ac:dyDescent="0.45">
      <c r="A51" s="408" t="str">
        <f>Horaire!A56</f>
        <v>PASSAMAINTY</v>
      </c>
      <c r="B51" s="409">
        <f>Horaire!B56</f>
        <v>0.28472222222222221</v>
      </c>
      <c r="C51" s="410" t="str">
        <f>Horaire!C56</f>
        <v>C10</v>
      </c>
      <c r="D51" s="411" t="str">
        <f>VLOOKUP(C51,'Liste chauffeur'!$B$5:$L$20,2,TRUE)&amp;" "&amp;VLOOKUP(C51,'Liste chauffeur'!$B$5:$L$20,3,TRUE)</f>
        <v>ISSIHAKA M'Changama</v>
      </c>
      <c r="E51" s="418" t="s">
        <v>51</v>
      </c>
      <c r="F51" s="414" t="str">
        <f>IF(ISBLANK('Feuille saisie'!M56)=TRUE,"",'Feuille saisie'!M56)</f>
        <v/>
      </c>
      <c r="G51" s="414"/>
      <c r="H51" s="415"/>
      <c r="I51" s="309"/>
    </row>
    <row r="52" spans="1:9" ht="39.4" customHeight="1" x14ac:dyDescent="0.45">
      <c r="A52" s="408" t="str">
        <f>Horaire!A57</f>
        <v>PASSAMAINTY</v>
      </c>
      <c r="B52" s="409">
        <f>Horaire!B57</f>
        <v>0.28472222222222221</v>
      </c>
      <c r="C52" s="410" t="str">
        <f>Horaire!C57</f>
        <v>C5</v>
      </c>
      <c r="D52" s="411" t="str">
        <f>VLOOKUP(C52,'Liste chauffeur'!$B$5:$L$20,2,TRUE)&amp;" "&amp;VLOOKUP(C52,'Liste chauffeur'!$B$5:$L$20,3,TRUE)</f>
        <v>AHAMADI Bacar Raenmouddine</v>
      </c>
      <c r="E52" s="418" t="s">
        <v>51</v>
      </c>
      <c r="F52" s="414"/>
      <c r="G52" s="414"/>
      <c r="H52" s="415"/>
      <c r="I52" s="309"/>
    </row>
    <row r="53" spans="1:9" ht="39.4" customHeight="1" x14ac:dyDescent="0.45">
      <c r="A53" s="357" t="str">
        <f>Horaire!A58</f>
        <v>VAHIBE</v>
      </c>
      <c r="B53" s="343">
        <f>Horaire!B58</f>
        <v>0.29166666666666669</v>
      </c>
      <c r="C53" s="342" t="str">
        <f>Horaire!C58</f>
        <v>C1</v>
      </c>
      <c r="D53" s="341" t="str">
        <f>VLOOKUP(C53,'Liste chauffeur'!$B$5:$L$20,2,TRUE)&amp;" "&amp;VLOOKUP(C53,'Liste chauffeur'!$B$5:$L$20,3,TRUE)</f>
        <v>EL ANZIZE SALIM Hamada</v>
      </c>
      <c r="E53" s="487" t="s">
        <v>51</v>
      </c>
      <c r="F53" s="280"/>
      <c r="G53" s="280"/>
      <c r="H53" s="281"/>
      <c r="I53" s="309"/>
    </row>
    <row r="54" spans="1:9" ht="39.4" customHeight="1" x14ac:dyDescent="0.45">
      <c r="A54" s="357" t="str">
        <f>Horaire!A59</f>
        <v>VAHIBE 2</v>
      </c>
      <c r="B54" s="343">
        <f>Horaire!B59</f>
        <v>0.29166666666666669</v>
      </c>
      <c r="C54" s="342" t="str">
        <f>Horaire!C59</f>
        <v>C3</v>
      </c>
      <c r="D54" s="341" t="str">
        <f>VLOOKUP(C54,'Liste chauffeur'!$B$5:$L$20,2,TRUE)&amp;" "&amp;VLOOKUP(C54,'Liste chauffeur'!$B$5:$L$20,3,TRUE)</f>
        <v>ABDOU MINIHADJI Amada</v>
      </c>
      <c r="E54" s="487" t="s">
        <v>51</v>
      </c>
      <c r="F54" s="280"/>
      <c r="G54" s="280"/>
      <c r="H54" s="281"/>
      <c r="I54" s="309"/>
    </row>
    <row r="55" spans="1:9" ht="39.4" customHeight="1" x14ac:dyDescent="0.45">
      <c r="A55" s="408" t="str">
        <f>Horaire!A60</f>
        <v>PASSAMAINTY</v>
      </c>
      <c r="B55" s="409">
        <f>Horaire!B60</f>
        <v>0.29166666666666669</v>
      </c>
      <c r="C55" s="410" t="str">
        <f>Horaire!C60</f>
        <v>C4</v>
      </c>
      <c r="D55" s="411" t="str">
        <f>VLOOKUP(C55,'Liste chauffeur'!$B$5:$L$20,2,TRUE)&amp;" "&amp;VLOOKUP(C55,'Liste chauffeur'!$B$5:$L$20,3,TRUE)</f>
        <v>TOUMBOU  Toibourani</v>
      </c>
      <c r="E55" s="418" t="s">
        <v>51</v>
      </c>
      <c r="F55" s="414"/>
      <c r="G55" s="414"/>
      <c r="H55" s="415"/>
      <c r="I55" s="309"/>
    </row>
    <row r="56" spans="1:9" ht="39.4" customHeight="1" x14ac:dyDescent="0.45">
      <c r="A56" s="408" t="str">
        <f>Horaire!A61</f>
        <v>PASSAMAINTY</v>
      </c>
      <c r="B56" s="409">
        <f>Horaire!B61</f>
        <v>0.29166666666666669</v>
      </c>
      <c r="C56" s="410" t="str">
        <f>Horaire!C61</f>
        <v>C11</v>
      </c>
      <c r="D56" s="411" t="str">
        <f>VLOOKUP(C56,'Liste chauffeur'!$B$5:$L$20,2,TRUE)&amp;" "&amp;VLOOKUP(C56,'Liste chauffeur'!$B$5:$L$20,3,TRUE)</f>
        <v>MADI BOINA Mkidachi</v>
      </c>
      <c r="E56" s="418" t="s">
        <v>51</v>
      </c>
      <c r="F56" s="414"/>
      <c r="G56" s="414"/>
      <c r="H56" s="415"/>
      <c r="I56" s="309"/>
    </row>
    <row r="57" spans="1:9" ht="39.4" customHeight="1" x14ac:dyDescent="0.45">
      <c r="A57" s="357" t="str">
        <f>Horaire!A62</f>
        <v>VAHIBE</v>
      </c>
      <c r="B57" s="343">
        <f>Horaire!B62</f>
        <v>0.2986111111111111</v>
      </c>
      <c r="C57" s="342" t="str">
        <f>Horaire!C62</f>
        <v>C10</v>
      </c>
      <c r="D57" s="341" t="str">
        <f>VLOOKUP(C57,'Liste chauffeur'!$B$5:$L$20,2,TRUE)&amp;" "&amp;VLOOKUP(C57,'Liste chauffeur'!$B$5:$L$20,3,TRUE)</f>
        <v>ISSIHAKA M'Changama</v>
      </c>
      <c r="E57" s="487" t="s">
        <v>51</v>
      </c>
      <c r="F57" s="280"/>
      <c r="G57" s="280"/>
      <c r="H57" s="281"/>
      <c r="I57" s="309"/>
    </row>
    <row r="58" spans="1:9" ht="39.4" customHeight="1" x14ac:dyDescent="0.45">
      <c r="A58" s="357" t="str">
        <f>Horaire!A63</f>
        <v>VAHIBE 2</v>
      </c>
      <c r="B58" s="361">
        <f>Horaire!B63</f>
        <v>0.2986111111111111</v>
      </c>
      <c r="C58" s="342" t="str">
        <f>Horaire!C63</f>
        <v>C5</v>
      </c>
      <c r="D58" s="341" t="str">
        <f>VLOOKUP(C58,'Liste chauffeur'!$B$5:$L$20,2,TRUE)&amp;" "&amp;VLOOKUP(C58,'Liste chauffeur'!$B$5:$L$20,3,TRUE)</f>
        <v>AHAMADI Bacar Raenmouddine</v>
      </c>
      <c r="E58" s="487" t="s">
        <v>51</v>
      </c>
      <c r="F58" s="280"/>
      <c r="G58" s="280"/>
      <c r="H58" s="281"/>
      <c r="I58" s="309"/>
    </row>
    <row r="59" spans="1:9" ht="39.4" customHeight="1" x14ac:dyDescent="0.45">
      <c r="A59" s="408" t="str">
        <f>Horaire!A64</f>
        <v>PASSAMAINTY</v>
      </c>
      <c r="B59" s="358">
        <f>Horaire!B64</f>
        <v>0.2986111111111111</v>
      </c>
      <c r="C59" s="410" t="str">
        <f>Horaire!C64</f>
        <v>C13</v>
      </c>
      <c r="D59" s="411" t="str">
        <f>VLOOKUP(C59,'Liste chauffeur'!$B$5:$L$20,2,TRUE)&amp;" "&amp;VLOOKUP(C59,'Liste chauffeur'!$B$5:$L$20,3,TRUE)</f>
        <v>ABDALLAH Ben (Taxi Vanille)</v>
      </c>
      <c r="E59" s="418" t="s">
        <v>51</v>
      </c>
      <c r="F59" s="414"/>
      <c r="G59" s="414"/>
      <c r="H59" s="415"/>
      <c r="I59" s="309"/>
    </row>
    <row r="60" spans="1:9" ht="39.4" customHeight="1" x14ac:dyDescent="0.45">
      <c r="A60" s="408" t="str">
        <f>Horaire!A65</f>
        <v>PASSAMAINTY</v>
      </c>
      <c r="B60" s="409">
        <f>Horaire!B65</f>
        <v>0.2986111111111111</v>
      </c>
      <c r="C60" s="410" t="str">
        <f>Horaire!C65</f>
        <v>C8</v>
      </c>
      <c r="D60" s="411" t="str">
        <f>VLOOKUP(C60,'Liste chauffeur'!$B$5:$L$20,2,TRUE)&amp;" "&amp;VLOOKUP(C60,'Liste chauffeur'!$B$5:$L$20,3,TRUE)</f>
        <v>HADHURAMI Makinedine</v>
      </c>
      <c r="E60" s="418" t="s">
        <v>51</v>
      </c>
      <c r="F60" s="414"/>
      <c r="G60" s="414"/>
      <c r="H60" s="415"/>
      <c r="I60" s="309"/>
    </row>
    <row r="61" spans="1:9" ht="39.4" customHeight="1" x14ac:dyDescent="0.45">
      <c r="A61" s="357" t="str">
        <f>Horaire!A66</f>
        <v>VAHIBE</v>
      </c>
      <c r="B61" s="343">
        <f>Horaire!B66</f>
        <v>0.30555555555555558</v>
      </c>
      <c r="C61" s="342" t="str">
        <f>Horaire!C66</f>
        <v>C4</v>
      </c>
      <c r="D61" s="341" t="str">
        <f>VLOOKUP(C61,'Liste chauffeur'!$B$5:$L$20,2,TRUE)&amp;" "&amp;VLOOKUP(C61,'Liste chauffeur'!$B$5:$L$20,3,TRUE)</f>
        <v>TOUMBOU  Toibourani</v>
      </c>
      <c r="E61" s="487" t="s">
        <v>51</v>
      </c>
      <c r="F61" s="280"/>
      <c r="G61" s="280"/>
      <c r="H61" s="281"/>
      <c r="I61" s="309"/>
    </row>
    <row r="62" spans="1:9" ht="39.4" customHeight="1" x14ac:dyDescent="0.45">
      <c r="A62" s="357" t="str">
        <f>Horaire!A67</f>
        <v>VAHIBE 2</v>
      </c>
      <c r="B62" s="361">
        <f>Horaire!B67</f>
        <v>0.30555555555555558</v>
      </c>
      <c r="C62" s="342" t="str">
        <f>Horaire!C67</f>
        <v>C11</v>
      </c>
      <c r="D62" s="341" t="str">
        <f>VLOOKUP(C62,'Liste chauffeur'!$B$5:$L$20,2,TRUE)&amp;" "&amp;VLOOKUP(C62,'Liste chauffeur'!$B$5:$L$20,3,TRUE)</f>
        <v>MADI BOINA Mkidachi</v>
      </c>
      <c r="E62" s="487" t="s">
        <v>51</v>
      </c>
      <c r="F62" s="280"/>
      <c r="G62" s="280"/>
      <c r="H62" s="281"/>
      <c r="I62" s="309"/>
    </row>
    <row r="63" spans="1:9" ht="39.4" customHeight="1" x14ac:dyDescent="0.45">
      <c r="A63" s="408" t="str">
        <f>Horaire!A68</f>
        <v>PASSAMAINTY</v>
      </c>
      <c r="B63" s="409">
        <f>Horaire!B68</f>
        <v>0.30555555555555558</v>
      </c>
      <c r="C63" s="410" t="str">
        <f>Horaire!C68</f>
        <v>C15</v>
      </c>
      <c r="D63" s="411" t="str">
        <f>VLOOKUP(C63,'Liste chauffeur'!$B$5:$L$20,2,TRUE)&amp;" "&amp;VLOOKUP(C63,'Liste chauffeur'!$B$5:$L$20,3,TRUE)</f>
        <v>HAMADA Babou</v>
      </c>
      <c r="E63" s="418" t="s">
        <v>51</v>
      </c>
      <c r="F63" s="414"/>
      <c r="G63" s="414"/>
      <c r="H63" s="415"/>
      <c r="I63" s="309"/>
    </row>
    <row r="64" spans="1:9" ht="39.4" customHeight="1" x14ac:dyDescent="0.45">
      <c r="A64" s="408" t="str">
        <f>Horaire!A69</f>
        <v>PASSAMAINTY</v>
      </c>
      <c r="B64" s="409">
        <f>Horaire!B69</f>
        <v>0.30555555555555558</v>
      </c>
      <c r="C64" s="410" t="str">
        <f>Horaire!C69</f>
        <v>C9</v>
      </c>
      <c r="D64" s="411" t="str">
        <f>VLOOKUP(C64,'Liste chauffeur'!$B$5:$L$20,2,TRUE)&amp;" "&amp;VLOOKUP(C64,'Liste chauffeur'!$B$5:$L$20,3,TRUE)</f>
        <v>SANDI Maanrouf</v>
      </c>
      <c r="E64" s="418" t="s">
        <v>51</v>
      </c>
      <c r="F64" s="414"/>
      <c r="G64" s="414"/>
      <c r="H64" s="415"/>
    </row>
    <row r="65" spans="1:9" ht="39.4" customHeight="1" x14ac:dyDescent="0.45">
      <c r="A65" s="357" t="str">
        <f>Horaire!A70</f>
        <v>VAHIBE</v>
      </c>
      <c r="B65" s="343">
        <f>Horaire!B70</f>
        <v>0.3125</v>
      </c>
      <c r="C65" s="342" t="str">
        <f>Horaire!C70</f>
        <v>C13</v>
      </c>
      <c r="D65" s="341" t="str">
        <f>VLOOKUP(C65,'Liste chauffeur'!$B$5:$L$20,2,TRUE)&amp;" "&amp;VLOOKUP(C65,'Liste chauffeur'!$B$5:$L$20,3,TRUE)</f>
        <v>ABDALLAH Ben (Taxi Vanille)</v>
      </c>
      <c r="E65" s="487" t="s">
        <v>51</v>
      </c>
      <c r="F65" s="280"/>
      <c r="G65" s="280"/>
      <c r="H65" s="281"/>
    </row>
    <row r="66" spans="1:9" ht="39.4" customHeight="1" x14ac:dyDescent="0.45">
      <c r="A66" s="357" t="str">
        <f>Horaire!A71</f>
        <v>VAHIBE 2</v>
      </c>
      <c r="B66" s="359">
        <f>Horaire!B71</f>
        <v>0.3125</v>
      </c>
      <c r="C66" s="342" t="str">
        <f>Horaire!C71</f>
        <v>C8</v>
      </c>
      <c r="D66" s="341" t="str">
        <f>VLOOKUP(C66,'Liste chauffeur'!$B$5:$L$20,2,TRUE)&amp;" "&amp;VLOOKUP(C66,'Liste chauffeur'!$B$5:$L$20,3,TRUE)</f>
        <v>HADHURAMI Makinedine</v>
      </c>
      <c r="E66" s="487" t="s">
        <v>51</v>
      </c>
      <c r="F66" s="280"/>
      <c r="G66" s="280"/>
      <c r="H66" s="281"/>
      <c r="I66" s="309" t="s">
        <v>390</v>
      </c>
    </row>
    <row r="67" spans="1:9" ht="39.4" customHeight="1" x14ac:dyDescent="0.45">
      <c r="A67" s="408" t="str">
        <f>Horaire!A72</f>
        <v>PASSAMAINTY</v>
      </c>
      <c r="B67" s="409">
        <f>Horaire!B72</f>
        <v>0.3125</v>
      </c>
      <c r="C67" s="410" t="str">
        <f>Horaire!C72</f>
        <v>C3</v>
      </c>
      <c r="D67" s="411" t="str">
        <f>VLOOKUP(C67,'Liste chauffeur'!$B$5:$L$20,2,TRUE)&amp;" "&amp;VLOOKUP(C67,'Liste chauffeur'!$B$5:$L$20,3,TRUE)</f>
        <v>ABDOU MINIHADJI Amada</v>
      </c>
      <c r="E67" s="418" t="s">
        <v>51</v>
      </c>
      <c r="F67" s="414"/>
      <c r="G67" s="414"/>
      <c r="H67" s="415"/>
    </row>
    <row r="68" spans="1:9" ht="39.4" customHeight="1" x14ac:dyDescent="0.45">
      <c r="A68" s="408" t="str">
        <f>Horaire!A73</f>
        <v>PASSAMAINTY</v>
      </c>
      <c r="B68" s="409">
        <f>Horaire!B73</f>
        <v>0.3125</v>
      </c>
      <c r="C68" s="410" t="str">
        <f>Horaire!C73</f>
        <v>C1</v>
      </c>
      <c r="D68" s="411" t="str">
        <f>VLOOKUP(C68,'Liste chauffeur'!$B$5:$L$20,2,TRUE)&amp;" "&amp;VLOOKUP(C68,'Liste chauffeur'!$B$5:$L$20,3,TRUE)</f>
        <v>EL ANZIZE SALIM Hamada</v>
      </c>
      <c r="E68" s="418" t="s">
        <v>51</v>
      </c>
      <c r="F68" s="414"/>
      <c r="G68" s="414"/>
      <c r="H68" s="415"/>
    </row>
    <row r="69" spans="1:9" ht="39.4" customHeight="1" x14ac:dyDescent="0.45">
      <c r="A69" s="357" t="str">
        <f>Horaire!A74</f>
        <v>VAHIBE</v>
      </c>
      <c r="B69" s="361">
        <f>Horaire!B74</f>
        <v>0.31944444444444442</v>
      </c>
      <c r="C69" s="342" t="str">
        <f>Horaire!C74</f>
        <v>C15</v>
      </c>
      <c r="D69" s="341" t="str">
        <f>VLOOKUP(C69,'Liste chauffeur'!$B$5:$L$20,2,TRUE)&amp;" "&amp;VLOOKUP(C69,'Liste chauffeur'!$B$5:$L$20,3,TRUE)</f>
        <v>HAMADA Babou</v>
      </c>
      <c r="E69" s="487" t="s">
        <v>51</v>
      </c>
      <c r="F69" s="280"/>
      <c r="G69" s="280"/>
      <c r="H69" s="281"/>
    </row>
    <row r="70" spans="1:9" ht="39.4" customHeight="1" x14ac:dyDescent="0.45">
      <c r="A70" s="357" t="str">
        <f>Horaire!A75</f>
        <v>VAHIBE 2</v>
      </c>
      <c r="B70" s="359">
        <f>Horaire!B75</f>
        <v>0.31944444444444442</v>
      </c>
      <c r="C70" s="342" t="str">
        <f>Horaire!C75</f>
        <v>C9</v>
      </c>
      <c r="D70" s="341" t="str">
        <f>VLOOKUP(C70,'Liste chauffeur'!$B$5:$L$20,2,TRUE)&amp;" "&amp;VLOOKUP(C70,'Liste chauffeur'!$B$5:$L$20,3,TRUE)</f>
        <v>SANDI Maanrouf</v>
      </c>
      <c r="E70" s="487" t="s">
        <v>51</v>
      </c>
      <c r="F70" s="280"/>
      <c r="G70" s="280"/>
      <c r="H70" s="281"/>
      <c r="I70" s="309"/>
    </row>
    <row r="71" spans="1:9" ht="39.4" customHeight="1" x14ac:dyDescent="0.45">
      <c r="A71" s="408" t="str">
        <f>Horaire!A76</f>
        <v>PASSAMAINTY</v>
      </c>
      <c r="B71" s="409">
        <f>Horaire!B76</f>
        <v>0.31944444444444442</v>
      </c>
      <c r="C71" s="410" t="str">
        <f>Horaire!C76</f>
        <v>C10</v>
      </c>
      <c r="D71" s="411" t="str">
        <f>VLOOKUP(C71,'Liste chauffeur'!$B$5:$L$20,2,TRUE)&amp;" "&amp;VLOOKUP(C71,'Liste chauffeur'!$B$5:$L$20,3,TRUE)</f>
        <v>ISSIHAKA M'Changama</v>
      </c>
      <c r="E71" s="418" t="s">
        <v>51</v>
      </c>
      <c r="F71" s="414"/>
      <c r="G71" s="414"/>
      <c r="H71" s="415"/>
    </row>
    <row r="72" spans="1:9" ht="39.4" customHeight="1" x14ac:dyDescent="0.45">
      <c r="A72" s="408" t="str">
        <f>Horaire!A77</f>
        <v>PASSAMAINTY</v>
      </c>
      <c r="B72" s="409">
        <f>Horaire!B77</f>
        <v>0.31944444444444442</v>
      </c>
      <c r="C72" s="410" t="str">
        <f>Horaire!C77</f>
        <v>C5</v>
      </c>
      <c r="D72" s="411" t="str">
        <f>VLOOKUP(C72,'Liste chauffeur'!$B$5:$L$20,2,TRUE)&amp;" "&amp;VLOOKUP(C72,'Liste chauffeur'!$B$5:$L$20,3,TRUE)</f>
        <v>AHAMADI Bacar Raenmouddine</v>
      </c>
      <c r="E72" s="418" t="s">
        <v>51</v>
      </c>
      <c r="F72" s="414"/>
      <c r="G72" s="414"/>
      <c r="H72" s="415"/>
    </row>
    <row r="73" spans="1:9" ht="39.4" customHeight="1" x14ac:dyDescent="0.45">
      <c r="A73" s="357" t="str">
        <f>Horaire!A78</f>
        <v>VAHIBE</v>
      </c>
      <c r="B73" s="359">
        <f>Horaire!B78</f>
        <v>0.3263888888888889</v>
      </c>
      <c r="C73" s="342" t="str">
        <f>Horaire!C78</f>
        <v>C3</v>
      </c>
      <c r="D73" s="341" t="str">
        <f>VLOOKUP(C73,'Liste chauffeur'!$B$5:$L$20,2,TRUE)&amp;" "&amp;VLOOKUP(C73,'Liste chauffeur'!$B$5:$L$20,3,TRUE)</f>
        <v>ABDOU MINIHADJI Amada</v>
      </c>
      <c r="E73" s="487" t="s">
        <v>51</v>
      </c>
      <c r="F73" s="280"/>
      <c r="G73" s="280"/>
      <c r="H73" s="281"/>
    </row>
    <row r="74" spans="1:9" ht="39.4" customHeight="1" x14ac:dyDescent="0.45">
      <c r="A74" s="357" t="str">
        <f>Horaire!A79</f>
        <v>VAHIBE 2</v>
      </c>
      <c r="B74" s="361">
        <f>Horaire!B79</f>
        <v>0.3263888888888889</v>
      </c>
      <c r="C74" s="342" t="str">
        <f>Horaire!C79</f>
        <v>C1</v>
      </c>
      <c r="D74" s="341" t="str">
        <f>VLOOKUP(C74,'Liste chauffeur'!$B$5:$L$20,2,TRUE)&amp;" "&amp;VLOOKUP(C74,'Liste chauffeur'!$B$5:$L$20,3,TRUE)</f>
        <v>EL ANZIZE SALIM Hamada</v>
      </c>
      <c r="E74" s="487" t="s">
        <v>51</v>
      </c>
      <c r="F74" s="280"/>
      <c r="G74" s="280"/>
      <c r="H74" s="281"/>
      <c r="I74" s="309" t="s">
        <v>392</v>
      </c>
    </row>
    <row r="75" spans="1:9" ht="39.4" customHeight="1" x14ac:dyDescent="0.45">
      <c r="A75" s="408" t="str">
        <f>Horaire!A80</f>
        <v>PASSAMAINTY</v>
      </c>
      <c r="B75" s="409">
        <f>Horaire!B80</f>
        <v>0.3263888888888889</v>
      </c>
      <c r="C75" s="410" t="str">
        <f>Horaire!C80</f>
        <v>C4</v>
      </c>
      <c r="D75" s="411" t="str">
        <f>VLOOKUP(C75,'Liste chauffeur'!$B$5:$L$20,2,TRUE)&amp;" "&amp;VLOOKUP(C75,'Liste chauffeur'!$B$5:$L$20,3,TRUE)</f>
        <v>TOUMBOU  Toibourani</v>
      </c>
      <c r="E75" s="418" t="s">
        <v>51</v>
      </c>
      <c r="F75" s="414"/>
      <c r="G75" s="414"/>
      <c r="H75" s="415"/>
    </row>
    <row r="76" spans="1:9" ht="39.4" customHeight="1" x14ac:dyDescent="0.45">
      <c r="A76" s="408" t="str">
        <f>Horaire!A81</f>
        <v>PASSAMAINTY</v>
      </c>
      <c r="B76" s="359">
        <f>Horaire!B81</f>
        <v>0.3263888888888889</v>
      </c>
      <c r="C76" s="410" t="str">
        <f>Horaire!C81</f>
        <v>C11</v>
      </c>
      <c r="D76" s="411" t="str">
        <f>VLOOKUP(C76,'Liste chauffeur'!$B$5:$L$20,2,TRUE)&amp;" "&amp;VLOOKUP(C76,'Liste chauffeur'!$B$5:$L$20,3,TRUE)</f>
        <v>MADI BOINA Mkidachi</v>
      </c>
      <c r="E76" s="418" t="s">
        <v>51</v>
      </c>
      <c r="F76" s="414"/>
      <c r="G76" s="414"/>
      <c r="H76" s="415"/>
      <c r="I76" s="137"/>
    </row>
    <row r="77" spans="1:9" ht="39.4" customHeight="1" x14ac:dyDescent="0.45">
      <c r="A77" s="484" t="str">
        <f>Horaire!A82</f>
        <v>VAHIBE</v>
      </c>
      <c r="B77" s="359">
        <f>Horaire!B82</f>
        <v>0.33333333333333331</v>
      </c>
      <c r="C77" s="485" t="str">
        <f>Horaire!C82</f>
        <v>C5</v>
      </c>
      <c r="D77" s="486" t="str">
        <f>VLOOKUP(C77,'Liste chauffeur'!$B$5:$L$20,2,TRUE)&amp;" "&amp;VLOOKUP(C77,'Liste chauffeur'!$B$5:$L$20,3,TRUE)</f>
        <v>AHAMADI Bacar Raenmouddine</v>
      </c>
      <c r="E77" s="487" t="s">
        <v>51</v>
      </c>
      <c r="F77" s="285"/>
      <c r="G77" s="285"/>
      <c r="H77" s="488"/>
      <c r="I77" s="137"/>
    </row>
    <row r="78" spans="1:9" ht="39.4" customHeight="1" x14ac:dyDescent="0.45">
      <c r="A78" s="484" t="str">
        <f>Horaire!A83</f>
        <v>VAHIBE 2</v>
      </c>
      <c r="B78" s="359">
        <f>Horaire!B83</f>
        <v>0.33333333333333331</v>
      </c>
      <c r="C78" s="485" t="str">
        <f>Horaire!C83</f>
        <v>C10</v>
      </c>
      <c r="D78" s="486" t="str">
        <f>VLOOKUP(C78,'Liste chauffeur'!$B$5:$L$20,2,TRUE)&amp;" "&amp;VLOOKUP(C78,'Liste chauffeur'!$B$5:$L$20,3,TRUE)</f>
        <v>ISSIHAKA M'Changama</v>
      </c>
      <c r="E78" s="487" t="s">
        <v>51</v>
      </c>
      <c r="F78" s="285"/>
      <c r="G78" s="285"/>
      <c r="H78" s="488"/>
      <c r="I78" s="137"/>
    </row>
    <row r="79" spans="1:9" ht="39.4" customHeight="1" x14ac:dyDescent="0.45">
      <c r="A79" s="408" t="str">
        <f>Horaire!A84</f>
        <v>PASSAMAINTY</v>
      </c>
      <c r="B79" s="359">
        <f>Horaire!B84</f>
        <v>0.33333333333333331</v>
      </c>
      <c r="C79" s="410" t="str">
        <f>Horaire!C84</f>
        <v>C13</v>
      </c>
      <c r="D79" s="411" t="str">
        <f>VLOOKUP(C79,'Liste chauffeur'!$B$5:$L$20,2,TRUE)&amp;" "&amp;VLOOKUP(C79,'Liste chauffeur'!$B$5:$L$20,3,TRUE)</f>
        <v>ABDALLAH Ben (Taxi Vanille)</v>
      </c>
      <c r="E79" s="418" t="s">
        <v>51</v>
      </c>
      <c r="F79" s="414"/>
      <c r="G79" s="414"/>
      <c r="H79" s="415"/>
    </row>
    <row r="80" spans="1:9" ht="39.4" customHeight="1" x14ac:dyDescent="0.45">
      <c r="A80" s="357" t="str">
        <f>Horaire!A85</f>
        <v>VAHIBE</v>
      </c>
      <c r="B80" s="359">
        <f>Horaire!B85</f>
        <v>0.34375</v>
      </c>
      <c r="C80" s="342" t="str">
        <f>Horaire!C85</f>
        <v>C4</v>
      </c>
      <c r="D80" s="341" t="str">
        <f>VLOOKUP(C80,'Liste chauffeur'!$B$5:$L$20,2,TRUE)&amp;" "&amp;VLOOKUP(C80,'Liste chauffeur'!$B$5:$L$20,3,TRUE)</f>
        <v>TOUMBOU  Toibourani</v>
      </c>
      <c r="E80" s="487" t="s">
        <v>51</v>
      </c>
      <c r="F80" s="280"/>
      <c r="G80" s="280"/>
      <c r="H80" s="281"/>
    </row>
    <row r="81" spans="1:9" ht="39.4" customHeight="1" x14ac:dyDescent="0.45">
      <c r="A81" s="408" t="str">
        <f>Horaire!A86</f>
        <v>PASSAMAINTY</v>
      </c>
      <c r="B81" s="359">
        <f>Horaire!B86</f>
        <v>0.34375</v>
      </c>
      <c r="C81" s="410" t="str">
        <f>Horaire!C86</f>
        <v>C15</v>
      </c>
      <c r="D81" s="411" t="str">
        <f>VLOOKUP(C81,'Liste chauffeur'!$B$5:$L$20,2,TRUE)&amp;" "&amp;VLOOKUP(C81,'Liste chauffeur'!$B$5:$L$20,3,TRUE)</f>
        <v>HAMADA Babou</v>
      </c>
      <c r="E81" s="418" t="s">
        <v>51</v>
      </c>
      <c r="F81" s="414"/>
      <c r="G81" s="414"/>
      <c r="H81" s="415"/>
    </row>
    <row r="82" spans="1:9" ht="39.4" customHeight="1" x14ac:dyDescent="0.45">
      <c r="A82" s="357" t="str">
        <f>Horaire!A87</f>
        <v>VAHIBE</v>
      </c>
      <c r="B82" s="358">
        <f>Horaire!B87</f>
        <v>0.35416666666666669</v>
      </c>
      <c r="C82" s="342" t="str">
        <f>Horaire!C87</f>
        <v>C14</v>
      </c>
      <c r="D82" s="341" t="str">
        <f>VLOOKUP(C82,'Liste chauffeur'!$B$5:$L$20,2,TRUE)&amp;" "&amp;VLOOKUP(C82,'Liste chauffeur'!$B$5:$L$20,3,TRUE)</f>
        <v>KAMARDINE Mansour</v>
      </c>
      <c r="E82" s="487" t="s">
        <v>51</v>
      </c>
      <c r="F82" s="280"/>
      <c r="G82" s="280"/>
      <c r="H82" s="281"/>
    </row>
    <row r="83" spans="1:9" ht="39.4" customHeight="1" x14ac:dyDescent="0.45">
      <c r="A83" s="408" t="str">
        <f>Horaire!A88</f>
        <v>PASSAMAINTY</v>
      </c>
      <c r="B83" s="409">
        <f>Horaire!B88</f>
        <v>0.35416666666666669</v>
      </c>
      <c r="C83" s="410" t="str">
        <f>Horaire!C88</f>
        <v>C1</v>
      </c>
      <c r="D83" s="411" t="str">
        <f>VLOOKUP(C83,'Liste chauffeur'!$B$5:$L$20,2,TRUE)&amp;" "&amp;VLOOKUP(C83,'Liste chauffeur'!$B$5:$L$20,3,TRUE)</f>
        <v>EL ANZIZE SALIM Hamada</v>
      </c>
      <c r="E83" s="418" t="s">
        <v>51</v>
      </c>
      <c r="F83" s="414"/>
      <c r="G83" s="414"/>
      <c r="H83" s="415"/>
    </row>
    <row r="84" spans="1:9" ht="39.4" customHeight="1" x14ac:dyDescent="0.45">
      <c r="A84" s="357" t="str">
        <f>Horaire!A89</f>
        <v>VAHIBE</v>
      </c>
      <c r="B84" s="361">
        <f>Horaire!B89</f>
        <v>0.375</v>
      </c>
      <c r="C84" s="342" t="str">
        <f>Horaire!C89</f>
        <v>C1</v>
      </c>
      <c r="D84" s="341" t="str">
        <f>VLOOKUP(C84,'Liste chauffeur'!$B$5:$L$20,2,TRUE)&amp;" "&amp;VLOOKUP(C84,'Liste chauffeur'!$B$5:$L$20,3,TRUE)</f>
        <v>EL ANZIZE SALIM Hamada</v>
      </c>
      <c r="E84" s="487" t="s">
        <v>51</v>
      </c>
      <c r="F84" s="280"/>
      <c r="G84" s="280"/>
      <c r="H84" s="281"/>
    </row>
    <row r="85" spans="1:9" ht="39.4" customHeight="1" x14ac:dyDescent="0.45">
      <c r="A85" s="408" t="str">
        <f>Horaire!A90</f>
        <v>PASSAMAINTY</v>
      </c>
      <c r="B85" s="409">
        <f>Horaire!B90</f>
        <v>0.375</v>
      </c>
      <c r="C85" s="410" t="str">
        <f>Horaire!C90</f>
        <v>C14</v>
      </c>
      <c r="D85" s="411" t="str">
        <f>VLOOKUP(C85,'Liste chauffeur'!$B$5:$L$20,2,TRUE)&amp;" "&amp;VLOOKUP(C85,'Liste chauffeur'!$B$5:$L$20,3,TRUE)</f>
        <v>KAMARDINE Mansour</v>
      </c>
      <c r="E85" s="412"/>
      <c r="F85" s="414"/>
      <c r="G85" s="414"/>
      <c r="H85" s="415"/>
      <c r="I85" s="309" t="s">
        <v>391</v>
      </c>
    </row>
    <row r="86" spans="1:9" ht="39.4" customHeight="1" x14ac:dyDescent="0.45">
      <c r="A86" s="357" t="str">
        <f>Horaire!A91</f>
        <v>VAHIBE</v>
      </c>
      <c r="B86" s="343">
        <f>Horaire!B91</f>
        <v>0.39583333333333331</v>
      </c>
      <c r="C86" s="342" t="str">
        <f>Horaire!C91</f>
        <v>C14</v>
      </c>
      <c r="D86" s="341" t="str">
        <f>VLOOKUP(C86,'Liste chauffeur'!$B$5:$L$20,2,TRUE)&amp;" "&amp;VLOOKUP(C86,'Liste chauffeur'!$B$5:$L$20,3,TRUE)</f>
        <v>KAMARDINE Mansour</v>
      </c>
      <c r="E86" s="314"/>
      <c r="F86" s="280"/>
      <c r="G86" s="280"/>
      <c r="H86" s="281"/>
    </row>
    <row r="87" spans="1:9" ht="39.4" customHeight="1" x14ac:dyDescent="0.45">
      <c r="A87" s="408" t="str">
        <f>Horaire!A92</f>
        <v>PASSAMAINTY</v>
      </c>
      <c r="B87" s="409">
        <f>Horaire!B92</f>
        <v>0.39583333333333331</v>
      </c>
      <c r="C87" s="410" t="str">
        <f>Horaire!C92</f>
        <v>C1</v>
      </c>
      <c r="D87" s="411" t="str">
        <f>VLOOKUP(C87,'Liste chauffeur'!$B$5:$L$20,2,TRUE)&amp;" "&amp;VLOOKUP(C87,'Liste chauffeur'!$B$5:$L$20,3,TRUE)</f>
        <v>EL ANZIZE SALIM Hamada</v>
      </c>
      <c r="E87" s="412"/>
      <c r="F87" s="414"/>
      <c r="G87" s="414"/>
      <c r="H87" s="415"/>
    </row>
    <row r="88" spans="1:9" ht="39.4" customHeight="1" x14ac:dyDescent="0.45">
      <c r="A88" s="357" t="str">
        <f>Horaire!A93</f>
        <v>VAHIBE</v>
      </c>
      <c r="B88" s="343">
        <f>Horaire!B93</f>
        <v>0.41666666666666669</v>
      </c>
      <c r="C88" s="342" t="str">
        <f>Horaire!C93</f>
        <v>C1</v>
      </c>
      <c r="D88" s="341" t="str">
        <f>VLOOKUP(C88,'Liste chauffeur'!$B$5:$L$20,2,TRUE)&amp;" "&amp;VLOOKUP(C88,'Liste chauffeur'!$B$5:$L$20,3,TRUE)</f>
        <v>EL ANZIZE SALIM Hamada</v>
      </c>
      <c r="E88" s="314"/>
      <c r="F88" s="280"/>
      <c r="G88" s="280"/>
      <c r="H88" s="281"/>
    </row>
    <row r="89" spans="1:9" ht="39.4" customHeight="1" x14ac:dyDescent="0.45">
      <c r="A89" s="408" t="str">
        <f>Horaire!A94</f>
        <v>PASSAMAINTY</v>
      </c>
      <c r="B89" s="409">
        <f>Horaire!B94</f>
        <v>0.41666666666666669</v>
      </c>
      <c r="C89" s="410" t="str">
        <f>Horaire!C94</f>
        <v>C14</v>
      </c>
      <c r="D89" s="411" t="str">
        <f>VLOOKUP(C89,'Liste chauffeur'!$B$5:$L$20,2,TRUE)&amp;" "&amp;VLOOKUP(C89,'Liste chauffeur'!$B$5:$L$20,3,TRUE)</f>
        <v>KAMARDINE Mansour</v>
      </c>
      <c r="E89" s="412"/>
      <c r="F89" s="414"/>
      <c r="G89" s="414"/>
      <c r="H89" s="415"/>
    </row>
    <row r="90" spans="1:9" ht="39.4" customHeight="1" x14ac:dyDescent="0.45">
      <c r="A90" s="357" t="str">
        <f>Horaire!A95</f>
        <v>VAHIBE</v>
      </c>
      <c r="B90" s="343">
        <f>Horaire!B95</f>
        <v>0.4375</v>
      </c>
      <c r="C90" s="342" t="str">
        <f>Horaire!C95</f>
        <v>C14</v>
      </c>
      <c r="D90" s="341" t="str">
        <f>VLOOKUP(C90,'Liste chauffeur'!$B$5:$L$20,2,TRUE)&amp;" "&amp;VLOOKUP(C90,'Liste chauffeur'!$B$5:$L$20,3,TRUE)</f>
        <v>KAMARDINE Mansour</v>
      </c>
      <c r="E90" s="314"/>
      <c r="F90" s="280"/>
      <c r="G90" s="280"/>
      <c r="H90" s="281"/>
    </row>
    <row r="91" spans="1:9" ht="39.4" customHeight="1" x14ac:dyDescent="0.45">
      <c r="A91" s="408" t="str">
        <f>Horaire!A96</f>
        <v>PASSAMAINTY</v>
      </c>
      <c r="B91" s="409">
        <f>Horaire!B96</f>
        <v>0.4375</v>
      </c>
      <c r="C91" s="410" t="str">
        <f>Horaire!C96</f>
        <v>C1</v>
      </c>
      <c r="D91" s="411" t="str">
        <f>VLOOKUP(C91,'Liste chauffeur'!$B$5:$L$20,2,TRUE)&amp;" "&amp;VLOOKUP(C91,'Liste chauffeur'!$B$5:$L$20,3,TRUE)</f>
        <v>EL ANZIZE SALIM Hamada</v>
      </c>
      <c r="E91" s="412"/>
      <c r="F91" s="414"/>
      <c r="G91" s="414"/>
      <c r="H91" s="415"/>
    </row>
    <row r="92" spans="1:9" ht="39.4" customHeight="1" x14ac:dyDescent="0.45">
      <c r="A92" s="357" t="str">
        <f>Horaire!A97</f>
        <v>VAHIBE</v>
      </c>
      <c r="B92" s="343">
        <f>Horaire!B97</f>
        <v>0.45833333333333331</v>
      </c>
      <c r="C92" s="342" t="str">
        <f>Horaire!C97</f>
        <v>C1</v>
      </c>
      <c r="D92" s="341" t="str">
        <f>VLOOKUP(C92,'Liste chauffeur'!$B$5:$L$20,2,TRUE)&amp;" "&amp;VLOOKUP(C92,'Liste chauffeur'!$B$5:$L$20,3,TRUE)</f>
        <v>EL ANZIZE SALIM Hamada</v>
      </c>
      <c r="E92" s="314"/>
      <c r="F92" s="280"/>
      <c r="G92" s="280"/>
      <c r="H92" s="281"/>
    </row>
    <row r="93" spans="1:9" ht="39.4" customHeight="1" x14ac:dyDescent="0.45">
      <c r="A93" s="408" t="str">
        <f>Horaire!A98</f>
        <v>PASSAMAINTY</v>
      </c>
      <c r="B93" s="409">
        <f>Horaire!B98</f>
        <v>0.45833333333333331</v>
      </c>
      <c r="C93" s="410" t="str">
        <f>Horaire!C98</f>
        <v>C14</v>
      </c>
      <c r="D93" s="411" t="str">
        <f>VLOOKUP(C93,'Liste chauffeur'!$B$5:$L$20,2,TRUE)&amp;" "&amp;VLOOKUP(C93,'Liste chauffeur'!$B$5:$L$20,3,TRUE)</f>
        <v>KAMARDINE Mansour</v>
      </c>
      <c r="E93" s="412"/>
      <c r="F93" s="414"/>
      <c r="G93" s="414"/>
      <c r="H93" s="415"/>
    </row>
    <row r="94" spans="1:9" ht="39.4" customHeight="1" x14ac:dyDescent="0.45">
      <c r="A94" s="357" t="str">
        <f>Horaire!A99</f>
        <v>VAHIBE</v>
      </c>
      <c r="B94" s="343">
        <f>Horaire!B99</f>
        <v>0.47916666666666669</v>
      </c>
      <c r="C94" s="342" t="str">
        <f>Horaire!C99</f>
        <v>C14</v>
      </c>
      <c r="D94" s="341" t="str">
        <f>VLOOKUP(C94,'Liste chauffeur'!$B$5:$L$20,2,TRUE)&amp;" "&amp;VLOOKUP(C94,'Liste chauffeur'!$B$5:$L$20,3,TRUE)</f>
        <v>KAMARDINE Mansour</v>
      </c>
      <c r="E94" s="314"/>
      <c r="F94" s="280"/>
      <c r="G94" s="280"/>
      <c r="H94" s="281"/>
    </row>
    <row r="95" spans="1:9" ht="39.4" customHeight="1" x14ac:dyDescent="0.45">
      <c r="A95" s="408" t="str">
        <f>Horaire!A100</f>
        <v>PASSAMAINTY</v>
      </c>
      <c r="B95" s="409">
        <f>Horaire!B100</f>
        <v>0.47916666666666669</v>
      </c>
      <c r="C95" s="410" t="str">
        <f>Horaire!C100</f>
        <v>C1</v>
      </c>
      <c r="D95" s="411" t="str">
        <f>VLOOKUP(C95,'Liste chauffeur'!$B$5:$L$20,2,TRUE)&amp;" "&amp;VLOOKUP(C95,'Liste chauffeur'!$B$5:$L$20,3,TRUE)</f>
        <v>EL ANZIZE SALIM Hamada</v>
      </c>
      <c r="E95" s="412"/>
      <c r="F95" s="414"/>
      <c r="G95" s="414"/>
      <c r="H95" s="415"/>
    </row>
    <row r="96" spans="1:9" ht="39.4" customHeight="1" x14ac:dyDescent="0.45">
      <c r="A96" s="357" t="str">
        <f>Horaire!A101</f>
        <v>VAHIBE</v>
      </c>
      <c r="B96" s="359">
        <f>Horaire!B101</f>
        <v>0.5</v>
      </c>
      <c r="C96" s="342" t="str">
        <f>Horaire!C101</f>
        <v>C1</v>
      </c>
      <c r="D96" s="341" t="str">
        <f>VLOOKUP(C96,'Liste chauffeur'!$B$5:$L$20,2,TRUE)&amp;" "&amp;VLOOKUP(C96,'Liste chauffeur'!$B$5:$L$20,3,TRUE)</f>
        <v>EL ANZIZE SALIM Hamada</v>
      </c>
      <c r="E96" s="314"/>
      <c r="F96" s="280"/>
      <c r="G96" s="280"/>
      <c r="H96" s="281"/>
    </row>
    <row r="97" spans="1:9" ht="39.4" customHeight="1" x14ac:dyDescent="0.45">
      <c r="A97" s="408" t="str">
        <f>Horaire!A102</f>
        <v>PASSAMAINTY</v>
      </c>
      <c r="B97" s="409">
        <f>Horaire!B102</f>
        <v>0.5</v>
      </c>
      <c r="C97" s="410" t="str">
        <f>Horaire!C102</f>
        <v>C14</v>
      </c>
      <c r="D97" s="411" t="str">
        <f>VLOOKUP(C97,'Liste chauffeur'!$B$5:$L$20,2,TRUE)&amp;" "&amp;VLOOKUP(C97,'Liste chauffeur'!$B$5:$L$20,3,TRUE)</f>
        <v>KAMARDINE Mansour</v>
      </c>
      <c r="E97" s="412"/>
      <c r="F97" s="414"/>
      <c r="G97" s="414"/>
      <c r="H97" s="415"/>
    </row>
    <row r="98" spans="1:9" ht="39.4" customHeight="1" x14ac:dyDescent="0.45">
      <c r="A98" s="357" t="str">
        <f>Horaire!A103</f>
        <v>VAHIBE</v>
      </c>
      <c r="B98" s="343">
        <f>Horaire!B103</f>
        <v>0.52083333333333337</v>
      </c>
      <c r="C98" s="342" t="str">
        <f>Horaire!C103</f>
        <v>C14</v>
      </c>
      <c r="D98" s="341" t="str">
        <f>VLOOKUP(C98,'Liste chauffeur'!$B$5:$L$20,2,TRUE)&amp;" "&amp;VLOOKUP(C98,'Liste chauffeur'!$B$5:$L$20,3,TRUE)</f>
        <v>KAMARDINE Mansour</v>
      </c>
      <c r="E98" s="314"/>
      <c r="F98" s="280"/>
      <c r="G98" s="280"/>
      <c r="H98" s="281"/>
    </row>
    <row r="99" spans="1:9" ht="39.4" customHeight="1" x14ac:dyDescent="0.45">
      <c r="A99" s="408" t="str">
        <f>Horaire!A104</f>
        <v>PASSAMAINTY</v>
      </c>
      <c r="B99" s="358">
        <f>Horaire!B104</f>
        <v>0.52083333333333337</v>
      </c>
      <c r="C99" s="410" t="str">
        <f>Horaire!C104</f>
        <v>C2</v>
      </c>
      <c r="D99" s="411" t="str">
        <f>VLOOKUP(C99,'Liste chauffeur'!$B$5:$L$20,2,TRUE)&amp;" "&amp;VLOOKUP(C99,'Liste chauffeur'!$B$5:$L$20,3,TRUE)</f>
        <v>BINA HALADI Bina</v>
      </c>
      <c r="E99" s="412"/>
      <c r="F99" s="414"/>
      <c r="G99" s="414"/>
      <c r="H99" s="415"/>
    </row>
    <row r="100" spans="1:9" ht="39.4" customHeight="1" x14ac:dyDescent="0.45">
      <c r="A100" s="357" t="str">
        <f>Horaire!A105</f>
        <v>VAHIBE</v>
      </c>
      <c r="B100" s="361">
        <f>Horaire!B105</f>
        <v>0.54166666666666663</v>
      </c>
      <c r="C100" s="342" t="str">
        <f>Horaire!C105</f>
        <v>C2</v>
      </c>
      <c r="D100" s="341" t="str">
        <f>VLOOKUP(C100,'Liste chauffeur'!$B$5:$L$20,2,TRUE)&amp;" "&amp;VLOOKUP(C100,'Liste chauffeur'!$B$5:$L$20,3,TRUE)</f>
        <v>BINA HALADI Bina</v>
      </c>
      <c r="E100" s="314"/>
      <c r="F100" s="280"/>
      <c r="G100" s="280"/>
      <c r="H100" s="281"/>
      <c r="I100" s="309" t="s">
        <v>389</v>
      </c>
    </row>
    <row r="101" spans="1:9" ht="39.4" customHeight="1" x14ac:dyDescent="0.45">
      <c r="A101" s="408" t="str">
        <f>Horaire!A106</f>
        <v>PASSAMAINTY</v>
      </c>
      <c r="B101" s="409">
        <f>Horaire!B106</f>
        <v>0.54166666666666663</v>
      </c>
      <c r="C101" s="410" t="str">
        <f>Horaire!C106</f>
        <v>C14</v>
      </c>
      <c r="D101" s="411" t="str">
        <f>VLOOKUP(C101,'Liste chauffeur'!$B$5:$L$20,2,TRUE)&amp;" "&amp;VLOOKUP(C101,'Liste chauffeur'!$B$5:$L$20,3,TRUE)</f>
        <v>KAMARDINE Mansour</v>
      </c>
      <c r="E101" s="412"/>
      <c r="F101" s="414"/>
      <c r="G101" s="414"/>
      <c r="H101" s="415"/>
      <c r="I101" s="309"/>
    </row>
    <row r="102" spans="1:9" ht="39.4" customHeight="1" x14ac:dyDescent="0.45">
      <c r="A102" s="357" t="str">
        <f>Horaire!A107</f>
        <v>VAHIBE</v>
      </c>
      <c r="B102" s="343">
        <f>Horaire!B107</f>
        <v>0.5625</v>
      </c>
      <c r="C102" s="342" t="str">
        <f>Horaire!C107</f>
        <v>C14</v>
      </c>
      <c r="D102" s="341" t="str">
        <f>VLOOKUP(C102,'Liste chauffeur'!$B$5:$L$20,2,TRUE)&amp;" "&amp;VLOOKUP(C102,'Liste chauffeur'!$B$5:$L$20,3,TRUE)</f>
        <v>KAMARDINE Mansour</v>
      </c>
      <c r="E102" s="314"/>
      <c r="F102" s="280"/>
      <c r="G102" s="280"/>
      <c r="H102" s="281"/>
      <c r="I102" s="309"/>
    </row>
    <row r="103" spans="1:9" ht="39.4" customHeight="1" x14ac:dyDescent="0.45">
      <c r="A103" s="408" t="str">
        <f>Horaire!A108</f>
        <v>PASSAMAINTY</v>
      </c>
      <c r="B103" s="409">
        <f>Horaire!B108</f>
        <v>0.5625</v>
      </c>
      <c r="C103" s="410" t="str">
        <f>Horaire!C108</f>
        <v>C2</v>
      </c>
      <c r="D103" s="411" t="str">
        <f>VLOOKUP(C103,'Liste chauffeur'!$B$5:$L$20,2,TRUE)&amp;" "&amp;VLOOKUP(C103,'Liste chauffeur'!$B$5:$L$20,3,TRUE)</f>
        <v>BINA HALADI Bina</v>
      </c>
      <c r="E103" s="412"/>
      <c r="F103" s="414"/>
      <c r="G103" s="414"/>
      <c r="H103" s="415"/>
      <c r="I103" s="309"/>
    </row>
    <row r="104" spans="1:9" ht="39.4" customHeight="1" x14ac:dyDescent="0.45">
      <c r="A104" s="357" t="str">
        <f>Horaire!A109</f>
        <v>VAHIBE</v>
      </c>
      <c r="B104" s="343">
        <f>Horaire!B109</f>
        <v>0.58333333333333337</v>
      </c>
      <c r="C104" s="342" t="str">
        <f>Horaire!C109</f>
        <v>C2</v>
      </c>
      <c r="D104" s="341" t="str">
        <f>VLOOKUP(C104,'Liste chauffeur'!$B$5:$L$20,2,TRUE)&amp;" "&amp;VLOOKUP(C104,'Liste chauffeur'!$B$5:$L$20,3,TRUE)</f>
        <v>BINA HALADI Bina</v>
      </c>
      <c r="E104" s="314"/>
      <c r="F104" s="280"/>
      <c r="G104" s="280"/>
      <c r="H104" s="281"/>
      <c r="I104" s="309"/>
    </row>
    <row r="105" spans="1:9" ht="39.4" customHeight="1" x14ac:dyDescent="0.45">
      <c r="A105" s="408" t="str">
        <f>Horaire!A110</f>
        <v>PASSAMAINTY</v>
      </c>
      <c r="B105" s="359">
        <f>Horaire!B110</f>
        <v>0.58333333333333337</v>
      </c>
      <c r="C105" s="410" t="str">
        <f>Horaire!C110</f>
        <v>C14</v>
      </c>
      <c r="D105" s="411" t="str">
        <f>VLOOKUP(C105,'Liste chauffeur'!$B$5:$L$20,2,TRUE)&amp;" "&amp;VLOOKUP(C105,'Liste chauffeur'!$B$5:$L$20,3,TRUE)</f>
        <v>KAMARDINE Mansour</v>
      </c>
      <c r="E105" s="418" t="s">
        <v>48</v>
      </c>
      <c r="F105" s="414"/>
      <c r="G105" s="414"/>
      <c r="H105" s="415"/>
      <c r="I105" s="309"/>
    </row>
    <row r="106" spans="1:9" ht="39.4" customHeight="1" x14ac:dyDescent="0.45">
      <c r="A106" s="357" t="str">
        <f>Horaire!A111</f>
        <v>VAHIBE</v>
      </c>
      <c r="B106" s="358">
        <f>Horaire!B111</f>
        <v>0.60416666666666663</v>
      </c>
      <c r="C106" s="342" t="str">
        <f>Horaire!C111</f>
        <v>C3</v>
      </c>
      <c r="D106" s="341" t="str">
        <f>VLOOKUP(C106,'Liste chauffeur'!$B$5:$L$20,2,TRUE)&amp;" "&amp;VLOOKUP(C106,'Liste chauffeur'!$B$5:$L$20,3,TRUE)</f>
        <v>ABDOU MINIHADJI Amada</v>
      </c>
      <c r="E106" s="418" t="s">
        <v>48</v>
      </c>
      <c r="F106" s="280"/>
      <c r="G106" s="280"/>
      <c r="H106" s="281"/>
      <c r="I106" s="309"/>
    </row>
    <row r="107" spans="1:9" ht="39.4" customHeight="1" x14ac:dyDescent="0.45">
      <c r="A107" s="408" t="str">
        <f>Horaire!A112</f>
        <v>PASSAMAINTY</v>
      </c>
      <c r="B107" s="409">
        <f>Horaire!B112</f>
        <v>0.60416666666666663</v>
      </c>
      <c r="C107" s="410" t="str">
        <f>Horaire!C112</f>
        <v>C2</v>
      </c>
      <c r="D107" s="411" t="str">
        <f>VLOOKUP(C107,'Liste chauffeur'!$B$5:$L$20,2,TRUE)&amp;" "&amp;VLOOKUP(C107,'Liste chauffeur'!$B$5:$L$20,3,TRUE)</f>
        <v>BINA HALADI Bina</v>
      </c>
      <c r="E107" s="418" t="s">
        <v>48</v>
      </c>
      <c r="F107" s="414"/>
      <c r="G107" s="414"/>
      <c r="H107" s="415"/>
      <c r="I107" s="309"/>
    </row>
    <row r="108" spans="1:9" ht="39.4" customHeight="1" x14ac:dyDescent="0.45">
      <c r="A108" s="357" t="str">
        <f>Horaire!A113</f>
        <v>VAHIBE</v>
      </c>
      <c r="B108" s="343">
        <f>Horaire!B113</f>
        <v>0.625</v>
      </c>
      <c r="C108" s="342" t="str">
        <f>Horaire!C113</f>
        <v>C2</v>
      </c>
      <c r="D108" s="341" t="str">
        <f>VLOOKUP(C108,'Liste chauffeur'!$B$5:$L$20,2,TRUE)&amp;" "&amp;VLOOKUP(C108,'Liste chauffeur'!$B$5:$L$20,3,TRUE)</f>
        <v>BINA HALADI Bina</v>
      </c>
      <c r="E108" s="418" t="s">
        <v>48</v>
      </c>
      <c r="F108" s="280"/>
      <c r="G108" s="280"/>
      <c r="H108" s="281"/>
      <c r="I108" s="309"/>
    </row>
    <row r="109" spans="1:9" ht="39.4" customHeight="1" x14ac:dyDescent="0.45">
      <c r="A109" s="408" t="str">
        <f>Horaire!A114</f>
        <v>PASSAMAINTY</v>
      </c>
      <c r="B109" s="409">
        <f>Horaire!B114</f>
        <v>0.625</v>
      </c>
      <c r="C109" s="410" t="str">
        <f>Horaire!C114</f>
        <v>C3</v>
      </c>
      <c r="D109" s="411" t="str">
        <f>VLOOKUP(C109,'Liste chauffeur'!$B$5:$L$20,2,TRUE)&amp;" "&amp;VLOOKUP(C109,'Liste chauffeur'!$B$5:$L$20,3,TRUE)</f>
        <v>ABDOU MINIHADJI Amada</v>
      </c>
      <c r="E109" s="418" t="s">
        <v>48</v>
      </c>
      <c r="F109" s="414"/>
      <c r="G109" s="414"/>
      <c r="H109" s="415"/>
      <c r="I109" s="309"/>
    </row>
    <row r="110" spans="1:9" ht="39.4" customHeight="1" x14ac:dyDescent="0.45">
      <c r="A110" s="357" t="str">
        <f>Horaire!A115</f>
        <v>VAHIBE</v>
      </c>
      <c r="B110" s="343">
        <f>Horaire!B115</f>
        <v>0.63541666666666663</v>
      </c>
      <c r="C110" s="342" t="str">
        <f>Horaire!C115</f>
        <v>C3</v>
      </c>
      <c r="D110" s="341" t="str">
        <f>VLOOKUP(C110,'Liste chauffeur'!$B$5:$L$20,2,TRUE)&amp;" "&amp;VLOOKUP(C110,'Liste chauffeur'!$B$5:$L$20,3,TRUE)</f>
        <v>ABDOU MINIHADJI Amada</v>
      </c>
      <c r="E110" s="418" t="s">
        <v>48</v>
      </c>
      <c r="F110" s="280"/>
      <c r="G110" s="280"/>
      <c r="H110" s="281"/>
      <c r="I110" s="309"/>
    </row>
    <row r="111" spans="1:9" ht="39.4" customHeight="1" x14ac:dyDescent="0.45">
      <c r="A111" s="408" t="str">
        <f>Horaire!A116</f>
        <v>PASSAMAINTY</v>
      </c>
      <c r="B111" s="409">
        <f>Horaire!B116</f>
        <v>0.63541666666666663</v>
      </c>
      <c r="C111" s="410" t="str">
        <f>Horaire!C116</f>
        <v>C2</v>
      </c>
      <c r="D111" s="411" t="str">
        <f>VLOOKUP(C111,'Liste chauffeur'!$B$5:$L$20,2,TRUE)&amp;" "&amp;VLOOKUP(C111,'Liste chauffeur'!$B$5:$L$20,3,TRUE)</f>
        <v>BINA HALADI Bina</v>
      </c>
      <c r="E111" s="418" t="s">
        <v>48</v>
      </c>
      <c r="F111" s="414"/>
      <c r="G111" s="414"/>
      <c r="H111" s="415"/>
      <c r="I111" s="309"/>
    </row>
    <row r="112" spans="1:9" ht="39.4" customHeight="1" x14ac:dyDescent="0.45">
      <c r="A112" s="357" t="str">
        <f>Horaire!A117</f>
        <v>VAHIBE</v>
      </c>
      <c r="B112" s="343">
        <f>Horaire!B117</f>
        <v>0.64583333333333337</v>
      </c>
      <c r="C112" s="342" t="str">
        <f>Horaire!C117</f>
        <v>C2</v>
      </c>
      <c r="D112" s="341" t="str">
        <f>VLOOKUP(C112,'Liste chauffeur'!$B$5:$L$20,2,TRUE)&amp;" "&amp;VLOOKUP(C112,'Liste chauffeur'!$B$5:$L$20,3,TRUE)</f>
        <v>BINA HALADI Bina</v>
      </c>
      <c r="E112" s="418" t="s">
        <v>48</v>
      </c>
      <c r="F112" s="280"/>
      <c r="G112" s="280"/>
      <c r="H112" s="281"/>
      <c r="I112" s="309"/>
    </row>
    <row r="113" spans="1:9" ht="39.4" customHeight="1" x14ac:dyDescent="0.45">
      <c r="A113" s="408" t="str">
        <f>Horaire!A118</f>
        <v>PASSAMAINTY</v>
      </c>
      <c r="B113" s="409">
        <f>Horaire!B118</f>
        <v>0.64583333333333337</v>
      </c>
      <c r="C113" s="410" t="str">
        <f>Horaire!C118</f>
        <v>C3</v>
      </c>
      <c r="D113" s="411" t="str">
        <f>VLOOKUP(C113,'Liste chauffeur'!$B$5:$L$20,2,TRUE)&amp;" "&amp;VLOOKUP(C113,'Liste chauffeur'!$B$5:$L$20,3,TRUE)</f>
        <v>ABDOU MINIHADJI Amada</v>
      </c>
      <c r="E113" s="418" t="s">
        <v>48</v>
      </c>
      <c r="F113" s="414"/>
      <c r="G113" s="414"/>
      <c r="H113" s="415"/>
      <c r="I113" s="309"/>
    </row>
    <row r="114" spans="1:9" ht="39.4" customHeight="1" x14ac:dyDescent="0.45">
      <c r="A114" s="357" t="str">
        <f>Horaire!A119</f>
        <v>VAHIBE</v>
      </c>
      <c r="B114" s="343">
        <f>Horaire!B119</f>
        <v>0.65625</v>
      </c>
      <c r="C114" s="342" t="str">
        <f>Horaire!C119</f>
        <v>C3</v>
      </c>
      <c r="D114" s="341" t="str">
        <f>VLOOKUP(C114,'Liste chauffeur'!$B$5:$L$20,2,TRUE)&amp;" "&amp;VLOOKUP(C114,'Liste chauffeur'!$B$5:$L$20,3,TRUE)</f>
        <v>ABDOU MINIHADJI Amada</v>
      </c>
      <c r="E114" s="418" t="s">
        <v>48</v>
      </c>
      <c r="F114" s="280"/>
      <c r="G114" s="280"/>
      <c r="H114" s="281"/>
    </row>
    <row r="115" spans="1:9" ht="39.4" customHeight="1" x14ac:dyDescent="0.45">
      <c r="A115" s="408" t="str">
        <f>Horaire!A120</f>
        <v>PASSAMAINTY</v>
      </c>
      <c r="B115" s="359">
        <f>Horaire!B120</f>
        <v>0.65625</v>
      </c>
      <c r="C115" s="410" t="str">
        <f>Horaire!C120</f>
        <v>C2</v>
      </c>
      <c r="D115" s="411" t="str">
        <f>VLOOKUP(C115,'Liste chauffeur'!$B$5:$L$20,2,TRUE)&amp;" "&amp;VLOOKUP(C115,'Liste chauffeur'!$B$5:$L$20,3,TRUE)</f>
        <v>BINA HALADI Bina</v>
      </c>
      <c r="E115" s="418" t="s">
        <v>48</v>
      </c>
      <c r="F115" s="414"/>
      <c r="G115" s="414"/>
      <c r="H115" s="415"/>
    </row>
    <row r="116" spans="1:9" ht="39.4" customHeight="1" x14ac:dyDescent="0.45">
      <c r="A116" s="357" t="str">
        <f>Horaire!A121</f>
        <v>VAHIBE</v>
      </c>
      <c r="B116" s="358">
        <f>Horaire!B121</f>
        <v>0.66666666666666663</v>
      </c>
      <c r="C116" s="342" t="str">
        <f>Horaire!C121</f>
        <v>C12</v>
      </c>
      <c r="D116" s="341" t="str">
        <f>VLOOKUP(C116,'Liste chauffeur'!$B$5:$L$20,2,TRUE)&amp;" "&amp;VLOOKUP(C116,'Liste chauffeur'!$B$5:$L$20,3,TRUE)</f>
        <v>ALILOIFFA Said Siradj</v>
      </c>
      <c r="E116" s="418" t="s">
        <v>48</v>
      </c>
      <c r="F116" s="280"/>
      <c r="G116" s="280"/>
      <c r="H116" s="281"/>
      <c r="I116" s="309" t="s">
        <v>390</v>
      </c>
    </row>
    <row r="117" spans="1:9" ht="39.4" customHeight="1" x14ac:dyDescent="0.45">
      <c r="A117" s="408" t="str">
        <f>Horaire!A122</f>
        <v>PASSAMAINTY</v>
      </c>
      <c r="B117" s="409">
        <f>Horaire!B122</f>
        <v>0.66666666666666663</v>
      </c>
      <c r="C117" s="410" t="str">
        <f>Horaire!C122</f>
        <v>C3</v>
      </c>
      <c r="D117" s="411" t="str">
        <f>VLOOKUP(C117,'Liste chauffeur'!$B$5:$L$20,2,TRUE)&amp;" "&amp;VLOOKUP(C117,'Liste chauffeur'!$B$5:$L$20,3,TRUE)</f>
        <v>ABDOU MINIHADJI Amada</v>
      </c>
      <c r="E117" s="418" t="s">
        <v>48</v>
      </c>
      <c r="F117" s="414"/>
      <c r="G117" s="414"/>
      <c r="H117" s="415"/>
      <c r="I117" s="309"/>
    </row>
    <row r="118" spans="1:9" ht="39.4" customHeight="1" x14ac:dyDescent="0.45">
      <c r="A118" s="357" t="str">
        <f>Horaire!A123</f>
        <v>VAHIBE</v>
      </c>
      <c r="B118" s="359">
        <f>Horaire!B123</f>
        <v>0.67708333333333337</v>
      </c>
      <c r="C118" s="342" t="str">
        <f>Horaire!C123</f>
        <v>C3</v>
      </c>
      <c r="D118" s="341" t="str">
        <f>VLOOKUP(C118,'Liste chauffeur'!$B$5:$L$20,2,TRUE)&amp;" "&amp;VLOOKUP(C118,'Liste chauffeur'!$B$5:$L$20,3,TRUE)</f>
        <v>ABDOU MINIHADJI Amada</v>
      </c>
      <c r="E118" s="418" t="s">
        <v>48</v>
      </c>
      <c r="F118" s="280"/>
      <c r="G118" s="280"/>
      <c r="H118" s="281"/>
    </row>
    <row r="119" spans="1:9" ht="39.4" customHeight="1" x14ac:dyDescent="0.45">
      <c r="A119" s="408" t="str">
        <f>Horaire!A124</f>
        <v>PASSAMAINTY</v>
      </c>
      <c r="B119" s="409">
        <f>Horaire!B124</f>
        <v>0.67708333333333337</v>
      </c>
      <c r="C119" s="410" t="str">
        <f>Horaire!C124</f>
        <v>C12</v>
      </c>
      <c r="D119" s="411" t="str">
        <f>VLOOKUP(C119,'Liste chauffeur'!$B$5:$L$20,2,TRUE)&amp;" "&amp;VLOOKUP(C119,'Liste chauffeur'!$B$5:$L$20,3,TRUE)</f>
        <v>ALILOIFFA Said Siradj</v>
      </c>
      <c r="E119" s="418" t="s">
        <v>48</v>
      </c>
      <c r="F119" s="414"/>
      <c r="G119" s="414"/>
      <c r="H119" s="415"/>
    </row>
    <row r="120" spans="1:9" ht="39.4" customHeight="1" x14ac:dyDescent="0.45">
      <c r="A120" s="357" t="str">
        <f>Horaire!A125</f>
        <v>VAHIBE</v>
      </c>
      <c r="B120" s="343">
        <f>Horaire!B125</f>
        <v>0.6875</v>
      </c>
      <c r="C120" s="342" t="str">
        <f>Horaire!C125</f>
        <v>C12</v>
      </c>
      <c r="D120" s="341" t="str">
        <f>VLOOKUP(C120,'Liste chauffeur'!$B$5:$L$20,2,TRUE)&amp;" "&amp;VLOOKUP(C120,'Liste chauffeur'!$B$5:$L$20,3,TRUE)</f>
        <v>ALILOIFFA Said Siradj</v>
      </c>
      <c r="E120" s="418" t="s">
        <v>48</v>
      </c>
      <c r="F120" s="280"/>
      <c r="G120" s="280"/>
      <c r="H120" s="281"/>
      <c r="I120" s="309"/>
    </row>
    <row r="121" spans="1:9" ht="39.4" customHeight="1" x14ac:dyDescent="0.45">
      <c r="A121" s="408" t="str">
        <f>Horaire!A126</f>
        <v>PASSAMAINTY</v>
      </c>
      <c r="B121" s="358">
        <f>Horaire!B126</f>
        <v>0.6875</v>
      </c>
      <c r="C121" s="410" t="str">
        <f>Horaire!C126</f>
        <v>C5</v>
      </c>
      <c r="D121" s="411" t="str">
        <f>VLOOKUP(C121,'Liste chauffeur'!$B$5:$L$20,2,TRUE)&amp;" "&amp;VLOOKUP(C121,'Liste chauffeur'!$B$5:$L$20,3,TRUE)</f>
        <v>AHAMADI Bacar Raenmouddine</v>
      </c>
      <c r="E121" s="418" t="s">
        <v>48</v>
      </c>
      <c r="F121" s="414"/>
      <c r="G121" s="414"/>
      <c r="H121" s="415"/>
    </row>
    <row r="122" spans="1:9" ht="39.4" customHeight="1" x14ac:dyDescent="0.45">
      <c r="A122" s="357" t="str">
        <f>Horaire!A127</f>
        <v>VAHIBE</v>
      </c>
      <c r="B122" s="361">
        <f>Horaire!B127</f>
        <v>0.69791666666666663</v>
      </c>
      <c r="C122" s="342" t="str">
        <f>Horaire!C127</f>
        <v>C5</v>
      </c>
      <c r="D122" s="341" t="str">
        <f>VLOOKUP(C122,'Liste chauffeur'!$B$5:$L$20,2,TRUE)&amp;" "&amp;VLOOKUP(C122,'Liste chauffeur'!$B$5:$L$20,3,TRUE)</f>
        <v>AHAMADI Bacar Raenmouddine</v>
      </c>
      <c r="E122" s="418" t="s">
        <v>48</v>
      </c>
      <c r="F122" s="280"/>
      <c r="G122" s="280"/>
      <c r="H122" s="281"/>
    </row>
    <row r="123" spans="1:9" ht="39.4" customHeight="1" x14ac:dyDescent="0.45">
      <c r="A123" s="408" t="str">
        <f>Horaire!A128</f>
        <v>PASSAMAINTY</v>
      </c>
      <c r="B123" s="409">
        <f>Horaire!B128</f>
        <v>0.69791666666666663</v>
      </c>
      <c r="C123" s="410" t="str">
        <f>Horaire!C128</f>
        <v>C12</v>
      </c>
      <c r="D123" s="411" t="str">
        <f>VLOOKUP(C123,'Liste chauffeur'!$B$5:$L$20,2,TRUE)&amp;" "&amp;VLOOKUP(C123,'Liste chauffeur'!$B$5:$L$20,3,TRUE)</f>
        <v>ALILOIFFA Said Siradj</v>
      </c>
      <c r="E123" s="418" t="s">
        <v>48</v>
      </c>
      <c r="F123" s="414"/>
      <c r="G123" s="414"/>
      <c r="H123" s="415"/>
    </row>
    <row r="124" spans="1:9" ht="39.4" customHeight="1" x14ac:dyDescent="0.45">
      <c r="A124" s="357" t="str">
        <f>Horaire!A129</f>
        <v>VAHIBE</v>
      </c>
      <c r="B124" s="343">
        <f>Horaire!B129</f>
        <v>0.70833333333333337</v>
      </c>
      <c r="C124" s="342" t="str">
        <f>Horaire!C129</f>
        <v>C12</v>
      </c>
      <c r="D124" s="341" t="str">
        <f>VLOOKUP(C124,'Liste chauffeur'!$B$5:$L$20,2,TRUE)&amp;" "&amp;VLOOKUP(C124,'Liste chauffeur'!$B$5:$L$20,3,TRUE)</f>
        <v>ALILOIFFA Said Siradj</v>
      </c>
      <c r="E124" s="418" t="s">
        <v>48</v>
      </c>
      <c r="F124" s="280"/>
      <c r="G124" s="280"/>
      <c r="H124" s="281"/>
      <c r="I124" s="309" t="s">
        <v>392</v>
      </c>
    </row>
    <row r="125" spans="1:9" ht="39.4" customHeight="1" x14ac:dyDescent="0.45">
      <c r="A125" s="408" t="str">
        <f>Horaire!A130</f>
        <v>PASSAMAINTY</v>
      </c>
      <c r="B125" s="409">
        <f>Horaire!B130</f>
        <v>0.70833333333333337</v>
      </c>
      <c r="C125" s="410" t="str">
        <f>Horaire!C130</f>
        <v>C5</v>
      </c>
      <c r="D125" s="411" t="str">
        <f>VLOOKUP(C125,'Liste chauffeur'!$B$5:$L$20,2,TRUE)&amp;" "&amp;VLOOKUP(C125,'Liste chauffeur'!$B$5:$L$20,3,TRUE)</f>
        <v>AHAMADI Bacar Raenmouddine</v>
      </c>
      <c r="E125" s="418" t="s">
        <v>48</v>
      </c>
      <c r="F125" s="414"/>
      <c r="G125" s="414"/>
      <c r="H125" s="415"/>
    </row>
    <row r="126" spans="1:9" ht="39.4" customHeight="1" x14ac:dyDescent="0.45">
      <c r="A126" s="357" t="str">
        <f>Horaire!A131</f>
        <v>VAHIBE</v>
      </c>
      <c r="B126" s="343">
        <f>Horaire!B131</f>
        <v>0.71875</v>
      </c>
      <c r="C126" s="342" t="str">
        <f>Horaire!C131</f>
        <v>C5</v>
      </c>
      <c r="D126" s="341" t="str">
        <f>VLOOKUP(C126,'Liste chauffeur'!$B$5:$L$20,2,TRUE)&amp;" "&amp;VLOOKUP(C126,'Liste chauffeur'!$B$5:$L$20,3,TRUE)</f>
        <v>AHAMADI Bacar Raenmouddine</v>
      </c>
      <c r="E126" s="417"/>
      <c r="F126" s="280"/>
      <c r="G126" s="280"/>
      <c r="H126" s="281"/>
      <c r="I126" s="137"/>
    </row>
    <row r="127" spans="1:9" ht="39.4" customHeight="1" x14ac:dyDescent="0.45">
      <c r="A127" s="408" t="str">
        <f>Horaire!A132</f>
        <v>PASSAMAINTY</v>
      </c>
      <c r="B127" s="409">
        <f>Horaire!B132</f>
        <v>0.71875</v>
      </c>
      <c r="C127" s="410" t="str">
        <f>Horaire!C132</f>
        <v>C12</v>
      </c>
      <c r="D127" s="411" t="str">
        <f>VLOOKUP(C127,'Liste chauffeur'!$B$5:$L$20,2,TRUE)&amp;" "&amp;VLOOKUP(C127,'Liste chauffeur'!$B$5:$L$20,3,TRUE)</f>
        <v>ALILOIFFA Said Siradj</v>
      </c>
      <c r="E127" s="418"/>
      <c r="F127" s="414"/>
      <c r="G127" s="414"/>
      <c r="H127" s="415"/>
    </row>
    <row r="128" spans="1:9" ht="39.4" customHeight="1" x14ac:dyDescent="0.45">
      <c r="A128" s="357" t="str">
        <f>Horaire!A133</f>
        <v>VAHIBE</v>
      </c>
      <c r="B128" s="361">
        <f>Horaire!B133</f>
        <v>0.72916666666666663</v>
      </c>
      <c r="C128" s="342" t="str">
        <f>Horaire!C133</f>
        <v>C12</v>
      </c>
      <c r="D128" s="341" t="str">
        <f>VLOOKUP(C128,'Liste chauffeur'!$B$5:$L$20,2,TRUE)&amp;" "&amp;VLOOKUP(C128,'Liste chauffeur'!$B$5:$L$20,3,TRUE)</f>
        <v>ALILOIFFA Said Siradj</v>
      </c>
      <c r="E128" s="417"/>
      <c r="F128" s="280"/>
      <c r="G128" s="280"/>
      <c r="H128" s="281"/>
    </row>
    <row r="129" spans="1:9" ht="39.4" customHeight="1" x14ac:dyDescent="0.45">
      <c r="A129" s="408" t="str">
        <f>Horaire!A134</f>
        <v>PASSAMAINTY</v>
      </c>
      <c r="B129" s="409">
        <f>Horaire!B134</f>
        <v>0.72916666666666663</v>
      </c>
      <c r="C129" s="410" t="str">
        <f>Horaire!C134</f>
        <v>C5</v>
      </c>
      <c r="D129" s="411" t="str">
        <f>VLOOKUP(C129,'Liste chauffeur'!$B$5:$L$20,2,TRUE)&amp;" "&amp;VLOOKUP(C129,'Liste chauffeur'!$B$5:$L$20,3,TRUE)</f>
        <v>AHAMADI Bacar Raenmouddine</v>
      </c>
      <c r="E129" s="418"/>
      <c r="F129" s="414"/>
      <c r="G129" s="414"/>
      <c r="H129" s="415"/>
    </row>
    <row r="130" spans="1:9" ht="39.4" customHeight="1" x14ac:dyDescent="0.45">
      <c r="A130" s="357" t="str">
        <f>Horaire!A135</f>
        <v>VAHIBE</v>
      </c>
      <c r="B130" s="343">
        <f>Horaire!B135</f>
        <v>0.73958333333333337</v>
      </c>
      <c r="C130" s="342" t="str">
        <f>Horaire!C135</f>
        <v>C5</v>
      </c>
      <c r="D130" s="341" t="str">
        <f>VLOOKUP(C130,'Liste chauffeur'!$B$5:$L$20,2,TRUE)&amp;" "&amp;VLOOKUP(C130,'Liste chauffeur'!$B$5:$L$20,3,TRUE)</f>
        <v>AHAMADI Bacar Raenmouddine</v>
      </c>
      <c r="E130" s="417"/>
      <c r="F130" s="280"/>
      <c r="G130" s="280"/>
      <c r="H130" s="281"/>
      <c r="I130" s="309" t="s">
        <v>391</v>
      </c>
    </row>
    <row r="131" spans="1:9" ht="39.4" customHeight="1" x14ac:dyDescent="0.45">
      <c r="A131" s="408" t="str">
        <f>Horaire!A136</f>
        <v>PASSAMAINTY</v>
      </c>
      <c r="B131" s="409">
        <f>Horaire!B136</f>
        <v>0.73958333333333337</v>
      </c>
      <c r="C131" s="410" t="str">
        <f>Horaire!C136</f>
        <v>C12</v>
      </c>
      <c r="D131" s="411" t="str">
        <f>VLOOKUP(C131,'Liste chauffeur'!$B$5:$L$20,2,TRUE)&amp;" "&amp;VLOOKUP(C131,'Liste chauffeur'!$B$5:$L$20,3,TRUE)</f>
        <v>ALILOIFFA Said Siradj</v>
      </c>
      <c r="E131" s="418"/>
      <c r="F131" s="414"/>
      <c r="G131" s="414"/>
      <c r="H131" s="415"/>
    </row>
    <row r="132" spans="1:9" ht="39.4" customHeight="1" x14ac:dyDescent="0.45">
      <c r="A132" s="357" t="str">
        <f>Horaire!A137</f>
        <v>VAHIBE</v>
      </c>
      <c r="B132" s="359">
        <f>Horaire!B137</f>
        <v>0.75</v>
      </c>
      <c r="C132" s="342" t="str">
        <f>Horaire!C137</f>
        <v>C12</v>
      </c>
      <c r="D132" s="341" t="str">
        <f>VLOOKUP(C132,'Liste chauffeur'!$B$5:$L$20,2,TRUE)&amp;" "&amp;VLOOKUP(C132,'Liste chauffeur'!$B$5:$L$20,3,TRUE)</f>
        <v>ALILOIFFA Said Siradj</v>
      </c>
      <c r="E132" s="417"/>
      <c r="F132" s="280"/>
      <c r="G132" s="280"/>
      <c r="H132" s="281"/>
    </row>
    <row r="133" spans="1:9" ht="39.4" customHeight="1" x14ac:dyDescent="0.45">
      <c r="A133" s="408" t="str">
        <f>Horaire!A138</f>
        <v>PASSAMAINTY</v>
      </c>
      <c r="B133" s="359">
        <f>Horaire!B138</f>
        <v>0.75</v>
      </c>
      <c r="C133" s="410" t="str">
        <f>Horaire!C138</f>
        <v>C5</v>
      </c>
      <c r="D133" s="411" t="str">
        <f>VLOOKUP(C133,'Liste chauffeur'!$B$5:$L$20,2,TRUE)&amp;" "&amp;VLOOKUP(C133,'Liste chauffeur'!$B$5:$L$20,3,TRUE)</f>
        <v>AHAMADI Bacar Raenmouddine</v>
      </c>
      <c r="E133" s="418"/>
      <c r="F133" s="414"/>
      <c r="G133" s="414"/>
      <c r="H133" s="415"/>
    </row>
  </sheetData>
  <autoFilter ref="A2:H133" xr:uid="{6A06E119-2645-4680-ABA4-211EDBAC8958}"/>
  <phoneticPr fontId="5" type="noConversion"/>
  <printOptions horizontalCentered="1"/>
  <pageMargins left="0.23622047244094499" right="0.23622047244094499" top="0.74803149606299202" bottom="0.74803149606299202" header="0.31496062992126" footer="0.31496062992126"/>
  <pageSetup paperSize="9" scale="5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0486-4FFD-4836-870A-83867D7317AC}">
  <sheetPr>
    <pageSetUpPr fitToPage="1"/>
  </sheetPr>
  <dimension ref="A1:I49"/>
  <sheetViews>
    <sheetView workbookViewId="0">
      <selection activeCell="A50" sqref="A50:XFD60"/>
    </sheetView>
  </sheetViews>
  <sheetFormatPr baseColWidth="10" defaultColWidth="10.796875" defaultRowHeight="14.25" x14ac:dyDescent="0.45"/>
  <cols>
    <col min="1" max="1" width="26.1328125" style="137" customWidth="1"/>
    <col min="2" max="2" width="17.796875" style="310" bestFit="1" customWidth="1"/>
    <col min="3" max="3" width="13" style="315" customWidth="1"/>
    <col min="4" max="4" width="53.796875" style="137" customWidth="1"/>
    <col min="5" max="5" width="12" style="137" customWidth="1"/>
    <col min="6" max="6" width="16.5312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312" t="s">
        <v>459</v>
      </c>
      <c r="E1" s="499">
        <f>'coordinateur matin'!F1</f>
        <v>46143</v>
      </c>
      <c r="F1" s="499"/>
      <c r="I1" s="313" t="s">
        <v>438</v>
      </c>
    </row>
    <row r="2" spans="1:9" s="189" customFormat="1" ht="54" x14ac:dyDescent="0.45">
      <c r="A2" s="308" t="s">
        <v>327</v>
      </c>
      <c r="B2" s="311" t="s">
        <v>0</v>
      </c>
      <c r="C2" s="316" t="s">
        <v>25</v>
      </c>
      <c r="D2" s="279" t="s">
        <v>26</v>
      </c>
      <c r="E2" s="279" t="s">
        <v>32</v>
      </c>
      <c r="F2" s="279" t="s">
        <v>393</v>
      </c>
      <c r="G2" s="279" t="s">
        <v>1</v>
      </c>
      <c r="H2" s="279" t="s">
        <v>331</v>
      </c>
      <c r="I2" s="279"/>
    </row>
    <row r="3" spans="1:9" s="189" customFormat="1" ht="39.4" customHeight="1" x14ac:dyDescent="0.45">
      <c r="A3" s="357" t="str">
        <f>'Horaire samedi'!A8</f>
        <v>VAHIBE</v>
      </c>
      <c r="B3" s="358">
        <f>'Horaire samedi'!B8</f>
        <v>0.25</v>
      </c>
      <c r="C3" s="360" t="str">
        <f>'Horaire samedi'!C8</f>
        <v>C11</v>
      </c>
      <c r="D3" s="341" t="str">
        <f>VLOOKUP(C3,'Liste chauffeur'!$B$5:$L$20,2,TRUE)&amp;" "&amp;VLOOKUP(C3,'Liste chauffeur'!$B$5:$L$20,3,TRUE)</f>
        <v>MADI BOINA Mkidachi</v>
      </c>
      <c r="E3" s="314"/>
      <c r="F3" s="279"/>
      <c r="G3" s="279"/>
      <c r="H3" s="279"/>
      <c r="I3" s="323"/>
    </row>
    <row r="4" spans="1:9" s="189" customFormat="1" ht="39.4" customHeight="1" x14ac:dyDescent="0.45">
      <c r="A4" s="408" t="str">
        <f>'Horaire samedi'!A10</f>
        <v>PASSAMAINTY</v>
      </c>
      <c r="B4" s="409">
        <f>'Horaire samedi'!B10</f>
        <v>0.27083333333333331</v>
      </c>
      <c r="C4" s="419" t="str">
        <f>'Horaire samedi'!C10</f>
        <v>C11</v>
      </c>
      <c r="D4" s="411" t="str">
        <f>VLOOKUP(C4,'Liste chauffeur'!$B$5:$L$20,2,TRUE)&amp;" "&amp;VLOOKUP(C4,'Liste chauffeur'!$B$5:$L$20,3,TRUE)</f>
        <v>MADI BOINA Mkidachi</v>
      </c>
      <c r="E4" s="412"/>
      <c r="F4" s="413"/>
      <c r="G4" s="413"/>
      <c r="H4" s="413"/>
      <c r="I4" s="309" t="s">
        <v>389</v>
      </c>
    </row>
    <row r="5" spans="1:9" s="189" customFormat="1" ht="39.4" customHeight="1" x14ac:dyDescent="0.45">
      <c r="A5" s="357" t="str">
        <f>'Horaire samedi'!A9</f>
        <v>VAHIBE</v>
      </c>
      <c r="B5" s="358">
        <f>'Horaire samedi'!B9</f>
        <v>0.27083333333333331</v>
      </c>
      <c r="C5" s="360" t="str">
        <f>'Horaire samedi'!C9</f>
        <v>C9</v>
      </c>
      <c r="D5" s="341" t="str">
        <f>VLOOKUP(C5,'Liste chauffeur'!$B$5:$L$20,2,TRUE)&amp;" "&amp;VLOOKUP(C5,'Liste chauffeur'!$B$5:$L$20,3,TRUE)</f>
        <v>SANDI Maanrouf</v>
      </c>
      <c r="E5" s="314"/>
      <c r="F5" s="279"/>
      <c r="G5" s="279"/>
      <c r="H5" s="279"/>
      <c r="I5" s="309"/>
    </row>
    <row r="6" spans="1:9" s="189" customFormat="1" ht="39.4" customHeight="1" x14ac:dyDescent="0.45">
      <c r="A6" s="408" t="str">
        <f>'Horaire samedi'!A12</f>
        <v>PASSAMAINTY</v>
      </c>
      <c r="B6" s="409">
        <f>'Horaire samedi'!B12</f>
        <v>0.29166666666666669</v>
      </c>
      <c r="C6" s="419" t="str">
        <f>'Horaire samedi'!C12</f>
        <v>C9</v>
      </c>
      <c r="D6" s="411" t="str">
        <f>VLOOKUP(C6,'Liste chauffeur'!$B$5:$L$20,2,TRUE)&amp;" "&amp;VLOOKUP(C6,'Liste chauffeur'!$B$5:$L$20,3,TRUE)</f>
        <v>SANDI Maanrouf</v>
      </c>
      <c r="E6" s="412"/>
      <c r="F6" s="413"/>
      <c r="G6" s="413"/>
      <c r="H6" s="413"/>
      <c r="I6" s="309"/>
    </row>
    <row r="7" spans="1:9" ht="39.4" customHeight="1" x14ac:dyDescent="0.45">
      <c r="A7" s="357" t="str">
        <f>'Horaire samedi'!A11</f>
        <v>VAHIBE</v>
      </c>
      <c r="B7" s="361">
        <f>'Horaire samedi'!B11</f>
        <v>0.29166666666666669</v>
      </c>
      <c r="C7" s="360" t="str">
        <f>'Horaire samedi'!C11</f>
        <v>C11</v>
      </c>
      <c r="D7" s="341" t="str">
        <f>VLOOKUP(C7,'Liste chauffeur'!$B$5:$L$20,2,TRUE)&amp;" "&amp;VLOOKUP(C7,'Liste chauffeur'!$B$5:$L$20,3,TRUE)</f>
        <v>MADI BOINA Mkidachi</v>
      </c>
      <c r="E7" s="314"/>
      <c r="F7" s="280" t="str">
        <f>IF(ISBLANK('Feuille saisie'!M12)=TRUE,"",'Feuille saisie'!M12)</f>
        <v/>
      </c>
      <c r="G7" s="280"/>
      <c r="H7" s="281"/>
      <c r="I7" s="309"/>
    </row>
    <row r="8" spans="1:9" ht="39.4" customHeight="1" x14ac:dyDescent="0.45">
      <c r="A8" s="408" t="str">
        <f>'Horaire samedi'!A14</f>
        <v>PASSAMAINTY</v>
      </c>
      <c r="B8" s="409">
        <f>'Horaire samedi'!B14</f>
        <v>0.3125</v>
      </c>
      <c r="C8" s="419" t="str">
        <f>'Horaire samedi'!C14</f>
        <v>C9</v>
      </c>
      <c r="D8" s="411" t="str">
        <f>VLOOKUP(C8,'Liste chauffeur'!$B$5:$L$20,2,TRUE)&amp;" "&amp;VLOOKUP(C8,'Liste chauffeur'!$B$5:$L$20,3,TRUE)</f>
        <v>SANDI Maanrouf</v>
      </c>
      <c r="E8" s="412"/>
      <c r="F8" s="414" t="str">
        <f>IF(ISBLANK('Feuille saisie'!M13)=TRUE,"",'Feuille saisie'!M13)</f>
        <v/>
      </c>
      <c r="G8" s="414"/>
      <c r="H8" s="415"/>
      <c r="I8" s="309"/>
    </row>
    <row r="9" spans="1:9" ht="39.4" customHeight="1" x14ac:dyDescent="0.45">
      <c r="A9" s="357" t="str">
        <f>'Horaire samedi'!A13</f>
        <v>VAHIBE</v>
      </c>
      <c r="B9" s="361">
        <f>'Horaire samedi'!B13</f>
        <v>0.3125</v>
      </c>
      <c r="C9" s="360" t="str">
        <f>'Horaire samedi'!C13</f>
        <v>C11</v>
      </c>
      <c r="D9" s="341" t="str">
        <f>VLOOKUP(C9,'Liste chauffeur'!$B$5:$L$20,2,TRUE)&amp;" "&amp;VLOOKUP(C9,'Liste chauffeur'!$B$5:$L$20,3,TRUE)</f>
        <v>MADI BOINA Mkidachi</v>
      </c>
      <c r="E9" s="314"/>
      <c r="F9" s="307" t="str">
        <f>IF(ISBLANK('Feuille saisie'!M14)=TRUE,"",'Feuille saisie'!M14)</f>
        <v/>
      </c>
      <c r="G9" s="280"/>
      <c r="H9" s="281"/>
      <c r="I9" s="309"/>
    </row>
    <row r="10" spans="1:9" ht="39.4" customHeight="1" x14ac:dyDescent="0.45">
      <c r="A10" s="408" t="str">
        <f>'Horaire samedi'!A16</f>
        <v>PASSAMAINTY</v>
      </c>
      <c r="B10" s="409">
        <f>'Horaire samedi'!B16</f>
        <v>0.33333333333333331</v>
      </c>
      <c r="C10" s="419" t="str">
        <f>'Horaire samedi'!C16</f>
        <v>C11</v>
      </c>
      <c r="D10" s="411" t="str">
        <f>VLOOKUP(C10,'Liste chauffeur'!$B$5:$L$20,2,TRUE)&amp;" "&amp;VLOOKUP(C10,'Liste chauffeur'!$B$5:$L$20,3,TRUE)</f>
        <v>MADI BOINA Mkidachi</v>
      </c>
      <c r="E10" s="412"/>
      <c r="F10" s="414" t="str">
        <f>IF(ISBLANK('Feuille saisie'!M15)=TRUE,"",'Feuille saisie'!M15)</f>
        <v/>
      </c>
      <c r="G10" s="414"/>
      <c r="H10" s="415"/>
      <c r="I10" s="309"/>
    </row>
    <row r="11" spans="1:9" ht="39.4" customHeight="1" x14ac:dyDescent="0.45">
      <c r="A11" s="357" t="str">
        <f>'Horaire samedi'!A15</f>
        <v>VAHIBE</v>
      </c>
      <c r="B11" s="361">
        <f>'Horaire samedi'!B15</f>
        <v>0.33333333333333331</v>
      </c>
      <c r="C11" s="360" t="str">
        <f>'Horaire samedi'!C15</f>
        <v>C9</v>
      </c>
      <c r="D11" s="341" t="str">
        <f>VLOOKUP(C11,'Liste chauffeur'!$B$5:$L$20,2,TRUE)&amp;" "&amp;VLOOKUP(C11,'Liste chauffeur'!$B$5:$L$20,3,TRUE)</f>
        <v>SANDI Maanrouf</v>
      </c>
      <c r="E11" s="314"/>
      <c r="F11" s="280" t="str">
        <f>IF(ISBLANK('Feuille saisie'!M16)=TRUE,"",'Feuille saisie'!M16)</f>
        <v/>
      </c>
      <c r="G11" s="280"/>
      <c r="H11" s="281"/>
      <c r="I11" s="309"/>
    </row>
    <row r="12" spans="1:9" ht="39.4" customHeight="1" x14ac:dyDescent="0.45">
      <c r="A12" s="408" t="str">
        <f>'Horaire samedi'!A18</f>
        <v>PASSAMAINTY</v>
      </c>
      <c r="B12" s="409">
        <f>'Horaire samedi'!B18</f>
        <v>0.375</v>
      </c>
      <c r="C12" s="419" t="str">
        <f>'Horaire samedi'!C18</f>
        <v>C9</v>
      </c>
      <c r="D12" s="411" t="str">
        <f>VLOOKUP(C12,'Liste chauffeur'!$B$5:$L$20,2,TRUE)&amp;" "&amp;VLOOKUP(C12,'Liste chauffeur'!$B$5:$L$20,3,TRUE)</f>
        <v>SANDI Maanrouf</v>
      </c>
      <c r="E12" s="412"/>
      <c r="F12" s="414" t="str">
        <f>IF(ISBLANK('Feuille saisie'!M17)=TRUE,"",'Feuille saisie'!M17)</f>
        <v/>
      </c>
      <c r="G12" s="414"/>
      <c r="H12" s="415"/>
      <c r="I12" s="309"/>
    </row>
    <row r="13" spans="1:9" ht="39.4" customHeight="1" x14ac:dyDescent="0.45">
      <c r="A13" s="357" t="str">
        <f>'Horaire samedi'!A17</f>
        <v>VAHIBE</v>
      </c>
      <c r="B13" s="361">
        <f>'Horaire samedi'!B17</f>
        <v>0.375</v>
      </c>
      <c r="C13" s="360" t="str">
        <f>'Horaire samedi'!C17</f>
        <v>C11</v>
      </c>
      <c r="D13" s="341" t="str">
        <f>VLOOKUP(C13,'Liste chauffeur'!$B$5:$L$20,2,TRUE)&amp;" "&amp;VLOOKUP(C13,'Liste chauffeur'!$B$5:$L$20,3,TRUE)</f>
        <v>MADI BOINA Mkidachi</v>
      </c>
      <c r="E13" s="314"/>
      <c r="F13" s="280"/>
      <c r="G13" s="280"/>
      <c r="H13" s="281"/>
      <c r="I13" s="309" t="s">
        <v>390</v>
      </c>
    </row>
    <row r="14" spans="1:9" ht="39.4" customHeight="1" x14ac:dyDescent="0.45">
      <c r="A14" s="408" t="str">
        <f>'Horaire samedi'!A20</f>
        <v>PASSAMAINTY</v>
      </c>
      <c r="B14" s="409">
        <f>'Horaire samedi'!B20</f>
        <v>0.39583333333333331</v>
      </c>
      <c r="C14" s="419" t="str">
        <f>'Horaire samedi'!C20</f>
        <v>C11</v>
      </c>
      <c r="D14" s="411" t="str">
        <f>VLOOKUP(C14,'Liste chauffeur'!$B$5:$L$20,2,TRUE)&amp;" "&amp;VLOOKUP(C14,'Liste chauffeur'!$B$5:$L$20,3,TRUE)</f>
        <v>MADI BOINA Mkidachi</v>
      </c>
      <c r="E14" s="412"/>
      <c r="F14" s="414" t="str">
        <f>IF(ISBLANK('Feuille saisie'!M19)=TRUE,"",'Feuille saisie'!M19)</f>
        <v/>
      </c>
      <c r="G14" s="414"/>
      <c r="H14" s="415"/>
      <c r="I14" s="309"/>
    </row>
    <row r="15" spans="1:9" ht="39.4" customHeight="1" x14ac:dyDescent="0.45">
      <c r="A15" s="357" t="str">
        <f>'Horaire samedi'!A19</f>
        <v>VAHIBE</v>
      </c>
      <c r="B15" s="361">
        <f>'Horaire samedi'!B19</f>
        <v>0.39583333333333331</v>
      </c>
      <c r="C15" s="360" t="str">
        <f>'Horaire samedi'!C19</f>
        <v>C9</v>
      </c>
      <c r="D15" s="341" t="str">
        <f>VLOOKUP(C15,'Liste chauffeur'!$B$5:$L$20,2,TRUE)&amp;" "&amp;VLOOKUP(C15,'Liste chauffeur'!$B$5:$L$20,3,TRUE)</f>
        <v>SANDI Maanrouf</v>
      </c>
      <c r="E15" s="314"/>
      <c r="F15" s="280" t="str">
        <f>IF(ISBLANK('Feuille saisie'!M20)=TRUE,"",'Feuille saisie'!M20)</f>
        <v/>
      </c>
      <c r="G15" s="280"/>
      <c r="H15" s="281"/>
    </row>
    <row r="16" spans="1:9" ht="39.4" customHeight="1" x14ac:dyDescent="0.45">
      <c r="A16" s="408" t="str">
        <f>'Horaire samedi'!A22</f>
        <v>PASSAMAINTY</v>
      </c>
      <c r="B16" s="409">
        <f>'Horaire samedi'!B22</f>
        <v>0.41666666666666669</v>
      </c>
      <c r="C16" s="419" t="str">
        <f>'Horaire samedi'!C22</f>
        <v>C9</v>
      </c>
      <c r="D16" s="411" t="str">
        <f>VLOOKUP(C16,'Liste chauffeur'!$B$5:$L$20,2,TRUE)&amp;" "&amp;VLOOKUP(C16,'Liste chauffeur'!$B$5:$L$20,3,TRUE)</f>
        <v>SANDI Maanrouf</v>
      </c>
      <c r="E16" s="412"/>
      <c r="F16" s="414" t="str">
        <f>IF(ISBLANK('Feuille saisie'!M21)=TRUE,"",'Feuille saisie'!M21)</f>
        <v/>
      </c>
      <c r="G16" s="414"/>
      <c r="H16" s="415"/>
      <c r="I16" s="309"/>
    </row>
    <row r="17" spans="1:9" ht="39.4" customHeight="1" x14ac:dyDescent="0.45">
      <c r="A17" s="357" t="str">
        <f>'Horaire samedi'!A21</f>
        <v>VAHIBE</v>
      </c>
      <c r="B17" s="361">
        <f>'Horaire samedi'!B21</f>
        <v>0.41666666666666669</v>
      </c>
      <c r="C17" s="360" t="str">
        <f>'Horaire samedi'!C21</f>
        <v>C11</v>
      </c>
      <c r="D17" s="341" t="str">
        <f>VLOOKUP(C17,'Liste chauffeur'!$B$5:$L$20,2,TRUE)&amp;" "&amp;VLOOKUP(C17,'Liste chauffeur'!$B$5:$L$20,3,TRUE)</f>
        <v>MADI BOINA Mkidachi</v>
      </c>
      <c r="E17" s="314"/>
      <c r="F17" s="280" t="str">
        <f>IF(ISBLANK('Feuille saisie'!M22)=TRUE,"",'Feuille saisie'!M22)</f>
        <v/>
      </c>
      <c r="G17" s="280"/>
      <c r="H17" s="281"/>
      <c r="I17" s="309" t="s">
        <v>392</v>
      </c>
    </row>
    <row r="18" spans="1:9" ht="39.4" customHeight="1" x14ac:dyDescent="0.45">
      <c r="A18" s="408" t="str">
        <f>'Horaire samedi'!A24</f>
        <v>PASSAMAINTY</v>
      </c>
      <c r="B18" s="409">
        <f>'Horaire samedi'!B24</f>
        <v>0.4375</v>
      </c>
      <c r="C18" s="419" t="str">
        <f>'Horaire samedi'!C24</f>
        <v>C11</v>
      </c>
      <c r="D18" s="411" t="str">
        <f>VLOOKUP(C18,'Liste chauffeur'!$B$5:$L$20,2,TRUE)&amp;" "&amp;VLOOKUP(C18,'Liste chauffeur'!$B$5:$L$20,3,TRUE)</f>
        <v>MADI BOINA Mkidachi</v>
      </c>
      <c r="E18" s="412"/>
      <c r="F18" s="414" t="str">
        <f>IF(ISBLANK('Feuille saisie'!M23)=TRUE,"",'Feuille saisie'!M23)</f>
        <v/>
      </c>
      <c r="G18" s="414"/>
      <c r="H18" s="415"/>
    </row>
    <row r="19" spans="1:9" ht="39.4" customHeight="1" x14ac:dyDescent="0.45">
      <c r="A19" s="357" t="str">
        <f>'Horaire samedi'!A23</f>
        <v>VAHIBE</v>
      </c>
      <c r="B19" s="361">
        <f>'Horaire samedi'!B23</f>
        <v>0.4375</v>
      </c>
      <c r="C19" s="360" t="str">
        <f>'Horaire samedi'!C23</f>
        <v>C9</v>
      </c>
      <c r="D19" s="341" t="str">
        <f>VLOOKUP(C19,'Liste chauffeur'!$B$5:$L$20,2,TRUE)&amp;" "&amp;VLOOKUP(C19,'Liste chauffeur'!$B$5:$L$20,3,TRUE)</f>
        <v>SANDI Maanrouf</v>
      </c>
      <c r="E19" s="314"/>
      <c r="F19" s="280" t="str">
        <f>IF(ISBLANK('Feuille saisie'!M24)=TRUE,"",'Feuille saisie'!M24)</f>
        <v/>
      </c>
      <c r="G19" s="280"/>
      <c r="H19" s="281"/>
    </row>
    <row r="20" spans="1:9" ht="39.4" customHeight="1" x14ac:dyDescent="0.45">
      <c r="A20" s="408" t="str">
        <f>'Horaire samedi'!A26</f>
        <v>PASSAMAINTY</v>
      </c>
      <c r="B20" s="409">
        <f>'Horaire samedi'!B26</f>
        <v>0.45833333333333331</v>
      </c>
      <c r="C20" s="419" t="str">
        <f>'Horaire samedi'!C26</f>
        <v>C9</v>
      </c>
      <c r="D20" s="411" t="str">
        <f>VLOOKUP(C20,'Liste chauffeur'!$B$5:$L$20,2,TRUE)&amp;" "&amp;VLOOKUP(C20,'Liste chauffeur'!$B$5:$L$20,3,TRUE)</f>
        <v>SANDI Maanrouf</v>
      </c>
      <c r="E20" s="412"/>
      <c r="F20" s="414"/>
      <c r="G20" s="414"/>
      <c r="H20" s="415"/>
    </row>
    <row r="21" spans="1:9" ht="39.4" customHeight="1" x14ac:dyDescent="0.45">
      <c r="A21" s="357" t="str">
        <f>'Horaire samedi'!A25</f>
        <v>VAHIBE</v>
      </c>
      <c r="B21" s="361">
        <f>'Horaire samedi'!B25</f>
        <v>0.45833333333333331</v>
      </c>
      <c r="C21" s="360" t="str">
        <f>'Horaire samedi'!C25</f>
        <v>C11</v>
      </c>
      <c r="D21" s="341" t="str">
        <f>VLOOKUP(C21,'Liste chauffeur'!$B$5:$L$20,2,TRUE)&amp;" "&amp;VLOOKUP(C21,'Liste chauffeur'!$B$5:$L$20,3,TRUE)</f>
        <v>MADI BOINA Mkidachi</v>
      </c>
      <c r="E21" s="314"/>
      <c r="F21" s="280" t="str">
        <f>IF(ISBLANK('Feuille saisie'!M26)=TRUE,"",'Feuille saisie'!M26)</f>
        <v/>
      </c>
      <c r="G21" s="280"/>
      <c r="H21" s="281"/>
    </row>
    <row r="22" spans="1:9" ht="39.4" customHeight="1" x14ac:dyDescent="0.45">
      <c r="A22" s="408" t="str">
        <f>'Horaire samedi'!A28</f>
        <v>PASSAMAINTY</v>
      </c>
      <c r="B22" s="409">
        <f>'Horaire samedi'!B28</f>
        <v>0.47916666666666669</v>
      </c>
      <c r="C22" s="419" t="str">
        <f>'Horaire samedi'!C28</f>
        <v>C11</v>
      </c>
      <c r="D22" s="411" t="str">
        <f>VLOOKUP(C22,'Liste chauffeur'!$B$5:$L$20,2,TRUE)&amp;" "&amp;VLOOKUP(C22,'Liste chauffeur'!$B$5:$L$20,3,TRUE)</f>
        <v>MADI BOINA Mkidachi</v>
      </c>
      <c r="E22" s="412"/>
      <c r="F22" s="414" t="str">
        <f>IF(ISBLANK('Feuille saisie'!M27)=TRUE,"",'Feuille saisie'!M27)</f>
        <v/>
      </c>
      <c r="G22" s="414"/>
      <c r="H22" s="415"/>
    </row>
    <row r="23" spans="1:9" ht="39.4" customHeight="1" x14ac:dyDescent="0.45">
      <c r="A23" s="357" t="str">
        <f>'Horaire samedi'!A27</f>
        <v>VAHIBE</v>
      </c>
      <c r="B23" s="361">
        <f>'Horaire samedi'!B27</f>
        <v>0.47916666666666669</v>
      </c>
      <c r="C23" s="360" t="str">
        <f>'Horaire samedi'!C27</f>
        <v>C9</v>
      </c>
      <c r="D23" s="341" t="str">
        <f>VLOOKUP(C23,'Liste chauffeur'!$B$5:$L$20,2,TRUE)&amp;" "&amp;VLOOKUP(C23,'Liste chauffeur'!$B$5:$L$20,3,TRUE)</f>
        <v>SANDI Maanrouf</v>
      </c>
      <c r="E23" s="314"/>
      <c r="F23" s="280" t="str">
        <f>IF(ISBLANK('Feuille saisie'!M28)=TRUE,"",'Feuille saisie'!M28)</f>
        <v/>
      </c>
      <c r="G23" s="280"/>
      <c r="H23" s="281"/>
    </row>
    <row r="24" spans="1:9" ht="39.4" customHeight="1" x14ac:dyDescent="0.45">
      <c r="A24" s="408" t="str">
        <f>'Horaire samedi'!A30</f>
        <v>PASSAMAINTY</v>
      </c>
      <c r="B24" s="409">
        <f>'Horaire samedi'!B30</f>
        <v>0.5</v>
      </c>
      <c r="C24" s="419" t="str">
        <f>'Horaire samedi'!C30</f>
        <v>C9</v>
      </c>
      <c r="D24" s="411" t="str">
        <f>VLOOKUP(C24,'Liste chauffeur'!$B$5:$L$20,2,TRUE)&amp;" "&amp;VLOOKUP(C24,'Liste chauffeur'!$B$5:$L$20,3,TRUE)</f>
        <v>SANDI Maanrouf</v>
      </c>
      <c r="E24" s="412"/>
      <c r="F24" s="414" t="str">
        <f>IF(ISBLANK('Feuille saisie'!M29)=TRUE,"",'Feuille saisie'!M29)</f>
        <v/>
      </c>
      <c r="G24" s="414"/>
      <c r="H24" s="415"/>
      <c r="I24" s="309"/>
    </row>
    <row r="25" spans="1:9" ht="39.4" customHeight="1" x14ac:dyDescent="0.45">
      <c r="A25" s="357" t="str">
        <f>'Horaire samedi'!A29</f>
        <v>VAHIBE</v>
      </c>
      <c r="B25" s="361">
        <f>'Horaire samedi'!B29</f>
        <v>0.5</v>
      </c>
      <c r="C25" s="360" t="str">
        <f>'Horaire samedi'!C29</f>
        <v>C11</v>
      </c>
      <c r="D25" s="341" t="str">
        <f>VLOOKUP(C25,'Liste chauffeur'!$B$5:$L$20,2,TRUE)&amp;" "&amp;VLOOKUP(C25,'Liste chauffeur'!$B$5:$L$20,3,TRUE)</f>
        <v>MADI BOINA Mkidachi</v>
      </c>
      <c r="E25" s="314"/>
      <c r="F25" s="280" t="str">
        <f>IF(ISBLANK('Feuille saisie'!M30)=TRUE,"",'Feuille saisie'!M30)</f>
        <v/>
      </c>
      <c r="G25" s="280"/>
      <c r="H25" s="281"/>
      <c r="I25" s="309" t="s">
        <v>391</v>
      </c>
    </row>
    <row r="26" spans="1:9" ht="39.4" customHeight="1" x14ac:dyDescent="0.45">
      <c r="A26" s="408" t="str">
        <f>'Horaire samedi'!A32</f>
        <v>PASSAMAINTY</v>
      </c>
      <c r="B26" s="409">
        <f>'Horaire samedi'!B32</f>
        <v>0.52083333333333337</v>
      </c>
      <c r="C26" s="419" t="str">
        <f>'Horaire samedi'!C32</f>
        <v>C11</v>
      </c>
      <c r="D26" s="411" t="str">
        <f>VLOOKUP(C26,'Liste chauffeur'!$B$5:$L$20,2,TRUE)&amp;" "&amp;VLOOKUP(C26,'Liste chauffeur'!$B$5:$L$20,3,TRUE)</f>
        <v>MADI BOINA Mkidachi</v>
      </c>
      <c r="E26" s="412"/>
      <c r="F26" s="414" t="str">
        <f>IF(ISBLANK('Feuille saisie'!M31)=TRUE,"",'Feuille saisie'!M31)</f>
        <v/>
      </c>
      <c r="G26" s="414"/>
      <c r="H26" s="415"/>
    </row>
    <row r="27" spans="1:9" ht="39.4" customHeight="1" x14ac:dyDescent="0.45">
      <c r="A27" s="357" t="str">
        <f>'Horaire samedi'!A31</f>
        <v>VAHIBE</v>
      </c>
      <c r="B27" s="361">
        <f>'Horaire samedi'!B31</f>
        <v>0.52083333333333337</v>
      </c>
      <c r="C27" s="360" t="str">
        <f>'Horaire samedi'!C31</f>
        <v>C9</v>
      </c>
      <c r="D27" s="341" t="str">
        <f>VLOOKUP(C27,'Liste chauffeur'!$B$5:$L$20,2,TRUE)&amp;" "&amp;VLOOKUP(C27,'Liste chauffeur'!$B$5:$L$20,3,TRUE)</f>
        <v>SANDI Maanrouf</v>
      </c>
      <c r="E27" s="314"/>
      <c r="F27" s="280"/>
      <c r="G27" s="280"/>
      <c r="H27" s="281"/>
    </row>
    <row r="28" spans="1:9" ht="39.4" customHeight="1" x14ac:dyDescent="0.45">
      <c r="A28" s="408" t="str">
        <f>'Horaire samedi'!A34</f>
        <v>PASSAMAINTY</v>
      </c>
      <c r="B28" s="409">
        <f>'Horaire samedi'!B34</f>
        <v>0.54166666666666663</v>
      </c>
      <c r="C28" s="419" t="str">
        <f>'Horaire samedi'!C34</f>
        <v>C9</v>
      </c>
      <c r="D28" s="411" t="str">
        <f>VLOOKUP(C28,'Liste chauffeur'!$B$5:$L$20,2,TRUE)&amp;" "&amp;VLOOKUP(C28,'Liste chauffeur'!$B$5:$L$20,3,TRUE)</f>
        <v>SANDI Maanrouf</v>
      </c>
      <c r="E28" s="412"/>
      <c r="F28" s="414" t="str">
        <f>IF(ISBLANK('Feuille saisie'!M33)=TRUE,"",'Feuille saisie'!M33)</f>
        <v/>
      </c>
      <c r="G28" s="414"/>
      <c r="H28" s="415"/>
    </row>
    <row r="29" spans="1:9" ht="39.4" customHeight="1" x14ac:dyDescent="0.45">
      <c r="A29" s="357" t="str">
        <f>'Horaire samedi'!A33</f>
        <v>VAHIBE</v>
      </c>
      <c r="B29" s="359">
        <f>'Horaire samedi'!B33</f>
        <v>0.54166666666666663</v>
      </c>
      <c r="C29" s="360" t="str">
        <f>'Horaire samedi'!C33</f>
        <v>C11</v>
      </c>
      <c r="D29" s="341" t="str">
        <f>VLOOKUP(C29,'Liste chauffeur'!$B$5:$L$20,2,TRUE)&amp;" "&amp;VLOOKUP(C29,'Liste chauffeur'!$B$5:$L$20,3,TRUE)</f>
        <v>MADI BOINA Mkidachi</v>
      </c>
      <c r="E29" s="314"/>
      <c r="F29" s="280" t="str">
        <f>IF(ISBLANK('Feuille saisie'!M34)=TRUE,"",'Feuille saisie'!M34)</f>
        <v/>
      </c>
      <c r="G29" s="280"/>
      <c r="H29" s="281"/>
    </row>
    <row r="30" spans="1:9" ht="39.4" customHeight="1" x14ac:dyDescent="0.45">
      <c r="A30" s="408" t="str">
        <f>'Horaire samedi'!A36</f>
        <v>PASSAMAINTY</v>
      </c>
      <c r="B30" s="358">
        <f>'Horaire samedi'!B36</f>
        <v>0.5625</v>
      </c>
      <c r="C30" s="419" t="str">
        <f>'Horaire samedi'!C36</f>
        <v>C10</v>
      </c>
      <c r="D30" s="411" t="str">
        <f>VLOOKUP(C30,'Liste chauffeur'!$B$5:$L$20,2,TRUE)&amp;" "&amp;VLOOKUP(C30,'Liste chauffeur'!$B$5:$L$20,3,TRUE)</f>
        <v>ISSIHAKA M'Changama</v>
      </c>
      <c r="E30" s="412"/>
      <c r="F30" s="414" t="str">
        <f>IF(ISBLANK('Feuille saisie'!M35)=TRUE,"",'Feuille saisie'!M35)</f>
        <v/>
      </c>
      <c r="G30" s="414"/>
      <c r="H30" s="415"/>
      <c r="I30" s="309" t="s">
        <v>389</v>
      </c>
    </row>
    <row r="31" spans="1:9" ht="39.4" customHeight="1" x14ac:dyDescent="0.45">
      <c r="A31" s="357" t="str">
        <f>'Horaire samedi'!A35</f>
        <v>VAHIBE</v>
      </c>
      <c r="B31" s="359">
        <f>'Horaire samedi'!B35</f>
        <v>0.5625</v>
      </c>
      <c r="C31" s="360" t="str">
        <f>'Horaire samedi'!C35</f>
        <v>C9</v>
      </c>
      <c r="D31" s="341" t="str">
        <f>VLOOKUP(C31,'Liste chauffeur'!$B$5:$L$20,2,TRUE)&amp;" "&amp;VLOOKUP(C31,'Liste chauffeur'!$B$5:$L$20,3,TRUE)</f>
        <v>SANDI Maanrouf</v>
      </c>
      <c r="E31" s="314"/>
      <c r="F31" s="280" t="str">
        <f>IF(ISBLANK('Feuille saisie'!M36)=TRUE,"",'Feuille saisie'!M36)</f>
        <v/>
      </c>
      <c r="G31" s="280"/>
      <c r="H31" s="281"/>
      <c r="I31" s="309"/>
    </row>
    <row r="32" spans="1:9" ht="39.4" customHeight="1" x14ac:dyDescent="0.45">
      <c r="A32" s="408" t="str">
        <f>'Horaire samedi'!A38</f>
        <v>PASSAMAINTY</v>
      </c>
      <c r="B32" s="358">
        <f>'Horaire samedi'!B38</f>
        <v>0.58333333333333337</v>
      </c>
      <c r="C32" s="419" t="str">
        <f>'Horaire samedi'!C38</f>
        <v>C8</v>
      </c>
      <c r="D32" s="411" t="str">
        <f>VLOOKUP(C32,'Liste chauffeur'!$B$5:$L$20,2,TRUE)&amp;" "&amp;VLOOKUP(C32,'Liste chauffeur'!$B$5:$L$20,3,TRUE)</f>
        <v>HADHURAMI Makinedine</v>
      </c>
      <c r="E32" s="412"/>
      <c r="F32" s="414" t="str">
        <f>IF(ISBLANK('Feuille saisie'!M37)=TRUE,"",'Feuille saisie'!M37)</f>
        <v/>
      </c>
      <c r="G32" s="414"/>
      <c r="H32" s="415"/>
      <c r="I32" s="309"/>
    </row>
    <row r="33" spans="1:9" ht="39.4" customHeight="1" x14ac:dyDescent="0.45">
      <c r="A33" s="357" t="str">
        <f>'Horaire samedi'!A37</f>
        <v>VAHIBE</v>
      </c>
      <c r="B33" s="361">
        <f>'Horaire samedi'!B37</f>
        <v>0.58333333333333337</v>
      </c>
      <c r="C33" s="360" t="str">
        <f>'Horaire samedi'!C37</f>
        <v>C10</v>
      </c>
      <c r="D33" s="341" t="str">
        <f>VLOOKUP(C33,'Liste chauffeur'!$B$5:$L$20,2,TRUE)&amp;" "&amp;VLOOKUP(C33,'Liste chauffeur'!$B$5:$L$20,3,TRUE)</f>
        <v>ISSIHAKA M'Changama</v>
      </c>
      <c r="E33" s="314"/>
      <c r="F33" s="280" t="str">
        <f>IF(ISBLANK('Feuille saisie'!M38)=TRUE,"",'Feuille saisie'!M38)</f>
        <v/>
      </c>
      <c r="G33" s="280"/>
      <c r="H33" s="281"/>
      <c r="I33" s="309"/>
    </row>
    <row r="34" spans="1:9" ht="39.4" customHeight="1" x14ac:dyDescent="0.45">
      <c r="A34" s="408" t="str">
        <f>'Horaire samedi'!A40</f>
        <v>PASSAMAINTY</v>
      </c>
      <c r="B34" s="409">
        <f>'Horaire samedi'!B40</f>
        <v>0.60416666666666663</v>
      </c>
      <c r="C34" s="419" t="str">
        <f>'Horaire samedi'!C40</f>
        <v>C10</v>
      </c>
      <c r="D34" s="411" t="str">
        <f>VLOOKUP(C34,'Liste chauffeur'!$B$5:$L$20,2,TRUE)&amp;" "&amp;VLOOKUP(C34,'Liste chauffeur'!$B$5:$L$20,3,TRUE)</f>
        <v>ISSIHAKA M'Changama</v>
      </c>
      <c r="E34" s="412"/>
      <c r="F34" s="414" t="str">
        <f>IF(ISBLANK('Feuille saisie'!M39)=TRUE,"",'Feuille saisie'!M39)</f>
        <v/>
      </c>
      <c r="G34" s="414"/>
      <c r="H34" s="415"/>
      <c r="I34" s="309"/>
    </row>
    <row r="35" spans="1:9" ht="39.4" customHeight="1" x14ac:dyDescent="0.45">
      <c r="A35" s="357" t="str">
        <f>'Horaire samedi'!A39</f>
        <v>VAHIBE</v>
      </c>
      <c r="B35" s="361">
        <f>'Horaire samedi'!B39</f>
        <v>0.60416666666666663</v>
      </c>
      <c r="C35" s="360" t="str">
        <f>'Horaire samedi'!C39</f>
        <v>C8</v>
      </c>
      <c r="D35" s="341" t="str">
        <f>VLOOKUP(C35,'Liste chauffeur'!$B$5:$L$20,2,TRUE)&amp;" "&amp;VLOOKUP(C35,'Liste chauffeur'!$B$5:$L$20,3,TRUE)</f>
        <v>HADHURAMI Makinedine</v>
      </c>
      <c r="E35" s="314"/>
      <c r="F35" s="280" t="str">
        <f>IF(ISBLANK('Feuille saisie'!M40)=TRUE,"",'Feuille saisie'!M40)</f>
        <v/>
      </c>
      <c r="G35" s="280"/>
      <c r="H35" s="281"/>
      <c r="I35" s="309"/>
    </row>
    <row r="36" spans="1:9" ht="39.4" customHeight="1" x14ac:dyDescent="0.45">
      <c r="A36" s="408" t="str">
        <f>'Horaire samedi'!A42</f>
        <v>PASSAMAINTY</v>
      </c>
      <c r="B36" s="409">
        <f>'Horaire samedi'!B42</f>
        <v>0.625</v>
      </c>
      <c r="C36" s="419" t="str">
        <f>'Horaire samedi'!C42</f>
        <v>C8</v>
      </c>
      <c r="D36" s="411" t="str">
        <f>VLOOKUP(C36,'Liste chauffeur'!$B$5:$L$20,2,TRUE)&amp;" "&amp;VLOOKUP(C36,'Liste chauffeur'!$B$5:$L$20,3,TRUE)</f>
        <v>HADHURAMI Makinedine</v>
      </c>
      <c r="E36" s="412"/>
      <c r="F36" s="414" t="str">
        <f>IF(ISBLANK('Feuille saisie'!M41)=TRUE,"",'Feuille saisie'!M41)</f>
        <v/>
      </c>
      <c r="G36" s="414"/>
      <c r="H36" s="415"/>
      <c r="I36" s="309"/>
    </row>
    <row r="37" spans="1:9" ht="39.4" customHeight="1" x14ac:dyDescent="0.45">
      <c r="A37" s="357" t="str">
        <f>'Horaire samedi'!A41</f>
        <v>VAHIBE</v>
      </c>
      <c r="B37" s="361">
        <f>'Horaire samedi'!B41</f>
        <v>0.625</v>
      </c>
      <c r="C37" s="360" t="str">
        <f>'Horaire samedi'!C41</f>
        <v>C10</v>
      </c>
      <c r="D37" s="341" t="str">
        <f>VLOOKUP(C37,'Liste chauffeur'!$B$5:$L$20,2,TRUE)&amp;" "&amp;VLOOKUP(C37,'Liste chauffeur'!$B$5:$L$20,3,TRUE)</f>
        <v>ISSIHAKA M'Changama</v>
      </c>
      <c r="E37" s="314"/>
      <c r="F37" s="285" t="str">
        <f>IF(ISBLANK('Feuille saisie'!M42)=TRUE,"",'Feuille saisie'!M42)</f>
        <v/>
      </c>
      <c r="G37" s="280"/>
      <c r="H37" s="281"/>
      <c r="I37" s="309"/>
    </row>
    <row r="38" spans="1:9" ht="39.4" customHeight="1" x14ac:dyDescent="0.45">
      <c r="A38" s="408" t="str">
        <f>'Horaire samedi'!A44</f>
        <v>PASSAMAINTY</v>
      </c>
      <c r="B38" s="409">
        <f>'Horaire samedi'!B44</f>
        <v>0.64583333333333337</v>
      </c>
      <c r="C38" s="419" t="str">
        <f>'Horaire samedi'!C44</f>
        <v>C10</v>
      </c>
      <c r="D38" s="411" t="str">
        <f>VLOOKUP(C38,'Liste chauffeur'!$B$5:$L$20,2,TRUE)&amp;" "&amp;VLOOKUP(C38,'Liste chauffeur'!$B$5:$L$20,3,TRUE)</f>
        <v>ISSIHAKA M'Changama</v>
      </c>
      <c r="E38" s="412"/>
      <c r="F38" s="414" t="str">
        <f>IF(ISBLANK('Feuille saisie'!M43)=TRUE,"",'Feuille saisie'!M43)</f>
        <v/>
      </c>
      <c r="G38" s="414"/>
      <c r="H38" s="415"/>
      <c r="I38" s="309"/>
    </row>
    <row r="39" spans="1:9" ht="39.4" customHeight="1" x14ac:dyDescent="0.45">
      <c r="A39" s="357" t="str">
        <f>'Horaire samedi'!A43</f>
        <v>VAHIBE</v>
      </c>
      <c r="B39" s="361">
        <f>'Horaire samedi'!B43</f>
        <v>0.64583333333333337</v>
      </c>
      <c r="C39" s="360" t="str">
        <f>'Horaire samedi'!C43</f>
        <v>C8</v>
      </c>
      <c r="D39" s="341" t="str">
        <f>VLOOKUP(C39,'Liste chauffeur'!$B$5:$L$20,2,TRUE)&amp;" "&amp;VLOOKUP(C39,'Liste chauffeur'!$B$5:$L$20,3,TRUE)</f>
        <v>HADHURAMI Makinedine</v>
      </c>
      <c r="E39" s="314"/>
      <c r="F39" s="280" t="str">
        <f>IF(ISBLANK('Feuille saisie'!M44)=TRUE,"",'Feuille saisie'!M44)</f>
        <v/>
      </c>
      <c r="G39" s="280"/>
      <c r="H39" s="281"/>
      <c r="I39" s="309" t="s">
        <v>390</v>
      </c>
    </row>
    <row r="40" spans="1:9" ht="39.4" customHeight="1" x14ac:dyDescent="0.45">
      <c r="A40" s="408" t="str">
        <f>'Horaire samedi'!A46</f>
        <v>PASSAMAINTY</v>
      </c>
      <c r="B40" s="409">
        <f>'Horaire samedi'!B46</f>
        <v>0.66666666666666663</v>
      </c>
      <c r="C40" s="419" t="str">
        <f>'Horaire samedi'!C46</f>
        <v>C8</v>
      </c>
      <c r="D40" s="411" t="str">
        <f>VLOOKUP(C40,'Liste chauffeur'!$B$5:$L$20,2,TRUE)&amp;" "&amp;VLOOKUP(C40,'Liste chauffeur'!$B$5:$L$20,3,TRUE)</f>
        <v>HADHURAMI Makinedine</v>
      </c>
      <c r="E40" s="412"/>
      <c r="F40" s="414" t="str">
        <f>IF(ISBLANK('Feuille saisie'!M45)=TRUE,"",'Feuille saisie'!M45)</f>
        <v/>
      </c>
      <c r="G40" s="414"/>
      <c r="H40" s="415"/>
      <c r="I40" s="309"/>
    </row>
    <row r="41" spans="1:9" ht="39.4" customHeight="1" x14ac:dyDescent="0.45">
      <c r="A41" s="357" t="str">
        <f>'Horaire samedi'!A45</f>
        <v>VAHIBE</v>
      </c>
      <c r="B41" s="361">
        <f>'Horaire samedi'!B45</f>
        <v>0.66666666666666663</v>
      </c>
      <c r="C41" s="360" t="str">
        <f>'Horaire samedi'!C45</f>
        <v>C10</v>
      </c>
      <c r="D41" s="341" t="str">
        <f>VLOOKUP(C41,'Liste chauffeur'!$B$5:$L$20,2,TRUE)&amp;" "&amp;VLOOKUP(C41,'Liste chauffeur'!$B$5:$L$20,3,TRUE)</f>
        <v>ISSIHAKA M'Changama</v>
      </c>
      <c r="E41" s="314"/>
      <c r="F41" s="280" t="str">
        <f>IF(ISBLANK('Feuille saisie'!M46)=TRUE,"",'Feuille saisie'!M46)</f>
        <v/>
      </c>
      <c r="G41" s="280"/>
      <c r="H41" s="281"/>
    </row>
    <row r="42" spans="1:9" ht="39.4" customHeight="1" x14ac:dyDescent="0.45">
      <c r="A42" s="408" t="str">
        <f>'Horaire samedi'!A48</f>
        <v>PASSAMAINTY</v>
      </c>
      <c r="B42" s="409">
        <f>'Horaire samedi'!B48</f>
        <v>0.6875</v>
      </c>
      <c r="C42" s="419" t="str">
        <f>'Horaire samedi'!C48</f>
        <v>C10</v>
      </c>
      <c r="D42" s="411" t="str">
        <f>VLOOKUP(C42,'Liste chauffeur'!$B$5:$L$20,2,TRUE)&amp;" "&amp;VLOOKUP(C42,'Liste chauffeur'!$B$5:$L$20,3,TRUE)</f>
        <v>ISSIHAKA M'Changama</v>
      </c>
      <c r="E42" s="412"/>
      <c r="F42" s="414" t="str">
        <f>IF(ISBLANK('Feuille saisie'!M47)=TRUE,"",'Feuille saisie'!M47)</f>
        <v/>
      </c>
      <c r="G42" s="414"/>
      <c r="H42" s="415"/>
      <c r="I42" s="309"/>
    </row>
    <row r="43" spans="1:9" ht="39.4" customHeight="1" x14ac:dyDescent="0.45">
      <c r="A43" s="357" t="str">
        <f>'Horaire samedi'!A47</f>
        <v>VAHIBE</v>
      </c>
      <c r="B43" s="361">
        <f>'Horaire samedi'!B47</f>
        <v>0.6875</v>
      </c>
      <c r="C43" s="360" t="str">
        <f>'Horaire samedi'!C47</f>
        <v>C8</v>
      </c>
      <c r="D43" s="341" t="str">
        <f>VLOOKUP(C43,'Liste chauffeur'!$B$5:$L$20,2,TRUE)&amp;" "&amp;VLOOKUP(C43,'Liste chauffeur'!$B$5:$L$20,3,TRUE)</f>
        <v>HADHURAMI Makinedine</v>
      </c>
      <c r="E43" s="314"/>
      <c r="F43" s="280" t="str">
        <f>IF(ISBLANK('Feuille saisie'!M48)=TRUE,"",'Feuille saisie'!M48)</f>
        <v/>
      </c>
      <c r="G43" s="280"/>
      <c r="H43" s="281"/>
      <c r="I43" s="309" t="s">
        <v>392</v>
      </c>
    </row>
    <row r="44" spans="1:9" ht="39.4" customHeight="1" x14ac:dyDescent="0.45">
      <c r="A44" s="408" t="str">
        <f>'Horaire samedi'!A50</f>
        <v>PASSAMAINTY</v>
      </c>
      <c r="B44" s="409">
        <f>'Horaire samedi'!B50</f>
        <v>0.70833333333333337</v>
      </c>
      <c r="C44" s="419" t="str">
        <f>'Horaire samedi'!C50</f>
        <v>C8</v>
      </c>
      <c r="D44" s="411" t="str">
        <f>VLOOKUP(C44,'Liste chauffeur'!$B$5:$L$20,2,TRUE)&amp;" "&amp;VLOOKUP(C44,'Liste chauffeur'!$B$5:$L$20,3,TRUE)</f>
        <v>HADHURAMI Makinedine</v>
      </c>
      <c r="E44" s="412"/>
      <c r="F44" s="414" t="str">
        <f>IF(ISBLANK('Feuille saisie'!M49)=TRUE,"",'Feuille saisie'!M49)</f>
        <v/>
      </c>
      <c r="G44" s="414"/>
      <c r="H44" s="415"/>
    </row>
    <row r="45" spans="1:9" ht="39.4" customHeight="1" x14ac:dyDescent="0.45">
      <c r="A45" s="357" t="str">
        <f>'Horaire samedi'!A49</f>
        <v>VAHIBE</v>
      </c>
      <c r="B45" s="361">
        <f>'Horaire samedi'!B49</f>
        <v>0.70833333333333337</v>
      </c>
      <c r="C45" s="360" t="str">
        <f>'Horaire samedi'!C49</f>
        <v>C10</v>
      </c>
      <c r="D45" s="341" t="str">
        <f>VLOOKUP(C45,'Liste chauffeur'!$B$5:$L$20,2,TRUE)&amp;" "&amp;VLOOKUP(C45,'Liste chauffeur'!$B$5:$L$20,3,TRUE)</f>
        <v>ISSIHAKA M'Changama</v>
      </c>
      <c r="E45" s="314"/>
      <c r="F45" s="280" t="str">
        <f>IF(ISBLANK('Feuille saisie'!M50)=TRUE,"",'Feuille saisie'!M50)</f>
        <v/>
      </c>
      <c r="G45" s="280"/>
      <c r="H45" s="281"/>
    </row>
    <row r="46" spans="1:9" ht="39.4" customHeight="1" x14ac:dyDescent="0.45">
      <c r="A46" s="408" t="str">
        <f>'Horaire samedi'!A52</f>
        <v>PASSAMAINTY</v>
      </c>
      <c r="B46" s="409">
        <f>'Horaire samedi'!B52</f>
        <v>0.72916666666666663</v>
      </c>
      <c r="C46" s="419" t="str">
        <f>'Horaire samedi'!C52</f>
        <v>C10</v>
      </c>
      <c r="D46" s="411" t="str">
        <f>VLOOKUP(C46,'Liste chauffeur'!$B$5:$L$20,2,TRUE)&amp;" "&amp;VLOOKUP(C46,'Liste chauffeur'!$B$5:$L$20,3,TRUE)</f>
        <v>ISSIHAKA M'Changama</v>
      </c>
      <c r="E46" s="412"/>
      <c r="F46" s="414" t="str">
        <f>IF(ISBLANK('Feuille saisie'!M51)=TRUE,"",'Feuille saisie'!M51)</f>
        <v/>
      </c>
      <c r="G46" s="414"/>
      <c r="H46" s="415"/>
    </row>
    <row r="47" spans="1:9" ht="39.4" customHeight="1" x14ac:dyDescent="0.45">
      <c r="A47" s="357" t="str">
        <f>'Horaire samedi'!A51</f>
        <v>VAHIBE</v>
      </c>
      <c r="B47" s="361">
        <f>'Horaire samedi'!B51</f>
        <v>0.72916666666666663</v>
      </c>
      <c r="C47" s="360" t="str">
        <f>'Horaire samedi'!C51</f>
        <v>C8</v>
      </c>
      <c r="D47" s="341" t="str">
        <f>VLOOKUP(C47,'Liste chauffeur'!$B$5:$L$20,2,TRUE)&amp;" "&amp;VLOOKUP(C47,'Liste chauffeur'!$B$5:$L$20,3,TRUE)</f>
        <v>HADHURAMI Makinedine</v>
      </c>
      <c r="E47" s="314"/>
      <c r="F47" s="280" t="str">
        <f>IF(ISBLANK('Feuille saisie'!M52)=TRUE,"",'Feuille saisie'!M52)</f>
        <v/>
      </c>
      <c r="G47" s="280"/>
      <c r="H47" s="281"/>
    </row>
    <row r="48" spans="1:9" ht="39.4" customHeight="1" x14ac:dyDescent="0.45">
      <c r="A48" s="408" t="str">
        <f>'Horaire samedi'!A54</f>
        <v>PASSAMAINTY</v>
      </c>
      <c r="B48" s="409">
        <f>'Horaire samedi'!B54</f>
        <v>0.75</v>
      </c>
      <c r="C48" s="419" t="str">
        <f>'Horaire samedi'!C54</f>
        <v>C8</v>
      </c>
      <c r="D48" s="411" t="str">
        <f>VLOOKUP(C48,'Liste chauffeur'!$B$5:$L$20,2,TRUE)&amp;" "&amp;VLOOKUP(C48,'Liste chauffeur'!$B$5:$L$20,3,TRUE)</f>
        <v>HADHURAMI Makinedine</v>
      </c>
      <c r="E48" s="412"/>
      <c r="F48" s="414" t="str">
        <f>IF(ISBLANK('Feuille saisie'!M53)=TRUE,"",'Feuille saisie'!M53)</f>
        <v/>
      </c>
      <c r="G48" s="414"/>
      <c r="H48" s="415"/>
    </row>
    <row r="49" spans="1:8" ht="39.4" customHeight="1" x14ac:dyDescent="0.45">
      <c r="A49" s="357" t="str">
        <f>'Horaire samedi'!A53</f>
        <v>VAHIBE</v>
      </c>
      <c r="B49" s="361">
        <f>'Horaire samedi'!B53</f>
        <v>0.75</v>
      </c>
      <c r="C49" s="360" t="str">
        <f>'Horaire samedi'!C53</f>
        <v>C10</v>
      </c>
      <c r="D49" s="341" t="str">
        <f>VLOOKUP(C49,'Liste chauffeur'!$B$5:$L$20,2,TRUE)&amp;" "&amp;VLOOKUP(C49,'Liste chauffeur'!$B$5:$L$20,3,TRUE)</f>
        <v>ISSIHAKA M'Changama</v>
      </c>
      <c r="E49" s="314"/>
      <c r="F49" s="280" t="str">
        <f>IF(ISBLANK('Feuille saisie'!M54)=TRUE,"",'Feuille saisie'!M54)</f>
        <v/>
      </c>
      <c r="G49" s="280"/>
      <c r="H49" s="281"/>
    </row>
  </sheetData>
  <autoFilter ref="A2:H49" xr:uid="{6A06E119-2645-4680-ABA4-211EDBAC8958}"/>
  <mergeCells count="1">
    <mergeCell ref="E1:F1"/>
  </mergeCells>
  <printOptions horizontalCentered="1"/>
  <pageMargins left="0.23622047244094499" right="0.23622047244094499" top="0.74803149606299202" bottom="0.74803149606299202" header="0.31496062992126" footer="0.31496062992126"/>
  <pageSetup paperSize="9" scale="3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3E22-9C04-44CB-B019-996589C16107}">
  <sheetPr>
    <pageSetUpPr fitToPage="1"/>
  </sheetPr>
  <dimension ref="A1:I24"/>
  <sheetViews>
    <sheetView topLeftCell="A9" workbookViewId="0">
      <selection activeCell="A2" sqref="A2:XFD14"/>
    </sheetView>
  </sheetViews>
  <sheetFormatPr baseColWidth="10" defaultColWidth="10.796875" defaultRowHeight="14.25" x14ac:dyDescent="0.45"/>
  <cols>
    <col min="1" max="1" width="26.1328125" style="137" customWidth="1"/>
    <col min="2" max="2" width="17.796875" style="310" bestFit="1" customWidth="1"/>
    <col min="3" max="3" width="13" style="315" customWidth="1"/>
    <col min="4" max="4" width="53.79687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312" t="s">
        <v>460</v>
      </c>
      <c r="F1" s="416" cm="1">
        <f t="array" ref="F1">'coordinateur matin'!F1:F1</f>
        <v>46143</v>
      </c>
      <c r="I1" s="313" t="s">
        <v>438</v>
      </c>
    </row>
    <row r="2" spans="1:9" s="189" customFormat="1" ht="54" x14ac:dyDescent="0.45">
      <c r="A2" s="308" t="s">
        <v>327</v>
      </c>
      <c r="B2" s="311" t="s">
        <v>0</v>
      </c>
      <c r="C2" s="316" t="s">
        <v>25</v>
      </c>
      <c r="D2" s="279" t="s">
        <v>26</v>
      </c>
      <c r="E2" s="279" t="s">
        <v>32</v>
      </c>
      <c r="F2" s="279" t="s">
        <v>393</v>
      </c>
      <c r="G2" s="279" t="s">
        <v>1</v>
      </c>
      <c r="H2" s="279" t="s">
        <v>331</v>
      </c>
      <c r="I2" s="279"/>
    </row>
    <row r="3" spans="1:9" s="189" customFormat="1" ht="39.4" customHeight="1" x14ac:dyDescent="0.45">
      <c r="A3" s="357" t="str">
        <f>'Horaire dimanche1'!A8</f>
        <v>VAHIBE</v>
      </c>
      <c r="B3" s="358">
        <f>'Horaire dimanche1'!B8</f>
        <v>0.33333333333333331</v>
      </c>
      <c r="C3" s="360" t="str">
        <f>'Horaire dimanche1'!C8</f>
        <v>C5</v>
      </c>
      <c r="D3" s="341" t="str">
        <f>VLOOKUP(C3,'Liste chauffeur'!$B$5:$L$20,2,TRUE)&amp;" "&amp;VLOOKUP(C3,'Liste chauffeur'!$B$5:$L$20,3,TRUE)</f>
        <v>AHAMADI Bacar Raenmouddine</v>
      </c>
      <c r="E3" s="314"/>
      <c r="F3" s="279"/>
      <c r="G3" s="279"/>
      <c r="H3" s="279"/>
      <c r="I3" s="323"/>
    </row>
    <row r="4" spans="1:9" s="189" customFormat="1" ht="39.4" customHeight="1" x14ac:dyDescent="0.45">
      <c r="A4" s="408" t="str">
        <f>'Horaire dimanche1'!A9</f>
        <v>PASSAMAINTY</v>
      </c>
      <c r="B4" s="409">
        <f>'Horaire dimanche1'!B9</f>
        <v>0.35416666666666669</v>
      </c>
      <c r="C4" s="419" t="str">
        <f>'Horaire dimanche1'!C9</f>
        <v>C5</v>
      </c>
      <c r="D4" s="411" t="str">
        <f>VLOOKUP(C4,'Liste chauffeur'!$B$5:$L$20,2,TRUE)&amp;" "&amp;VLOOKUP(C4,'Liste chauffeur'!$B$5:$L$20,3,TRUE)</f>
        <v>AHAMADI Bacar Raenmouddine</v>
      </c>
      <c r="E4" s="412"/>
      <c r="F4" s="413"/>
      <c r="G4" s="413"/>
      <c r="H4" s="413"/>
      <c r="I4" s="309" t="s">
        <v>389</v>
      </c>
    </row>
    <row r="5" spans="1:9" s="189" customFormat="1" ht="39.4" customHeight="1" x14ac:dyDescent="0.45">
      <c r="A5" s="357" t="str">
        <f>'Horaire dimanche1'!A10</f>
        <v>VAHIBE</v>
      </c>
      <c r="B5" s="361">
        <f>'Horaire dimanche1'!B10</f>
        <v>0.375</v>
      </c>
      <c r="C5" s="360" t="str">
        <f>'Horaire dimanche1'!C10</f>
        <v>C5</v>
      </c>
      <c r="D5" s="341" t="str">
        <f>VLOOKUP(C5,'Liste chauffeur'!$B$5:$L$20,2,TRUE)&amp;" "&amp;VLOOKUP(C5,'Liste chauffeur'!$B$5:$L$20,3,TRUE)</f>
        <v>AHAMADI Bacar Raenmouddine</v>
      </c>
      <c r="E5" s="314"/>
      <c r="F5" s="279"/>
      <c r="G5" s="279"/>
      <c r="H5" s="279"/>
      <c r="I5" s="309"/>
    </row>
    <row r="6" spans="1:9" s="189" customFormat="1" ht="39.4" customHeight="1" x14ac:dyDescent="0.45">
      <c r="A6" s="408" t="str">
        <f>'Horaire dimanche1'!A11</f>
        <v>PASSAMAINTY</v>
      </c>
      <c r="B6" s="409">
        <f>'Horaire dimanche1'!B11</f>
        <v>0.39583333333333331</v>
      </c>
      <c r="C6" s="419" t="str">
        <f>'Horaire dimanche1'!C11</f>
        <v>C5</v>
      </c>
      <c r="D6" s="411" t="str">
        <f>VLOOKUP(C6,'Liste chauffeur'!$B$5:$L$20,2,TRUE)&amp;" "&amp;VLOOKUP(C6,'Liste chauffeur'!$B$5:$L$20,3,TRUE)</f>
        <v>AHAMADI Bacar Raenmouddine</v>
      </c>
      <c r="E6" s="412"/>
      <c r="F6" s="413"/>
      <c r="G6" s="413"/>
      <c r="H6" s="413"/>
      <c r="I6" s="309" t="s">
        <v>390</v>
      </c>
    </row>
    <row r="7" spans="1:9" ht="39.4" customHeight="1" x14ac:dyDescent="0.45">
      <c r="A7" s="357" t="str">
        <f>'Horaire dimanche1'!A12</f>
        <v>VAHIBE</v>
      </c>
      <c r="B7" s="361">
        <f>'Horaire dimanche1'!B12</f>
        <v>0.41666666666666702</v>
      </c>
      <c r="C7" s="360" t="str">
        <f>'Horaire dimanche1'!C12</f>
        <v>C5</v>
      </c>
      <c r="D7" s="341" t="str">
        <f>VLOOKUP(C7,'Liste chauffeur'!$B$5:$L$20,2,TRUE)&amp;" "&amp;VLOOKUP(C7,'Liste chauffeur'!$B$5:$L$20,3,TRUE)</f>
        <v>AHAMADI Bacar Raenmouddine</v>
      </c>
      <c r="E7" s="314"/>
      <c r="F7" s="280" t="str">
        <f>IF(ISBLANK('Feuille saisie'!M12)=TRUE,"",'Feuille saisie'!M12)</f>
        <v/>
      </c>
      <c r="G7" s="280"/>
      <c r="H7" s="281"/>
      <c r="I7" s="309"/>
    </row>
    <row r="8" spans="1:9" ht="39.4" customHeight="1" x14ac:dyDescent="0.45">
      <c r="A8" s="408" t="str">
        <f>'Horaire dimanche1'!A13</f>
        <v>PASSAMAINTY</v>
      </c>
      <c r="B8" s="409">
        <f>'Horaire dimanche1'!B13</f>
        <v>0.4375</v>
      </c>
      <c r="C8" s="419" t="str">
        <f>'Horaire dimanche1'!C13</f>
        <v>C5</v>
      </c>
      <c r="D8" s="411" t="str">
        <f>VLOOKUP(C8,'Liste chauffeur'!$B$5:$L$20,2,TRUE)&amp;" "&amp;VLOOKUP(C8,'Liste chauffeur'!$B$5:$L$20,3,TRUE)</f>
        <v>AHAMADI Bacar Raenmouddine</v>
      </c>
      <c r="E8" s="412"/>
      <c r="F8" s="414" t="str">
        <f>IF(ISBLANK('Feuille saisie'!M13)=TRUE,"",'Feuille saisie'!M13)</f>
        <v/>
      </c>
      <c r="G8" s="414"/>
      <c r="H8" s="415"/>
      <c r="I8" s="309"/>
    </row>
    <row r="9" spans="1:9" ht="39.4" customHeight="1" x14ac:dyDescent="0.45">
      <c r="A9" s="357" t="str">
        <f>'Horaire dimanche1'!A14</f>
        <v>VAHIBE</v>
      </c>
      <c r="B9" s="361">
        <f>'Horaire dimanche1'!B14</f>
        <v>0.45833333333333298</v>
      </c>
      <c r="C9" s="360" t="str">
        <f>'Horaire dimanche1'!C14</f>
        <v>C5</v>
      </c>
      <c r="D9" s="341" t="str">
        <f>VLOOKUP(C9,'Liste chauffeur'!$B$5:$L$20,2,TRUE)&amp;" "&amp;VLOOKUP(C9,'Liste chauffeur'!$B$5:$L$20,3,TRUE)</f>
        <v>AHAMADI Bacar Raenmouddine</v>
      </c>
      <c r="E9" s="314"/>
      <c r="F9" s="307" t="str">
        <f>IF(ISBLANK('Feuille saisie'!M14)=TRUE,"",'Feuille saisie'!M14)</f>
        <v/>
      </c>
      <c r="G9" s="280"/>
      <c r="H9" s="281"/>
      <c r="I9" s="309" t="s">
        <v>392</v>
      </c>
    </row>
    <row r="10" spans="1:9" ht="39.4" customHeight="1" x14ac:dyDescent="0.45">
      <c r="A10" s="408" t="str">
        <f>'Horaire dimanche1'!A15</f>
        <v>PASSAMAINTY</v>
      </c>
      <c r="B10" s="409">
        <f>'Horaire dimanche1'!B15</f>
        <v>0.47916666666666702</v>
      </c>
      <c r="C10" s="419" t="str">
        <f>'Horaire dimanche1'!C15</f>
        <v>C5</v>
      </c>
      <c r="D10" s="411" t="str">
        <f>VLOOKUP(C10,'Liste chauffeur'!$B$5:$L$20,2,TRUE)&amp;" "&amp;VLOOKUP(C10,'Liste chauffeur'!$B$5:$L$20,3,TRUE)</f>
        <v>AHAMADI Bacar Raenmouddine</v>
      </c>
      <c r="E10" s="412"/>
      <c r="F10" s="414" t="str">
        <f>IF(ISBLANK('Feuille saisie'!M15)=TRUE,"",'Feuille saisie'!M15)</f>
        <v/>
      </c>
      <c r="G10" s="414"/>
      <c r="H10" s="415"/>
      <c r="I10" s="309"/>
    </row>
    <row r="11" spans="1:9" ht="39.4" customHeight="1" x14ac:dyDescent="0.45">
      <c r="A11" s="357" t="str">
        <f>'Horaire dimanche1'!A16</f>
        <v>VAHIBE</v>
      </c>
      <c r="B11" s="361">
        <f>'Horaire dimanche1'!B16</f>
        <v>0.5</v>
      </c>
      <c r="C11" s="360" t="str">
        <f>'Horaire dimanche1'!C16</f>
        <v>C5</v>
      </c>
      <c r="D11" s="341" t="str">
        <f>VLOOKUP(C11,'Liste chauffeur'!$B$5:$L$20,2,TRUE)&amp;" "&amp;VLOOKUP(C11,'Liste chauffeur'!$B$5:$L$20,3,TRUE)</f>
        <v>AHAMADI Bacar Raenmouddine</v>
      </c>
      <c r="E11" s="314"/>
      <c r="F11" s="280" t="str">
        <f>IF(ISBLANK('Feuille saisie'!M16)=TRUE,"",'Feuille saisie'!M16)</f>
        <v/>
      </c>
      <c r="G11" s="280"/>
      <c r="H11" s="281"/>
      <c r="I11" s="309" t="s">
        <v>391</v>
      </c>
    </row>
    <row r="12" spans="1:9" ht="39.4" customHeight="1" x14ac:dyDescent="0.45">
      <c r="A12" s="408" t="str">
        <f>'Horaire dimanche1'!A17</f>
        <v>PASSAMAINTY</v>
      </c>
      <c r="B12" s="409">
        <f>'Horaire dimanche1'!B17</f>
        <v>0.52083333333333304</v>
      </c>
      <c r="C12" s="419" t="str">
        <f>'Horaire dimanche1'!C17</f>
        <v>C5</v>
      </c>
      <c r="D12" s="411" t="str">
        <f>VLOOKUP(C12,'Liste chauffeur'!$B$5:$L$20,2,TRUE)&amp;" "&amp;VLOOKUP(C12,'Liste chauffeur'!$B$5:$L$20,3,TRUE)</f>
        <v>AHAMADI Bacar Raenmouddine</v>
      </c>
      <c r="E12" s="412"/>
      <c r="F12" s="414" t="str">
        <f>IF(ISBLANK('Feuille saisie'!M17)=TRUE,"",'Feuille saisie'!M17)</f>
        <v/>
      </c>
      <c r="G12" s="414"/>
      <c r="H12" s="415"/>
      <c r="I12" s="309"/>
    </row>
    <row r="13" spans="1:9" ht="39.4" customHeight="1" x14ac:dyDescent="0.45">
      <c r="A13" s="357" t="str">
        <f>'Horaire dimanche1'!A18</f>
        <v>VAHIBE</v>
      </c>
      <c r="B13" s="361">
        <f>'Horaire dimanche1'!B18</f>
        <v>0.54166666666666696</v>
      </c>
      <c r="C13" s="360" t="str">
        <f>'Horaire dimanche1'!C18</f>
        <v>C5</v>
      </c>
      <c r="D13" s="341" t="str">
        <f>VLOOKUP(C13,'Liste chauffeur'!$B$5:$L$20,2,TRUE)&amp;" "&amp;VLOOKUP(C13,'Liste chauffeur'!$B$5:$L$20,3,TRUE)</f>
        <v>AHAMADI Bacar Raenmouddine</v>
      </c>
      <c r="E13" s="314"/>
      <c r="F13" s="280"/>
      <c r="G13" s="280"/>
      <c r="H13" s="281"/>
    </row>
    <row r="14" spans="1:9" ht="39.4" customHeight="1" x14ac:dyDescent="0.45">
      <c r="A14" s="408" t="str">
        <f>'Horaire dimanche1'!A19</f>
        <v>PASSAMAINTY</v>
      </c>
      <c r="B14" s="359">
        <f>'Horaire dimanche1'!B19</f>
        <v>0.5625</v>
      </c>
      <c r="C14" s="419" t="str">
        <f>'Horaire dimanche1'!C19</f>
        <v>C5</v>
      </c>
      <c r="D14" s="411" t="str">
        <f>VLOOKUP(C14,'Liste chauffeur'!$B$5:$L$20,2,TRUE)&amp;" "&amp;VLOOKUP(C14,'Liste chauffeur'!$B$5:$L$20,3,TRUE)</f>
        <v>AHAMADI Bacar Raenmouddine</v>
      </c>
      <c r="E14" s="412"/>
      <c r="F14" s="414" t="str">
        <f>IF(ISBLANK('Feuille saisie'!M19)=TRUE,"",'Feuille saisie'!M19)</f>
        <v/>
      </c>
      <c r="G14" s="414"/>
      <c r="H14" s="415"/>
      <c r="I14" s="309" t="s">
        <v>389</v>
      </c>
    </row>
    <row r="15" spans="1:9" ht="39.4" customHeight="1" x14ac:dyDescent="0.45">
      <c r="A15" s="357" t="str">
        <f>'Horaire dimanche1'!A20</f>
        <v>VAHIBE</v>
      </c>
      <c r="B15" s="358">
        <f>'Horaire dimanche1'!B20</f>
        <v>0.58333333333333304</v>
      </c>
      <c r="C15" s="360" t="str">
        <f>'Horaire dimanche1'!C20</f>
        <v>C8</v>
      </c>
      <c r="D15" s="341" t="str">
        <f>VLOOKUP(C15,'Liste chauffeur'!$B$5:$L$20,2,TRUE)&amp;" "&amp;VLOOKUP(C15,'Liste chauffeur'!$B$5:$L$20,3,TRUE)</f>
        <v>HADHURAMI Makinedine</v>
      </c>
      <c r="E15" s="314"/>
      <c r="F15" s="280" t="str">
        <f>IF(ISBLANK('Feuille saisie'!M20)=TRUE,"",'Feuille saisie'!M20)</f>
        <v/>
      </c>
      <c r="G15" s="280"/>
      <c r="H15" s="281"/>
      <c r="I15" s="309"/>
    </row>
    <row r="16" spans="1:9" ht="39.4" customHeight="1" x14ac:dyDescent="0.45">
      <c r="A16" s="408" t="str">
        <f>'Horaire dimanche1'!A21</f>
        <v>PASSAMAINTY</v>
      </c>
      <c r="B16" s="409">
        <f>'Horaire dimanche1'!B21</f>
        <v>0.60416666666666596</v>
      </c>
      <c r="C16" s="419" t="str">
        <f>'Horaire dimanche1'!C21</f>
        <v>C8</v>
      </c>
      <c r="D16" s="411" t="str">
        <f>VLOOKUP(C16,'Liste chauffeur'!$B$5:$L$20,2,TRUE)&amp;" "&amp;VLOOKUP(C16,'Liste chauffeur'!$B$5:$L$20,3,TRUE)</f>
        <v>HADHURAMI Makinedine</v>
      </c>
      <c r="E16" s="412"/>
      <c r="F16" s="414" t="str">
        <f>IF(ISBLANK('Feuille saisie'!M21)=TRUE,"",'Feuille saisie'!M21)</f>
        <v/>
      </c>
      <c r="G16" s="414"/>
      <c r="H16" s="415"/>
      <c r="I16" s="309" t="s">
        <v>390</v>
      </c>
    </row>
    <row r="17" spans="1:9" ht="39.4" customHeight="1" x14ac:dyDescent="0.45">
      <c r="A17" s="357" t="str">
        <f>'Horaire dimanche1'!A22</f>
        <v>VAHIBE</v>
      </c>
      <c r="B17" s="361">
        <f>'Horaire dimanche1'!B22</f>
        <v>0.625</v>
      </c>
      <c r="C17" s="360" t="str">
        <f>'Horaire dimanche1'!C22</f>
        <v>C8</v>
      </c>
      <c r="D17" s="341" t="str">
        <f>VLOOKUP(C17,'Liste chauffeur'!$B$5:$L$20,2,TRUE)&amp;" "&amp;VLOOKUP(C17,'Liste chauffeur'!$B$5:$L$20,3,TRUE)</f>
        <v>HADHURAMI Makinedine</v>
      </c>
      <c r="E17" s="314"/>
      <c r="F17" s="280" t="str">
        <f>IF(ISBLANK('Feuille saisie'!M22)=TRUE,"",'Feuille saisie'!M22)</f>
        <v/>
      </c>
      <c r="G17" s="280"/>
      <c r="H17" s="281"/>
      <c r="I17" s="309"/>
    </row>
    <row r="18" spans="1:9" ht="39.4" customHeight="1" x14ac:dyDescent="0.45">
      <c r="A18" s="408" t="str">
        <f>'Horaire dimanche1'!A23</f>
        <v>PASSAMAINTY</v>
      </c>
      <c r="B18" s="409">
        <f>'Horaire dimanche1'!B23</f>
        <v>0.64583333333333304</v>
      </c>
      <c r="C18" s="419" t="str">
        <f>'Horaire dimanche1'!C23</f>
        <v>C8</v>
      </c>
      <c r="D18" s="411" t="str">
        <f>VLOOKUP(C18,'Liste chauffeur'!$B$5:$L$20,2,TRUE)&amp;" "&amp;VLOOKUP(C18,'Liste chauffeur'!$B$5:$L$20,3,TRUE)</f>
        <v>HADHURAMI Makinedine</v>
      </c>
      <c r="E18" s="412"/>
      <c r="F18" s="414" t="str">
        <f>IF(ISBLANK('Feuille saisie'!M23)=TRUE,"",'Feuille saisie'!M23)</f>
        <v/>
      </c>
      <c r="G18" s="414"/>
      <c r="H18" s="415"/>
      <c r="I18" s="309"/>
    </row>
    <row r="19" spans="1:9" ht="39.4" customHeight="1" x14ac:dyDescent="0.45">
      <c r="A19" s="357" t="str">
        <f>'Horaire dimanche1'!A24</f>
        <v>VAHIBE</v>
      </c>
      <c r="B19" s="361">
        <f>'Horaire dimanche1'!B24</f>
        <v>0.66666666666666596</v>
      </c>
      <c r="C19" s="360" t="str">
        <f>'Horaire dimanche1'!C24</f>
        <v>C8</v>
      </c>
      <c r="D19" s="341" t="str">
        <f>VLOOKUP(C19,'Liste chauffeur'!$B$5:$L$20,2,TRUE)&amp;" "&amp;VLOOKUP(C19,'Liste chauffeur'!$B$5:$L$20,3,TRUE)</f>
        <v>HADHURAMI Makinedine</v>
      </c>
      <c r="E19" s="314"/>
      <c r="F19" s="280" t="str">
        <f>IF(ISBLANK('Feuille saisie'!M24)=TRUE,"",'Feuille saisie'!M24)</f>
        <v/>
      </c>
      <c r="G19" s="280"/>
      <c r="H19" s="281"/>
      <c r="I19" s="309" t="s">
        <v>392</v>
      </c>
    </row>
    <row r="20" spans="1:9" ht="39.4" customHeight="1" x14ac:dyDescent="0.45">
      <c r="A20" s="408" t="str">
        <f>'Horaire dimanche1'!A25</f>
        <v>PASSAMAINTY</v>
      </c>
      <c r="B20" s="409">
        <f>'Horaire dimanche1'!B25</f>
        <v>0.6875</v>
      </c>
      <c r="C20" s="419" t="str">
        <f>'Horaire dimanche1'!C25</f>
        <v>C8</v>
      </c>
      <c r="D20" s="411" t="str">
        <f>VLOOKUP(C20,'Liste chauffeur'!$B$5:$L$20,2,TRUE)&amp;" "&amp;VLOOKUP(C20,'Liste chauffeur'!$B$5:$L$20,3,TRUE)</f>
        <v>HADHURAMI Makinedine</v>
      </c>
      <c r="E20" s="412"/>
      <c r="F20" s="414"/>
      <c r="G20" s="414"/>
      <c r="H20" s="415"/>
      <c r="I20" s="309"/>
    </row>
    <row r="21" spans="1:9" ht="39.4" customHeight="1" x14ac:dyDescent="0.45">
      <c r="A21" s="357" t="str">
        <f>'Horaire dimanche1'!A26</f>
        <v>VAHIBE</v>
      </c>
      <c r="B21" s="361">
        <f>'Horaire dimanche1'!B26</f>
        <v>0.70833333333333304</v>
      </c>
      <c r="C21" s="360" t="str">
        <f>'Horaire dimanche1'!C26</f>
        <v>C8</v>
      </c>
      <c r="D21" s="341" t="str">
        <f>VLOOKUP(C21,'Liste chauffeur'!$B$5:$L$20,2,TRUE)&amp;" "&amp;VLOOKUP(C21,'Liste chauffeur'!$B$5:$L$20,3,TRUE)</f>
        <v>HADHURAMI Makinedine</v>
      </c>
      <c r="E21" s="314"/>
      <c r="F21" s="280" t="str">
        <f>IF(ISBLANK('Feuille saisie'!M26)=TRUE,"",'Feuille saisie'!M26)</f>
        <v/>
      </c>
      <c r="G21" s="280"/>
      <c r="H21" s="281"/>
      <c r="I21" s="309" t="s">
        <v>391</v>
      </c>
    </row>
    <row r="22" spans="1:9" ht="39.4" customHeight="1" x14ac:dyDescent="0.45">
      <c r="A22" s="408" t="str">
        <f>'Horaire dimanche1'!A27</f>
        <v>PASSAMAINTY</v>
      </c>
      <c r="B22" s="409">
        <f>'Horaire dimanche1'!B27</f>
        <v>0.72222222222222221</v>
      </c>
      <c r="C22" s="419" t="str">
        <f>'Horaire dimanche1'!C27</f>
        <v>C8</v>
      </c>
      <c r="D22" s="411" t="str">
        <f>VLOOKUP(C22,'Liste chauffeur'!$B$5:$L$20,2,TRUE)&amp;" "&amp;VLOOKUP(C22,'Liste chauffeur'!$B$5:$L$20,3,TRUE)</f>
        <v>HADHURAMI Makinedine</v>
      </c>
      <c r="E22" s="412"/>
      <c r="F22" s="414" t="str">
        <f>IF(ISBLANK('Feuille saisie'!M27)=TRUE,"",'Feuille saisie'!M27)</f>
        <v/>
      </c>
      <c r="G22" s="414"/>
      <c r="H22" s="415"/>
    </row>
    <row r="23" spans="1:9" ht="39.4" customHeight="1" x14ac:dyDescent="0.45">
      <c r="A23" s="357" t="str">
        <f>'Horaire dimanche1'!A28</f>
        <v>VAHIBE</v>
      </c>
      <c r="B23" s="361">
        <f>'Horaire dimanche1'!B28</f>
        <v>0.74305555555555558</v>
      </c>
      <c r="C23" s="360" t="str">
        <f>'Horaire dimanche1'!C28</f>
        <v>C8</v>
      </c>
      <c r="D23" s="341" t="str">
        <f>VLOOKUP(C23,'Liste chauffeur'!$B$5:$L$20,2,TRUE)&amp;" "&amp;VLOOKUP(C23,'Liste chauffeur'!$B$5:$L$20,3,TRUE)</f>
        <v>HADHURAMI Makinedine</v>
      </c>
      <c r="E23" s="314"/>
      <c r="F23" s="280" t="str">
        <f>IF(ISBLANK('Feuille saisie'!M28)=TRUE,"",'Feuille saisie'!M28)</f>
        <v/>
      </c>
      <c r="G23" s="280"/>
      <c r="H23" s="281"/>
    </row>
    <row r="24" spans="1:9" ht="39.4" customHeight="1" x14ac:dyDescent="0.45">
      <c r="A24" s="408" t="str">
        <f>'Horaire dimanche1'!A29</f>
        <v>PASSAMAINTY</v>
      </c>
      <c r="B24" s="409">
        <f>'Horaire dimanche1'!B29</f>
        <v>0.75694444444444442</v>
      </c>
      <c r="C24" s="419" t="str">
        <f>'Horaire dimanche1'!C29</f>
        <v>C8</v>
      </c>
      <c r="D24" s="411" t="str">
        <f>VLOOKUP(C24,'Liste chauffeur'!$B$5:$L$20,2,TRUE)&amp;" "&amp;VLOOKUP(C24,'Liste chauffeur'!$B$5:$L$20,3,TRUE)</f>
        <v>HADHURAMI Makinedine</v>
      </c>
      <c r="E24" s="412"/>
      <c r="F24" s="414" t="str">
        <f>IF(ISBLANK('Feuille saisie'!M29)=TRUE,"",'Feuille saisie'!M29)</f>
        <v/>
      </c>
      <c r="G24" s="414"/>
      <c r="H24" s="415"/>
      <c r="I24" s="309"/>
    </row>
  </sheetData>
  <autoFilter ref="A2:H24" xr:uid="{6A06E119-2645-4680-ABA4-211EDBAC8958}"/>
  <printOptions horizontalCentered="1"/>
  <pageMargins left="0.23622047244094499" right="0.23622047244094499" top="0.74803149606299202" bottom="0.74803149606299202" header="0.31496062992126" footer="0.31496062992126"/>
  <pageSetup paperSize="9"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F374-B421-44F0-B4D3-15CB43545751}">
  <sheetPr>
    <pageSetUpPr fitToPage="1"/>
  </sheetPr>
  <dimension ref="A1:I24"/>
  <sheetViews>
    <sheetView topLeftCell="A18" workbookViewId="0">
      <selection activeCell="A25" sqref="A25:XFD26"/>
    </sheetView>
  </sheetViews>
  <sheetFormatPr baseColWidth="10" defaultColWidth="10.796875" defaultRowHeight="14.25" x14ac:dyDescent="0.45"/>
  <cols>
    <col min="1" max="1" width="26.1328125" style="137" customWidth="1"/>
    <col min="2" max="2" width="17.796875" style="310" bestFit="1" customWidth="1"/>
    <col min="3" max="3" width="13" style="315" customWidth="1"/>
    <col min="4" max="4" width="53.79687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312" t="s">
        <v>439</v>
      </c>
      <c r="I1" s="313" t="s">
        <v>438</v>
      </c>
    </row>
    <row r="2" spans="1:9" s="189" customFormat="1" ht="54" x14ac:dyDescent="0.45">
      <c r="A2" s="308" t="s">
        <v>327</v>
      </c>
      <c r="B2" s="311" t="s">
        <v>0</v>
      </c>
      <c r="C2" s="316" t="s">
        <v>25</v>
      </c>
      <c r="D2" s="279" t="s">
        <v>26</v>
      </c>
      <c r="E2" s="279" t="s">
        <v>32</v>
      </c>
      <c r="F2" s="279" t="s">
        <v>393</v>
      </c>
      <c r="G2" s="279" t="s">
        <v>1</v>
      </c>
      <c r="H2" s="279" t="s">
        <v>331</v>
      </c>
      <c r="I2" s="279"/>
    </row>
    <row r="3" spans="1:9" s="189" customFormat="1" ht="39.4" customHeight="1" x14ac:dyDescent="0.45">
      <c r="A3" s="357" t="str">
        <f>'Horaire dimanche2'!A8</f>
        <v>VAHIBE</v>
      </c>
      <c r="B3" s="358">
        <f>'Horaire dimanche2'!B8</f>
        <v>0.33333333333333331</v>
      </c>
      <c r="C3" s="360" t="str">
        <f>'Horaire dimanche2'!C8</f>
        <v>C10</v>
      </c>
      <c r="D3" s="341" t="str">
        <f>VLOOKUP(C3,'Liste chauffeur'!$B$5:$L$20,2,TRUE)&amp;" "&amp;VLOOKUP(C3,'Liste chauffeur'!$B$5:$L$20,3,TRUE)</f>
        <v>ISSIHAKA M'Changama</v>
      </c>
      <c r="E3" s="314"/>
      <c r="F3" s="279"/>
      <c r="G3" s="279"/>
      <c r="H3" s="279"/>
      <c r="I3" s="323"/>
    </row>
    <row r="4" spans="1:9" s="189" customFormat="1" ht="39.4" customHeight="1" x14ac:dyDescent="0.45">
      <c r="A4" s="357" t="str">
        <f>'Horaire dimanche2'!A9</f>
        <v>PASSAMAINTY</v>
      </c>
      <c r="B4" s="361">
        <f>'Horaire dimanche2'!B9</f>
        <v>0.35416666666666669</v>
      </c>
      <c r="C4" s="360" t="str">
        <f>'Horaire dimanche2'!C9</f>
        <v>C10</v>
      </c>
      <c r="D4" s="341" t="str">
        <f>VLOOKUP(C4,'Liste chauffeur'!$B$5:$L$20,2,TRUE)&amp;" "&amp;VLOOKUP(C4,'Liste chauffeur'!$B$5:$L$20,3,TRUE)</f>
        <v>ISSIHAKA M'Changama</v>
      </c>
      <c r="E4" s="314"/>
      <c r="F4" s="279"/>
      <c r="G4" s="279"/>
      <c r="H4" s="279"/>
      <c r="I4" s="309" t="s">
        <v>389</v>
      </c>
    </row>
    <row r="5" spans="1:9" s="189" customFormat="1" ht="39.4" customHeight="1" x14ac:dyDescent="0.45">
      <c r="A5" s="357" t="str">
        <f>'Horaire dimanche2'!A10</f>
        <v>VAHIBE</v>
      </c>
      <c r="B5" s="361">
        <f>'Horaire dimanche2'!B10</f>
        <v>0.375</v>
      </c>
      <c r="C5" s="360" t="str">
        <f>'Horaire dimanche2'!C10</f>
        <v>C10</v>
      </c>
      <c r="D5" s="341" t="str">
        <f>VLOOKUP(C5,'Liste chauffeur'!$B$5:$L$20,2,TRUE)&amp;" "&amp;VLOOKUP(C5,'Liste chauffeur'!$B$5:$L$20,3,TRUE)</f>
        <v>ISSIHAKA M'Changama</v>
      </c>
      <c r="E5" s="314"/>
      <c r="F5" s="279"/>
      <c r="G5" s="279"/>
      <c r="H5" s="279"/>
      <c r="I5" s="309"/>
    </row>
    <row r="6" spans="1:9" s="189" customFormat="1" ht="39.4" customHeight="1" x14ac:dyDescent="0.45">
      <c r="A6" s="357" t="str">
        <f>'Horaire dimanche2'!A11</f>
        <v>PASSAMAINTY</v>
      </c>
      <c r="B6" s="361">
        <f>'Horaire dimanche2'!B11</f>
        <v>0.39583333333333331</v>
      </c>
      <c r="C6" s="360" t="str">
        <f>'Horaire dimanche2'!C11</f>
        <v>C10</v>
      </c>
      <c r="D6" s="341" t="str">
        <f>VLOOKUP(C6,'Liste chauffeur'!$B$5:$L$20,2,TRUE)&amp;" "&amp;VLOOKUP(C6,'Liste chauffeur'!$B$5:$L$20,3,TRUE)</f>
        <v>ISSIHAKA M'Changama</v>
      </c>
      <c r="E6" s="314"/>
      <c r="F6" s="279"/>
      <c r="G6" s="279"/>
      <c r="H6" s="279"/>
      <c r="I6" s="309" t="s">
        <v>390</v>
      </c>
    </row>
    <row r="7" spans="1:9" ht="39.4" customHeight="1" x14ac:dyDescent="0.45">
      <c r="A7" s="357" t="str">
        <f>'Horaire dimanche2'!A12</f>
        <v>VAHIBE</v>
      </c>
      <c r="B7" s="361">
        <f>'Horaire dimanche2'!B12</f>
        <v>0.41666666666666702</v>
      </c>
      <c r="C7" s="360" t="str">
        <f>'Horaire dimanche2'!C12</f>
        <v>C10</v>
      </c>
      <c r="D7" s="341" t="str">
        <f>VLOOKUP(C7,'Liste chauffeur'!$B$5:$L$20,2,TRUE)&amp;" "&amp;VLOOKUP(C7,'Liste chauffeur'!$B$5:$L$20,3,TRUE)</f>
        <v>ISSIHAKA M'Changama</v>
      </c>
      <c r="E7" s="314"/>
      <c r="F7" s="280" t="str">
        <f>IF(ISBLANK('Feuille saisie'!M12)=TRUE,"",'Feuille saisie'!M12)</f>
        <v/>
      </c>
      <c r="G7" s="280"/>
      <c r="H7" s="281"/>
      <c r="I7" s="309"/>
    </row>
    <row r="8" spans="1:9" ht="39.4" customHeight="1" x14ac:dyDescent="0.45">
      <c r="A8" s="357" t="str">
        <f>'Horaire dimanche2'!A13</f>
        <v>PASSAMAINTY</v>
      </c>
      <c r="B8" s="361">
        <f>'Horaire dimanche2'!B13</f>
        <v>0.4375</v>
      </c>
      <c r="C8" s="360" t="str">
        <f>'Horaire dimanche2'!C13</f>
        <v>C10</v>
      </c>
      <c r="D8" s="341" t="str">
        <f>VLOOKUP(C8,'Liste chauffeur'!$B$5:$L$20,2,TRUE)&amp;" "&amp;VLOOKUP(C8,'Liste chauffeur'!$B$5:$L$20,3,TRUE)</f>
        <v>ISSIHAKA M'Changama</v>
      </c>
      <c r="E8" s="314"/>
      <c r="F8" s="280" t="str">
        <f>IF(ISBLANK('Feuille saisie'!M13)=TRUE,"",'Feuille saisie'!M13)</f>
        <v/>
      </c>
      <c r="G8" s="280"/>
      <c r="H8" s="281"/>
      <c r="I8" s="309"/>
    </row>
    <row r="9" spans="1:9" ht="39.4" customHeight="1" x14ac:dyDescent="0.45">
      <c r="A9" s="357" t="str">
        <f>'Horaire dimanche2'!A14</f>
        <v>VAHIBE</v>
      </c>
      <c r="B9" s="361">
        <f>'Horaire dimanche2'!B14</f>
        <v>0.45833333333333298</v>
      </c>
      <c r="C9" s="360" t="str">
        <f>'Horaire dimanche2'!C14</f>
        <v>C10</v>
      </c>
      <c r="D9" s="341" t="str">
        <f>VLOOKUP(C9,'Liste chauffeur'!$B$5:$L$20,2,TRUE)&amp;" "&amp;VLOOKUP(C9,'Liste chauffeur'!$B$5:$L$20,3,TRUE)</f>
        <v>ISSIHAKA M'Changama</v>
      </c>
      <c r="E9" s="314"/>
      <c r="F9" s="307" t="str">
        <f>IF(ISBLANK('Feuille saisie'!M14)=TRUE,"",'Feuille saisie'!M14)</f>
        <v/>
      </c>
      <c r="G9" s="280"/>
      <c r="H9" s="281"/>
      <c r="I9" s="309" t="s">
        <v>392</v>
      </c>
    </row>
    <row r="10" spans="1:9" ht="39.4" customHeight="1" x14ac:dyDescent="0.45">
      <c r="A10" s="357" t="str">
        <f>'Horaire dimanche2'!A15</f>
        <v>PASSAMAINTY</v>
      </c>
      <c r="B10" s="361">
        <f>'Horaire dimanche2'!B15</f>
        <v>0.47916666666666702</v>
      </c>
      <c r="C10" s="360" t="str">
        <f>'Horaire dimanche2'!C15</f>
        <v>C10</v>
      </c>
      <c r="D10" s="341" t="str">
        <f>VLOOKUP(C10,'Liste chauffeur'!$B$5:$L$20,2,TRUE)&amp;" "&amp;VLOOKUP(C10,'Liste chauffeur'!$B$5:$L$20,3,TRUE)</f>
        <v>ISSIHAKA M'Changama</v>
      </c>
      <c r="E10" s="314"/>
      <c r="F10" s="280" t="str">
        <f>IF(ISBLANK('Feuille saisie'!M15)=TRUE,"",'Feuille saisie'!M15)</f>
        <v/>
      </c>
      <c r="G10" s="280"/>
      <c r="H10" s="281"/>
      <c r="I10" s="309"/>
    </row>
    <row r="11" spans="1:9" ht="39.4" customHeight="1" x14ac:dyDescent="0.45">
      <c r="A11" s="357" t="str">
        <f>'Horaire dimanche2'!A16</f>
        <v>VAHIBE</v>
      </c>
      <c r="B11" s="361">
        <f>'Horaire dimanche2'!B16</f>
        <v>0.5</v>
      </c>
      <c r="C11" s="360" t="str">
        <f>'Horaire dimanche2'!C16</f>
        <v>C10</v>
      </c>
      <c r="D11" s="341" t="str">
        <f>VLOOKUP(C11,'Liste chauffeur'!$B$5:$L$20,2,TRUE)&amp;" "&amp;VLOOKUP(C11,'Liste chauffeur'!$B$5:$L$20,3,TRUE)</f>
        <v>ISSIHAKA M'Changama</v>
      </c>
      <c r="E11" s="314"/>
      <c r="F11" s="280" t="str">
        <f>IF(ISBLANK('Feuille saisie'!M16)=TRUE,"",'Feuille saisie'!M16)</f>
        <v/>
      </c>
      <c r="G11" s="280"/>
      <c r="H11" s="281"/>
      <c r="I11" s="309" t="s">
        <v>391</v>
      </c>
    </row>
    <row r="12" spans="1:9" ht="39.4" customHeight="1" x14ac:dyDescent="0.45">
      <c r="A12" s="357" t="str">
        <f>'Horaire dimanche2'!A17</f>
        <v>PASSAMAINTY</v>
      </c>
      <c r="B12" s="361">
        <f>'Horaire dimanche2'!B17</f>
        <v>0.52083333333333304</v>
      </c>
      <c r="C12" s="360" t="str">
        <f>'Horaire dimanche2'!C17</f>
        <v>C10</v>
      </c>
      <c r="D12" s="341" t="str">
        <f>VLOOKUP(C12,'Liste chauffeur'!$B$5:$L$20,2,TRUE)&amp;" "&amp;VLOOKUP(C12,'Liste chauffeur'!$B$5:$L$20,3,TRUE)</f>
        <v>ISSIHAKA M'Changama</v>
      </c>
      <c r="E12" s="314"/>
      <c r="F12" s="280" t="str">
        <f>IF(ISBLANK('Feuille saisie'!M17)=TRUE,"",'Feuille saisie'!M17)</f>
        <v/>
      </c>
      <c r="G12" s="280"/>
      <c r="H12" s="281"/>
      <c r="I12" s="309"/>
    </row>
    <row r="13" spans="1:9" ht="39.4" customHeight="1" x14ac:dyDescent="0.45">
      <c r="A13" s="357" t="str">
        <f>'Horaire dimanche2'!A18</f>
        <v>VAHIBE</v>
      </c>
      <c r="B13" s="361">
        <f>'Horaire dimanche2'!B18</f>
        <v>0.54166666666666696</v>
      </c>
      <c r="C13" s="360" t="str">
        <f>'Horaire dimanche2'!C18</f>
        <v>C10</v>
      </c>
      <c r="D13" s="341" t="str">
        <f>VLOOKUP(C13,'Liste chauffeur'!$B$5:$L$20,2,TRUE)&amp;" "&amp;VLOOKUP(C13,'Liste chauffeur'!$B$5:$L$20,3,TRUE)</f>
        <v>ISSIHAKA M'Changama</v>
      </c>
      <c r="E13" s="314"/>
      <c r="F13" s="280"/>
      <c r="G13" s="280"/>
      <c r="H13" s="281"/>
    </row>
    <row r="14" spans="1:9" ht="39.4" customHeight="1" x14ac:dyDescent="0.45">
      <c r="A14" s="357" t="str">
        <f>'Horaire dimanche2'!A19</f>
        <v>PASSAMAINTY</v>
      </c>
      <c r="B14" s="359">
        <f>'Horaire dimanche2'!B19</f>
        <v>0.5625</v>
      </c>
      <c r="C14" s="360" t="str">
        <f>'Horaire dimanche2'!C19</f>
        <v>C10</v>
      </c>
      <c r="D14" s="341" t="str">
        <f>VLOOKUP(C14,'Liste chauffeur'!$B$5:$L$20,2,TRUE)&amp;" "&amp;VLOOKUP(C14,'Liste chauffeur'!$B$5:$L$20,3,TRUE)</f>
        <v>ISSIHAKA M'Changama</v>
      </c>
      <c r="E14" s="314"/>
      <c r="F14" s="280" t="str">
        <f>IF(ISBLANK('Feuille saisie'!M19)=TRUE,"",'Feuille saisie'!M19)</f>
        <v/>
      </c>
      <c r="G14" s="280"/>
      <c r="H14" s="281"/>
      <c r="I14" s="309" t="s">
        <v>389</v>
      </c>
    </row>
    <row r="15" spans="1:9" ht="39.4" customHeight="1" x14ac:dyDescent="0.45">
      <c r="A15" s="357" t="str">
        <f>'Horaire dimanche2'!A20</f>
        <v>VAHIBE</v>
      </c>
      <c r="B15" s="358">
        <f>'Horaire dimanche2'!B20</f>
        <v>0.58333333333333304</v>
      </c>
      <c r="C15" s="360" t="str">
        <f>'Horaire dimanche2'!C20</f>
        <v>C15</v>
      </c>
      <c r="D15" s="341" t="str">
        <f>VLOOKUP(C15,'Liste chauffeur'!$B$5:$L$20,2,TRUE)&amp;" "&amp;VLOOKUP(C15,'Liste chauffeur'!$B$5:$L$20,3,TRUE)</f>
        <v>HAMADA Babou</v>
      </c>
      <c r="E15" s="314"/>
      <c r="F15" s="280" t="str">
        <f>IF(ISBLANK('Feuille saisie'!M20)=TRUE,"",'Feuille saisie'!M20)</f>
        <v/>
      </c>
      <c r="G15" s="280"/>
      <c r="H15" s="281"/>
      <c r="I15" s="309"/>
    </row>
    <row r="16" spans="1:9" ht="39.4" customHeight="1" x14ac:dyDescent="0.45">
      <c r="A16" s="357" t="str">
        <f>'Horaire dimanche2'!A21</f>
        <v>PASSAMAINTY</v>
      </c>
      <c r="B16" s="361">
        <f>'Horaire dimanche2'!B21</f>
        <v>0.60416666666666596</v>
      </c>
      <c r="C16" s="360" t="str">
        <f>'Horaire dimanche2'!C21</f>
        <v>C15</v>
      </c>
      <c r="D16" s="341" t="str">
        <f>VLOOKUP(C16,'Liste chauffeur'!$B$5:$L$20,2,TRUE)&amp;" "&amp;VLOOKUP(C16,'Liste chauffeur'!$B$5:$L$20,3,TRUE)</f>
        <v>HAMADA Babou</v>
      </c>
      <c r="E16" s="314"/>
      <c r="F16" s="280" t="str">
        <f>IF(ISBLANK('Feuille saisie'!M21)=TRUE,"",'Feuille saisie'!M21)</f>
        <v/>
      </c>
      <c r="G16" s="280"/>
      <c r="H16" s="281"/>
      <c r="I16" s="309" t="s">
        <v>390</v>
      </c>
    </row>
    <row r="17" spans="1:9" ht="39.4" customHeight="1" x14ac:dyDescent="0.45">
      <c r="A17" s="357" t="str">
        <f>'Horaire dimanche2'!A22</f>
        <v>VAHIBE</v>
      </c>
      <c r="B17" s="361">
        <f>'Horaire dimanche2'!B22</f>
        <v>0.625</v>
      </c>
      <c r="C17" s="360" t="str">
        <f>'Horaire dimanche2'!C22</f>
        <v>C15</v>
      </c>
      <c r="D17" s="341" t="str">
        <f>VLOOKUP(C17,'Liste chauffeur'!$B$5:$L$20,2,TRUE)&amp;" "&amp;VLOOKUP(C17,'Liste chauffeur'!$B$5:$L$20,3,TRUE)</f>
        <v>HAMADA Babou</v>
      </c>
      <c r="E17" s="314"/>
      <c r="F17" s="280" t="str">
        <f>IF(ISBLANK('Feuille saisie'!M22)=TRUE,"",'Feuille saisie'!M22)</f>
        <v/>
      </c>
      <c r="G17" s="280"/>
      <c r="H17" s="281"/>
      <c r="I17" s="309"/>
    </row>
    <row r="18" spans="1:9" ht="39.4" customHeight="1" x14ac:dyDescent="0.45">
      <c r="A18" s="357" t="str">
        <f>'Horaire dimanche2'!A23</f>
        <v>PASSAMAINTY</v>
      </c>
      <c r="B18" s="361">
        <f>'Horaire dimanche2'!B23</f>
        <v>0.64583333333333304</v>
      </c>
      <c r="C18" s="360" t="str">
        <f>'Horaire dimanche2'!C23</f>
        <v>C15</v>
      </c>
      <c r="D18" s="341" t="str">
        <f>VLOOKUP(C18,'Liste chauffeur'!$B$5:$L$20,2,TRUE)&amp;" "&amp;VLOOKUP(C18,'Liste chauffeur'!$B$5:$L$20,3,TRUE)</f>
        <v>HAMADA Babou</v>
      </c>
      <c r="E18" s="314"/>
      <c r="F18" s="280" t="str">
        <f>IF(ISBLANK('Feuille saisie'!M23)=TRUE,"",'Feuille saisie'!M23)</f>
        <v/>
      </c>
      <c r="G18" s="280"/>
      <c r="H18" s="281"/>
      <c r="I18" s="309"/>
    </row>
    <row r="19" spans="1:9" ht="39.4" customHeight="1" x14ac:dyDescent="0.45">
      <c r="A19" s="357" t="str">
        <f>'Horaire dimanche2'!A24</f>
        <v>VAHIBE</v>
      </c>
      <c r="B19" s="361">
        <f>'Horaire dimanche2'!B24</f>
        <v>0.66666666666666596</v>
      </c>
      <c r="C19" s="360" t="str">
        <f>'Horaire dimanche2'!C24</f>
        <v>C15</v>
      </c>
      <c r="D19" s="341" t="str">
        <f>VLOOKUP(C19,'Liste chauffeur'!$B$5:$L$20,2,TRUE)&amp;" "&amp;VLOOKUP(C19,'Liste chauffeur'!$B$5:$L$20,3,TRUE)</f>
        <v>HAMADA Babou</v>
      </c>
      <c r="E19" s="314"/>
      <c r="F19" s="280" t="str">
        <f>IF(ISBLANK('Feuille saisie'!M24)=TRUE,"",'Feuille saisie'!M24)</f>
        <v/>
      </c>
      <c r="G19" s="280"/>
      <c r="H19" s="281"/>
      <c r="I19" s="309" t="s">
        <v>392</v>
      </c>
    </row>
    <row r="20" spans="1:9" ht="39.4" customHeight="1" x14ac:dyDescent="0.45">
      <c r="A20" s="357" t="str">
        <f>'Horaire dimanche2'!A25</f>
        <v>PASSAMAINTY</v>
      </c>
      <c r="B20" s="361">
        <f>'Horaire dimanche2'!B25</f>
        <v>0.6875</v>
      </c>
      <c r="C20" s="360" t="str">
        <f>'Horaire dimanche2'!C25</f>
        <v>C15</v>
      </c>
      <c r="D20" s="341" t="str">
        <f>VLOOKUP(C20,'Liste chauffeur'!$B$5:$L$20,2,TRUE)&amp;" "&amp;VLOOKUP(C20,'Liste chauffeur'!$B$5:$L$20,3,TRUE)</f>
        <v>HAMADA Babou</v>
      </c>
      <c r="E20" s="314"/>
      <c r="F20" s="280"/>
      <c r="G20" s="280"/>
      <c r="H20" s="281"/>
      <c r="I20" s="309"/>
    </row>
    <row r="21" spans="1:9" ht="39.4" customHeight="1" x14ac:dyDescent="0.45">
      <c r="A21" s="357" t="str">
        <f>'Horaire dimanche2'!A26</f>
        <v>VAHIBE</v>
      </c>
      <c r="B21" s="361">
        <f>'Horaire dimanche2'!B26</f>
        <v>0.70833333333333304</v>
      </c>
      <c r="C21" s="360" t="str">
        <f>'Horaire dimanche2'!C26</f>
        <v>C15</v>
      </c>
      <c r="D21" s="341" t="str">
        <f>VLOOKUP(C21,'Liste chauffeur'!$B$5:$L$20,2,TRUE)&amp;" "&amp;VLOOKUP(C21,'Liste chauffeur'!$B$5:$L$20,3,TRUE)</f>
        <v>HAMADA Babou</v>
      </c>
      <c r="E21" s="314"/>
      <c r="F21" s="280" t="str">
        <f>IF(ISBLANK('Feuille saisie'!M26)=TRUE,"",'Feuille saisie'!M26)</f>
        <v/>
      </c>
      <c r="G21" s="280"/>
      <c r="H21" s="281"/>
      <c r="I21" s="309" t="s">
        <v>391</v>
      </c>
    </row>
    <row r="22" spans="1:9" ht="39.4" customHeight="1" x14ac:dyDescent="0.45">
      <c r="A22" s="357" t="str">
        <f>'Horaire dimanche2'!A27</f>
        <v>PASSAMAINTY</v>
      </c>
      <c r="B22" s="361">
        <f>'Horaire dimanche2'!B27</f>
        <v>0.72222222222222221</v>
      </c>
      <c r="C22" s="360" t="str">
        <f>'Horaire dimanche2'!C27</f>
        <v>C15</v>
      </c>
      <c r="D22" s="341" t="str">
        <f>VLOOKUP(C22,'Liste chauffeur'!$B$5:$L$20,2,TRUE)&amp;" "&amp;VLOOKUP(C22,'Liste chauffeur'!$B$5:$L$20,3,TRUE)</f>
        <v>HAMADA Babou</v>
      </c>
      <c r="E22" s="314"/>
      <c r="F22" s="280" t="str">
        <f>IF(ISBLANK('Feuille saisie'!M27)=TRUE,"",'Feuille saisie'!M27)</f>
        <v/>
      </c>
      <c r="G22" s="280"/>
      <c r="H22" s="281"/>
    </row>
    <row r="23" spans="1:9" ht="39.4" customHeight="1" x14ac:dyDescent="0.45">
      <c r="A23" s="357" t="str">
        <f>'Horaire dimanche2'!A28</f>
        <v>VAHIBE</v>
      </c>
      <c r="B23" s="361">
        <f>'Horaire dimanche2'!B28</f>
        <v>0.74305555555555558</v>
      </c>
      <c r="C23" s="360" t="str">
        <f>'Horaire dimanche2'!C28</f>
        <v>C15</v>
      </c>
      <c r="D23" s="341" t="str">
        <f>VLOOKUP(C23,'Liste chauffeur'!$B$5:$L$20,2,TRUE)&amp;" "&amp;VLOOKUP(C23,'Liste chauffeur'!$B$5:$L$20,3,TRUE)</f>
        <v>HAMADA Babou</v>
      </c>
      <c r="E23" s="314"/>
      <c r="F23" s="280" t="str">
        <f>IF(ISBLANK('Feuille saisie'!M28)=TRUE,"",'Feuille saisie'!M28)</f>
        <v/>
      </c>
      <c r="G23" s="280"/>
      <c r="H23" s="281"/>
    </row>
    <row r="24" spans="1:9" ht="39.4" customHeight="1" x14ac:dyDescent="0.45">
      <c r="A24" s="357" t="str">
        <f>'Horaire dimanche2'!A29</f>
        <v>PASSAMAINTY</v>
      </c>
      <c r="B24" s="361">
        <f>'Horaire dimanche2'!B29</f>
        <v>0.75694444444444442</v>
      </c>
      <c r="C24" s="360" t="str">
        <f>'Horaire dimanche2'!C29</f>
        <v>C15</v>
      </c>
      <c r="D24" s="341" t="str">
        <f>VLOOKUP(C24,'Liste chauffeur'!$B$5:$L$20,2,TRUE)&amp;" "&amp;VLOOKUP(C24,'Liste chauffeur'!$B$5:$L$20,3,TRUE)</f>
        <v>HAMADA Babou</v>
      </c>
      <c r="E24" s="314"/>
      <c r="F24" s="280" t="str">
        <f>IF(ISBLANK('Feuille saisie'!M29)=TRUE,"",'Feuille saisie'!M29)</f>
        <v/>
      </c>
      <c r="G24" s="280"/>
      <c r="H24" s="281"/>
      <c r="I24" s="309"/>
    </row>
  </sheetData>
  <autoFilter ref="A2:H24" xr:uid="{6A06E119-2645-4680-ABA4-211EDBAC8958}"/>
  <printOptions horizontalCentered="1"/>
  <pageMargins left="0.23622047244094499" right="0.23622047244094499" top="0.74803149606299202" bottom="0.74803149606299202" header="0.31496062992126" footer="0.31496062992126"/>
  <pageSetup paperSize="9" scale="5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D459-E995-4EC2-A094-88946885B70D}">
  <sheetPr>
    <pageSetUpPr fitToPage="1"/>
  </sheetPr>
  <dimension ref="A2:O69"/>
  <sheetViews>
    <sheetView topLeftCell="A7" workbookViewId="0">
      <selection activeCell="E12" sqref="E12"/>
    </sheetView>
  </sheetViews>
  <sheetFormatPr baseColWidth="10" defaultRowHeight="14.25" x14ac:dyDescent="0.45"/>
  <cols>
    <col min="2" max="2" width="14.265625" customWidth="1"/>
    <col min="3" max="3" width="13.33203125" customWidth="1"/>
    <col min="4" max="5" width="16.33203125" customWidth="1"/>
    <col min="6" max="6" width="16.46484375" hidden="1" customWidth="1"/>
    <col min="7" max="7" width="10.6640625" hidden="1" customWidth="1"/>
    <col min="8" max="8" width="1.53125" hidden="1" customWidth="1"/>
    <col min="9" max="9" width="12" customWidth="1"/>
    <col min="10" max="10" width="10.6640625" customWidth="1"/>
    <col min="11" max="11" width="10.6640625" hidden="1" customWidth="1"/>
    <col min="12" max="12" width="16.1328125" customWidth="1"/>
    <col min="13" max="13" width="14.73046875" hidden="1" customWidth="1"/>
  </cols>
  <sheetData>
    <row r="2" spans="1:15" ht="18" x14ac:dyDescent="0.55000000000000004">
      <c r="D2" s="392" t="s">
        <v>443</v>
      </c>
    </row>
    <row r="3" spans="1:15" x14ac:dyDescent="0.4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5" ht="91.9" x14ac:dyDescent="0.45">
      <c r="B4" s="364" t="s">
        <v>33</v>
      </c>
      <c r="C4" s="364" t="s">
        <v>34</v>
      </c>
      <c r="D4" s="364" t="s">
        <v>35</v>
      </c>
      <c r="E4" s="364" t="s">
        <v>66</v>
      </c>
      <c r="F4" s="365" t="s">
        <v>92</v>
      </c>
      <c r="G4" s="365" t="s">
        <v>323</v>
      </c>
      <c r="H4" s="365" t="s">
        <v>318</v>
      </c>
      <c r="I4" s="364" t="s">
        <v>319</v>
      </c>
      <c r="J4" s="384" t="s">
        <v>324</v>
      </c>
      <c r="K4" s="364" t="s">
        <v>325</v>
      </c>
      <c r="L4" s="380" t="s">
        <v>320</v>
      </c>
      <c r="M4" s="364" t="s">
        <v>321</v>
      </c>
      <c r="N4" s="51" t="s">
        <v>322</v>
      </c>
      <c r="O4" s="51" t="s">
        <v>56</v>
      </c>
    </row>
    <row r="5" spans="1:15" ht="35.35" customHeight="1" x14ac:dyDescent="0.65">
      <c r="A5" t="s">
        <v>413</v>
      </c>
      <c r="B5" s="385" t="s">
        <v>24</v>
      </c>
      <c r="C5" s="366" t="s">
        <v>230</v>
      </c>
      <c r="D5" s="366" t="s">
        <v>71</v>
      </c>
      <c r="E5" s="386" t="s">
        <v>231</v>
      </c>
      <c r="F5" s="367" t="s">
        <v>232</v>
      </c>
      <c r="G5" s="368" t="s">
        <v>233</v>
      </c>
      <c r="H5" s="369" t="s">
        <v>150</v>
      </c>
      <c r="I5" s="369" t="s">
        <v>234</v>
      </c>
      <c r="J5" s="370">
        <v>413</v>
      </c>
      <c r="K5" s="371">
        <v>46877</v>
      </c>
      <c r="L5" s="386" t="s">
        <v>235</v>
      </c>
      <c r="M5" s="378">
        <v>45012</v>
      </c>
      <c r="N5">
        <v>9</v>
      </c>
      <c r="O5" t="s">
        <v>57</v>
      </c>
    </row>
    <row r="6" spans="1:15" ht="35.35" customHeight="1" x14ac:dyDescent="0.65">
      <c r="B6" s="385" t="s">
        <v>42</v>
      </c>
      <c r="C6" s="366" t="s">
        <v>425</v>
      </c>
      <c r="D6" s="366" t="s">
        <v>426</v>
      </c>
      <c r="E6" s="387">
        <v>639277141</v>
      </c>
      <c r="F6" s="367"/>
      <c r="G6" s="368" t="s">
        <v>429</v>
      </c>
      <c r="H6" s="369" t="s">
        <v>150</v>
      </c>
      <c r="I6" s="369" t="s">
        <v>428</v>
      </c>
      <c r="J6" s="370">
        <v>66</v>
      </c>
      <c r="K6" s="371">
        <v>46135</v>
      </c>
      <c r="L6" s="386" t="s">
        <v>427</v>
      </c>
      <c r="M6" s="378">
        <v>44994</v>
      </c>
      <c r="N6">
        <v>9</v>
      </c>
      <c r="O6" t="s">
        <v>57</v>
      </c>
    </row>
    <row r="7" spans="1:15" ht="35.35" customHeight="1" x14ac:dyDescent="0.65">
      <c r="B7" s="385" t="s">
        <v>43</v>
      </c>
      <c r="C7" s="366" t="s">
        <v>252</v>
      </c>
      <c r="D7" s="366" t="s">
        <v>253</v>
      </c>
      <c r="E7" s="387" t="s">
        <v>254</v>
      </c>
      <c r="F7" s="367" t="s">
        <v>255</v>
      </c>
      <c r="G7" s="368" t="s">
        <v>256</v>
      </c>
      <c r="H7" s="369" t="s">
        <v>257</v>
      </c>
      <c r="I7" s="369" t="s">
        <v>258</v>
      </c>
      <c r="J7" s="370">
        <v>985</v>
      </c>
      <c r="K7" s="371">
        <v>44456</v>
      </c>
      <c r="L7" s="386" t="s">
        <v>259</v>
      </c>
      <c r="M7" s="378">
        <v>45273</v>
      </c>
      <c r="N7">
        <v>9</v>
      </c>
      <c r="O7" t="s">
        <v>57</v>
      </c>
    </row>
    <row r="8" spans="1:15" ht="35.35" customHeight="1" x14ac:dyDescent="0.65">
      <c r="B8" s="385" t="s">
        <v>44</v>
      </c>
      <c r="C8" s="366" t="s">
        <v>378</v>
      </c>
      <c r="D8" s="366" t="s">
        <v>379</v>
      </c>
      <c r="E8" s="387">
        <v>639391517</v>
      </c>
      <c r="F8" s="372" t="s">
        <v>380</v>
      </c>
      <c r="G8" s="366" t="s">
        <v>381</v>
      </c>
      <c r="H8" s="369" t="s">
        <v>382</v>
      </c>
      <c r="I8" s="369" t="s">
        <v>454</v>
      </c>
      <c r="J8" s="370">
        <v>525</v>
      </c>
      <c r="K8" s="371">
        <v>46731</v>
      </c>
      <c r="L8" s="386" t="s">
        <v>455</v>
      </c>
      <c r="M8" s="381">
        <v>45238</v>
      </c>
      <c r="N8">
        <v>9</v>
      </c>
      <c r="O8" t="s">
        <v>58</v>
      </c>
    </row>
    <row r="9" spans="1:15" ht="35.35" customHeight="1" x14ac:dyDescent="0.65">
      <c r="A9" t="s">
        <v>413</v>
      </c>
      <c r="B9" s="385" t="s">
        <v>45</v>
      </c>
      <c r="C9" s="366" t="s">
        <v>415</v>
      </c>
      <c r="D9" s="366" t="s">
        <v>436</v>
      </c>
      <c r="E9" s="388">
        <v>639634834</v>
      </c>
      <c r="F9" s="363"/>
      <c r="G9" s="363"/>
      <c r="H9" s="363"/>
      <c r="I9" s="277"/>
      <c r="J9" s="363"/>
      <c r="K9" s="363"/>
      <c r="L9" s="390" t="s">
        <v>448</v>
      </c>
      <c r="M9" s="382">
        <v>46082</v>
      </c>
      <c r="N9" s="362">
        <v>9</v>
      </c>
      <c r="O9" t="s">
        <v>58</v>
      </c>
    </row>
    <row r="10" spans="1:15" ht="35.35" customHeight="1" x14ac:dyDescent="0.65">
      <c r="B10" s="385" t="s">
        <v>46</v>
      </c>
      <c r="C10" s="363" t="s">
        <v>416</v>
      </c>
      <c r="D10" s="363" t="s">
        <v>417</v>
      </c>
      <c r="E10" s="387">
        <v>639211543</v>
      </c>
      <c r="F10" s="366"/>
      <c r="G10" s="366"/>
      <c r="H10" s="369"/>
      <c r="I10" s="369" t="s">
        <v>447</v>
      </c>
      <c r="J10" s="370">
        <v>585</v>
      </c>
      <c r="K10" s="371"/>
      <c r="L10" s="386" t="s">
        <v>442</v>
      </c>
      <c r="M10" s="379">
        <v>46081</v>
      </c>
      <c r="O10" t="s">
        <v>58</v>
      </c>
    </row>
    <row r="11" spans="1:15" ht="35.35" hidden="1" customHeight="1" x14ac:dyDescent="0.65">
      <c r="B11" s="385" t="s">
        <v>31</v>
      </c>
      <c r="C11" s="366" t="s">
        <v>416</v>
      </c>
      <c r="D11" s="366" t="s">
        <v>441</v>
      </c>
      <c r="E11" s="389"/>
      <c r="F11" s="363"/>
      <c r="G11" s="363"/>
      <c r="H11" s="363"/>
      <c r="I11" s="277"/>
      <c r="J11" s="363"/>
      <c r="K11" s="373"/>
      <c r="L11" s="390"/>
      <c r="M11" s="382"/>
    </row>
    <row r="12" spans="1:15" ht="35.35" customHeight="1" x14ac:dyDescent="0.65">
      <c r="B12" s="385" t="s">
        <v>31</v>
      </c>
      <c r="C12" s="366" t="s">
        <v>461</v>
      </c>
      <c r="D12" s="366" t="s">
        <v>462</v>
      </c>
      <c r="E12" s="389">
        <v>639217270</v>
      </c>
      <c r="F12" s="363"/>
      <c r="G12" s="363"/>
      <c r="H12" s="363"/>
      <c r="I12" s="277"/>
      <c r="J12" s="363"/>
      <c r="K12" s="373"/>
      <c r="L12" s="390"/>
      <c r="M12" s="382"/>
    </row>
    <row r="13" spans="1:15" ht="35.35" customHeight="1" x14ac:dyDescent="0.65">
      <c r="A13" t="s">
        <v>413</v>
      </c>
      <c r="B13" s="385" t="s">
        <v>36</v>
      </c>
      <c r="C13" s="366" t="s">
        <v>200</v>
      </c>
      <c r="D13" s="366" t="s">
        <v>68</v>
      </c>
      <c r="E13" s="387" t="s">
        <v>201</v>
      </c>
      <c r="F13" s="372" t="s">
        <v>202</v>
      </c>
      <c r="G13" s="366" t="s">
        <v>203</v>
      </c>
      <c r="H13" s="369" t="s">
        <v>193</v>
      </c>
      <c r="I13" s="369" t="s">
        <v>204</v>
      </c>
      <c r="J13" s="370">
        <v>1414</v>
      </c>
      <c r="K13" s="371">
        <v>45181</v>
      </c>
      <c r="L13" s="391" t="s">
        <v>456</v>
      </c>
      <c r="M13" s="383">
        <v>44581</v>
      </c>
      <c r="N13" s="137">
        <v>9</v>
      </c>
      <c r="O13" t="s">
        <v>57</v>
      </c>
    </row>
    <row r="14" spans="1:15" ht="35.35" customHeight="1" x14ac:dyDescent="0.65">
      <c r="B14" s="385" t="s">
        <v>27</v>
      </c>
      <c r="C14" s="366" t="s">
        <v>59</v>
      </c>
      <c r="D14" s="366" t="s">
        <v>60</v>
      </c>
      <c r="E14" s="387" t="s">
        <v>132</v>
      </c>
      <c r="F14" s="372" t="s">
        <v>133</v>
      </c>
      <c r="G14" s="366" t="s">
        <v>134</v>
      </c>
      <c r="H14" s="369" t="s">
        <v>135</v>
      </c>
      <c r="I14" s="369" t="s">
        <v>136</v>
      </c>
      <c r="J14" s="370">
        <v>505</v>
      </c>
      <c r="K14" s="371">
        <v>45305</v>
      </c>
      <c r="L14" s="391" t="s">
        <v>137</v>
      </c>
      <c r="M14" s="383">
        <v>44279</v>
      </c>
      <c r="N14">
        <v>9</v>
      </c>
      <c r="O14" t="s">
        <v>57</v>
      </c>
    </row>
    <row r="15" spans="1:15" ht="35.35" customHeight="1" x14ac:dyDescent="0.65">
      <c r="A15" t="s">
        <v>413</v>
      </c>
      <c r="B15" s="385" t="s">
        <v>48</v>
      </c>
      <c r="C15" s="366" t="s">
        <v>298</v>
      </c>
      <c r="D15" s="366" t="s">
        <v>80</v>
      </c>
      <c r="E15" s="387" t="s">
        <v>299</v>
      </c>
      <c r="F15" s="374" t="s">
        <v>300</v>
      </c>
      <c r="G15" s="366" t="s">
        <v>301</v>
      </c>
      <c r="H15" s="369" t="s">
        <v>150</v>
      </c>
      <c r="I15" s="369" t="s">
        <v>302</v>
      </c>
      <c r="J15" s="370">
        <v>357</v>
      </c>
      <c r="K15" s="371">
        <v>45028</v>
      </c>
      <c r="L15" s="386" t="s">
        <v>303</v>
      </c>
      <c r="M15" s="379">
        <v>44624</v>
      </c>
      <c r="N15">
        <v>9</v>
      </c>
      <c r="O15" t="s">
        <v>57</v>
      </c>
    </row>
    <row r="16" spans="1:15" ht="35.35" customHeight="1" x14ac:dyDescent="0.65">
      <c r="B16" s="385" t="s">
        <v>49</v>
      </c>
      <c r="C16" s="366" t="s">
        <v>408</v>
      </c>
      <c r="D16" s="366" t="s">
        <v>409</v>
      </c>
      <c r="E16" s="387" t="s">
        <v>423</v>
      </c>
      <c r="F16" s="375" t="s">
        <v>424</v>
      </c>
      <c r="G16" s="376" t="s">
        <v>421</v>
      </c>
      <c r="H16" s="369" t="s">
        <v>150</v>
      </c>
      <c r="I16" s="369" t="s">
        <v>420</v>
      </c>
      <c r="J16" s="370">
        <v>49</v>
      </c>
      <c r="K16" s="373">
        <v>47657</v>
      </c>
      <c r="L16" s="390" t="s">
        <v>422</v>
      </c>
      <c r="M16" s="382">
        <v>45755</v>
      </c>
      <c r="N16">
        <v>9</v>
      </c>
      <c r="O16" t="s">
        <v>57</v>
      </c>
    </row>
    <row r="17" spans="1:15" ht="35.35" customHeight="1" x14ac:dyDescent="0.65">
      <c r="B17" s="385" t="s">
        <v>50</v>
      </c>
      <c r="C17" s="366" t="s">
        <v>73</v>
      </c>
      <c r="D17" s="366" t="s">
        <v>74</v>
      </c>
      <c r="E17" s="387" t="s">
        <v>274</v>
      </c>
      <c r="F17" s="367" t="s">
        <v>275</v>
      </c>
      <c r="G17" s="366" t="s">
        <v>276</v>
      </c>
      <c r="H17" s="369" t="s">
        <v>277</v>
      </c>
      <c r="I17" s="369" t="s">
        <v>278</v>
      </c>
      <c r="J17" s="370">
        <v>249</v>
      </c>
      <c r="K17" s="371">
        <v>43132</v>
      </c>
      <c r="L17" s="386" t="s">
        <v>279</v>
      </c>
      <c r="M17" s="378">
        <v>45083</v>
      </c>
      <c r="N17">
        <v>9</v>
      </c>
      <c r="O17" t="s">
        <v>57</v>
      </c>
    </row>
    <row r="18" spans="1:15" ht="35.35" customHeight="1" x14ac:dyDescent="0.65">
      <c r="A18" t="s">
        <v>413</v>
      </c>
      <c r="B18" s="385" t="s">
        <v>51</v>
      </c>
      <c r="C18" s="366" t="s">
        <v>418</v>
      </c>
      <c r="D18" s="366" t="s">
        <v>419</v>
      </c>
      <c r="E18" s="387" t="s">
        <v>430</v>
      </c>
      <c r="F18" s="377" t="s">
        <v>431</v>
      </c>
      <c r="G18" s="376" t="s">
        <v>432</v>
      </c>
      <c r="H18" s="369" t="s">
        <v>150</v>
      </c>
      <c r="I18" s="369" t="s">
        <v>433</v>
      </c>
      <c r="J18" s="370">
        <v>1126</v>
      </c>
      <c r="K18" s="373">
        <v>45966</v>
      </c>
      <c r="L18" s="390" t="s">
        <v>434</v>
      </c>
      <c r="M18" s="382">
        <v>42474</v>
      </c>
      <c r="O18" t="s">
        <v>57</v>
      </c>
    </row>
    <row r="19" spans="1:15" ht="35.35" customHeight="1" x14ac:dyDescent="0.65">
      <c r="A19" t="s">
        <v>413</v>
      </c>
      <c r="B19" s="385" t="s">
        <v>37</v>
      </c>
      <c r="C19" s="366" t="s">
        <v>241</v>
      </c>
      <c r="D19" s="366" t="s">
        <v>242</v>
      </c>
      <c r="E19" s="387" t="s">
        <v>243</v>
      </c>
      <c r="F19" s="372" t="s">
        <v>244</v>
      </c>
      <c r="G19" s="368" t="s">
        <v>245</v>
      </c>
      <c r="H19" s="369" t="s">
        <v>246</v>
      </c>
      <c r="I19" s="369" t="s">
        <v>247</v>
      </c>
      <c r="J19" s="370">
        <v>150</v>
      </c>
      <c r="K19" s="371">
        <v>45874</v>
      </c>
      <c r="L19" s="391" t="s">
        <v>248</v>
      </c>
      <c r="M19" s="383">
        <v>44362</v>
      </c>
      <c r="N19">
        <v>9</v>
      </c>
      <c r="O19" t="s">
        <v>57</v>
      </c>
    </row>
    <row r="20" spans="1:15" ht="35.35" customHeight="1" x14ac:dyDescent="0.65">
      <c r="B20" s="385" t="s">
        <v>41</v>
      </c>
      <c r="C20" s="366" t="s">
        <v>77</v>
      </c>
      <c r="D20" s="366" t="s">
        <v>78</v>
      </c>
      <c r="E20" s="387" t="s">
        <v>289</v>
      </c>
      <c r="F20" s="366" t="s">
        <v>290</v>
      </c>
      <c r="G20" s="366" t="s">
        <v>291</v>
      </c>
      <c r="H20" s="369" t="s">
        <v>193</v>
      </c>
      <c r="I20" s="369" t="s">
        <v>292</v>
      </c>
      <c r="J20" s="370">
        <v>1184</v>
      </c>
      <c r="K20" s="371">
        <v>45262</v>
      </c>
      <c r="L20" s="386" t="s">
        <v>293</v>
      </c>
      <c r="M20" s="379">
        <v>45406</v>
      </c>
      <c r="N20">
        <v>9</v>
      </c>
      <c r="O20" t="s">
        <v>57</v>
      </c>
    </row>
    <row r="21" spans="1:15" ht="35.35" customHeight="1" x14ac:dyDescent="0.65">
      <c r="B21" s="385" t="s">
        <v>463</v>
      </c>
      <c r="C21" s="366" t="s">
        <v>464</v>
      </c>
      <c r="D21" s="366" t="s">
        <v>76</v>
      </c>
      <c r="E21" s="387" t="s">
        <v>284</v>
      </c>
      <c r="F21" s="366"/>
      <c r="G21" s="366" t="s">
        <v>285</v>
      </c>
      <c r="H21" s="369" t="s">
        <v>257</v>
      </c>
      <c r="I21" s="369" t="s">
        <v>286</v>
      </c>
      <c r="J21" s="370">
        <v>1337</v>
      </c>
      <c r="K21" s="371">
        <v>45235</v>
      </c>
      <c r="L21" s="386" t="s">
        <v>287</v>
      </c>
      <c r="M21" s="379"/>
    </row>
    <row r="22" spans="1:15" ht="35.35" customHeight="1" x14ac:dyDescent="0.65">
      <c r="B22" s="385" t="s">
        <v>465</v>
      </c>
      <c r="C22" s="366" t="s">
        <v>406</v>
      </c>
      <c r="D22" s="366" t="s">
        <v>407</v>
      </c>
      <c r="E22" s="388">
        <v>639585187</v>
      </c>
      <c r="F22" s="420" t="s">
        <v>466</v>
      </c>
      <c r="G22" s="421" t="s">
        <v>467</v>
      </c>
      <c r="H22" s="364" t="s">
        <v>468</v>
      </c>
      <c r="I22" s="422" t="s">
        <v>469</v>
      </c>
      <c r="J22" s="370">
        <v>1119</v>
      </c>
      <c r="K22" s="373">
        <v>46735</v>
      </c>
      <c r="L22" s="423" t="s">
        <v>470</v>
      </c>
      <c r="M22" s="379"/>
    </row>
    <row r="23" spans="1:15" ht="35.35" customHeight="1" x14ac:dyDescent="0.45">
      <c r="B23" s="393" t="s">
        <v>444</v>
      </c>
      <c r="C23" s="394" t="s">
        <v>64</v>
      </c>
      <c r="D23" s="394" t="s">
        <v>65</v>
      </c>
      <c r="E23" s="395">
        <v>639653182</v>
      </c>
      <c r="F23" s="394"/>
      <c r="G23" s="394"/>
      <c r="H23" s="396"/>
      <c r="I23" s="396" t="s">
        <v>452</v>
      </c>
      <c r="J23" s="397">
        <v>806</v>
      </c>
      <c r="K23" s="398"/>
      <c r="L23" s="399" t="s">
        <v>453</v>
      </c>
      <c r="M23" s="400">
        <v>44336</v>
      </c>
    </row>
    <row r="24" spans="1:15" ht="35.35" customHeight="1" x14ac:dyDescent="0.45">
      <c r="B24" s="401" t="s">
        <v>445</v>
      </c>
      <c r="C24" s="394" t="s">
        <v>230</v>
      </c>
      <c r="D24" s="394" t="s">
        <v>71</v>
      </c>
      <c r="E24" s="399" t="s">
        <v>231</v>
      </c>
      <c r="F24" s="402" t="s">
        <v>232</v>
      </c>
      <c r="G24" s="403" t="s">
        <v>233</v>
      </c>
      <c r="H24" s="396" t="s">
        <v>150</v>
      </c>
      <c r="I24" s="396" t="s">
        <v>234</v>
      </c>
      <c r="J24" s="397">
        <v>413</v>
      </c>
      <c r="K24" s="398">
        <v>46877</v>
      </c>
      <c r="L24" s="399" t="s">
        <v>235</v>
      </c>
      <c r="M24" s="404">
        <v>45012</v>
      </c>
    </row>
    <row r="25" spans="1:15" ht="45.85" customHeight="1" x14ac:dyDescent="0.45">
      <c r="B25" s="393" t="s">
        <v>446</v>
      </c>
      <c r="C25" s="394" t="s">
        <v>298</v>
      </c>
      <c r="D25" s="394" t="s">
        <v>449</v>
      </c>
      <c r="E25" s="395" t="s">
        <v>299</v>
      </c>
      <c r="F25" s="402" t="s">
        <v>300</v>
      </c>
      <c r="G25" s="394" t="s">
        <v>301</v>
      </c>
      <c r="H25" s="396" t="s">
        <v>150</v>
      </c>
      <c r="I25" s="396" t="s">
        <v>302</v>
      </c>
      <c r="J25" s="397">
        <v>357</v>
      </c>
      <c r="K25" s="398">
        <v>45028</v>
      </c>
      <c r="L25" s="399" t="s">
        <v>303</v>
      </c>
      <c r="M25" s="400">
        <v>44624</v>
      </c>
    </row>
    <row r="26" spans="1:15" ht="35.35" customHeight="1" x14ac:dyDescent="0.45">
      <c r="B26" s="393" t="s">
        <v>450</v>
      </c>
      <c r="C26" s="394" t="s">
        <v>230</v>
      </c>
      <c r="D26" s="394" t="s">
        <v>71</v>
      </c>
      <c r="E26" s="399" t="s">
        <v>231</v>
      </c>
      <c r="F26" s="402" t="s">
        <v>232</v>
      </c>
      <c r="G26" s="403" t="s">
        <v>233</v>
      </c>
      <c r="H26" s="396" t="s">
        <v>150</v>
      </c>
      <c r="I26" s="396" t="s">
        <v>234</v>
      </c>
      <c r="J26" s="397">
        <v>413</v>
      </c>
      <c r="K26" s="398">
        <v>46877</v>
      </c>
      <c r="L26" s="399" t="s">
        <v>235</v>
      </c>
      <c r="M26" s="404">
        <v>45012</v>
      </c>
    </row>
    <row r="27" spans="1:15" ht="35.35" customHeight="1" x14ac:dyDescent="0.45">
      <c r="B27" s="393" t="s">
        <v>451</v>
      </c>
      <c r="C27" s="394" t="s">
        <v>64</v>
      </c>
      <c r="D27" s="394" t="s">
        <v>65</v>
      </c>
      <c r="E27" s="395">
        <v>639653182</v>
      </c>
      <c r="F27" s="394"/>
      <c r="G27" s="394"/>
      <c r="H27" s="396"/>
      <c r="I27" s="396" t="s">
        <v>452</v>
      </c>
      <c r="J27" s="397">
        <v>806</v>
      </c>
      <c r="K27" s="398"/>
      <c r="L27" s="399" t="s">
        <v>453</v>
      </c>
      <c r="M27" s="400">
        <v>44336</v>
      </c>
    </row>
    <row r="28" spans="1:15" ht="141.75" hidden="1" x14ac:dyDescent="0.45">
      <c r="C28" s="70" t="s">
        <v>230</v>
      </c>
      <c r="D28" s="70" t="s">
        <v>71</v>
      </c>
      <c r="E28" s="70" t="s">
        <v>231</v>
      </c>
      <c r="F28" s="84" t="s">
        <v>232</v>
      </c>
      <c r="G28" s="85" t="s">
        <v>233</v>
      </c>
      <c r="H28" s="72" t="s">
        <v>150</v>
      </c>
      <c r="I28" s="73" t="s">
        <v>234</v>
      </c>
      <c r="J28" s="73">
        <v>413</v>
      </c>
      <c r="K28" s="74">
        <v>46877</v>
      </c>
      <c r="L28" s="65" t="s">
        <v>235</v>
      </c>
      <c r="M28" s="79">
        <v>45012</v>
      </c>
      <c r="N28">
        <v>9</v>
      </c>
      <c r="O28" t="s">
        <v>57</v>
      </c>
    </row>
    <row r="29" spans="1:15" ht="283.5" hidden="1" x14ac:dyDescent="0.45">
      <c r="C29" s="252" t="s">
        <v>179</v>
      </c>
      <c r="D29" s="252" t="s">
        <v>65</v>
      </c>
      <c r="E29" s="252" t="s">
        <v>180</v>
      </c>
      <c r="F29" s="253" t="s">
        <v>181</v>
      </c>
      <c r="G29" s="252" t="s">
        <v>182</v>
      </c>
      <c r="H29" s="254" t="s">
        <v>333</v>
      </c>
      <c r="I29" s="255" t="s">
        <v>334</v>
      </c>
      <c r="J29" s="255">
        <v>806</v>
      </c>
      <c r="K29" s="256">
        <v>43222</v>
      </c>
      <c r="L29" s="257" t="s">
        <v>335</v>
      </c>
      <c r="M29" s="258" t="s">
        <v>336</v>
      </c>
    </row>
    <row r="30" spans="1:15" ht="47.25" hidden="1" x14ac:dyDescent="0.45">
      <c r="C30" s="70" t="s">
        <v>241</v>
      </c>
      <c r="D30" s="70" t="s">
        <v>242</v>
      </c>
      <c r="E30" s="70" t="s">
        <v>243</v>
      </c>
      <c r="F30" s="71" t="s">
        <v>244</v>
      </c>
      <c r="G30" s="85" t="s">
        <v>245</v>
      </c>
      <c r="H30" s="72" t="s">
        <v>246</v>
      </c>
      <c r="I30" s="73" t="s">
        <v>247</v>
      </c>
      <c r="J30" s="73">
        <v>150</v>
      </c>
      <c r="K30" s="74">
        <v>45874</v>
      </c>
      <c r="L30" s="75" t="s">
        <v>248</v>
      </c>
      <c r="M30" s="76">
        <v>44362</v>
      </c>
    </row>
    <row r="31" spans="1:15" ht="47.25" hidden="1" x14ac:dyDescent="0.45">
      <c r="C31" s="270" t="s">
        <v>362</v>
      </c>
      <c r="D31" s="270" t="s">
        <v>363</v>
      </c>
      <c r="E31" s="270" t="s">
        <v>364</v>
      </c>
      <c r="F31" s="94" t="s">
        <v>365</v>
      </c>
      <c r="G31" s="270" t="s">
        <v>366</v>
      </c>
      <c r="H31" s="271" t="s">
        <v>193</v>
      </c>
      <c r="I31" s="272" t="s">
        <v>367</v>
      </c>
      <c r="J31" s="272">
        <v>548</v>
      </c>
      <c r="K31" s="273">
        <v>45242</v>
      </c>
      <c r="L31" s="274" t="s">
        <v>368</v>
      </c>
      <c r="M31" s="275">
        <v>44474</v>
      </c>
    </row>
    <row r="32" spans="1:15" ht="15.75" hidden="1" x14ac:dyDescent="0.45">
      <c r="C32" s="70" t="s">
        <v>361</v>
      </c>
      <c r="D32" s="70"/>
      <c r="E32" s="70"/>
      <c r="F32" s="71"/>
      <c r="G32" s="85"/>
      <c r="H32" s="72"/>
      <c r="I32" s="73"/>
      <c r="J32" s="73"/>
      <c r="K32" s="74"/>
      <c r="L32" s="75"/>
      <c r="M32" s="76"/>
    </row>
    <row r="33" spans="3:13" ht="141.75" hidden="1" x14ac:dyDescent="0.45">
      <c r="C33" s="260" t="s">
        <v>332</v>
      </c>
      <c r="D33" s="260" t="s">
        <v>352</v>
      </c>
      <c r="E33" s="260" t="s">
        <v>353</v>
      </c>
      <c r="F33" s="265" t="s">
        <v>354</v>
      </c>
      <c r="G33" s="260" t="s">
        <v>355</v>
      </c>
      <c r="H33" s="266" t="s">
        <v>150</v>
      </c>
      <c r="I33" s="261" t="s">
        <v>356</v>
      </c>
      <c r="J33" s="261">
        <v>623</v>
      </c>
      <c r="K33" s="262">
        <v>46915</v>
      </c>
      <c r="L33" s="267" t="s">
        <v>357</v>
      </c>
      <c r="M33" s="268">
        <v>45196</v>
      </c>
    </row>
    <row r="34" spans="3:13" ht="141.75" hidden="1" x14ac:dyDescent="0.45">
      <c r="C34" s="70" t="s">
        <v>59</v>
      </c>
      <c r="D34" s="70" t="s">
        <v>60</v>
      </c>
      <c r="E34" s="70" t="s">
        <v>132</v>
      </c>
      <c r="F34" s="71" t="s">
        <v>133</v>
      </c>
      <c r="G34" s="70" t="s">
        <v>134</v>
      </c>
      <c r="H34" s="72" t="s">
        <v>135</v>
      </c>
      <c r="I34" s="73" t="s">
        <v>136</v>
      </c>
      <c r="J34" s="73">
        <v>505</v>
      </c>
      <c r="K34" s="74">
        <v>45305</v>
      </c>
      <c r="L34" s="75" t="s">
        <v>137</v>
      </c>
      <c r="M34" s="76">
        <v>44279</v>
      </c>
    </row>
    <row r="35" spans="3:13" ht="141.75" hidden="1" x14ac:dyDescent="0.45">
      <c r="C35" s="260" t="s">
        <v>345</v>
      </c>
      <c r="D35" s="260" t="s">
        <v>346</v>
      </c>
      <c r="E35" s="260" t="s">
        <v>347</v>
      </c>
      <c r="F35" s="107" t="s">
        <v>348</v>
      </c>
      <c r="G35" s="85" t="s">
        <v>349</v>
      </c>
      <c r="H35" s="72" t="s">
        <v>150</v>
      </c>
      <c r="I35" s="261" t="s">
        <v>350</v>
      </c>
      <c r="J35" s="261">
        <v>992</v>
      </c>
      <c r="K35" s="262">
        <v>44247</v>
      </c>
      <c r="L35" s="263" t="s">
        <v>351</v>
      </c>
      <c r="M35" s="264">
        <v>42579</v>
      </c>
    </row>
    <row r="36" spans="3:13" ht="141.75" hidden="1" x14ac:dyDescent="0.45">
      <c r="C36" s="70" t="s">
        <v>298</v>
      </c>
      <c r="D36" s="70" t="s">
        <v>80</v>
      </c>
      <c r="E36" s="70" t="s">
        <v>299</v>
      </c>
      <c r="F36" s="107" t="s">
        <v>300</v>
      </c>
      <c r="G36" s="70" t="s">
        <v>301</v>
      </c>
      <c r="H36" s="72" t="s">
        <v>150</v>
      </c>
      <c r="I36" s="73" t="s">
        <v>302</v>
      </c>
      <c r="J36" s="73">
        <v>357</v>
      </c>
      <c r="K36" s="74">
        <v>45028</v>
      </c>
      <c r="L36" s="108" t="s">
        <v>303</v>
      </c>
      <c r="M36" s="109">
        <v>44624</v>
      </c>
    </row>
    <row r="37" spans="3:13" hidden="1" x14ac:dyDescent="0.45"/>
    <row r="38" spans="3:13" ht="141.75" hidden="1" x14ac:dyDescent="0.45">
      <c r="C38" s="70" t="s">
        <v>370</v>
      </c>
      <c r="D38" s="70" t="s">
        <v>371</v>
      </c>
      <c r="E38" s="70" t="s">
        <v>372</v>
      </c>
      <c r="F38" s="71" t="s">
        <v>373</v>
      </c>
      <c r="G38" s="70" t="s">
        <v>374</v>
      </c>
      <c r="H38" s="72" t="s">
        <v>150</v>
      </c>
      <c r="I38" s="73" t="s">
        <v>375</v>
      </c>
      <c r="J38" s="73">
        <v>504</v>
      </c>
      <c r="K38" s="74">
        <v>46657</v>
      </c>
      <c r="L38" s="75" t="s">
        <v>376</v>
      </c>
      <c r="M38" s="262">
        <v>45504</v>
      </c>
    </row>
    <row r="39" spans="3:13" ht="15.75" hidden="1" x14ac:dyDescent="0.45">
      <c r="C39" s="70" t="s">
        <v>384</v>
      </c>
      <c r="D39" s="70" t="s">
        <v>385</v>
      </c>
      <c r="E39" s="70"/>
      <c r="F39" s="71"/>
      <c r="G39" s="70"/>
      <c r="H39" s="72"/>
      <c r="I39" s="73"/>
      <c r="J39" s="73"/>
      <c r="K39" s="74"/>
      <c r="L39" s="75"/>
      <c r="M39" s="262"/>
    </row>
    <row r="40" spans="3:13" ht="15.75" hidden="1" x14ac:dyDescent="0.45">
      <c r="C40" s="70" t="s">
        <v>387</v>
      </c>
      <c r="D40" s="70" t="s">
        <v>388</v>
      </c>
      <c r="E40" s="70"/>
      <c r="F40" s="71"/>
      <c r="G40" s="70"/>
      <c r="H40" s="72"/>
      <c r="I40" s="73"/>
      <c r="J40" s="73"/>
      <c r="K40" s="74"/>
      <c r="L40" s="75"/>
      <c r="M40" s="262"/>
    </row>
    <row r="41" spans="3:13" ht="31.5" hidden="1" x14ac:dyDescent="0.45">
      <c r="C41" s="70" t="s">
        <v>396</v>
      </c>
      <c r="D41" s="70" t="s">
        <v>405</v>
      </c>
      <c r="E41" s="70"/>
      <c r="F41" s="71"/>
      <c r="G41" s="70"/>
      <c r="H41" s="72"/>
      <c r="I41" s="73"/>
      <c r="J41" s="73"/>
      <c r="K41" s="74"/>
      <c r="L41" s="75"/>
      <c r="M41" s="262"/>
    </row>
    <row r="42" spans="3:13" ht="15.75" hidden="1" x14ac:dyDescent="0.45">
      <c r="C42" s="70" t="s">
        <v>406</v>
      </c>
      <c r="D42" s="70" t="s">
        <v>407</v>
      </c>
      <c r="E42" s="70"/>
      <c r="F42" s="71"/>
      <c r="G42" s="70"/>
      <c r="H42" s="72"/>
      <c r="I42" s="73"/>
      <c r="J42" s="73"/>
      <c r="K42" s="74"/>
      <c r="L42" s="75"/>
      <c r="M42" s="262"/>
    </row>
    <row r="43" spans="3:13" ht="31.5" hidden="1" x14ac:dyDescent="0.45">
      <c r="C43" s="70" t="s">
        <v>408</v>
      </c>
      <c r="D43" s="70" t="s">
        <v>409</v>
      </c>
      <c r="E43" s="70"/>
      <c r="F43" s="71"/>
      <c r="G43" s="70"/>
      <c r="H43" s="72"/>
      <c r="I43" s="73"/>
      <c r="J43" s="73"/>
      <c r="K43" s="74"/>
      <c r="L43" s="75"/>
      <c r="M43" s="262"/>
    </row>
    <row r="44" spans="3:13" ht="15.75" hidden="1" x14ac:dyDescent="0.45">
      <c r="C44" s="70" t="s">
        <v>410</v>
      </c>
      <c r="D44" s="70" t="s">
        <v>411</v>
      </c>
      <c r="E44" s="70"/>
      <c r="F44" s="71"/>
      <c r="G44" s="70"/>
      <c r="H44" s="72"/>
      <c r="I44" s="73"/>
      <c r="J44" s="73"/>
      <c r="K44" s="74"/>
      <c r="L44" s="75"/>
      <c r="M44" s="262"/>
    </row>
    <row r="45" spans="3:13" ht="141.75" hidden="1" x14ac:dyDescent="0.45">
      <c r="C45" s="70" t="s">
        <v>59</v>
      </c>
      <c r="D45" s="70" t="s">
        <v>60</v>
      </c>
      <c r="E45" s="70" t="s">
        <v>132</v>
      </c>
      <c r="F45" s="71" t="s">
        <v>133</v>
      </c>
      <c r="G45" s="70" t="s">
        <v>134</v>
      </c>
      <c r="H45" s="72" t="s">
        <v>135</v>
      </c>
      <c r="I45" s="73" t="s">
        <v>136</v>
      </c>
      <c r="J45" s="73">
        <v>505</v>
      </c>
      <c r="K45" s="74">
        <v>45305</v>
      </c>
      <c r="L45" s="75" t="s">
        <v>137</v>
      </c>
      <c r="M45" s="76">
        <v>44279</v>
      </c>
    </row>
    <row r="46" spans="3:13" ht="157.5" hidden="1" x14ac:dyDescent="0.45">
      <c r="C46" s="70" t="s">
        <v>73</v>
      </c>
      <c r="D46" s="70" t="s">
        <v>74</v>
      </c>
      <c r="E46" s="70" t="s">
        <v>274</v>
      </c>
      <c r="F46" s="84" t="s">
        <v>275</v>
      </c>
      <c r="G46" s="70" t="s">
        <v>276</v>
      </c>
      <c r="H46" s="72" t="s">
        <v>277</v>
      </c>
      <c r="I46" s="73" t="s">
        <v>278</v>
      </c>
      <c r="J46" s="73">
        <v>249</v>
      </c>
      <c r="K46" s="74">
        <v>43132</v>
      </c>
      <c r="L46" s="65" t="s">
        <v>279</v>
      </c>
      <c r="M46" s="79">
        <v>45083</v>
      </c>
    </row>
    <row r="47" spans="3:13" ht="63" hidden="1" x14ac:dyDescent="0.45">
      <c r="C47" s="70" t="s">
        <v>394</v>
      </c>
      <c r="D47" s="251" t="s">
        <v>395</v>
      </c>
      <c r="E47" s="70" t="s">
        <v>284</v>
      </c>
      <c r="F47" s="70"/>
      <c r="G47" s="70" t="s">
        <v>285</v>
      </c>
      <c r="H47" s="72" t="s">
        <v>257</v>
      </c>
      <c r="I47" s="73" t="s">
        <v>286</v>
      </c>
      <c r="J47" s="73">
        <v>1337</v>
      </c>
      <c r="K47" s="74">
        <v>45235</v>
      </c>
      <c r="L47" s="108" t="s">
        <v>287</v>
      </c>
      <c r="M47" s="109">
        <v>45219</v>
      </c>
    </row>
    <row r="48" spans="3:13" ht="47.25" hidden="1" x14ac:dyDescent="0.45">
      <c r="C48" s="70" t="s">
        <v>189</v>
      </c>
      <c r="D48" s="70" t="s">
        <v>190</v>
      </c>
      <c r="E48" s="70" t="s">
        <v>191</v>
      </c>
      <c r="F48" s="84" t="s">
        <v>170</v>
      </c>
      <c r="G48" s="110" t="s">
        <v>192</v>
      </c>
      <c r="H48" s="72" t="s">
        <v>193</v>
      </c>
      <c r="I48" s="73" t="s">
        <v>194</v>
      </c>
      <c r="J48" s="73">
        <v>759</v>
      </c>
      <c r="K48" s="74">
        <v>45639</v>
      </c>
      <c r="L48" s="75" t="s">
        <v>195</v>
      </c>
      <c r="M48" s="76">
        <v>44495</v>
      </c>
    </row>
    <row r="49" spans="3:13" ht="47.25" hidden="1" x14ac:dyDescent="0.45">
      <c r="C49" s="70" t="s">
        <v>200</v>
      </c>
      <c r="D49" s="70" t="s">
        <v>68</v>
      </c>
      <c r="E49" s="70" t="s">
        <v>201</v>
      </c>
      <c r="F49" s="71" t="s">
        <v>202</v>
      </c>
      <c r="G49" s="70" t="s">
        <v>203</v>
      </c>
      <c r="H49" s="72" t="s">
        <v>193</v>
      </c>
      <c r="I49" s="73" t="s">
        <v>204</v>
      </c>
      <c r="J49" s="73">
        <v>1414</v>
      </c>
      <c r="K49" s="74">
        <v>45181</v>
      </c>
      <c r="L49" s="75" t="s">
        <v>205</v>
      </c>
      <c r="M49" s="76">
        <v>44581</v>
      </c>
    </row>
    <row r="50" spans="3:13" ht="141.75" hidden="1" x14ac:dyDescent="0.45">
      <c r="C50" s="70" t="s">
        <v>69</v>
      </c>
      <c r="D50" s="70" t="s">
        <v>70</v>
      </c>
      <c r="E50" s="70" t="s">
        <v>220</v>
      </c>
      <c r="F50" s="84" t="s">
        <v>221</v>
      </c>
      <c r="G50" s="85" t="s">
        <v>222</v>
      </c>
      <c r="H50" s="72" t="s">
        <v>150</v>
      </c>
      <c r="I50" s="73" t="s">
        <v>223</v>
      </c>
      <c r="J50" s="73">
        <v>920</v>
      </c>
      <c r="K50" s="74">
        <v>44871</v>
      </c>
      <c r="L50" s="108" t="s">
        <v>224</v>
      </c>
      <c r="M50" s="76">
        <v>44419</v>
      </c>
    </row>
    <row r="51" spans="3:13" ht="47.25" hidden="1" x14ac:dyDescent="0.45">
      <c r="C51" s="70" t="s">
        <v>77</v>
      </c>
      <c r="D51" s="70" t="s">
        <v>78</v>
      </c>
      <c r="E51" s="70" t="s">
        <v>289</v>
      </c>
      <c r="F51" s="70" t="s">
        <v>290</v>
      </c>
      <c r="G51" s="70" t="s">
        <v>291</v>
      </c>
      <c r="H51" s="72" t="s">
        <v>193</v>
      </c>
      <c r="I51" s="73" t="s">
        <v>292</v>
      </c>
      <c r="J51" s="73">
        <v>1184</v>
      </c>
      <c r="K51" s="74">
        <v>45262</v>
      </c>
      <c r="L51" s="108" t="s">
        <v>293</v>
      </c>
      <c r="M51" s="109">
        <v>45406</v>
      </c>
    </row>
    <row r="52" spans="3:13" ht="141.75" hidden="1" x14ac:dyDescent="0.45">
      <c r="C52" s="260" t="s">
        <v>345</v>
      </c>
      <c r="D52" s="260" t="s">
        <v>346</v>
      </c>
      <c r="E52" s="260" t="s">
        <v>347</v>
      </c>
      <c r="F52" s="107" t="s">
        <v>348</v>
      </c>
      <c r="G52" s="85" t="s">
        <v>349</v>
      </c>
      <c r="H52" s="72" t="s">
        <v>150</v>
      </c>
      <c r="I52" s="261" t="s">
        <v>350</v>
      </c>
      <c r="J52" s="261">
        <v>992</v>
      </c>
      <c r="K52" s="262">
        <v>44247</v>
      </c>
      <c r="L52" s="263" t="s">
        <v>351</v>
      </c>
      <c r="M52" s="264">
        <v>42579</v>
      </c>
    </row>
    <row r="53" spans="3:13" ht="141.75" hidden="1" x14ac:dyDescent="0.45">
      <c r="C53" s="70" t="s">
        <v>298</v>
      </c>
      <c r="D53" s="70" t="s">
        <v>80</v>
      </c>
      <c r="E53" s="70" t="s">
        <v>299</v>
      </c>
      <c r="F53" s="107" t="s">
        <v>300</v>
      </c>
      <c r="G53" s="70" t="s">
        <v>301</v>
      </c>
      <c r="H53" s="72" t="s">
        <v>150</v>
      </c>
      <c r="I53" s="73" t="s">
        <v>302</v>
      </c>
      <c r="J53" s="73">
        <v>357</v>
      </c>
      <c r="K53" s="74">
        <v>45028</v>
      </c>
      <c r="L53" s="108" t="s">
        <v>303</v>
      </c>
      <c r="M53" s="109">
        <v>44624</v>
      </c>
    </row>
    <row r="54" spans="3:13" hidden="1" x14ac:dyDescent="0.45">
      <c r="C54" t="s">
        <v>59</v>
      </c>
      <c r="D54" t="s">
        <v>60</v>
      </c>
    </row>
    <row r="55" spans="3:13" hidden="1" x14ac:dyDescent="0.45">
      <c r="C55" t="s">
        <v>77</v>
      </c>
      <c r="D55" t="s">
        <v>78</v>
      </c>
    </row>
    <row r="56" spans="3:13" hidden="1" x14ac:dyDescent="0.45">
      <c r="C56" t="s">
        <v>79</v>
      </c>
      <c r="D56" t="s">
        <v>80</v>
      </c>
    </row>
    <row r="62" spans="3:13" x14ac:dyDescent="0.45">
      <c r="C62" t="s">
        <v>61</v>
      </c>
      <c r="D62" t="s">
        <v>62</v>
      </c>
    </row>
    <row r="63" spans="3:13" x14ac:dyDescent="0.45">
      <c r="C63" t="s">
        <v>64</v>
      </c>
      <c r="D63" t="s">
        <v>63</v>
      </c>
    </row>
    <row r="64" spans="3:13" x14ac:dyDescent="0.45">
      <c r="C64" t="s">
        <v>64</v>
      </c>
      <c r="D64" t="s">
        <v>65</v>
      </c>
    </row>
    <row r="65" spans="3:4" x14ac:dyDescent="0.45">
      <c r="C65" t="s">
        <v>67</v>
      </c>
      <c r="D65" t="s">
        <v>68</v>
      </c>
    </row>
    <row r="66" spans="3:4" x14ac:dyDescent="0.45">
      <c r="C66" t="s">
        <v>69</v>
      </c>
      <c r="D66" t="s">
        <v>70</v>
      </c>
    </row>
    <row r="67" spans="3:4" x14ac:dyDescent="0.45">
      <c r="C67" t="s">
        <v>72</v>
      </c>
      <c r="D67" t="s">
        <v>71</v>
      </c>
    </row>
    <row r="68" spans="3:4" x14ac:dyDescent="0.45">
      <c r="C68" t="s">
        <v>73</v>
      </c>
      <c r="D68" t="s">
        <v>74</v>
      </c>
    </row>
    <row r="69" spans="3:4" x14ac:dyDescent="0.45">
      <c r="C69" t="s">
        <v>75</v>
      </c>
      <c r="D69" t="s">
        <v>76</v>
      </c>
    </row>
  </sheetData>
  <phoneticPr fontId="5" type="noConversion"/>
  <hyperlinks>
    <hyperlink ref="F34" r:id="rId1" xr:uid="{45AF2924-A828-4547-8766-F73C7F343C38}"/>
    <hyperlink ref="F46" r:id="rId2" xr:uid="{62DA94CE-FC32-4B83-B77E-A093EE2C74FC}"/>
    <hyperlink ref="F49" r:id="rId3" xr:uid="{7B37F908-D962-431F-B045-D8BBEC927339}"/>
    <hyperlink ref="F50" r:id="rId4" xr:uid="{CF306413-E206-4FD7-8C68-827DC1EF1E20}"/>
    <hyperlink ref="F48" r:id="rId5" xr:uid="{11209322-CFDE-4B81-81AF-3F0D615B353A}"/>
    <hyperlink ref="F30" r:id="rId6" xr:uid="{A89E0F21-D403-4063-AEE4-1C199A3199B4}"/>
    <hyperlink ref="F7" r:id="rId7" xr:uid="{D1AEF5A3-717A-4F59-9D45-0F10711F54A5}"/>
    <hyperlink ref="F29" r:id="rId8" xr:uid="{5A27A8A5-3898-4BF6-9A85-90EC82FA34FE}"/>
    <hyperlink ref="F35" r:id="rId9" xr:uid="{F5EBF8D9-BE44-487B-9410-FCF320238EC9}"/>
    <hyperlink ref="F33" r:id="rId10" xr:uid="{BE58520A-2869-4F0A-931A-940B90F77123}"/>
    <hyperlink ref="F31" r:id="rId11" xr:uid="{9D1F26ED-6410-41CE-98D4-1051D79B798B}"/>
    <hyperlink ref="F45" r:id="rId12" xr:uid="{38075FD1-4527-453E-AA18-9DC64C15923C}"/>
    <hyperlink ref="F52" r:id="rId13" xr:uid="{1D3E39B2-5F4A-404F-B7EF-83A745976FC2}"/>
    <hyperlink ref="F17" r:id="rId14" xr:uid="{CDA21D0E-40AC-4C36-8A0F-9F59B1DF5EEE}"/>
    <hyperlink ref="F19" r:id="rId15" xr:uid="{86E6683D-F9BD-464A-AE7D-E0DE87B57535}"/>
    <hyperlink ref="F16" r:id="rId16" xr:uid="{F25DB1A5-40FD-422A-A62B-7FCABA540D31}"/>
    <hyperlink ref="F18" r:id="rId17" xr:uid="{BAA15FEB-AB03-42E2-A2D3-ECB75013C78C}"/>
    <hyperlink ref="F28" r:id="rId18" xr:uid="{0A5E998C-6E1D-4614-A769-ADAACB7C78AC}"/>
    <hyperlink ref="F13" r:id="rId19" xr:uid="{BCCA698D-6EBF-45F2-8038-3744DAB6867B}"/>
    <hyperlink ref="F5" r:id="rId20" xr:uid="{91D21AEC-4374-4597-B8E5-5598C26B87B4}"/>
    <hyperlink ref="F14" r:id="rId21" xr:uid="{40A29A3E-6812-4CCD-91C7-7631E563443A}"/>
    <hyperlink ref="F24" r:id="rId22" xr:uid="{D25CE85F-3365-4D8C-8129-23A86045D26F}"/>
    <hyperlink ref="F26" r:id="rId23" xr:uid="{23D4006A-33FC-4EB9-9DFA-E14644205660}"/>
    <hyperlink ref="F22" r:id="rId24" xr:uid="{F22A8DA8-6211-4E8F-A267-A964DDC252B4}"/>
  </hyperlinks>
  <pageMargins left="0.7" right="0.7" top="0.75" bottom="0.75" header="0.3" footer="0.3"/>
  <pageSetup paperSize="9" scale="66" orientation="portrait" r:id="rId2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AD97-4E2F-4149-89CB-3FE52EBB9FA2}">
  <sheetPr>
    <pageSetUpPr fitToPage="1"/>
  </sheetPr>
  <dimension ref="A3:N138"/>
  <sheetViews>
    <sheetView tabSelected="1" topLeftCell="A7" zoomScale="99" zoomScaleNormal="99" workbookViewId="0">
      <selection activeCell="A17" sqref="A17"/>
    </sheetView>
  </sheetViews>
  <sheetFormatPr baseColWidth="10" defaultRowHeight="14.25" x14ac:dyDescent="0.45"/>
  <cols>
    <col min="1" max="1" width="11.796875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412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414</v>
      </c>
      <c r="B7" s="3" t="s">
        <v>0</v>
      </c>
      <c r="C7" s="3" t="s">
        <v>25</v>
      </c>
      <c r="D7" s="3" t="s">
        <v>26</v>
      </c>
      <c r="E7" s="3" t="s">
        <v>398</v>
      </c>
      <c r="F7" s="3" t="s">
        <v>397</v>
      </c>
      <c r="G7" s="3" t="s">
        <v>399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24.75" customHeight="1" x14ac:dyDescent="0.45">
      <c r="A8" s="14" t="s">
        <v>8</v>
      </c>
      <c r="B8" s="329">
        <v>0.1875</v>
      </c>
      <c r="C8" s="319" t="s">
        <v>36</v>
      </c>
      <c r="D8" s="35" t="str">
        <f>VLOOKUP(C8,'Liste chauffeur'!$B$5:$L$20,2,TRUE)&amp;" "&amp;VLOOKUP(C8,'Liste chauffeur'!$B$5:$L$20,3,TRUE)</f>
        <v>BINA HALADI Bina</v>
      </c>
      <c r="E8" s="53">
        <v>1</v>
      </c>
      <c r="F8" s="35">
        <f>B11-B8</f>
        <v>1.3888888888888895E-2</v>
      </c>
      <c r="G8" s="35"/>
      <c r="H8" s="51"/>
      <c r="I8" s="51"/>
      <c r="J8" s="51"/>
      <c r="K8" s="51"/>
      <c r="L8" s="317"/>
      <c r="M8" s="318"/>
      <c r="N8" s="61"/>
    </row>
    <row r="9" spans="1:14" ht="24.75" customHeight="1" x14ac:dyDescent="0.45">
      <c r="A9" s="14" t="s">
        <v>8</v>
      </c>
      <c r="B9" s="329">
        <v>0.19444444444444445</v>
      </c>
      <c r="C9" s="319" t="s">
        <v>24</v>
      </c>
      <c r="D9" s="35" t="str">
        <f>VLOOKUP(C9,'Liste chauffeur'!$B$5:$L$20,2,TRUE)&amp;" "&amp;VLOOKUP(C9,'Liste chauffeur'!$B$5:$L$20,3,TRUE)</f>
        <v>EL ANZIZE SALIM Hamada</v>
      </c>
      <c r="E9" s="53">
        <v>1</v>
      </c>
      <c r="F9" s="35">
        <f>B13-B9</f>
        <v>1.3888888888888895E-2</v>
      </c>
      <c r="G9" s="35"/>
      <c r="H9" s="51"/>
      <c r="I9" s="51"/>
      <c r="J9" s="51"/>
      <c r="K9" s="51"/>
      <c r="L9" s="317"/>
      <c r="M9" s="318"/>
      <c r="N9" s="61"/>
    </row>
    <row r="10" spans="1:14" ht="24.75" customHeight="1" x14ac:dyDescent="0.45">
      <c r="A10" s="14" t="s">
        <v>8</v>
      </c>
      <c r="B10" s="329">
        <v>0.2013888888888889</v>
      </c>
      <c r="C10" s="319" t="s">
        <v>27</v>
      </c>
      <c r="D10" s="35" t="str">
        <f>VLOOKUP(C10,'Liste chauffeur'!$B$5:$L$20,2,TRUE)&amp;" "&amp;VLOOKUP(C10,'Liste chauffeur'!$B$5:$L$20,3,TRUE)</f>
        <v>ABDOU MINIHADJI Amada</v>
      </c>
      <c r="E10" s="53">
        <v>1</v>
      </c>
      <c r="F10" s="35">
        <f>B17-B10</f>
        <v>1.3888888888888895E-2</v>
      </c>
      <c r="G10" s="35"/>
      <c r="H10" s="51"/>
      <c r="I10" s="51"/>
      <c r="J10" s="51"/>
      <c r="K10" s="51"/>
      <c r="L10" s="317"/>
      <c r="M10" s="318"/>
      <c r="N10" s="61"/>
    </row>
    <row r="11" spans="1:14" ht="24.75" customHeight="1" x14ac:dyDescent="0.45">
      <c r="A11" s="14" t="s">
        <v>435</v>
      </c>
      <c r="B11" s="344">
        <v>0.2013888888888889</v>
      </c>
      <c r="C11" s="319" t="s">
        <v>36</v>
      </c>
      <c r="D11" s="35" t="str">
        <f>VLOOKUP(C11,'Liste chauffeur'!$B$5:$L$20,2,TRUE)&amp;" "&amp;VLOOKUP(C11,'Liste chauffeur'!$B$5:$L$20,3,TRUE)</f>
        <v>BINA HALADI Bina</v>
      </c>
      <c r="E11" s="53">
        <v>2</v>
      </c>
      <c r="F11" s="35">
        <f>B15-B11</f>
        <v>1.3888888888888895E-2</v>
      </c>
      <c r="G11" s="35"/>
      <c r="H11" s="51"/>
      <c r="I11" s="51"/>
      <c r="J11" s="51"/>
      <c r="K11" s="51"/>
      <c r="L11" s="317"/>
      <c r="M11" s="318"/>
      <c r="N11" s="61"/>
    </row>
    <row r="12" spans="1:14" ht="40.049999999999997" customHeight="1" x14ac:dyDescent="0.45">
      <c r="A12" s="14" t="s">
        <v>8</v>
      </c>
      <c r="B12" s="48">
        <v>0.20833333333333334</v>
      </c>
      <c r="C12" s="320" t="s">
        <v>48</v>
      </c>
      <c r="D12" s="35" t="str">
        <f>VLOOKUP(C12,'Liste chauffeur'!$B$5:$L$20,2,TRUE)&amp;" "&amp;VLOOKUP(C12,'Liste chauffeur'!$B$5:$L$20,3,TRUE)</f>
        <v>TOUMBOU  Toibourani</v>
      </c>
      <c r="E12" s="53">
        <v>1</v>
      </c>
      <c r="F12" s="35">
        <f>B20-B12</f>
        <v>1.3888888888888867E-2</v>
      </c>
      <c r="G12" s="35"/>
      <c r="H12" s="62"/>
      <c r="I12" s="35"/>
      <c r="J12" s="62"/>
      <c r="K12" s="35"/>
      <c r="L12" s="36"/>
      <c r="M12" s="40"/>
      <c r="N12" s="61"/>
    </row>
    <row r="13" spans="1:14" ht="40.049999999999997" customHeight="1" x14ac:dyDescent="0.45">
      <c r="A13" s="14" t="s">
        <v>435</v>
      </c>
      <c r="B13" s="322">
        <v>0.20833333333333334</v>
      </c>
      <c r="C13" s="319" t="s">
        <v>24</v>
      </c>
      <c r="D13" s="35" t="str">
        <f>VLOOKUP(C13,'Liste chauffeur'!$B$5:$L$20,2,TRUE)&amp;" "&amp;VLOOKUP(C13,'Liste chauffeur'!$B$5:$L$20,3,TRUE)</f>
        <v>EL ANZIZE SALIM Hamada</v>
      </c>
      <c r="E13" s="53">
        <v>2</v>
      </c>
      <c r="F13" s="35">
        <f>B18-B13</f>
        <v>1.3888888888888645E-2</v>
      </c>
      <c r="G13" s="35"/>
      <c r="H13" s="62"/>
      <c r="I13" s="35"/>
      <c r="J13" s="62"/>
      <c r="K13" s="35"/>
      <c r="L13" s="36"/>
      <c r="M13" s="40"/>
      <c r="N13" s="61"/>
    </row>
    <row r="14" spans="1:14" ht="40.049999999999997" customHeight="1" x14ac:dyDescent="0.45">
      <c r="A14" s="14" t="s">
        <v>400</v>
      </c>
      <c r="B14" s="48">
        <v>0.20833333333333334</v>
      </c>
      <c r="C14" s="320" t="s">
        <v>43</v>
      </c>
      <c r="D14" s="35" t="str">
        <f>VLOOKUP(C14,'Liste chauffeur'!$B$5:$L$20,2,TRUE)&amp;" "&amp;VLOOKUP(C14,'Liste chauffeur'!$B$5:$L$20,3,TRUE)</f>
        <v>MADI BOINA Mkidachi</v>
      </c>
      <c r="E14" s="53">
        <v>1</v>
      </c>
      <c r="F14" s="35">
        <f>B21-B14</f>
        <v>1.3888888888888867E-2</v>
      </c>
      <c r="G14" s="35"/>
      <c r="H14" s="62"/>
      <c r="I14" s="35"/>
      <c r="J14" s="62"/>
      <c r="K14" s="35"/>
      <c r="L14" s="36"/>
      <c r="M14" s="40"/>
      <c r="N14" s="61"/>
    </row>
    <row r="15" spans="1:14" ht="40.049999999999997" customHeight="1" x14ac:dyDescent="0.45">
      <c r="A15" s="14" t="s">
        <v>8</v>
      </c>
      <c r="B15" s="322">
        <v>0.21527777777777779</v>
      </c>
      <c r="C15" s="319" t="s">
        <v>36</v>
      </c>
      <c r="D15" s="35" t="str">
        <f>VLOOKUP(C15,'Liste chauffeur'!$B$5:$L$20,2,TRUE)&amp;" "&amp;VLOOKUP(C15,'Liste chauffeur'!$B$5:$L$20,3,TRUE)</f>
        <v>BINA HALADI Bina</v>
      </c>
      <c r="E15" s="53">
        <v>3</v>
      </c>
      <c r="F15" s="35">
        <f>B24-B15</f>
        <v>1.3888888888888867E-2</v>
      </c>
      <c r="G15" s="35"/>
      <c r="H15" s="62"/>
      <c r="I15" s="35"/>
      <c r="J15" s="62"/>
      <c r="K15" s="35"/>
      <c r="L15" s="36"/>
      <c r="M15" s="40"/>
      <c r="N15" s="61"/>
    </row>
    <row r="16" spans="1:14" ht="40.049999999999997" customHeight="1" x14ac:dyDescent="0.45">
      <c r="A16" s="14" t="s">
        <v>400</v>
      </c>
      <c r="B16" s="48">
        <v>0.21527777777777779</v>
      </c>
      <c r="C16" s="320" t="s">
        <v>37</v>
      </c>
      <c r="D16" s="35" t="str">
        <f>VLOOKUP(C16,'Liste chauffeur'!$B$5:$L$20,2,TRUE)&amp;" "&amp;VLOOKUP(C16,'Liste chauffeur'!$B$5:$L$20,3,TRUE)</f>
        <v>HADHURAMI Makinedine</v>
      </c>
      <c r="E16" s="53">
        <v>1</v>
      </c>
      <c r="F16" s="35">
        <f>B25-B16</f>
        <v>1.3888888888888867E-2</v>
      </c>
      <c r="G16" s="35"/>
      <c r="H16" s="62"/>
      <c r="I16" s="35"/>
      <c r="J16" s="62"/>
      <c r="K16" s="35"/>
      <c r="L16" s="36"/>
      <c r="M16" s="40"/>
      <c r="N16" s="61"/>
    </row>
    <row r="17" spans="1:14" ht="40.049999999999997" customHeight="1" x14ac:dyDescent="0.45">
      <c r="A17" s="14" t="s">
        <v>435</v>
      </c>
      <c r="B17" s="35">
        <v>0.21527777777777779</v>
      </c>
      <c r="C17" s="320" t="s">
        <v>27</v>
      </c>
      <c r="D17" s="35" t="str">
        <f>VLOOKUP(C17,'Liste chauffeur'!$B$5:$L$20,2,TRUE)&amp;" "&amp;VLOOKUP(C17,'Liste chauffeur'!$B$5:$L$20,3,TRUE)</f>
        <v>ABDOU MINIHADJI Amada</v>
      </c>
      <c r="E17" s="53">
        <v>2</v>
      </c>
      <c r="F17" s="35">
        <f>B22-B17</f>
        <v>1.3888888888888867E-2</v>
      </c>
      <c r="G17" s="35"/>
      <c r="H17" s="62"/>
      <c r="I17" s="35"/>
      <c r="J17" s="62"/>
      <c r="K17" s="35"/>
      <c r="L17" s="36"/>
      <c r="M17" s="40"/>
      <c r="N17" s="61"/>
    </row>
    <row r="18" spans="1:14" ht="40.049999999999997" customHeight="1" x14ac:dyDescent="0.45">
      <c r="A18" s="14" t="s">
        <v>8</v>
      </c>
      <c r="B18" s="322">
        <v>0.22222222222222199</v>
      </c>
      <c r="C18" s="319" t="s">
        <v>24</v>
      </c>
      <c r="D18" s="35" t="str">
        <f>VLOOKUP(C18,'Liste chauffeur'!$B$5:$L$20,2,TRUE)&amp;" "&amp;VLOOKUP(C18,'Liste chauffeur'!$B$5:$L$20,3,TRUE)</f>
        <v>EL ANZIZE SALIM Hamada</v>
      </c>
      <c r="E18" s="53">
        <v>3</v>
      </c>
      <c r="F18" s="35">
        <f>B28-B18</f>
        <v>1.3888888888889117E-2</v>
      </c>
      <c r="G18" s="35"/>
      <c r="H18" s="62"/>
      <c r="I18" s="35"/>
      <c r="J18" s="62"/>
      <c r="K18" s="35"/>
      <c r="L18" s="36"/>
      <c r="M18" s="40"/>
      <c r="N18" s="61"/>
    </row>
    <row r="19" spans="1:14" ht="40.049999999999997" customHeight="1" x14ac:dyDescent="0.45">
      <c r="A19" s="14" t="s">
        <v>400</v>
      </c>
      <c r="B19" s="48">
        <v>0.22222222222222221</v>
      </c>
      <c r="C19" s="320" t="s">
        <v>41</v>
      </c>
      <c r="D19" s="35" t="str">
        <f>VLOOKUP(C19,'Liste chauffeur'!$B$5:$L$20,2,TRUE)&amp;" "&amp;VLOOKUP(C19,'Liste chauffeur'!$B$5:$L$20,3,TRUE)</f>
        <v>SANDI Maanrouf</v>
      </c>
      <c r="E19" s="53">
        <v>1</v>
      </c>
      <c r="F19" s="35">
        <f>B29-B19</f>
        <v>1.3888888888888895E-2</v>
      </c>
      <c r="G19" s="35"/>
      <c r="H19" s="62"/>
      <c r="I19" s="35"/>
      <c r="J19" s="62"/>
      <c r="K19" s="35"/>
      <c r="L19" s="36"/>
      <c r="M19" s="40"/>
      <c r="N19" s="61"/>
    </row>
    <row r="20" spans="1:14" ht="40.049999999999997" customHeight="1" x14ac:dyDescent="0.45">
      <c r="A20" s="14" t="s">
        <v>435</v>
      </c>
      <c r="B20" s="35">
        <v>0.22222222222222221</v>
      </c>
      <c r="C20" s="320" t="s">
        <v>48</v>
      </c>
      <c r="D20" s="35" t="str">
        <f>VLOOKUP(C20,'Liste chauffeur'!$B$5:$L$20,2,TRUE)&amp;" "&amp;VLOOKUP(C20,'Liste chauffeur'!$B$5:$L$20,3,TRUE)</f>
        <v>TOUMBOU  Toibourani</v>
      </c>
      <c r="E20" s="53">
        <v>2</v>
      </c>
      <c r="F20" s="35">
        <f>B26-B20</f>
        <v>1.3888888888888895E-2</v>
      </c>
      <c r="G20" s="35"/>
      <c r="H20" s="62"/>
      <c r="I20" s="35"/>
      <c r="J20" s="62"/>
      <c r="K20" s="35"/>
      <c r="L20" s="36"/>
      <c r="M20" s="40"/>
      <c r="N20" s="61"/>
    </row>
    <row r="21" spans="1:14" ht="40.049999999999997" customHeight="1" x14ac:dyDescent="0.45">
      <c r="A21" s="14" t="s">
        <v>435</v>
      </c>
      <c r="B21" s="322">
        <v>0.22222222222222221</v>
      </c>
      <c r="C21" s="320" t="s">
        <v>43</v>
      </c>
      <c r="D21" s="35" t="str">
        <f>VLOOKUP(C21,'Liste chauffeur'!$B$5:$L$20,2,TRUE)&amp;" "&amp;VLOOKUP(C21,'Liste chauffeur'!$B$5:$L$20,3,TRUE)</f>
        <v>MADI BOINA Mkidachi</v>
      </c>
      <c r="E21" s="53">
        <v>2</v>
      </c>
      <c r="F21" s="35">
        <f>B27-B21</f>
        <v>1.3888888888888895E-2</v>
      </c>
      <c r="G21" s="35"/>
      <c r="H21" s="62"/>
      <c r="I21" s="35"/>
      <c r="J21" s="62"/>
      <c r="K21" s="35"/>
      <c r="L21" s="36"/>
      <c r="M21" s="40"/>
      <c r="N21" s="61"/>
    </row>
    <row r="22" spans="1:14" ht="40.049999999999997" customHeight="1" x14ac:dyDescent="0.45">
      <c r="A22" s="14" t="s">
        <v>8</v>
      </c>
      <c r="B22" s="322">
        <v>0.22916666666666666</v>
      </c>
      <c r="C22" s="320" t="s">
        <v>27</v>
      </c>
      <c r="D22" s="35" t="str">
        <f>VLOOKUP(C22,'Liste chauffeur'!$B$5:$L$20,2,TRUE)&amp;" "&amp;VLOOKUP(C22,'Liste chauffeur'!$B$5:$L$20,3,TRUE)</f>
        <v>ABDOU MINIHADJI Amada</v>
      </c>
      <c r="E22" s="53">
        <v>3</v>
      </c>
      <c r="F22" s="35">
        <f>B32-B22</f>
        <v>1.3888888888888895E-2</v>
      </c>
      <c r="G22" s="35"/>
      <c r="H22" s="62"/>
      <c r="I22" s="35"/>
      <c r="J22" s="62"/>
      <c r="K22" s="35"/>
      <c r="L22" s="36"/>
      <c r="M22" s="40"/>
      <c r="N22" s="61"/>
    </row>
    <row r="23" spans="1:14" ht="40.049999999999997" customHeight="1" x14ac:dyDescent="0.45">
      <c r="A23" s="14" t="s">
        <v>400</v>
      </c>
      <c r="B23" s="48">
        <v>0.22916666666666666</v>
      </c>
      <c r="C23" s="320" t="s">
        <v>42</v>
      </c>
      <c r="D23" s="35" t="str">
        <f>VLOOKUP(C23,'Liste chauffeur'!$B$5:$L$20,2,TRUE)&amp;" "&amp;VLOOKUP(C23,'Liste chauffeur'!$B$5:$L$20,3,TRUE)</f>
        <v>ISSIHAKA M'Changama</v>
      </c>
      <c r="E23" s="53">
        <v>1</v>
      </c>
      <c r="F23" s="35">
        <f>B33-B23</f>
        <v>1.3888888888888895E-2</v>
      </c>
      <c r="G23" s="35"/>
      <c r="H23" s="62"/>
      <c r="I23" s="35"/>
      <c r="J23" s="62"/>
      <c r="K23" s="35"/>
      <c r="L23" s="36"/>
      <c r="M23" s="40"/>
      <c r="N23" s="61"/>
    </row>
    <row r="24" spans="1:14" ht="40.049999999999997" customHeight="1" x14ac:dyDescent="0.45">
      <c r="A24" s="14" t="s">
        <v>435</v>
      </c>
      <c r="B24" s="322">
        <v>0.22916666666666666</v>
      </c>
      <c r="C24" s="319" t="s">
        <v>36</v>
      </c>
      <c r="D24" s="35" t="str">
        <f>VLOOKUP(C24,'Liste chauffeur'!$B$5:$L$20,2,TRUE)&amp;" "&amp;VLOOKUP(C24,'Liste chauffeur'!$B$5:$L$20,3,TRUE)</f>
        <v>BINA HALADI Bina</v>
      </c>
      <c r="E24" s="53">
        <v>4</v>
      </c>
      <c r="F24" s="35">
        <f>B30-B24</f>
        <v>1.3888888888888895E-2</v>
      </c>
      <c r="G24" s="35"/>
      <c r="H24" s="62"/>
      <c r="I24" s="35"/>
      <c r="J24" s="62"/>
      <c r="K24" s="35"/>
      <c r="L24" s="36"/>
      <c r="M24" s="40"/>
      <c r="N24" s="61"/>
    </row>
    <row r="25" spans="1:14" ht="40.049999999999997" customHeight="1" x14ac:dyDescent="0.45">
      <c r="A25" s="14" t="s">
        <v>435</v>
      </c>
      <c r="B25" s="322">
        <v>0.22916666666666666</v>
      </c>
      <c r="C25" s="320" t="s">
        <v>37</v>
      </c>
      <c r="D25" s="35" t="str">
        <f>VLOOKUP(C25,'Liste chauffeur'!$B$5:$L$20,2,TRUE)&amp;" "&amp;VLOOKUP(C25,'Liste chauffeur'!$B$5:$L$20,3,TRUE)</f>
        <v>HADHURAMI Makinedine</v>
      </c>
      <c r="E25" s="53">
        <v>2</v>
      </c>
      <c r="F25" s="35">
        <f>B31-B25</f>
        <v>1.3888888888888895E-2</v>
      </c>
      <c r="G25" s="35"/>
      <c r="H25" s="62"/>
      <c r="I25" s="35"/>
      <c r="J25" s="62"/>
      <c r="K25" s="35"/>
      <c r="L25" s="36"/>
      <c r="M25" s="40"/>
      <c r="N25" s="61"/>
    </row>
    <row r="26" spans="1:14" ht="40.049999999999997" customHeight="1" x14ac:dyDescent="0.45">
      <c r="A26" s="14" t="s">
        <v>8</v>
      </c>
      <c r="B26" s="322">
        <v>0.2361111111111111</v>
      </c>
      <c r="C26" s="320" t="s">
        <v>48</v>
      </c>
      <c r="D26" s="35" t="str">
        <f>VLOOKUP(C26,'Liste chauffeur'!$B$5:$L$20,2,TRUE)&amp;" "&amp;VLOOKUP(C26,'Liste chauffeur'!$B$5:$L$20,3,TRUE)</f>
        <v>TOUMBOU  Toibourani</v>
      </c>
      <c r="E26" s="53">
        <v>3</v>
      </c>
      <c r="F26" s="322">
        <f>B40-B26</f>
        <v>2.0833333333333315E-2</v>
      </c>
      <c r="G26" s="35"/>
      <c r="H26" s="62"/>
      <c r="I26" s="35"/>
      <c r="J26" s="62"/>
      <c r="K26" s="35"/>
      <c r="L26" s="36"/>
      <c r="M26" s="40"/>
      <c r="N26" s="61"/>
    </row>
    <row r="27" spans="1:14" ht="40.049999999999997" customHeight="1" x14ac:dyDescent="0.45">
      <c r="A27" s="14" t="s">
        <v>400</v>
      </c>
      <c r="B27" s="35">
        <v>0.2361111111111111</v>
      </c>
      <c r="C27" s="320" t="s">
        <v>43</v>
      </c>
      <c r="D27" s="35" t="str">
        <f>VLOOKUP(C27,'Liste chauffeur'!$B$5:$L$20,2,TRUE)&amp;" "&amp;VLOOKUP(C27,'Liste chauffeur'!$B$5:$L$20,3,TRUE)</f>
        <v>MADI BOINA Mkidachi</v>
      </c>
      <c r="E27" s="53">
        <v>3</v>
      </c>
      <c r="F27" s="322">
        <f>B41-B27</f>
        <v>2.0833333333333315E-2</v>
      </c>
      <c r="G27" s="322"/>
      <c r="H27" s="62"/>
      <c r="I27" s="35"/>
      <c r="J27" s="62"/>
      <c r="K27" s="35"/>
      <c r="L27" s="36"/>
      <c r="M27" s="40"/>
      <c r="N27" s="61"/>
    </row>
    <row r="28" spans="1:14" ht="40.049999999999997" customHeight="1" x14ac:dyDescent="0.45">
      <c r="A28" s="14" t="s">
        <v>435</v>
      </c>
      <c r="B28" s="322">
        <v>0.2361111111111111</v>
      </c>
      <c r="C28" s="319" t="s">
        <v>24</v>
      </c>
      <c r="D28" s="35" t="str">
        <f>VLOOKUP(C28,'Liste chauffeur'!$B$5:$L$20,2,TRUE)&amp;" "&amp;VLOOKUP(C28,'Liste chauffeur'!$B$5:$L$20,3,TRUE)</f>
        <v>EL ANZIZE SALIM Hamada</v>
      </c>
      <c r="E28" s="53">
        <v>4</v>
      </c>
      <c r="F28" s="35">
        <f>B34-B28</f>
        <v>1.3888888888888895E-2</v>
      </c>
      <c r="G28" s="35"/>
      <c r="H28" s="62"/>
      <c r="I28" s="35"/>
      <c r="J28" s="62"/>
      <c r="K28" s="35"/>
      <c r="L28" s="36"/>
      <c r="M28" s="40"/>
      <c r="N28" s="61"/>
    </row>
    <row r="29" spans="1:14" ht="40.049999999999997" customHeight="1" x14ac:dyDescent="0.45">
      <c r="A29" s="14" t="s">
        <v>435</v>
      </c>
      <c r="B29" s="35">
        <v>0.2361111111111111</v>
      </c>
      <c r="C29" s="320" t="s">
        <v>41</v>
      </c>
      <c r="D29" s="35" t="str">
        <f>VLOOKUP(C29,'Liste chauffeur'!$B$5:$L$20,2,TRUE)&amp;" "&amp;VLOOKUP(C29,'Liste chauffeur'!$B$5:$L$20,3,TRUE)</f>
        <v>SANDI Maanrouf</v>
      </c>
      <c r="E29" s="53">
        <v>2</v>
      </c>
      <c r="F29" s="35">
        <f>B35-B29</f>
        <v>1.3888888888888895E-2</v>
      </c>
      <c r="G29" s="35"/>
      <c r="H29" s="62"/>
      <c r="I29" s="35"/>
      <c r="J29" s="62"/>
      <c r="K29" s="35"/>
      <c r="L29" s="36"/>
      <c r="M29" s="40"/>
      <c r="N29" s="61"/>
    </row>
    <row r="30" spans="1:14" ht="40.049999999999997" customHeight="1" x14ac:dyDescent="0.45">
      <c r="A30" s="14" t="s">
        <v>8</v>
      </c>
      <c r="B30" s="322">
        <v>0.24305555555555555</v>
      </c>
      <c r="C30" s="319" t="s">
        <v>36</v>
      </c>
      <c r="D30" s="35" t="str">
        <f>VLOOKUP(C30,'Liste chauffeur'!$B$5:$L$20,2,TRUE)&amp;" "&amp;VLOOKUP(C30,'Liste chauffeur'!$B$5:$L$20,3,TRUE)</f>
        <v>BINA HALADI Bina</v>
      </c>
      <c r="E30" s="53">
        <v>5</v>
      </c>
      <c r="F30" s="35">
        <f>B44-B30</f>
        <v>2.0833333333333343E-2</v>
      </c>
      <c r="G30" s="35"/>
      <c r="H30" s="62"/>
      <c r="I30" s="35"/>
      <c r="J30" s="62"/>
      <c r="K30" s="35"/>
      <c r="L30" s="36"/>
      <c r="M30" s="40"/>
      <c r="N30" s="61"/>
    </row>
    <row r="31" spans="1:14" ht="40.049999999999997" customHeight="1" x14ac:dyDescent="0.45">
      <c r="A31" s="14" t="s">
        <v>400</v>
      </c>
      <c r="B31" s="322">
        <v>0.24305555555555555</v>
      </c>
      <c r="C31" s="320" t="s">
        <v>37</v>
      </c>
      <c r="D31" s="35" t="str">
        <f>VLOOKUP(C31,'Liste chauffeur'!$B$5:$L$20,2,TRUE)&amp;" "&amp;VLOOKUP(C31,'Liste chauffeur'!$B$5:$L$20,3,TRUE)</f>
        <v>HADHURAMI Makinedine</v>
      </c>
      <c r="E31" s="53">
        <v>3</v>
      </c>
      <c r="F31" s="35">
        <f>B45-B31</f>
        <v>2.0833333333333343E-2</v>
      </c>
      <c r="G31" s="35"/>
      <c r="H31" s="62"/>
      <c r="I31" s="35"/>
      <c r="J31" s="62"/>
      <c r="K31" s="35"/>
      <c r="L31" s="36"/>
      <c r="M31" s="40"/>
      <c r="N31" s="61"/>
    </row>
    <row r="32" spans="1:14" ht="40.049999999999997" customHeight="1" x14ac:dyDescent="0.45">
      <c r="A32" s="14" t="s">
        <v>435</v>
      </c>
      <c r="B32" s="322">
        <v>0.24305555555555555</v>
      </c>
      <c r="C32" s="320" t="s">
        <v>27</v>
      </c>
      <c r="D32" s="35" t="str">
        <f>VLOOKUP(C32,'Liste chauffeur'!$B$5:$L$20,2,TRUE)&amp;" "&amp;VLOOKUP(C32,'Liste chauffeur'!$B$5:$L$20,3,TRUE)</f>
        <v>ABDOU MINIHADJI Amada</v>
      </c>
      <c r="E32" s="53">
        <v>4</v>
      </c>
      <c r="F32" s="35">
        <f>B38-B32</f>
        <v>1.3888888888888867E-2</v>
      </c>
      <c r="G32" s="35"/>
      <c r="H32" s="62"/>
      <c r="I32" s="35"/>
      <c r="J32" s="62"/>
      <c r="K32" s="35"/>
      <c r="L32" s="36"/>
      <c r="M32" s="40"/>
      <c r="N32" s="61"/>
    </row>
    <row r="33" spans="1:14" ht="40.049999999999997" customHeight="1" x14ac:dyDescent="0.45">
      <c r="A33" s="14" t="s">
        <v>435</v>
      </c>
      <c r="B33" s="35">
        <v>0.24305555555555555</v>
      </c>
      <c r="C33" s="320" t="s">
        <v>42</v>
      </c>
      <c r="D33" s="35" t="str">
        <f>VLOOKUP(C33,'Liste chauffeur'!$B$5:$L$20,2,TRUE)&amp;" "&amp;VLOOKUP(C33,'Liste chauffeur'!$B$5:$L$20,3,TRUE)</f>
        <v>ISSIHAKA M'Changama</v>
      </c>
      <c r="E33" s="53">
        <v>2</v>
      </c>
      <c r="F33" s="35">
        <f>B39-B33</f>
        <v>1.3888888888888867E-2</v>
      </c>
      <c r="G33" s="35"/>
      <c r="H33" s="62"/>
      <c r="I33" s="35"/>
      <c r="J33" s="62"/>
      <c r="K33" s="35"/>
      <c r="L33" s="36"/>
      <c r="M33" s="40"/>
      <c r="N33" s="61"/>
    </row>
    <row r="34" spans="1:14" ht="40.049999999999997" customHeight="1" x14ac:dyDescent="0.45">
      <c r="A34" s="14" t="s">
        <v>8</v>
      </c>
      <c r="B34" s="322">
        <v>0.25</v>
      </c>
      <c r="C34" s="319" t="s">
        <v>24</v>
      </c>
      <c r="D34" s="35" t="str">
        <f>VLOOKUP(C34,'Liste chauffeur'!$B$5:$L$20,2,TRUE)&amp;" "&amp;VLOOKUP(C34,'Liste chauffeur'!$B$5:$L$20,3,TRUE)</f>
        <v>EL ANZIZE SALIM Hamada</v>
      </c>
      <c r="E34" s="53">
        <v>5</v>
      </c>
      <c r="F34" s="35">
        <f>B52-B34</f>
        <v>2.777777777777779E-2</v>
      </c>
      <c r="G34" s="35"/>
      <c r="H34" s="62"/>
      <c r="I34" s="35"/>
      <c r="J34" s="62"/>
      <c r="K34" s="35"/>
      <c r="L34" s="36"/>
      <c r="M34" s="40"/>
      <c r="N34" s="61"/>
    </row>
    <row r="35" spans="1:14" ht="40.049999999999997" customHeight="1" x14ac:dyDescent="0.45">
      <c r="A35" s="14" t="s">
        <v>400</v>
      </c>
      <c r="B35" s="35">
        <v>0.25</v>
      </c>
      <c r="C35" s="320" t="s">
        <v>41</v>
      </c>
      <c r="D35" s="35" t="str">
        <f>VLOOKUP(C35,'Liste chauffeur'!$B$5:$L$20,2,TRUE)&amp;" "&amp;VLOOKUP(C35,'Liste chauffeur'!$B$5:$L$20,3,TRUE)</f>
        <v>SANDI Maanrouf</v>
      </c>
      <c r="E35" s="53">
        <v>3</v>
      </c>
      <c r="F35" s="35">
        <f>B49-B35</f>
        <v>2.0833333333333315E-2</v>
      </c>
      <c r="G35" s="35"/>
      <c r="H35" s="62"/>
      <c r="I35" s="35"/>
      <c r="J35" s="62"/>
      <c r="K35" s="35"/>
      <c r="L35" s="36"/>
      <c r="M35" s="40"/>
      <c r="N35" s="61"/>
    </row>
    <row r="36" spans="1:14" ht="40.049999999999997" customHeight="1" x14ac:dyDescent="0.45">
      <c r="A36" s="14" t="s">
        <v>435</v>
      </c>
      <c r="B36" s="48">
        <v>0.25</v>
      </c>
      <c r="C36" s="320" t="s">
        <v>49</v>
      </c>
      <c r="D36" s="35" t="str">
        <f>VLOOKUP(C36,'Liste chauffeur'!$B$5:$L$20,2,TRUE)&amp;" "&amp;VLOOKUP(C36,'Liste chauffeur'!$B$5:$L$20,3,TRUE)</f>
        <v>AHAMADI Bacar Raenmouddine</v>
      </c>
      <c r="E36" s="53">
        <v>1</v>
      </c>
      <c r="F36" s="35">
        <f>B42-B36</f>
        <v>1.3888888888888895E-2</v>
      </c>
      <c r="G36" s="35"/>
      <c r="H36" s="62"/>
      <c r="I36" s="35"/>
      <c r="J36" s="62"/>
      <c r="K36" s="35"/>
      <c r="L36" s="36"/>
      <c r="M36" s="40"/>
      <c r="N36" s="61"/>
    </row>
    <row r="37" spans="1:14" ht="40.049999999999997" customHeight="1" x14ac:dyDescent="0.45">
      <c r="A37" s="14" t="s">
        <v>435</v>
      </c>
      <c r="B37" s="48">
        <v>0.25</v>
      </c>
      <c r="C37" s="320" t="s">
        <v>44</v>
      </c>
      <c r="D37" s="35" t="str">
        <f>VLOOKUP(C37,'Liste chauffeur'!$B$5:$L$20,2,TRUE)&amp;" "&amp;VLOOKUP(C37,'Liste chauffeur'!$B$5:$L$20,3,TRUE)</f>
        <v>ALILOIFFA Said Siradj</v>
      </c>
      <c r="E37" s="53">
        <v>1</v>
      </c>
      <c r="F37" s="35">
        <f>B43-B37</f>
        <v>1.3888888888888895E-2</v>
      </c>
      <c r="G37" s="35"/>
      <c r="H37" s="62"/>
      <c r="I37" s="35"/>
      <c r="J37" s="62"/>
      <c r="K37" s="35"/>
      <c r="L37" s="36"/>
      <c r="M37" s="40"/>
      <c r="N37" s="61"/>
    </row>
    <row r="38" spans="1:14" ht="40.049999999999997" customHeight="1" x14ac:dyDescent="0.45">
      <c r="A38" s="14" t="s">
        <v>8</v>
      </c>
      <c r="B38" s="322">
        <v>0.25694444444444442</v>
      </c>
      <c r="C38" s="320" t="s">
        <v>27</v>
      </c>
      <c r="D38" s="35" t="str">
        <f>VLOOKUP(C38,'Liste chauffeur'!$B$5:$L$20,2,TRUE)&amp;" "&amp;VLOOKUP(C38,'Liste chauffeur'!$B$5:$L$20,3,TRUE)</f>
        <v>ABDOU MINIHADJI Amada</v>
      </c>
      <c r="E38" s="53">
        <v>5</v>
      </c>
      <c r="F38" s="35">
        <f>B53-B38</f>
        <v>2.083333333333337E-2</v>
      </c>
      <c r="G38" s="35"/>
      <c r="H38" s="62"/>
      <c r="I38" s="35"/>
      <c r="J38" s="62"/>
      <c r="K38" s="35"/>
      <c r="L38" s="36"/>
      <c r="M38" s="40"/>
      <c r="N38" s="61"/>
    </row>
    <row r="39" spans="1:14" ht="40.049999999999997" customHeight="1" x14ac:dyDescent="0.45">
      <c r="A39" s="14" t="s">
        <v>400</v>
      </c>
      <c r="B39" s="322">
        <v>0.25694444444444442</v>
      </c>
      <c r="C39" s="320" t="s">
        <v>42</v>
      </c>
      <c r="D39" s="35" t="str">
        <f>VLOOKUP(C39,'Liste chauffeur'!$B$5:$L$20,2,TRUE)&amp;" "&amp;VLOOKUP(C39,'Liste chauffeur'!$B$5:$L$20,3,TRUE)</f>
        <v>ISSIHAKA M'Changama</v>
      </c>
      <c r="E39" s="53">
        <v>3</v>
      </c>
      <c r="F39" s="35">
        <f>B56-B39</f>
        <v>2.777777777777779E-2</v>
      </c>
      <c r="G39" s="35"/>
      <c r="H39" s="62"/>
      <c r="I39" s="35"/>
      <c r="J39" s="62"/>
      <c r="K39" s="35"/>
      <c r="L39" s="36"/>
      <c r="M39" s="40"/>
      <c r="N39" s="61"/>
    </row>
    <row r="40" spans="1:14" ht="40.049999999999997" customHeight="1" x14ac:dyDescent="0.45">
      <c r="A40" s="14" t="s">
        <v>435</v>
      </c>
      <c r="B40" s="35">
        <v>0.25694444444444442</v>
      </c>
      <c r="C40" s="320" t="s">
        <v>48</v>
      </c>
      <c r="D40" s="35" t="str">
        <f>VLOOKUP(C40,'Liste chauffeur'!$B$5:$L$20,2,TRUE)&amp;" "&amp;VLOOKUP(C40,'Liste chauffeur'!$B$5:$L$20,3,TRUE)</f>
        <v>TOUMBOU  Toibourani</v>
      </c>
      <c r="E40" s="53">
        <v>4</v>
      </c>
      <c r="F40" s="322">
        <f>B46-B40</f>
        <v>1.3888888888888895E-2</v>
      </c>
      <c r="G40" s="35"/>
      <c r="H40" s="62"/>
      <c r="I40" s="35"/>
      <c r="J40" s="35"/>
      <c r="K40" s="35"/>
      <c r="L40" s="36"/>
      <c r="M40" s="40"/>
      <c r="N40" s="61"/>
    </row>
    <row r="41" spans="1:14" ht="40.049999999999997" customHeight="1" x14ac:dyDescent="0.45">
      <c r="A41" s="14" t="s">
        <v>435</v>
      </c>
      <c r="B41" s="35">
        <v>0.25694444444444442</v>
      </c>
      <c r="C41" s="320" t="s">
        <v>43</v>
      </c>
      <c r="D41" s="35" t="str">
        <f>VLOOKUP(C41,'Liste chauffeur'!$B$5:$L$20,2,TRUE)&amp;" "&amp;VLOOKUP(C41,'Liste chauffeur'!$B$5:$L$20,3,TRUE)</f>
        <v>MADI BOINA Mkidachi</v>
      </c>
      <c r="E41" s="53">
        <v>4</v>
      </c>
      <c r="F41" s="35">
        <f>B47-B41</f>
        <v>1.3888888888888895E-2</v>
      </c>
      <c r="G41" s="35"/>
      <c r="H41" s="62"/>
      <c r="I41" s="35"/>
      <c r="J41" s="35"/>
      <c r="K41" s="35"/>
      <c r="L41" s="36"/>
      <c r="M41" s="40"/>
      <c r="N41" s="61"/>
    </row>
    <row r="42" spans="1:14" ht="40.049999999999997" customHeight="1" x14ac:dyDescent="0.45">
      <c r="A42" s="14" t="s">
        <v>8</v>
      </c>
      <c r="B42" s="322">
        <v>0.2638888888888889</v>
      </c>
      <c r="C42" s="320" t="s">
        <v>49</v>
      </c>
      <c r="D42" s="35" t="str">
        <f>VLOOKUP(C42,'Liste chauffeur'!$B$5:$L$20,2,TRUE)&amp;" "&amp;VLOOKUP(C42,'Liste chauffeur'!$B$5:$L$20,3,TRUE)</f>
        <v>AHAMADI Bacar Raenmouddine</v>
      </c>
      <c r="E42" s="53">
        <v>2</v>
      </c>
      <c r="F42" s="35">
        <f>B57-B42</f>
        <v>2.0833333333333315E-2</v>
      </c>
      <c r="G42" s="35"/>
      <c r="H42" s="62"/>
      <c r="I42" s="35"/>
      <c r="J42" s="35"/>
      <c r="K42" s="35"/>
      <c r="L42" s="36"/>
      <c r="M42" s="40"/>
      <c r="N42" s="61"/>
    </row>
    <row r="43" spans="1:14" ht="40.049999999999997" customHeight="1" x14ac:dyDescent="0.45">
      <c r="A43" s="14" t="s">
        <v>400</v>
      </c>
      <c r="B43" s="321">
        <v>0.2638888888888889</v>
      </c>
      <c r="C43" s="320" t="s">
        <v>44</v>
      </c>
      <c r="D43" s="35" t="str">
        <f>VLOOKUP(C43,'Liste chauffeur'!$B$5:$L$20,2,TRUE)&amp;" "&amp;VLOOKUP(C43,'Liste chauffeur'!$B$5:$L$20,3,TRUE)</f>
        <v>ALILOIFFA Said Siradj</v>
      </c>
      <c r="E43" s="53">
        <v>2</v>
      </c>
      <c r="F43" s="322"/>
      <c r="G43" s="35"/>
      <c r="H43" s="62"/>
      <c r="I43" s="35"/>
      <c r="J43" s="35"/>
      <c r="K43" s="35"/>
      <c r="L43" s="36"/>
      <c r="M43" s="40"/>
      <c r="N43" s="61"/>
    </row>
    <row r="44" spans="1:14" ht="40.049999999999997" customHeight="1" x14ac:dyDescent="0.45">
      <c r="A44" s="14" t="s">
        <v>435</v>
      </c>
      <c r="B44" s="322">
        <v>0.2638888888888889</v>
      </c>
      <c r="C44" s="319" t="s">
        <v>36</v>
      </c>
      <c r="D44" s="35" t="str">
        <f>VLOOKUP(C44,'Liste chauffeur'!$B$5:$L$20,2,TRUE)&amp;" "&amp;VLOOKUP(C44,'Liste chauffeur'!$B$5:$L$20,3,TRUE)</f>
        <v>BINA HALADI Bina</v>
      </c>
      <c r="E44" s="53">
        <v>6</v>
      </c>
      <c r="F44" s="35">
        <f>B50-B44</f>
        <v>1.3888888888888895E-2</v>
      </c>
      <c r="G44" s="35"/>
      <c r="H44" s="62"/>
      <c r="I44" s="35"/>
      <c r="J44" s="35"/>
      <c r="K44" s="35"/>
      <c r="L44" s="36"/>
      <c r="M44" s="40"/>
      <c r="N44" s="61"/>
    </row>
    <row r="45" spans="1:14" ht="40.049999999999997" customHeight="1" x14ac:dyDescent="0.45">
      <c r="A45" s="14" t="s">
        <v>435</v>
      </c>
      <c r="B45" s="322">
        <v>0.2638888888888889</v>
      </c>
      <c r="C45" s="320" t="s">
        <v>37</v>
      </c>
      <c r="D45" s="35" t="str">
        <f>VLOOKUP(C45,'Liste chauffeur'!$B$5:$L$20,2,TRUE)&amp;" "&amp;VLOOKUP(C45,'Liste chauffeur'!$B$5:$L$20,3,TRUE)</f>
        <v>HADHURAMI Makinedine</v>
      </c>
      <c r="E45" s="53">
        <v>4</v>
      </c>
      <c r="F45" s="35">
        <f>B51-B45</f>
        <v>1.3888888888888895E-2</v>
      </c>
      <c r="G45" s="35"/>
      <c r="H45" s="62"/>
      <c r="I45" s="35"/>
      <c r="J45" s="35"/>
      <c r="K45" s="35"/>
      <c r="L45" s="36"/>
      <c r="M45" s="40"/>
      <c r="N45" s="61"/>
    </row>
    <row r="46" spans="1:14" ht="40.049999999999997" customHeight="1" x14ac:dyDescent="0.45">
      <c r="A46" s="14" t="s">
        <v>8</v>
      </c>
      <c r="B46" s="322">
        <v>0.27083333333333331</v>
      </c>
      <c r="C46" s="320" t="s">
        <v>48</v>
      </c>
      <c r="D46" s="35" t="str">
        <f>VLOOKUP(C46,'Liste chauffeur'!$B$5:$L$20,2,TRUE)&amp;" "&amp;VLOOKUP(C46,'Liste chauffeur'!$B$5:$L$20,3,TRUE)</f>
        <v>TOUMBOU  Toibourani</v>
      </c>
      <c r="E46" s="53">
        <v>5</v>
      </c>
      <c r="F46" s="35">
        <f>B60-B46</f>
        <v>2.083333333333337E-2</v>
      </c>
      <c r="G46" s="35"/>
      <c r="H46" s="62"/>
      <c r="I46" s="35"/>
      <c r="J46" s="35"/>
      <c r="K46" s="35"/>
      <c r="L46" s="36"/>
      <c r="M46" s="40"/>
      <c r="N46" s="61"/>
    </row>
    <row r="47" spans="1:14" ht="40.049999999999997" customHeight="1" x14ac:dyDescent="0.45">
      <c r="A47" s="14" t="s">
        <v>400</v>
      </c>
      <c r="B47" s="322">
        <v>0.27083333333333331</v>
      </c>
      <c r="C47" s="328" t="s">
        <v>43</v>
      </c>
      <c r="D47" s="35" t="str">
        <f>VLOOKUP(C47,'Liste chauffeur'!$B$5:$L$20,2,TRUE)&amp;" "&amp;VLOOKUP(C47,'Liste chauffeur'!$B$5:$L$20,3,TRUE)</f>
        <v>MADI BOINA Mkidachi</v>
      </c>
      <c r="E47" s="53">
        <v>5</v>
      </c>
      <c r="F47" s="35">
        <f>B61-B47</f>
        <v>2.083333333333337E-2</v>
      </c>
      <c r="G47" s="35"/>
      <c r="H47" s="62"/>
      <c r="I47" s="35"/>
      <c r="J47" s="35"/>
      <c r="K47" s="35"/>
      <c r="L47" s="36"/>
      <c r="M47" s="40"/>
      <c r="N47" s="61"/>
    </row>
    <row r="48" spans="1:14" ht="40.049999999999997" customHeight="1" x14ac:dyDescent="0.45">
      <c r="A48" s="14" t="s">
        <v>435</v>
      </c>
      <c r="B48" s="48">
        <v>0.27083333333333331</v>
      </c>
      <c r="C48" s="320" t="s">
        <v>31</v>
      </c>
      <c r="D48" s="35" t="str">
        <f>VLOOKUP(C48,'Liste chauffeur'!$B$5:$L$20,2,TRUE)&amp;" "&amp;VLOOKUP(C48,'Liste chauffeur'!$B$5:$L$20,3,TRUE)</f>
        <v>HAMADA Babou</v>
      </c>
      <c r="E48" s="53">
        <v>1</v>
      </c>
      <c r="F48" s="35">
        <f>B54-B48</f>
        <v>1.3888888888888895E-2</v>
      </c>
      <c r="G48" s="35"/>
      <c r="H48" s="62"/>
      <c r="I48" s="35"/>
      <c r="J48" s="35"/>
      <c r="K48" s="35"/>
      <c r="L48" s="36"/>
      <c r="M48" s="40"/>
      <c r="N48" s="61"/>
    </row>
    <row r="49" spans="1:14" ht="40.049999999999997" customHeight="1" x14ac:dyDescent="0.45">
      <c r="A49" s="14" t="s">
        <v>435</v>
      </c>
      <c r="B49" s="322">
        <v>0.27083333333333331</v>
      </c>
      <c r="C49" s="320" t="s">
        <v>41</v>
      </c>
      <c r="D49" s="35" t="str">
        <f>VLOOKUP(C49,'Liste chauffeur'!$B$5:$L$20,2,TRUE)&amp;" "&amp;VLOOKUP(C49,'Liste chauffeur'!$B$5:$L$20,3,TRUE)</f>
        <v>SANDI Maanrouf</v>
      </c>
      <c r="E49" s="53">
        <v>4</v>
      </c>
      <c r="F49" s="35">
        <f>B55-B49</f>
        <v>1.3888888888888895E-2</v>
      </c>
      <c r="G49" s="35"/>
      <c r="H49" s="62"/>
      <c r="I49" s="35"/>
      <c r="J49" s="35"/>
      <c r="K49" s="35"/>
      <c r="L49" s="36"/>
      <c r="M49" s="40"/>
      <c r="N49" s="61"/>
    </row>
    <row r="50" spans="1:14" ht="40.049999999999997" customHeight="1" x14ac:dyDescent="0.45">
      <c r="A50" s="14" t="s">
        <v>8</v>
      </c>
      <c r="B50" s="321">
        <v>0.27777777777777779</v>
      </c>
      <c r="C50" s="319" t="s">
        <v>36</v>
      </c>
      <c r="D50" s="35" t="str">
        <f>VLOOKUP(C50,'Liste chauffeur'!$B$5:$L$20,2,TRUE)&amp;" "&amp;VLOOKUP(C50,'Liste chauffeur'!$B$5:$L$20,3,TRUE)</f>
        <v>BINA HALADI Bina</v>
      </c>
      <c r="E50" s="53">
        <v>7</v>
      </c>
      <c r="F50" s="35">
        <f>B64-B50</f>
        <v>2.0833333333333315E-2</v>
      </c>
      <c r="G50" s="35"/>
      <c r="H50" s="62"/>
      <c r="I50" s="35"/>
      <c r="J50" s="35"/>
      <c r="K50" s="35"/>
      <c r="L50" s="36"/>
      <c r="M50" s="40"/>
      <c r="N50" s="61"/>
    </row>
    <row r="51" spans="1:14" ht="40.049999999999997" customHeight="1" x14ac:dyDescent="0.45">
      <c r="A51" s="14" t="s">
        <v>400</v>
      </c>
      <c r="B51" s="322">
        <v>0.27777777777777779</v>
      </c>
      <c r="C51" s="320" t="s">
        <v>37</v>
      </c>
      <c r="D51" s="35" t="str">
        <f>VLOOKUP(C51,'Liste chauffeur'!$B$5:$L$20,2,TRUE)&amp;" "&amp;VLOOKUP(C51,'Liste chauffeur'!$B$5:$L$20,3,TRUE)</f>
        <v>HADHURAMI Makinedine</v>
      </c>
      <c r="E51" s="53">
        <v>5</v>
      </c>
      <c r="F51" s="35">
        <f>B65-B51</f>
        <v>2.0833333333333315E-2</v>
      </c>
      <c r="G51" s="35"/>
      <c r="H51" s="62"/>
      <c r="I51" s="35"/>
      <c r="J51" s="35"/>
      <c r="K51" s="35"/>
      <c r="L51" s="36"/>
      <c r="M51" s="40"/>
      <c r="N51" s="61"/>
    </row>
    <row r="52" spans="1:14" ht="40.049999999999997" customHeight="1" x14ac:dyDescent="0.45">
      <c r="A52" s="14" t="s">
        <v>435</v>
      </c>
      <c r="B52" s="322">
        <v>0.27777777777777779</v>
      </c>
      <c r="C52" s="320" t="s">
        <v>24</v>
      </c>
      <c r="D52" s="35" t="str">
        <f>VLOOKUP(C52,'Liste chauffeur'!$B$5:$L$20,2,TRUE)&amp;" "&amp;VLOOKUP(C52,'Liste chauffeur'!$B$5:$L$20,3,TRUE)</f>
        <v>EL ANZIZE SALIM Hamada</v>
      </c>
      <c r="E52" s="53">
        <v>6</v>
      </c>
      <c r="F52" s="35">
        <f>B58-B52</f>
        <v>1.3888888888888895E-2</v>
      </c>
      <c r="G52" s="35"/>
      <c r="H52" s="62"/>
      <c r="I52" s="35"/>
      <c r="J52" s="35"/>
      <c r="K52" s="35"/>
      <c r="L52" s="36"/>
      <c r="M52" s="40"/>
      <c r="N52" s="61"/>
    </row>
    <row r="53" spans="1:14" ht="40.049999999999997" customHeight="1" x14ac:dyDescent="0.45">
      <c r="A53" s="14" t="s">
        <v>435</v>
      </c>
      <c r="B53" s="322">
        <v>0.27777777777777779</v>
      </c>
      <c r="C53" s="320" t="s">
        <v>27</v>
      </c>
      <c r="D53" s="35" t="str">
        <f>VLOOKUP(C53,'Liste chauffeur'!$B$5:$L$20,2,TRUE)&amp;" "&amp;VLOOKUP(C53,'Liste chauffeur'!$B$5:$L$20,3,TRUE)</f>
        <v>ABDOU MINIHADJI Amada</v>
      </c>
      <c r="E53" s="53">
        <v>6</v>
      </c>
      <c r="F53" s="35">
        <f>B59-B53</f>
        <v>1.3888888888888895E-2</v>
      </c>
      <c r="G53" s="35"/>
      <c r="H53" s="62"/>
      <c r="I53" s="35"/>
      <c r="J53" s="35"/>
      <c r="K53" s="35"/>
      <c r="L53" s="36"/>
      <c r="M53" s="40"/>
      <c r="N53" s="61"/>
    </row>
    <row r="54" spans="1:14" ht="40.049999999999997" customHeight="1" x14ac:dyDescent="0.45">
      <c r="A54" s="14" t="s">
        <v>8</v>
      </c>
      <c r="B54" s="322">
        <v>0.28472222222222221</v>
      </c>
      <c r="C54" s="320" t="s">
        <v>31</v>
      </c>
      <c r="D54" s="35" t="str">
        <f>VLOOKUP(C54,'Liste chauffeur'!$B$5:$L$20,2,TRUE)&amp;" "&amp;VLOOKUP(C54,'Liste chauffeur'!$B$5:$L$20,3,TRUE)</f>
        <v>HAMADA Babou</v>
      </c>
      <c r="E54" s="53">
        <v>2</v>
      </c>
      <c r="F54" s="35">
        <f>B68-B54</f>
        <v>2.083333333333337E-2</v>
      </c>
      <c r="G54" s="35"/>
      <c r="H54" s="62"/>
      <c r="I54" s="35"/>
      <c r="J54" s="35"/>
      <c r="K54" s="35"/>
      <c r="L54" s="36"/>
      <c r="M54" s="40"/>
      <c r="N54" s="61"/>
    </row>
    <row r="55" spans="1:14" ht="40.049999999999997" customHeight="1" x14ac:dyDescent="0.45">
      <c r="A55" s="14" t="s">
        <v>400</v>
      </c>
      <c r="B55" s="322">
        <v>0.28472222222222221</v>
      </c>
      <c r="C55" s="320" t="s">
        <v>41</v>
      </c>
      <c r="D55" s="35" t="str">
        <f>VLOOKUP(C55,'Liste chauffeur'!$B$5:$L$20,2,TRUE)&amp;" "&amp;VLOOKUP(C55,'Liste chauffeur'!$B$5:$L$20,3,TRUE)</f>
        <v>SANDI Maanrouf</v>
      </c>
      <c r="E55" s="53">
        <v>5</v>
      </c>
      <c r="F55" s="35">
        <f>B69-B55</f>
        <v>2.083333333333337E-2</v>
      </c>
      <c r="G55" s="35"/>
      <c r="H55" s="62"/>
      <c r="I55" s="35"/>
      <c r="J55" s="35"/>
      <c r="K55" s="35"/>
      <c r="L55" s="36"/>
      <c r="M55" s="40"/>
      <c r="N55" s="61"/>
    </row>
    <row r="56" spans="1:14" ht="40.049999999999997" customHeight="1" x14ac:dyDescent="0.45">
      <c r="A56" s="14" t="s">
        <v>435</v>
      </c>
      <c r="B56" s="322">
        <v>0.28472222222222221</v>
      </c>
      <c r="C56" s="319" t="s">
        <v>42</v>
      </c>
      <c r="D56" s="35" t="str">
        <f>VLOOKUP(C56,'Liste chauffeur'!$B$5:$L$20,2,TRUE)&amp;" "&amp;VLOOKUP(C56,'Liste chauffeur'!$B$5:$L$20,3,TRUE)</f>
        <v>ISSIHAKA M'Changama</v>
      </c>
      <c r="E56" s="53">
        <v>4</v>
      </c>
      <c r="F56" s="35">
        <f>B62-B56</f>
        <v>1.3888888888888895E-2</v>
      </c>
      <c r="G56" s="35"/>
      <c r="H56" s="62"/>
      <c r="I56" s="35"/>
      <c r="J56" s="35"/>
      <c r="K56" s="35"/>
      <c r="L56" s="36"/>
      <c r="M56" s="40"/>
      <c r="N56" s="61"/>
    </row>
    <row r="57" spans="1:14" ht="40.049999999999997" customHeight="1" x14ac:dyDescent="0.45">
      <c r="A57" s="14" t="s">
        <v>435</v>
      </c>
      <c r="B57" s="322">
        <v>0.28472222222222221</v>
      </c>
      <c r="C57" s="320" t="s">
        <v>49</v>
      </c>
      <c r="D57" s="35" t="str">
        <f>VLOOKUP(C57,'Liste chauffeur'!$B$5:$L$20,2,TRUE)&amp;" "&amp;VLOOKUP(C57,'Liste chauffeur'!$B$5:$L$20,3,TRUE)</f>
        <v>AHAMADI Bacar Raenmouddine</v>
      </c>
      <c r="E57" s="53">
        <v>3</v>
      </c>
      <c r="F57" s="35">
        <f>B63-B57</f>
        <v>1.3888888888888895E-2</v>
      </c>
      <c r="G57" s="35"/>
      <c r="H57" s="62"/>
      <c r="I57" s="35"/>
      <c r="J57" s="35"/>
      <c r="K57" s="35"/>
      <c r="L57" s="36"/>
      <c r="M57" s="40"/>
      <c r="N57" s="61"/>
    </row>
    <row r="58" spans="1:14" ht="40.049999999999997" customHeight="1" x14ac:dyDescent="0.45">
      <c r="A58" s="14" t="s">
        <v>8</v>
      </c>
      <c r="B58" s="322">
        <v>0.29166666666666669</v>
      </c>
      <c r="C58" s="320" t="s">
        <v>24</v>
      </c>
      <c r="D58" s="35" t="str">
        <f>VLOOKUP(C58,'Liste chauffeur'!$B$5:$L$20,2,TRUE)&amp;" "&amp;VLOOKUP(C58,'Liste chauffeur'!$B$5:$L$20,3,TRUE)</f>
        <v>EL ANZIZE SALIM Hamada</v>
      </c>
      <c r="E58" s="53">
        <v>7</v>
      </c>
      <c r="F58" s="35">
        <f>B73-B58</f>
        <v>2.0833333333333315E-2</v>
      </c>
      <c r="G58" s="35"/>
      <c r="H58" s="62"/>
      <c r="I58" s="35"/>
      <c r="J58" s="35"/>
      <c r="K58" s="35"/>
      <c r="L58" s="36"/>
      <c r="M58" s="40"/>
      <c r="N58" s="61"/>
    </row>
    <row r="59" spans="1:14" ht="40.049999999999997" customHeight="1" x14ac:dyDescent="0.45">
      <c r="A59" s="482" t="s">
        <v>400</v>
      </c>
      <c r="B59" s="483">
        <v>0.29166666666666669</v>
      </c>
      <c r="C59" s="328" t="s">
        <v>27</v>
      </c>
      <c r="D59" s="480" t="str">
        <f>VLOOKUP(C59,'Liste chauffeur'!$B$5:$L$20,2,TRUE)&amp;" "&amp;VLOOKUP(C59,'Liste chauffeur'!$B$5:$L$20,3,TRUE)</f>
        <v>ABDOU MINIHADJI Amada</v>
      </c>
      <c r="E59" s="466">
        <v>7</v>
      </c>
      <c r="F59" s="480">
        <f>B72-B59</f>
        <v>2.0833333333333315E-2</v>
      </c>
      <c r="G59" s="35"/>
      <c r="H59" s="62"/>
      <c r="I59" s="35"/>
      <c r="J59" s="35"/>
      <c r="K59" s="35"/>
      <c r="L59" s="36"/>
      <c r="M59" s="40"/>
      <c r="N59" s="61"/>
    </row>
    <row r="60" spans="1:14" ht="40.049999999999997" customHeight="1" x14ac:dyDescent="0.45">
      <c r="A60" s="14" t="s">
        <v>435</v>
      </c>
      <c r="B60" s="322">
        <v>0.29166666666666669</v>
      </c>
      <c r="C60" s="320" t="s">
        <v>48</v>
      </c>
      <c r="D60" s="35" t="str">
        <f>VLOOKUP(C60,'Liste chauffeur'!$B$5:$L$20,2,TRUE)&amp;" "&amp;VLOOKUP(C60,'Liste chauffeur'!$B$5:$L$20,3,TRUE)</f>
        <v>TOUMBOU  Toibourani</v>
      </c>
      <c r="E60" s="53">
        <v>6</v>
      </c>
      <c r="F60" s="35">
        <f>B66-B60</f>
        <v>1.3888888888888895E-2</v>
      </c>
      <c r="G60" s="35"/>
      <c r="H60" s="62"/>
      <c r="I60" s="35"/>
      <c r="J60" s="35"/>
      <c r="K60" s="35"/>
      <c r="L60" s="36"/>
      <c r="M60" s="40"/>
      <c r="N60" s="61"/>
    </row>
    <row r="61" spans="1:14" ht="40.049999999999997" customHeight="1" x14ac:dyDescent="0.45">
      <c r="A61" s="14" t="s">
        <v>435</v>
      </c>
      <c r="B61" s="322">
        <v>0.29166666666666669</v>
      </c>
      <c r="C61" s="320" t="s">
        <v>43</v>
      </c>
      <c r="D61" s="35" t="str">
        <f>VLOOKUP(C61,'Liste chauffeur'!$B$5:$L$20,2,TRUE)&amp;" "&amp;VLOOKUP(C61,'Liste chauffeur'!$B$5:$L$20,3,TRUE)</f>
        <v>MADI BOINA Mkidachi</v>
      </c>
      <c r="E61" s="53">
        <v>6</v>
      </c>
      <c r="F61" s="35">
        <f>B67-B61</f>
        <v>1.3888888888888895E-2</v>
      </c>
      <c r="G61" s="35"/>
      <c r="H61" s="62"/>
      <c r="I61" s="35"/>
      <c r="J61" s="35"/>
      <c r="K61" s="35"/>
      <c r="L61" s="36"/>
      <c r="M61" s="40"/>
      <c r="N61" s="61"/>
    </row>
    <row r="62" spans="1:14" ht="40.049999999999997" customHeight="1" x14ac:dyDescent="0.45">
      <c r="A62" s="14" t="s">
        <v>8</v>
      </c>
      <c r="B62" s="322">
        <v>0.2986111111111111</v>
      </c>
      <c r="C62" s="319" t="s">
        <v>42</v>
      </c>
      <c r="D62" s="35" t="str">
        <f>VLOOKUP(C62,'Liste chauffeur'!$B$5:$L$20,2,TRUE)&amp;" "&amp;VLOOKUP(C62,'Liste chauffeur'!$B$5:$L$20,3,TRUE)</f>
        <v>ISSIHAKA M'Changama</v>
      </c>
      <c r="E62" s="53">
        <v>5</v>
      </c>
      <c r="F62" s="35">
        <f>B76-B62</f>
        <v>2.0833333333333315E-2</v>
      </c>
      <c r="G62" s="35"/>
      <c r="H62" s="62"/>
      <c r="I62" s="35"/>
      <c r="J62" s="35"/>
      <c r="K62" s="35"/>
      <c r="L62" s="36"/>
      <c r="M62" s="40"/>
      <c r="N62" s="61"/>
    </row>
    <row r="63" spans="1:14" ht="40.049999999999997" customHeight="1" x14ac:dyDescent="0.45">
      <c r="A63" s="14" t="s">
        <v>400</v>
      </c>
      <c r="B63" s="322">
        <v>0.2986111111111111</v>
      </c>
      <c r="C63" s="320" t="s">
        <v>49</v>
      </c>
      <c r="D63" s="35" t="str">
        <f>VLOOKUP(C63,'Liste chauffeur'!$B$5:$L$20,2,TRUE)&amp;" "&amp;VLOOKUP(C63,'Liste chauffeur'!$B$5:$L$20,3,TRUE)</f>
        <v>AHAMADI Bacar Raenmouddine</v>
      </c>
      <c r="E63" s="53">
        <v>4</v>
      </c>
      <c r="F63" s="35">
        <f>B77-B63</f>
        <v>2.0833333333333315E-2</v>
      </c>
      <c r="G63" s="35"/>
      <c r="H63" s="62"/>
      <c r="I63" s="35"/>
      <c r="J63" s="35"/>
      <c r="K63" s="35"/>
      <c r="L63" s="36"/>
      <c r="M63" s="40"/>
      <c r="N63" s="61"/>
    </row>
    <row r="64" spans="1:14" ht="40.049999999999997" customHeight="1" x14ac:dyDescent="0.45">
      <c r="A64" s="14" t="s">
        <v>435</v>
      </c>
      <c r="B64" s="48">
        <v>0.2986111111111111</v>
      </c>
      <c r="C64" s="320" t="s">
        <v>45</v>
      </c>
      <c r="D64" s="35" t="str">
        <f>VLOOKUP(C64,'Liste chauffeur'!$B$5:$L$20,2,TRUE)&amp;" "&amp;VLOOKUP(C64,'Liste chauffeur'!$B$5:$L$20,3,TRUE)</f>
        <v>ABDALLAH Ben (Taxi Vanille)</v>
      </c>
      <c r="E64" s="53">
        <v>1</v>
      </c>
      <c r="F64" s="35">
        <f>B70-B64</f>
        <v>1.3888888888888895E-2</v>
      </c>
      <c r="G64" s="35"/>
      <c r="H64" s="62"/>
      <c r="I64" s="35"/>
      <c r="J64" s="35"/>
      <c r="K64" s="35"/>
      <c r="L64" s="36"/>
      <c r="M64" s="40"/>
      <c r="N64" s="61"/>
    </row>
    <row r="65" spans="1:14" ht="40.049999999999997" customHeight="1" x14ac:dyDescent="0.45">
      <c r="A65" s="14" t="s">
        <v>435</v>
      </c>
      <c r="B65" s="322">
        <v>0.2986111111111111</v>
      </c>
      <c r="C65" s="320" t="s">
        <v>37</v>
      </c>
      <c r="D65" s="35" t="str">
        <f>VLOOKUP(C65,'Liste chauffeur'!$B$5:$L$20,2,TRUE)&amp;" "&amp;VLOOKUP(C65,'Liste chauffeur'!$B$5:$L$20,3,TRUE)</f>
        <v>HADHURAMI Makinedine</v>
      </c>
      <c r="E65" s="53">
        <v>6</v>
      </c>
      <c r="F65" s="35">
        <f>B71-B65</f>
        <v>1.3888888888888895E-2</v>
      </c>
      <c r="G65" s="35"/>
      <c r="H65" s="62"/>
      <c r="I65" s="35"/>
      <c r="J65" s="35"/>
      <c r="K65" s="35"/>
      <c r="L65" s="36"/>
      <c r="M65" s="40"/>
      <c r="N65" s="61"/>
    </row>
    <row r="66" spans="1:14" ht="40.049999999999997" customHeight="1" x14ac:dyDescent="0.45">
      <c r="A66" s="14" t="s">
        <v>8</v>
      </c>
      <c r="B66" s="322">
        <v>0.30555555555555558</v>
      </c>
      <c r="C66" s="320" t="s">
        <v>48</v>
      </c>
      <c r="D66" s="35" t="str">
        <f>VLOOKUP(C66,'Liste chauffeur'!$B$5:$L$20,2,TRUE)&amp;" "&amp;VLOOKUP(C66,'Liste chauffeur'!$B$5:$L$20,3,TRUE)</f>
        <v>TOUMBOU  Toibourani</v>
      </c>
      <c r="E66" s="53">
        <v>7</v>
      </c>
      <c r="F66" s="35">
        <f>B80-B66</f>
        <v>2.0833333333333315E-2</v>
      </c>
      <c r="G66" s="35"/>
      <c r="H66" s="62"/>
      <c r="I66" s="35"/>
      <c r="J66" s="35"/>
      <c r="K66" s="35"/>
      <c r="L66" s="36"/>
      <c r="M66" s="40"/>
      <c r="N66" s="61"/>
    </row>
    <row r="67" spans="1:14" ht="40.049999999999997" customHeight="1" x14ac:dyDescent="0.45">
      <c r="A67" s="14" t="s">
        <v>400</v>
      </c>
      <c r="B67" s="322">
        <v>0.30555555555555558</v>
      </c>
      <c r="C67" s="320" t="s">
        <v>43</v>
      </c>
      <c r="D67" s="35" t="str">
        <f>VLOOKUP(C67,'Liste chauffeur'!$B$5:$L$20,2,TRUE)&amp;" "&amp;VLOOKUP(C67,'Liste chauffeur'!$B$5:$L$20,3,TRUE)</f>
        <v>MADI BOINA Mkidachi</v>
      </c>
      <c r="E67" s="53">
        <v>7</v>
      </c>
      <c r="F67" s="35">
        <f>B81-B67</f>
        <v>2.0833333333333315E-2</v>
      </c>
      <c r="G67" s="35"/>
      <c r="H67" s="62"/>
      <c r="I67" s="35"/>
      <c r="J67" s="35"/>
      <c r="K67" s="35"/>
      <c r="L67" s="36"/>
      <c r="M67" s="40"/>
      <c r="N67" s="61"/>
    </row>
    <row r="68" spans="1:14" ht="40.049999999999997" customHeight="1" x14ac:dyDescent="0.45">
      <c r="A68" s="14" t="s">
        <v>435</v>
      </c>
      <c r="B68" s="322">
        <v>0.30555555555555558</v>
      </c>
      <c r="C68" s="320" t="s">
        <v>31</v>
      </c>
      <c r="D68" s="35" t="str">
        <f>VLOOKUP(C68,'Liste chauffeur'!$B$5:$L$20,2,TRUE)&amp;" "&amp;VLOOKUP(C68,'Liste chauffeur'!$B$5:$L$20,3,TRUE)</f>
        <v>HAMADA Babou</v>
      </c>
      <c r="E68" s="53">
        <v>3</v>
      </c>
      <c r="F68" s="35">
        <f>B74-B68</f>
        <v>1.388888888888884E-2</v>
      </c>
      <c r="G68" s="35"/>
      <c r="H68" s="62"/>
      <c r="I68" s="35"/>
      <c r="J68" s="35"/>
      <c r="K68" s="35"/>
      <c r="L68" s="36"/>
      <c r="M68" s="40"/>
      <c r="N68" s="61"/>
    </row>
    <row r="69" spans="1:14" ht="40.049999999999997" customHeight="1" x14ac:dyDescent="0.45">
      <c r="A69" s="14" t="s">
        <v>435</v>
      </c>
      <c r="B69" s="322">
        <v>0.30555555555555558</v>
      </c>
      <c r="C69" s="320" t="s">
        <v>41</v>
      </c>
      <c r="D69" s="35" t="str">
        <f>VLOOKUP(C69,'Liste chauffeur'!$B$5:$L$20,2,TRUE)&amp;" "&amp;VLOOKUP(C69,'Liste chauffeur'!$B$5:$L$20,3,TRUE)</f>
        <v>SANDI Maanrouf</v>
      </c>
      <c r="E69" s="53">
        <v>6</v>
      </c>
      <c r="F69" s="35">
        <f>B75-B69</f>
        <v>1.388888888888884E-2</v>
      </c>
      <c r="G69" s="35"/>
      <c r="H69" s="62"/>
      <c r="I69" s="35"/>
      <c r="J69" s="35"/>
      <c r="K69" s="35"/>
      <c r="L69" s="36"/>
      <c r="M69" s="40"/>
      <c r="N69" s="61"/>
    </row>
    <row r="70" spans="1:14" ht="40.049999999999997" customHeight="1" x14ac:dyDescent="0.45">
      <c r="A70" s="14" t="s">
        <v>8</v>
      </c>
      <c r="B70" s="322">
        <v>0.3125</v>
      </c>
      <c r="C70" s="320" t="s">
        <v>45</v>
      </c>
      <c r="D70" s="35" t="str">
        <f>VLOOKUP(C70,'Liste chauffeur'!$B$5:$L$20,2,TRUE)&amp;" "&amp;VLOOKUP(C70,'Liste chauffeur'!$B$5:$L$20,3,TRUE)</f>
        <v>ABDALLAH Ben (Taxi Vanille)</v>
      </c>
      <c r="E70" s="53">
        <v>2</v>
      </c>
      <c r="F70" s="35">
        <f>B84-B70</f>
        <v>2.0833333333333315E-2</v>
      </c>
      <c r="G70" s="35"/>
      <c r="H70" s="62"/>
      <c r="I70" s="35"/>
      <c r="J70" s="35"/>
      <c r="K70" s="35"/>
      <c r="L70" s="36"/>
      <c r="M70" s="40"/>
      <c r="N70" s="61"/>
    </row>
    <row r="71" spans="1:14" ht="40.049999999999997" customHeight="1" x14ac:dyDescent="0.45">
      <c r="A71" s="14" t="s">
        <v>400</v>
      </c>
      <c r="B71" s="321">
        <v>0.3125</v>
      </c>
      <c r="C71" s="320" t="s">
        <v>37</v>
      </c>
      <c r="D71" s="35" t="str">
        <f>VLOOKUP(C71,'Liste chauffeur'!$B$5:$L$20,2,TRUE)&amp;" "&amp;VLOOKUP(C71,'Liste chauffeur'!$B$5:$L$20,3,TRUE)</f>
        <v>HADHURAMI Makinedine</v>
      </c>
      <c r="E71" s="53">
        <v>7</v>
      </c>
      <c r="F71" s="35"/>
      <c r="G71" s="35"/>
      <c r="H71" s="62"/>
      <c r="I71" s="35"/>
      <c r="J71" s="35"/>
      <c r="K71" s="35"/>
      <c r="L71" s="36"/>
      <c r="M71" s="40"/>
      <c r="N71" s="61"/>
    </row>
    <row r="72" spans="1:14" ht="40.049999999999997" customHeight="1" x14ac:dyDescent="0.45">
      <c r="A72" s="14" t="s">
        <v>435</v>
      </c>
      <c r="B72" s="322">
        <v>0.3125</v>
      </c>
      <c r="C72" s="320" t="s">
        <v>27</v>
      </c>
      <c r="D72" s="35" t="str">
        <f>VLOOKUP(C72,'Liste chauffeur'!$B$5:$L$20,2,TRUE)&amp;" "&amp;VLOOKUP(C72,'Liste chauffeur'!$B$5:$L$20,3,TRUE)</f>
        <v>ABDOU MINIHADJI Amada</v>
      </c>
      <c r="E72" s="466">
        <v>8</v>
      </c>
      <c r="F72" s="35">
        <f>B78-B72</f>
        <v>1.3888888888888895E-2</v>
      </c>
      <c r="G72" s="35"/>
      <c r="H72" s="62"/>
      <c r="I72" s="35"/>
      <c r="J72" s="35"/>
      <c r="K72" s="35"/>
      <c r="L72" s="36"/>
      <c r="M72" s="40"/>
      <c r="N72" s="61"/>
    </row>
    <row r="73" spans="1:14" ht="40.049999999999997" customHeight="1" x14ac:dyDescent="0.45">
      <c r="A73" s="14" t="s">
        <v>435</v>
      </c>
      <c r="B73" s="322">
        <v>0.3125</v>
      </c>
      <c r="C73" s="320" t="s">
        <v>24</v>
      </c>
      <c r="D73" s="35" t="str">
        <f>VLOOKUP(C73,'Liste chauffeur'!$B$5:$L$20,2,TRUE)&amp;" "&amp;VLOOKUP(C73,'Liste chauffeur'!$B$5:$L$20,3,TRUE)</f>
        <v>EL ANZIZE SALIM Hamada</v>
      </c>
      <c r="E73" s="53">
        <v>8</v>
      </c>
      <c r="F73" s="35">
        <f>B79-B73</f>
        <v>1.3888888888888895E-2</v>
      </c>
      <c r="G73" s="35"/>
      <c r="H73" s="62"/>
      <c r="I73" s="35"/>
      <c r="J73" s="35"/>
      <c r="K73" s="35"/>
      <c r="L73" s="36"/>
      <c r="M73" s="40"/>
      <c r="N73" s="61"/>
    </row>
    <row r="74" spans="1:14" ht="40.049999999999997" customHeight="1" x14ac:dyDescent="0.45">
      <c r="A74" s="14" t="s">
        <v>8</v>
      </c>
      <c r="B74" s="322">
        <v>0.31944444444444442</v>
      </c>
      <c r="C74" s="320" t="s">
        <v>31</v>
      </c>
      <c r="D74" s="35" t="str">
        <f>VLOOKUP(C74,'Liste chauffeur'!$B$5:$L$20,2,TRUE)&amp;" "&amp;VLOOKUP(C74,'Liste chauffeur'!$B$5:$L$20,3,TRUE)</f>
        <v>HAMADA Babou</v>
      </c>
      <c r="E74" s="53">
        <v>4</v>
      </c>
      <c r="F74" s="35">
        <f>B86-B74</f>
        <v>2.430555555555558E-2</v>
      </c>
      <c r="G74" s="35"/>
      <c r="H74" s="62"/>
      <c r="I74" s="35"/>
      <c r="J74" s="35"/>
      <c r="K74" s="35"/>
      <c r="L74" s="36"/>
      <c r="M74" s="40"/>
      <c r="N74" s="61"/>
    </row>
    <row r="75" spans="1:14" ht="40.049999999999997" customHeight="1" x14ac:dyDescent="0.45">
      <c r="A75" s="14" t="s">
        <v>400</v>
      </c>
      <c r="B75" s="321">
        <v>0.31944444444444442</v>
      </c>
      <c r="C75" s="320" t="s">
        <v>41</v>
      </c>
      <c r="D75" s="35" t="str">
        <f>VLOOKUP(C75,'Liste chauffeur'!$B$5:$L$20,2,TRUE)&amp;" "&amp;VLOOKUP(C75,'Liste chauffeur'!$B$5:$L$20,3,TRUE)</f>
        <v>SANDI Maanrouf</v>
      </c>
      <c r="E75" s="53">
        <v>7</v>
      </c>
      <c r="F75" s="35"/>
      <c r="G75" s="35"/>
      <c r="H75" s="62"/>
      <c r="I75" s="35"/>
      <c r="J75" s="35"/>
      <c r="K75" s="35"/>
      <c r="L75" s="36"/>
      <c r="M75" s="40"/>
      <c r="N75" s="61"/>
    </row>
    <row r="76" spans="1:14" ht="40.049999999999997" customHeight="1" x14ac:dyDescent="0.45">
      <c r="A76" s="14" t="s">
        <v>435</v>
      </c>
      <c r="B76" s="322">
        <v>0.31944444444444442</v>
      </c>
      <c r="C76" s="320" t="s">
        <v>42</v>
      </c>
      <c r="D76" s="35" t="str">
        <f>VLOOKUP(C76,'Liste chauffeur'!$B$5:$L$20,2,TRUE)&amp;" "&amp;VLOOKUP(C76,'Liste chauffeur'!$B$5:$L$20,3,TRUE)</f>
        <v>ISSIHAKA M'Changama</v>
      </c>
      <c r="E76" s="53">
        <v>6</v>
      </c>
      <c r="F76" s="35">
        <f>B83-B76</f>
        <v>1.3888888888888895E-2</v>
      </c>
      <c r="G76" s="35"/>
      <c r="H76" s="62"/>
      <c r="I76" s="35"/>
      <c r="J76" s="35"/>
      <c r="K76" s="35"/>
      <c r="L76" s="36"/>
      <c r="M76" s="40"/>
      <c r="N76" s="61"/>
    </row>
    <row r="77" spans="1:14" ht="40.049999999999997" customHeight="1" x14ac:dyDescent="0.45">
      <c r="A77" s="14" t="s">
        <v>435</v>
      </c>
      <c r="B77" s="322">
        <v>0.31944444444444442</v>
      </c>
      <c r="C77" s="320" t="s">
        <v>49</v>
      </c>
      <c r="D77" s="35" t="str">
        <f>VLOOKUP(C77,'Liste chauffeur'!$B$5:$L$20,2,TRUE)&amp;" "&amp;VLOOKUP(C77,'Liste chauffeur'!$B$5:$L$20,3,TRUE)</f>
        <v>AHAMADI Bacar Raenmouddine</v>
      </c>
      <c r="E77" s="53">
        <v>5</v>
      </c>
      <c r="F77" s="35">
        <f>B82-B77</f>
        <v>1.3888888888888895E-2</v>
      </c>
      <c r="G77" s="35"/>
      <c r="H77" s="62"/>
      <c r="I77" s="35"/>
      <c r="J77" s="35"/>
      <c r="K77" s="35"/>
      <c r="L77" s="36"/>
      <c r="M77" s="40"/>
      <c r="N77" s="61"/>
    </row>
    <row r="78" spans="1:14" ht="40.049999999999997" customHeight="1" x14ac:dyDescent="0.45">
      <c r="A78" s="14" t="s">
        <v>8</v>
      </c>
      <c r="B78" s="321">
        <v>0.3263888888888889</v>
      </c>
      <c r="C78" s="319" t="s">
        <v>27</v>
      </c>
      <c r="D78" s="35" t="str">
        <f>VLOOKUP(C78,'Liste chauffeur'!$B$5:$L$20,2,TRUE)&amp;" "&amp;VLOOKUP(C78,'Liste chauffeur'!$B$5:$L$20,3,TRUE)</f>
        <v>ABDOU MINIHADJI Amada</v>
      </c>
      <c r="E78" s="53">
        <v>9</v>
      </c>
      <c r="F78" s="35"/>
      <c r="G78" s="35"/>
      <c r="H78" s="62"/>
      <c r="I78" s="35"/>
      <c r="J78" s="35"/>
      <c r="K78" s="35"/>
      <c r="L78" s="36"/>
      <c r="M78" s="40"/>
      <c r="N78" s="61"/>
    </row>
    <row r="79" spans="1:14" ht="40.049999999999997" customHeight="1" x14ac:dyDescent="0.45">
      <c r="A79" s="14" t="s">
        <v>400</v>
      </c>
      <c r="B79" s="322">
        <v>0.3263888888888889</v>
      </c>
      <c r="C79" s="320" t="s">
        <v>24</v>
      </c>
      <c r="D79" s="35" t="str">
        <f>VLOOKUP(C79,'Liste chauffeur'!$B$5:$L$20,2,TRUE)&amp;" "&amp;VLOOKUP(C79,'Liste chauffeur'!$B$5:$L$20,3,TRUE)</f>
        <v>EL ANZIZE SALIM Hamada</v>
      </c>
      <c r="E79" s="53">
        <v>9</v>
      </c>
      <c r="F79" s="35">
        <f>B88-B79</f>
        <v>2.777777777777779E-2</v>
      </c>
      <c r="G79" s="35"/>
      <c r="H79" s="62"/>
      <c r="I79" s="35"/>
      <c r="J79" s="35"/>
      <c r="K79" s="35"/>
      <c r="L79" s="36"/>
      <c r="M79" s="40"/>
      <c r="N79" s="61"/>
    </row>
    <row r="80" spans="1:14" ht="40.049999999999997" customHeight="1" x14ac:dyDescent="0.45">
      <c r="A80" s="14" t="s">
        <v>435</v>
      </c>
      <c r="B80" s="322">
        <v>0.3263888888888889</v>
      </c>
      <c r="C80" s="320" t="s">
        <v>48</v>
      </c>
      <c r="D80" s="35" t="str">
        <f>VLOOKUP(C80,'Liste chauffeur'!$B$5:$L$20,2,TRUE)&amp;" "&amp;VLOOKUP(C80,'Liste chauffeur'!$B$5:$L$20,3,TRUE)</f>
        <v>TOUMBOU  Toibourani</v>
      </c>
      <c r="E80" s="53">
        <v>8</v>
      </c>
      <c r="F80" s="35">
        <f>B85-B80</f>
        <v>1.7361111111111105E-2</v>
      </c>
      <c r="G80" s="35"/>
      <c r="H80" s="62"/>
      <c r="I80" s="35"/>
      <c r="J80" s="35"/>
      <c r="K80" s="35"/>
      <c r="L80" s="36"/>
      <c r="M80" s="40"/>
      <c r="N80" s="61"/>
    </row>
    <row r="81" spans="1:14" ht="40.049999999999997" customHeight="1" x14ac:dyDescent="0.45">
      <c r="A81" s="14" t="s">
        <v>435</v>
      </c>
      <c r="B81" s="321">
        <v>0.3263888888888889</v>
      </c>
      <c r="C81" s="320" t="s">
        <v>43</v>
      </c>
      <c r="D81" s="35" t="str">
        <f>VLOOKUP(C81,'Liste chauffeur'!$B$5:$L$20,2,TRUE)&amp;" "&amp;VLOOKUP(C81,'Liste chauffeur'!$B$5:$L$20,3,TRUE)</f>
        <v>MADI BOINA Mkidachi</v>
      </c>
      <c r="E81" s="53">
        <v>8</v>
      </c>
      <c r="F81" s="35"/>
      <c r="G81" s="35"/>
      <c r="H81" s="62"/>
      <c r="I81" s="35"/>
      <c r="J81" s="35"/>
      <c r="K81" s="35"/>
      <c r="L81" s="36"/>
      <c r="M81" s="40"/>
      <c r="N81" s="61"/>
    </row>
    <row r="82" spans="1:14" ht="40.049999999999997" customHeight="1" x14ac:dyDescent="0.45">
      <c r="A82" s="14" t="s">
        <v>8</v>
      </c>
      <c r="B82" s="321">
        <v>0.33333333333333331</v>
      </c>
      <c r="C82" s="320" t="s">
        <v>49</v>
      </c>
      <c r="D82" s="35" t="str">
        <f>VLOOKUP(C82,'Liste chauffeur'!$B$5:$L$20,2,TRUE)&amp;" "&amp;VLOOKUP(C82,'Liste chauffeur'!$B$5:$L$20,3,TRUE)</f>
        <v>AHAMADI Bacar Raenmouddine</v>
      </c>
      <c r="E82" s="53">
        <v>6</v>
      </c>
      <c r="F82" s="35"/>
      <c r="G82" s="35"/>
      <c r="H82" s="62"/>
      <c r="I82" s="35"/>
      <c r="J82" s="35"/>
      <c r="K82" s="35"/>
      <c r="L82" s="36"/>
      <c r="M82" s="40"/>
      <c r="N82" s="61"/>
    </row>
    <row r="83" spans="1:14" ht="40.049999999999997" customHeight="1" x14ac:dyDescent="0.45">
      <c r="A83" s="14" t="s">
        <v>400</v>
      </c>
      <c r="B83" s="321">
        <v>0.33333333333333331</v>
      </c>
      <c r="C83" s="320" t="s">
        <v>42</v>
      </c>
      <c r="D83" s="35" t="str">
        <f>VLOOKUP(C83,'Liste chauffeur'!$B$5:$L$20,2,TRUE)&amp;" "&amp;VLOOKUP(C83,'Liste chauffeur'!$B$5:$L$20,3,TRUE)</f>
        <v>ISSIHAKA M'Changama</v>
      </c>
      <c r="E83" s="53">
        <v>7</v>
      </c>
      <c r="F83" s="35"/>
      <c r="G83" s="35"/>
      <c r="H83" s="62"/>
      <c r="I83" s="35"/>
      <c r="J83" s="35"/>
      <c r="K83" s="35"/>
      <c r="L83" s="36"/>
      <c r="M83" s="40"/>
      <c r="N83" s="61"/>
    </row>
    <row r="84" spans="1:14" ht="40.049999999999997" customHeight="1" x14ac:dyDescent="0.45">
      <c r="A84" s="14" t="s">
        <v>435</v>
      </c>
      <c r="B84" s="321">
        <v>0.33333333333333331</v>
      </c>
      <c r="C84" s="319" t="s">
        <v>45</v>
      </c>
      <c r="D84" s="35" t="str">
        <f>VLOOKUP(C84,'Liste chauffeur'!$B$5:$L$20,2,TRUE)&amp;" "&amp;VLOOKUP(C84,'Liste chauffeur'!$B$5:$L$20,3,TRUE)</f>
        <v>ABDALLAH Ben (Taxi Vanille)</v>
      </c>
      <c r="E84" s="53">
        <v>3</v>
      </c>
      <c r="F84" s="35"/>
      <c r="G84" s="35"/>
      <c r="H84" s="62"/>
      <c r="I84" s="35"/>
      <c r="J84" s="35"/>
      <c r="K84" s="35"/>
      <c r="L84" s="36"/>
      <c r="M84" s="40"/>
      <c r="N84" s="61"/>
    </row>
    <row r="85" spans="1:14" ht="40.049999999999997" customHeight="1" x14ac:dyDescent="0.45">
      <c r="A85" s="14" t="s">
        <v>8</v>
      </c>
      <c r="B85" s="321">
        <v>0.34375</v>
      </c>
      <c r="C85" s="320" t="s">
        <v>48</v>
      </c>
      <c r="D85" s="35" t="str">
        <f>VLOOKUP(C85,'Liste chauffeur'!$B$5:$L$20,2,TRUE)&amp;" "&amp;VLOOKUP(C85,'Liste chauffeur'!$B$5:$L$20,3,TRUE)</f>
        <v>TOUMBOU  Toibourani</v>
      </c>
      <c r="E85" s="53">
        <v>9</v>
      </c>
      <c r="F85" s="35"/>
      <c r="G85" s="35"/>
      <c r="H85" s="62"/>
      <c r="I85" s="35"/>
      <c r="J85" s="35"/>
      <c r="K85" s="35"/>
      <c r="L85" s="36"/>
      <c r="M85" s="40"/>
      <c r="N85" s="61"/>
    </row>
    <row r="86" spans="1:14" ht="40.049999999999997" customHeight="1" x14ac:dyDescent="0.45">
      <c r="A86" s="14" t="s">
        <v>435</v>
      </c>
      <c r="B86" s="321">
        <v>0.34375</v>
      </c>
      <c r="C86" s="320" t="s">
        <v>31</v>
      </c>
      <c r="D86" s="35" t="str">
        <f>VLOOKUP(C86,'Liste chauffeur'!$B$5:$L$20,2,TRUE)&amp;" "&amp;VLOOKUP(C86,'Liste chauffeur'!$B$5:$L$20,3,TRUE)</f>
        <v>HAMADA Babou</v>
      </c>
      <c r="E86" s="53">
        <v>5</v>
      </c>
      <c r="F86" s="35">
        <f>B87-B86</f>
        <v>1.0416666666666685E-2</v>
      </c>
      <c r="G86" s="35"/>
      <c r="H86" s="62"/>
      <c r="I86" s="35"/>
      <c r="J86" s="35"/>
      <c r="K86" s="35"/>
      <c r="L86" s="36"/>
      <c r="M86" s="40"/>
      <c r="N86" s="61"/>
    </row>
    <row r="87" spans="1:14" ht="40.049999999999997" customHeight="1" x14ac:dyDescent="0.45">
      <c r="A87" s="14" t="s">
        <v>8</v>
      </c>
      <c r="B87" s="48">
        <v>0.35416666666666669</v>
      </c>
      <c r="C87" s="319" t="s">
        <v>46</v>
      </c>
      <c r="D87" s="35" t="str">
        <f>VLOOKUP(C87,'Liste chauffeur'!$B$5:$L$20,2,TRUE)&amp;" "&amp;VLOOKUP(C87,'Liste chauffeur'!$B$5:$L$20,3,TRUE)</f>
        <v>KAMARDINE Mansour</v>
      </c>
      <c r="E87" s="53">
        <v>1</v>
      </c>
      <c r="F87" s="35">
        <f>B90-B87</f>
        <v>2.0833333333333315E-2</v>
      </c>
      <c r="G87" s="35"/>
      <c r="H87" s="62"/>
      <c r="I87" s="35"/>
      <c r="J87" s="35"/>
      <c r="K87" s="35"/>
      <c r="L87" s="36"/>
      <c r="M87" s="40"/>
      <c r="N87" s="61"/>
    </row>
    <row r="88" spans="1:14" ht="40.049999999999997" customHeight="1" x14ac:dyDescent="0.45">
      <c r="A88" s="14" t="s">
        <v>435</v>
      </c>
      <c r="B88" s="322">
        <v>0.35416666666666669</v>
      </c>
      <c r="C88" s="320" t="s">
        <v>24</v>
      </c>
      <c r="D88" s="35" t="str">
        <f>VLOOKUP(C88,'Liste chauffeur'!$B$5:$L$20,2,TRUE)&amp;" "&amp;VLOOKUP(C88,'Liste chauffeur'!$B$5:$L$20,3,TRUE)</f>
        <v>EL ANZIZE SALIM Hamada</v>
      </c>
      <c r="E88" s="53">
        <v>10</v>
      </c>
      <c r="F88" s="35">
        <f>B89-B88</f>
        <v>2.0833333333333315E-2</v>
      </c>
      <c r="G88" s="35"/>
      <c r="H88" s="62"/>
      <c r="I88" s="35"/>
      <c r="J88" s="35"/>
      <c r="K88" s="35"/>
      <c r="L88" s="36"/>
      <c r="M88" s="40"/>
      <c r="N88" s="61"/>
    </row>
    <row r="89" spans="1:14" ht="40.049999999999997" customHeight="1" x14ac:dyDescent="0.45">
      <c r="A89" s="14" t="s">
        <v>8</v>
      </c>
      <c r="B89" s="322">
        <v>0.375</v>
      </c>
      <c r="C89" s="320" t="s">
        <v>24</v>
      </c>
      <c r="D89" s="35" t="str">
        <f>VLOOKUP(C89,'Liste chauffeur'!$B$5:$L$20,2,TRUE)&amp;" "&amp;VLOOKUP(C89,'Liste chauffeur'!$B$5:$L$20,3,TRUE)</f>
        <v>EL ANZIZE SALIM Hamada</v>
      </c>
      <c r="E89" s="53">
        <v>11</v>
      </c>
      <c r="F89" s="35">
        <f>B92-B89</f>
        <v>2.0833333333333315E-2</v>
      </c>
      <c r="G89" s="35"/>
      <c r="H89" s="62"/>
      <c r="I89" s="35"/>
      <c r="J89" s="35"/>
      <c r="K89" s="35"/>
      <c r="L89" s="36"/>
      <c r="M89" s="40"/>
      <c r="N89" s="61"/>
    </row>
    <row r="90" spans="1:14" ht="40.049999999999997" customHeight="1" x14ac:dyDescent="0.45">
      <c r="A90" s="14" t="s">
        <v>435</v>
      </c>
      <c r="B90" s="322">
        <v>0.375</v>
      </c>
      <c r="C90" s="320" t="s">
        <v>46</v>
      </c>
      <c r="D90" s="35" t="str">
        <f>VLOOKUP(C90,'Liste chauffeur'!$B$5:$L$20,2,TRUE)&amp;" "&amp;VLOOKUP(C90,'Liste chauffeur'!$B$5:$L$20,3,TRUE)</f>
        <v>KAMARDINE Mansour</v>
      </c>
      <c r="E90" s="53">
        <v>2</v>
      </c>
      <c r="F90" s="35">
        <f>B91-B90</f>
        <v>2.0833333333333315E-2</v>
      </c>
      <c r="G90" s="35"/>
      <c r="H90" s="62"/>
      <c r="I90" s="35"/>
      <c r="J90" s="35"/>
      <c r="K90" s="35"/>
      <c r="L90" s="36"/>
      <c r="M90" s="40"/>
      <c r="N90" s="61"/>
    </row>
    <row r="91" spans="1:14" ht="40.049999999999997" customHeight="1" x14ac:dyDescent="0.45">
      <c r="A91" s="14" t="s">
        <v>8</v>
      </c>
      <c r="B91" s="322">
        <v>0.39583333333333331</v>
      </c>
      <c r="C91" s="320" t="s">
        <v>46</v>
      </c>
      <c r="D91" s="35" t="str">
        <f>VLOOKUP(C91,'Liste chauffeur'!$B$5:$L$20,2,TRUE)&amp;" "&amp;VLOOKUP(C91,'Liste chauffeur'!$B$5:$L$20,3,TRUE)</f>
        <v>KAMARDINE Mansour</v>
      </c>
      <c r="E91" s="53">
        <v>3</v>
      </c>
      <c r="F91" s="35">
        <f>B94-B91</f>
        <v>2.083333333333337E-2</v>
      </c>
      <c r="G91" s="35"/>
      <c r="H91" s="62"/>
      <c r="I91" s="35"/>
      <c r="J91" s="35"/>
      <c r="K91" s="35"/>
      <c r="L91" s="36"/>
      <c r="M91" s="40"/>
      <c r="N91" s="61"/>
    </row>
    <row r="92" spans="1:14" ht="40.049999999999997" customHeight="1" x14ac:dyDescent="0.45">
      <c r="A92" s="14" t="s">
        <v>435</v>
      </c>
      <c r="B92" s="322">
        <v>0.39583333333333331</v>
      </c>
      <c r="C92" s="319" t="s">
        <v>24</v>
      </c>
      <c r="D92" s="35" t="str">
        <f>VLOOKUP(C92,'Liste chauffeur'!$B$5:$L$20,2,TRUE)&amp;" "&amp;VLOOKUP(C92,'Liste chauffeur'!$B$5:$L$20,3,TRUE)</f>
        <v>EL ANZIZE SALIM Hamada</v>
      </c>
      <c r="E92" s="53">
        <v>12</v>
      </c>
      <c r="F92" s="35">
        <f>B93-B92</f>
        <v>2.083333333333337E-2</v>
      </c>
      <c r="G92" s="35"/>
      <c r="H92" s="62"/>
      <c r="I92" s="35"/>
      <c r="J92" s="35"/>
      <c r="K92" s="35"/>
      <c r="L92" s="36"/>
      <c r="M92" s="40"/>
      <c r="N92" s="61"/>
    </row>
    <row r="93" spans="1:14" ht="40.049999999999997" customHeight="1" x14ac:dyDescent="0.45">
      <c r="A93" s="14" t="s">
        <v>8</v>
      </c>
      <c r="B93" s="322">
        <v>0.41666666666666669</v>
      </c>
      <c r="C93" s="319" t="s">
        <v>24</v>
      </c>
      <c r="D93" s="35" t="str">
        <f>VLOOKUP(C93,'Liste chauffeur'!$B$5:$L$20,2,TRUE)&amp;" "&amp;VLOOKUP(C93,'Liste chauffeur'!$B$5:$L$20,3,TRUE)</f>
        <v>EL ANZIZE SALIM Hamada</v>
      </c>
      <c r="E93" s="53">
        <v>13</v>
      </c>
      <c r="F93" s="35">
        <f>B96-B93</f>
        <v>2.0833333333333315E-2</v>
      </c>
      <c r="G93" s="35"/>
      <c r="H93" s="62"/>
      <c r="I93" s="35"/>
      <c r="J93" s="35"/>
      <c r="K93" s="35"/>
      <c r="L93" s="36"/>
      <c r="M93" s="40"/>
      <c r="N93" s="61"/>
    </row>
    <row r="94" spans="1:14" ht="40.049999999999997" customHeight="1" x14ac:dyDescent="0.45">
      <c r="A94" s="14" t="s">
        <v>435</v>
      </c>
      <c r="B94" s="322">
        <v>0.41666666666666669</v>
      </c>
      <c r="C94" s="320" t="s">
        <v>46</v>
      </c>
      <c r="D94" s="35" t="str">
        <f>VLOOKUP(C94,'Liste chauffeur'!$B$5:$L$20,2,TRUE)&amp;" "&amp;VLOOKUP(C94,'Liste chauffeur'!$B$5:$L$20,3,TRUE)</f>
        <v>KAMARDINE Mansour</v>
      </c>
      <c r="E94" s="53">
        <v>4</v>
      </c>
      <c r="F94" s="35">
        <f>B95-B94</f>
        <v>2.0833333333333315E-2</v>
      </c>
      <c r="G94" s="35"/>
      <c r="H94" s="62"/>
      <c r="I94" s="35"/>
      <c r="J94" s="35"/>
      <c r="K94" s="35"/>
      <c r="L94" s="36"/>
      <c r="M94" s="40"/>
      <c r="N94" s="61"/>
    </row>
    <row r="95" spans="1:14" ht="40.049999999999997" customHeight="1" x14ac:dyDescent="0.45">
      <c r="A95" s="14" t="s">
        <v>8</v>
      </c>
      <c r="B95" s="322">
        <v>0.4375</v>
      </c>
      <c r="C95" s="320" t="s">
        <v>46</v>
      </c>
      <c r="D95" s="35" t="str">
        <f>VLOOKUP(C95,'Liste chauffeur'!$B$5:$L$20,2,TRUE)&amp;" "&amp;VLOOKUP(C95,'Liste chauffeur'!$B$5:$L$20,3,TRUE)</f>
        <v>KAMARDINE Mansour</v>
      </c>
      <c r="E95" s="53">
        <v>5</v>
      </c>
      <c r="F95" s="35">
        <f>B98-B95</f>
        <v>2.0833333333333315E-2</v>
      </c>
      <c r="G95" s="35"/>
      <c r="H95" s="62"/>
      <c r="I95" s="35"/>
      <c r="J95" s="35"/>
      <c r="K95" s="35"/>
      <c r="L95" s="36"/>
      <c r="M95" s="40"/>
      <c r="N95" s="61"/>
    </row>
    <row r="96" spans="1:14" ht="40.049999999999997" customHeight="1" x14ac:dyDescent="0.45">
      <c r="A96" s="14" t="s">
        <v>435</v>
      </c>
      <c r="B96" s="322">
        <v>0.4375</v>
      </c>
      <c r="C96" s="319" t="s">
        <v>24</v>
      </c>
      <c r="D96" s="35" t="str">
        <f>VLOOKUP(C96,'Liste chauffeur'!$B$5:$L$20,2,TRUE)&amp;" "&amp;VLOOKUP(C96,'Liste chauffeur'!$B$5:$L$20,3,TRUE)</f>
        <v>EL ANZIZE SALIM Hamada</v>
      </c>
      <c r="E96" s="53">
        <v>14</v>
      </c>
      <c r="F96" s="35">
        <f>B97-B96</f>
        <v>2.0833333333333315E-2</v>
      </c>
      <c r="G96" s="35"/>
      <c r="H96" s="62"/>
      <c r="I96" s="35"/>
      <c r="J96" s="35"/>
      <c r="K96" s="35"/>
      <c r="L96" s="36"/>
      <c r="M96" s="40"/>
      <c r="N96" s="61"/>
    </row>
    <row r="97" spans="1:14" ht="40.049999999999997" customHeight="1" x14ac:dyDescent="0.45">
      <c r="A97" s="14" t="s">
        <v>8</v>
      </c>
      <c r="B97" s="322">
        <v>0.45833333333333331</v>
      </c>
      <c r="C97" s="319" t="s">
        <v>24</v>
      </c>
      <c r="D97" s="35" t="str">
        <f>VLOOKUP(C97,'Liste chauffeur'!$B$5:$L$20,2,TRUE)&amp;" "&amp;VLOOKUP(C97,'Liste chauffeur'!$B$5:$L$20,3,TRUE)</f>
        <v>EL ANZIZE SALIM Hamada</v>
      </c>
      <c r="E97" s="53">
        <v>15</v>
      </c>
      <c r="F97" s="35">
        <f>B100-B97</f>
        <v>2.083333333333337E-2</v>
      </c>
      <c r="G97" s="35"/>
      <c r="H97" s="62"/>
      <c r="I97" s="35"/>
      <c r="J97" s="35"/>
      <c r="K97" s="35"/>
      <c r="L97" s="36"/>
      <c r="M97" s="40"/>
      <c r="N97" s="61"/>
    </row>
    <row r="98" spans="1:14" ht="40.049999999999997" customHeight="1" x14ac:dyDescent="0.45">
      <c r="A98" s="14" t="s">
        <v>435</v>
      </c>
      <c r="B98" s="322">
        <v>0.45833333333333331</v>
      </c>
      <c r="C98" s="320" t="s">
        <v>46</v>
      </c>
      <c r="D98" s="35" t="str">
        <f>VLOOKUP(C98,'Liste chauffeur'!$B$5:$L$20,2,TRUE)&amp;" "&amp;VLOOKUP(C98,'Liste chauffeur'!$B$5:$L$20,3,TRUE)</f>
        <v>KAMARDINE Mansour</v>
      </c>
      <c r="E98" s="53">
        <v>6</v>
      </c>
      <c r="F98" s="35">
        <f>B99-B98</f>
        <v>2.083333333333337E-2</v>
      </c>
      <c r="G98" s="35"/>
      <c r="H98" s="62"/>
      <c r="I98" s="35"/>
      <c r="J98" s="35"/>
      <c r="K98" s="35"/>
      <c r="L98" s="36"/>
      <c r="M98" s="40"/>
      <c r="N98" s="61"/>
    </row>
    <row r="99" spans="1:14" ht="40.049999999999997" customHeight="1" x14ac:dyDescent="0.45">
      <c r="A99" s="14" t="s">
        <v>8</v>
      </c>
      <c r="B99" s="322">
        <v>0.47916666666666669</v>
      </c>
      <c r="C99" s="320" t="s">
        <v>46</v>
      </c>
      <c r="D99" s="35" t="str">
        <f>VLOOKUP(C99,'Liste chauffeur'!$B$5:$L$20,2,TRUE)&amp;" "&amp;VLOOKUP(C99,'Liste chauffeur'!$B$5:$L$20,3,TRUE)</f>
        <v>KAMARDINE Mansour</v>
      </c>
      <c r="E99" s="53">
        <v>7</v>
      </c>
      <c r="F99" s="35">
        <f>B102-B99</f>
        <v>2.0833333333333315E-2</v>
      </c>
      <c r="G99" s="35"/>
      <c r="H99" s="62"/>
      <c r="I99" s="35"/>
      <c r="J99" s="35"/>
      <c r="K99" s="35"/>
      <c r="L99" s="36"/>
      <c r="M99" s="40"/>
      <c r="N99" s="61"/>
    </row>
    <row r="100" spans="1:14" ht="40.049999999999997" customHeight="1" x14ac:dyDescent="0.45">
      <c r="A100" s="14" t="s">
        <v>435</v>
      </c>
      <c r="B100" s="322">
        <v>0.47916666666666669</v>
      </c>
      <c r="C100" s="319" t="s">
        <v>24</v>
      </c>
      <c r="D100" s="35" t="str">
        <f>VLOOKUP(C100,'Liste chauffeur'!$B$5:$L$20,2,TRUE)&amp;" "&amp;VLOOKUP(C100,'Liste chauffeur'!$B$5:$L$20,3,TRUE)</f>
        <v>EL ANZIZE SALIM Hamada</v>
      </c>
      <c r="E100" s="53">
        <v>16</v>
      </c>
      <c r="F100" s="35">
        <f>B101-B100</f>
        <v>2.0833333333333315E-2</v>
      </c>
      <c r="G100" s="35"/>
      <c r="H100" s="62"/>
      <c r="I100" s="35"/>
      <c r="J100" s="35"/>
      <c r="K100" s="35"/>
      <c r="L100" s="36"/>
      <c r="M100" s="40"/>
      <c r="N100" s="61"/>
    </row>
    <row r="101" spans="1:14" ht="40.049999999999997" customHeight="1" x14ac:dyDescent="0.45">
      <c r="A101" s="14" t="s">
        <v>8</v>
      </c>
      <c r="B101" s="321">
        <v>0.5</v>
      </c>
      <c r="C101" s="319" t="s">
        <v>24</v>
      </c>
      <c r="D101" s="35" t="str">
        <f>VLOOKUP(C101,'Liste chauffeur'!$B$5:$L$20,2,TRUE)&amp;" "&amp;VLOOKUP(C101,'Liste chauffeur'!$B$5:$L$20,3,TRUE)</f>
        <v>EL ANZIZE SALIM Hamada</v>
      </c>
      <c r="E101" s="53">
        <v>17</v>
      </c>
      <c r="F101" s="35">
        <f>B104-B101</f>
        <v>2.083333333333337E-2</v>
      </c>
      <c r="G101" s="35"/>
      <c r="H101" s="62"/>
      <c r="I101" s="35"/>
      <c r="J101" s="35"/>
      <c r="K101" s="35"/>
      <c r="L101" s="36"/>
      <c r="M101" s="40"/>
      <c r="N101" s="61"/>
    </row>
    <row r="102" spans="1:14" ht="40.049999999999997" customHeight="1" x14ac:dyDescent="0.45">
      <c r="A102" s="14" t="s">
        <v>435</v>
      </c>
      <c r="B102" s="322">
        <v>0.5</v>
      </c>
      <c r="C102" s="320" t="s">
        <v>46</v>
      </c>
      <c r="D102" s="35" t="str">
        <f>VLOOKUP(C102,'Liste chauffeur'!$B$5:$L$20,2,TRUE)&amp;" "&amp;VLOOKUP(C102,'Liste chauffeur'!$B$5:$L$20,3,TRUE)</f>
        <v>KAMARDINE Mansour</v>
      </c>
      <c r="E102" s="53">
        <v>8</v>
      </c>
      <c r="F102" s="35">
        <f>B103-B102</f>
        <v>2.083333333333337E-2</v>
      </c>
      <c r="G102" s="35"/>
      <c r="H102" s="62"/>
      <c r="I102" s="35"/>
      <c r="J102" s="35"/>
      <c r="K102" s="35"/>
      <c r="L102" s="36"/>
      <c r="M102" s="40"/>
      <c r="N102" s="61"/>
    </row>
    <row r="103" spans="1:14" ht="40.049999999999997" customHeight="1" x14ac:dyDescent="0.45">
      <c r="A103" s="14" t="s">
        <v>8</v>
      </c>
      <c r="B103" s="322">
        <v>0.52083333333333337</v>
      </c>
      <c r="C103" s="320" t="s">
        <v>46</v>
      </c>
      <c r="D103" s="35" t="str">
        <f>VLOOKUP(C103,'Liste chauffeur'!$B$5:$L$20,2,TRUE)&amp;" "&amp;VLOOKUP(C103,'Liste chauffeur'!$B$5:$L$20,3,TRUE)</f>
        <v>KAMARDINE Mansour</v>
      </c>
      <c r="E103" s="53">
        <v>9</v>
      </c>
      <c r="F103" s="35">
        <f>B106-B103</f>
        <v>2.0833333333333259E-2</v>
      </c>
      <c r="G103" s="35"/>
      <c r="H103" s="62"/>
      <c r="I103" s="35"/>
      <c r="J103" s="35"/>
      <c r="K103" s="35"/>
      <c r="L103" s="36"/>
      <c r="M103" s="40"/>
      <c r="N103" s="61"/>
    </row>
    <row r="104" spans="1:14" ht="40.049999999999997" customHeight="1" x14ac:dyDescent="0.45">
      <c r="A104" s="14" t="s">
        <v>435</v>
      </c>
      <c r="B104" s="48">
        <v>0.52083333333333337</v>
      </c>
      <c r="C104" s="319" t="s">
        <v>36</v>
      </c>
      <c r="D104" s="35" t="str">
        <f>VLOOKUP(C104,'Liste chauffeur'!$B$5:$L$20,2,TRUE)&amp;" "&amp;VLOOKUP(C104,'Liste chauffeur'!$B$5:$L$20,3,TRUE)</f>
        <v>BINA HALADI Bina</v>
      </c>
      <c r="E104" s="53">
        <v>8</v>
      </c>
      <c r="F104" s="35">
        <f>B105-B104</f>
        <v>2.0833333333333259E-2</v>
      </c>
      <c r="G104" s="35"/>
      <c r="H104" s="62"/>
      <c r="I104" s="35"/>
      <c r="J104" s="35"/>
      <c r="K104" s="35"/>
      <c r="L104" s="36"/>
      <c r="M104" s="40"/>
      <c r="N104" s="61"/>
    </row>
    <row r="105" spans="1:14" ht="40.049999999999997" customHeight="1" x14ac:dyDescent="0.45">
      <c r="A105" s="14" t="s">
        <v>8</v>
      </c>
      <c r="B105" s="322">
        <v>0.54166666666666663</v>
      </c>
      <c r="C105" s="319" t="s">
        <v>36</v>
      </c>
      <c r="D105" s="35" t="str">
        <f>VLOOKUP(C105,'Liste chauffeur'!$B$5:$L$20,2,TRUE)&amp;" "&amp;VLOOKUP(C105,'Liste chauffeur'!$B$5:$L$20,3,TRUE)</f>
        <v>BINA HALADI Bina</v>
      </c>
      <c r="E105" s="53">
        <v>9</v>
      </c>
      <c r="F105" s="35">
        <f>B108-B105</f>
        <v>2.083333333333337E-2</v>
      </c>
      <c r="G105" s="35"/>
      <c r="H105" s="62"/>
      <c r="I105" s="35"/>
      <c r="J105" s="35"/>
      <c r="K105" s="35"/>
      <c r="L105" s="36"/>
      <c r="M105" s="40"/>
      <c r="N105" s="61"/>
    </row>
    <row r="106" spans="1:14" ht="40.049999999999997" customHeight="1" x14ac:dyDescent="0.45">
      <c r="A106" s="14" t="s">
        <v>435</v>
      </c>
      <c r="B106" s="322">
        <v>0.54166666666666663</v>
      </c>
      <c r="C106" s="320" t="s">
        <v>46</v>
      </c>
      <c r="D106" s="35" t="str">
        <f>VLOOKUP(C106,'Liste chauffeur'!$B$5:$L$20,2,TRUE)&amp;" "&amp;VLOOKUP(C106,'Liste chauffeur'!$B$5:$L$20,3,TRUE)</f>
        <v>KAMARDINE Mansour</v>
      </c>
      <c r="E106" s="53">
        <v>10</v>
      </c>
      <c r="F106" s="35">
        <f>B107-B106</f>
        <v>2.083333333333337E-2</v>
      </c>
      <c r="G106" s="35"/>
      <c r="H106" s="62"/>
      <c r="I106" s="35"/>
      <c r="J106" s="35"/>
      <c r="K106" s="35"/>
      <c r="L106" s="36"/>
      <c r="M106" s="40"/>
      <c r="N106" s="61"/>
    </row>
    <row r="107" spans="1:14" ht="40.049999999999997" customHeight="1" x14ac:dyDescent="0.45">
      <c r="A107" s="14" t="s">
        <v>8</v>
      </c>
      <c r="B107" s="322">
        <v>0.5625</v>
      </c>
      <c r="C107" s="320" t="s">
        <v>46</v>
      </c>
      <c r="D107" s="35" t="str">
        <f>VLOOKUP(C107,'Liste chauffeur'!$B$5:$L$20,2,TRUE)&amp;" "&amp;VLOOKUP(C107,'Liste chauffeur'!$B$5:$L$20,3,TRUE)</f>
        <v>KAMARDINE Mansour</v>
      </c>
      <c r="E107" s="53">
        <v>11</v>
      </c>
      <c r="F107" s="35">
        <f>B110-B107</f>
        <v>2.083333333333337E-2</v>
      </c>
      <c r="G107" s="35"/>
      <c r="H107" s="62"/>
      <c r="I107" s="35"/>
      <c r="J107" s="35"/>
      <c r="K107" s="35"/>
      <c r="L107" s="36"/>
      <c r="M107" s="40"/>
      <c r="N107" s="61"/>
    </row>
    <row r="108" spans="1:14" ht="40.049999999999997" customHeight="1" x14ac:dyDescent="0.45">
      <c r="A108" s="14" t="s">
        <v>435</v>
      </c>
      <c r="B108" s="322">
        <v>0.5625</v>
      </c>
      <c r="C108" s="319" t="s">
        <v>36</v>
      </c>
      <c r="D108" s="35" t="str">
        <f>VLOOKUP(C108,'Liste chauffeur'!$B$5:$L$20,2,TRUE)&amp;" "&amp;VLOOKUP(C108,'Liste chauffeur'!$B$5:$L$20,3,TRUE)</f>
        <v>BINA HALADI Bina</v>
      </c>
      <c r="E108" s="53">
        <v>10</v>
      </c>
      <c r="F108" s="35">
        <f>B109-B108</f>
        <v>2.083333333333337E-2</v>
      </c>
      <c r="G108" s="35"/>
      <c r="H108" s="62"/>
      <c r="I108" s="35"/>
      <c r="J108" s="35"/>
      <c r="K108" s="35"/>
      <c r="L108" s="36"/>
      <c r="M108" s="40"/>
      <c r="N108" s="61"/>
    </row>
    <row r="109" spans="1:14" ht="40.049999999999997" customHeight="1" x14ac:dyDescent="0.45">
      <c r="A109" s="14" t="s">
        <v>8</v>
      </c>
      <c r="B109" s="322">
        <v>0.58333333333333337</v>
      </c>
      <c r="C109" s="319" t="s">
        <v>36</v>
      </c>
      <c r="D109" s="35" t="str">
        <f>VLOOKUP(C109,'Liste chauffeur'!$B$5:$L$20,2,TRUE)&amp;" "&amp;VLOOKUP(C109,'Liste chauffeur'!$B$5:$L$20,3,TRUE)</f>
        <v>BINA HALADI Bina</v>
      </c>
      <c r="E109" s="53">
        <v>11</v>
      </c>
      <c r="F109" s="35">
        <f>B112-B109</f>
        <v>2.0833333333333259E-2</v>
      </c>
      <c r="G109" s="35"/>
      <c r="H109" s="62"/>
      <c r="I109" s="35"/>
      <c r="J109" s="35"/>
      <c r="K109" s="35"/>
      <c r="L109" s="36"/>
      <c r="M109" s="40"/>
      <c r="N109" s="61"/>
    </row>
    <row r="110" spans="1:14" ht="40.049999999999997" customHeight="1" x14ac:dyDescent="0.45">
      <c r="A110" s="14" t="s">
        <v>435</v>
      </c>
      <c r="B110" s="321">
        <v>0.58333333333333337</v>
      </c>
      <c r="C110" s="320" t="s">
        <v>46</v>
      </c>
      <c r="D110" s="35" t="str">
        <f>VLOOKUP(C110,'Liste chauffeur'!$B$5:$L$20,2,TRUE)&amp;" "&amp;VLOOKUP(C110,'Liste chauffeur'!$B$5:$L$20,3,TRUE)</f>
        <v>KAMARDINE Mansour</v>
      </c>
      <c r="E110" s="53">
        <v>12</v>
      </c>
      <c r="F110" s="35"/>
      <c r="G110" s="35"/>
      <c r="H110" s="62"/>
      <c r="I110" s="35"/>
      <c r="J110" s="35"/>
      <c r="K110" s="35"/>
      <c r="L110" s="36"/>
      <c r="M110" s="40"/>
      <c r="N110" s="61"/>
    </row>
    <row r="111" spans="1:14" ht="40.049999999999997" customHeight="1" x14ac:dyDescent="0.45">
      <c r="A111" s="14" t="s">
        <v>8</v>
      </c>
      <c r="B111" s="48">
        <v>0.60416666666666663</v>
      </c>
      <c r="C111" s="320" t="s">
        <v>27</v>
      </c>
      <c r="D111" s="35" t="str">
        <f>VLOOKUP(C111,'Liste chauffeur'!$B$5:$L$20,2,TRUE)&amp;" "&amp;VLOOKUP(C111,'Liste chauffeur'!$B$5:$L$20,3,TRUE)</f>
        <v>ABDOU MINIHADJI Amada</v>
      </c>
      <c r="E111" s="53">
        <v>10</v>
      </c>
      <c r="F111" s="35">
        <f>B114-B111</f>
        <v>2.083333333333337E-2</v>
      </c>
      <c r="G111" s="35"/>
      <c r="H111" s="62"/>
      <c r="I111" s="35"/>
      <c r="J111" s="35"/>
      <c r="K111" s="35"/>
      <c r="L111" s="36"/>
      <c r="M111" s="40"/>
      <c r="N111" s="61"/>
    </row>
    <row r="112" spans="1:14" ht="40.049999999999997" customHeight="1" x14ac:dyDescent="0.45">
      <c r="A112" s="14" t="s">
        <v>435</v>
      </c>
      <c r="B112" s="322">
        <v>0.60416666666666663</v>
      </c>
      <c r="C112" s="319" t="s">
        <v>36</v>
      </c>
      <c r="D112" s="35" t="str">
        <f>VLOOKUP(C112,'Liste chauffeur'!$B$5:$L$20,2,TRUE)&amp;" "&amp;VLOOKUP(C112,'Liste chauffeur'!$B$5:$L$20,3,TRUE)</f>
        <v>BINA HALADI Bina</v>
      </c>
      <c r="E112" s="53">
        <v>12</v>
      </c>
      <c r="F112" s="35">
        <f>B113-B112</f>
        <v>2.083333333333337E-2</v>
      </c>
      <c r="G112" s="35"/>
      <c r="H112" s="62"/>
      <c r="I112" s="35"/>
      <c r="J112" s="35"/>
      <c r="K112" s="35"/>
      <c r="L112" s="36"/>
      <c r="M112" s="40"/>
      <c r="N112" s="61"/>
    </row>
    <row r="113" spans="1:14" ht="40.049999999999997" customHeight="1" x14ac:dyDescent="0.45">
      <c r="A113" s="14" t="s">
        <v>8</v>
      </c>
      <c r="B113" s="322">
        <v>0.625</v>
      </c>
      <c r="C113" s="319" t="s">
        <v>36</v>
      </c>
      <c r="D113" s="35" t="str">
        <f>VLOOKUP(C113,'Liste chauffeur'!$B$5:$L$20,2,TRUE)&amp;" "&amp;VLOOKUP(C113,'Liste chauffeur'!$B$5:$L$20,3,TRUE)</f>
        <v>BINA HALADI Bina</v>
      </c>
      <c r="E113" s="53">
        <v>13</v>
      </c>
      <c r="F113" s="35">
        <f>B116-B113</f>
        <v>1.041666666666663E-2</v>
      </c>
      <c r="G113" s="35"/>
      <c r="H113" s="62"/>
      <c r="I113" s="35"/>
      <c r="J113" s="35"/>
      <c r="K113" s="35"/>
      <c r="L113" s="36"/>
      <c r="M113" s="40"/>
      <c r="N113" s="61"/>
    </row>
    <row r="114" spans="1:14" ht="40.049999999999997" customHeight="1" x14ac:dyDescent="0.45">
      <c r="A114" s="14" t="s">
        <v>435</v>
      </c>
      <c r="B114" s="322">
        <v>0.625</v>
      </c>
      <c r="C114" s="320" t="s">
        <v>27</v>
      </c>
      <c r="D114" s="35" t="str">
        <f>VLOOKUP(C114,'Liste chauffeur'!$B$5:$L$20,2,TRUE)&amp;" "&amp;VLOOKUP(C114,'Liste chauffeur'!$B$5:$L$20,3,TRUE)</f>
        <v>ABDOU MINIHADJI Amada</v>
      </c>
      <c r="E114" s="53">
        <v>11</v>
      </c>
      <c r="F114" s="35">
        <f>B115-B114</f>
        <v>1.041666666666663E-2</v>
      </c>
      <c r="G114" s="35"/>
      <c r="H114" s="62"/>
      <c r="I114" s="35"/>
      <c r="J114" s="35"/>
      <c r="K114" s="35"/>
      <c r="L114" s="36"/>
      <c r="M114" s="40"/>
      <c r="N114" s="61"/>
    </row>
    <row r="115" spans="1:14" ht="40.049999999999997" customHeight="1" x14ac:dyDescent="0.45">
      <c r="A115" s="14" t="s">
        <v>8</v>
      </c>
      <c r="B115" s="322">
        <v>0.63541666666666663</v>
      </c>
      <c r="C115" s="320" t="s">
        <v>27</v>
      </c>
      <c r="D115" s="35" t="str">
        <f>VLOOKUP(C115,'Liste chauffeur'!$B$5:$L$20,2,TRUE)&amp;" "&amp;VLOOKUP(C115,'Liste chauffeur'!$B$5:$L$20,3,TRUE)</f>
        <v>ABDOU MINIHADJI Amada</v>
      </c>
      <c r="E115" s="53">
        <v>12</v>
      </c>
      <c r="F115" s="35">
        <f>B118-B115</f>
        <v>1.0416666666666741E-2</v>
      </c>
      <c r="G115" s="35"/>
      <c r="H115" s="62"/>
      <c r="I115" s="35"/>
      <c r="J115" s="35"/>
      <c r="K115" s="35"/>
      <c r="L115" s="36"/>
      <c r="M115" s="40"/>
      <c r="N115" s="61"/>
    </row>
    <row r="116" spans="1:14" ht="40.049999999999997" customHeight="1" x14ac:dyDescent="0.45">
      <c r="A116" s="14" t="s">
        <v>435</v>
      </c>
      <c r="B116" s="322">
        <v>0.63541666666666663</v>
      </c>
      <c r="C116" s="319" t="s">
        <v>36</v>
      </c>
      <c r="D116" s="35" t="str">
        <f>VLOOKUP(C116,'Liste chauffeur'!$B$5:$L$20,2,TRUE)&amp;" "&amp;VLOOKUP(C116,'Liste chauffeur'!$B$5:$L$20,3,TRUE)</f>
        <v>BINA HALADI Bina</v>
      </c>
      <c r="E116" s="53">
        <v>14</v>
      </c>
      <c r="F116" s="35">
        <f>B117-B116</f>
        <v>1.0416666666666741E-2</v>
      </c>
      <c r="G116" s="35"/>
      <c r="H116" s="62"/>
      <c r="I116" s="35"/>
      <c r="J116" s="35"/>
      <c r="K116" s="35"/>
      <c r="L116" s="36"/>
      <c r="M116" s="40"/>
      <c r="N116" s="61"/>
    </row>
    <row r="117" spans="1:14" ht="40.049999999999997" customHeight="1" x14ac:dyDescent="0.45">
      <c r="A117" s="14" t="s">
        <v>8</v>
      </c>
      <c r="B117" s="322">
        <v>0.64583333333333337</v>
      </c>
      <c r="C117" s="319" t="s">
        <v>36</v>
      </c>
      <c r="D117" s="35" t="str">
        <f>VLOOKUP(C117,'Liste chauffeur'!$B$5:$L$20,2,TRUE)&amp;" "&amp;VLOOKUP(C117,'Liste chauffeur'!$B$5:$L$20,3,TRUE)</f>
        <v>BINA HALADI Bina</v>
      </c>
      <c r="E117" s="53">
        <v>15</v>
      </c>
      <c r="F117" s="35">
        <f>B120-B117</f>
        <v>1.041666666666663E-2</v>
      </c>
      <c r="G117" s="35"/>
      <c r="H117" s="62"/>
      <c r="I117" s="35"/>
      <c r="J117" s="35"/>
      <c r="K117" s="35"/>
      <c r="L117" s="36"/>
      <c r="M117" s="40"/>
      <c r="N117" s="61"/>
    </row>
    <row r="118" spans="1:14" ht="40.049999999999997" customHeight="1" x14ac:dyDescent="0.45">
      <c r="A118" s="14" t="s">
        <v>435</v>
      </c>
      <c r="B118" s="322">
        <v>0.64583333333333337</v>
      </c>
      <c r="C118" s="320" t="s">
        <v>27</v>
      </c>
      <c r="D118" s="35" t="str">
        <f>VLOOKUP(C118,'Liste chauffeur'!$B$5:$L$20,2,TRUE)&amp;" "&amp;VLOOKUP(C118,'Liste chauffeur'!$B$5:$L$20,3,TRUE)</f>
        <v>ABDOU MINIHADJI Amada</v>
      </c>
      <c r="E118" s="53">
        <v>13</v>
      </c>
      <c r="F118" s="35">
        <f>B119-B118</f>
        <v>1.041666666666663E-2</v>
      </c>
      <c r="G118" s="35"/>
      <c r="H118" s="62"/>
      <c r="I118" s="35"/>
      <c r="J118" s="35"/>
      <c r="K118" s="35"/>
      <c r="L118" s="36"/>
      <c r="M118" s="40"/>
      <c r="N118" s="61"/>
    </row>
    <row r="119" spans="1:14" ht="40.049999999999997" customHeight="1" x14ac:dyDescent="0.45">
      <c r="A119" s="14" t="s">
        <v>8</v>
      </c>
      <c r="B119" s="322">
        <v>0.65625</v>
      </c>
      <c r="C119" s="320" t="s">
        <v>27</v>
      </c>
      <c r="D119" s="35" t="str">
        <f>VLOOKUP(C119,'Liste chauffeur'!$B$5:$L$20,2,TRUE)&amp;" "&amp;VLOOKUP(C119,'Liste chauffeur'!$B$5:$L$20,3,TRUE)</f>
        <v>ABDOU MINIHADJI Amada</v>
      </c>
      <c r="E119" s="53">
        <v>14</v>
      </c>
      <c r="F119" s="35">
        <f>B122-B119</f>
        <v>1.041666666666663E-2</v>
      </c>
      <c r="G119" s="35"/>
      <c r="H119" s="62"/>
      <c r="I119" s="35"/>
      <c r="J119" s="35"/>
      <c r="K119" s="35"/>
      <c r="L119" s="36"/>
      <c r="M119" s="40"/>
      <c r="N119" s="61"/>
    </row>
    <row r="120" spans="1:14" ht="40.049999999999997" customHeight="1" x14ac:dyDescent="0.45">
      <c r="A120" s="14" t="s">
        <v>435</v>
      </c>
      <c r="B120" s="321">
        <v>0.65625</v>
      </c>
      <c r="C120" s="319" t="s">
        <v>36</v>
      </c>
      <c r="D120" s="35" t="str">
        <f>VLOOKUP(C120,'Liste chauffeur'!$B$5:$L$20,2,TRUE)&amp;" "&amp;VLOOKUP(C120,'Liste chauffeur'!$B$5:$L$20,3,TRUE)</f>
        <v>BINA HALADI Bina</v>
      </c>
      <c r="E120" s="53">
        <v>16</v>
      </c>
      <c r="F120" s="35"/>
      <c r="G120" s="35"/>
      <c r="H120" s="62"/>
      <c r="I120" s="35"/>
      <c r="J120" s="35"/>
      <c r="K120" s="35"/>
      <c r="L120" s="36"/>
      <c r="M120" s="40"/>
      <c r="N120" s="61"/>
    </row>
    <row r="121" spans="1:14" ht="40.049999999999997" customHeight="1" x14ac:dyDescent="0.45">
      <c r="A121" s="14" t="s">
        <v>8</v>
      </c>
      <c r="B121" s="48">
        <v>0.66666666666666663</v>
      </c>
      <c r="C121" s="319" t="s">
        <v>44</v>
      </c>
      <c r="D121" s="35" t="str">
        <f>VLOOKUP(C121,'Liste chauffeur'!$B$5:$L$20,2,TRUE)&amp;" "&amp;VLOOKUP(C121,'Liste chauffeur'!$B$5:$L$20,3,TRUE)</f>
        <v>ALILOIFFA Said Siradj</v>
      </c>
      <c r="E121" s="53">
        <v>3</v>
      </c>
      <c r="F121" s="35">
        <f>B124-B121</f>
        <v>1.0416666666666741E-2</v>
      </c>
      <c r="G121" s="35"/>
      <c r="H121" s="62"/>
      <c r="I121" s="35"/>
      <c r="J121" s="35"/>
      <c r="K121" s="35"/>
      <c r="L121" s="36"/>
      <c r="M121" s="40"/>
      <c r="N121" s="61"/>
    </row>
    <row r="122" spans="1:14" ht="40.049999999999997" customHeight="1" x14ac:dyDescent="0.45">
      <c r="A122" s="14" t="s">
        <v>435</v>
      </c>
      <c r="B122" s="322">
        <v>0.66666666666666663</v>
      </c>
      <c r="C122" s="319" t="s">
        <v>27</v>
      </c>
      <c r="D122" s="35" t="str">
        <f>VLOOKUP(C122,'Liste chauffeur'!$B$5:$L$20,2,TRUE)&amp;" "&amp;VLOOKUP(C122,'Liste chauffeur'!$B$5:$L$20,3,TRUE)</f>
        <v>ABDOU MINIHADJI Amada</v>
      </c>
      <c r="E122" s="53">
        <v>15</v>
      </c>
      <c r="F122" s="35">
        <f>B123-B122</f>
        <v>1.0416666666666741E-2</v>
      </c>
      <c r="G122" s="35"/>
      <c r="H122" s="62"/>
      <c r="I122" s="35"/>
      <c r="J122" s="35"/>
      <c r="K122" s="35"/>
      <c r="L122" s="36"/>
      <c r="M122" s="40"/>
      <c r="N122" s="61"/>
    </row>
    <row r="123" spans="1:14" ht="40.049999999999997" customHeight="1" x14ac:dyDescent="0.45">
      <c r="A123" s="14" t="s">
        <v>8</v>
      </c>
      <c r="B123" s="321">
        <v>0.67708333333333337</v>
      </c>
      <c r="C123" s="320" t="s">
        <v>27</v>
      </c>
      <c r="D123" s="35" t="str">
        <f>VLOOKUP(C123,'Liste chauffeur'!$B$5:$L$20,2,TRUE)&amp;" "&amp;VLOOKUP(C123,'Liste chauffeur'!$B$5:$L$20,3,TRUE)</f>
        <v>ABDOU MINIHADJI Amada</v>
      </c>
      <c r="E123" s="53">
        <v>16</v>
      </c>
      <c r="F123" s="35">
        <f>B126-B123</f>
        <v>1.041666666666663E-2</v>
      </c>
      <c r="G123" s="35"/>
      <c r="H123" s="62"/>
      <c r="I123" s="35"/>
      <c r="J123" s="35"/>
      <c r="K123" s="35"/>
      <c r="L123" s="36"/>
      <c r="M123" s="40"/>
      <c r="N123" s="61"/>
    </row>
    <row r="124" spans="1:14" ht="40.049999999999997" customHeight="1" x14ac:dyDescent="0.45">
      <c r="A124" s="14" t="s">
        <v>435</v>
      </c>
      <c r="B124" s="322">
        <v>0.67708333333333337</v>
      </c>
      <c r="C124" s="319" t="s">
        <v>44</v>
      </c>
      <c r="D124" s="35" t="str">
        <f>VLOOKUP(C124,'Liste chauffeur'!$B$5:$L$20,2,TRUE)&amp;" "&amp;VLOOKUP(C124,'Liste chauffeur'!$B$5:$L$20,3,TRUE)</f>
        <v>ALILOIFFA Said Siradj</v>
      </c>
      <c r="E124" s="53">
        <v>4</v>
      </c>
      <c r="F124" s="35">
        <f>B125-B124</f>
        <v>1.041666666666663E-2</v>
      </c>
      <c r="G124" s="35"/>
      <c r="H124" s="62"/>
      <c r="I124" s="35"/>
      <c r="J124" s="35"/>
      <c r="K124" s="35"/>
      <c r="L124" s="36"/>
      <c r="M124" s="40"/>
      <c r="N124" s="61"/>
    </row>
    <row r="125" spans="1:14" ht="40.049999999999997" customHeight="1" x14ac:dyDescent="0.45">
      <c r="A125" s="14" t="s">
        <v>8</v>
      </c>
      <c r="B125" s="322">
        <v>0.6875</v>
      </c>
      <c r="C125" s="320" t="s">
        <v>44</v>
      </c>
      <c r="D125" s="35" t="str">
        <f>VLOOKUP(C125,'Liste chauffeur'!$B$5:$L$20,2,TRUE)&amp;" "&amp;VLOOKUP(C125,'Liste chauffeur'!$B$5:$L$20,3,TRUE)</f>
        <v>ALILOIFFA Said Siradj</v>
      </c>
      <c r="E125" s="53">
        <v>5</v>
      </c>
      <c r="F125" s="35">
        <f>B128-B125</f>
        <v>1.041666666666663E-2</v>
      </c>
      <c r="G125" s="35"/>
      <c r="H125" s="62"/>
      <c r="I125" s="35"/>
      <c r="J125" s="35"/>
      <c r="K125" s="35"/>
      <c r="L125" s="36"/>
      <c r="M125" s="40"/>
      <c r="N125" s="61"/>
    </row>
    <row r="126" spans="1:14" ht="40.049999999999997" customHeight="1" x14ac:dyDescent="0.45">
      <c r="A126" s="14" t="s">
        <v>435</v>
      </c>
      <c r="B126" s="48">
        <v>0.6875</v>
      </c>
      <c r="C126" s="320" t="s">
        <v>49</v>
      </c>
      <c r="D126" s="35" t="str">
        <f>VLOOKUP(C126,'Liste chauffeur'!$B$5:$L$20,2,TRUE)&amp;" "&amp;VLOOKUP(C126,'Liste chauffeur'!$B$5:$L$20,3,TRUE)</f>
        <v>AHAMADI Bacar Raenmouddine</v>
      </c>
      <c r="E126" s="53">
        <v>7</v>
      </c>
      <c r="F126" s="35">
        <f>B127-B126</f>
        <v>1.041666666666663E-2</v>
      </c>
      <c r="G126" s="35"/>
      <c r="H126" s="62"/>
      <c r="I126" s="35"/>
      <c r="J126" s="35"/>
      <c r="K126" s="35"/>
      <c r="L126" s="36"/>
      <c r="M126" s="40"/>
      <c r="N126" s="61"/>
    </row>
    <row r="127" spans="1:14" ht="40.049999999999997" customHeight="1" x14ac:dyDescent="0.45">
      <c r="A127" s="14" t="s">
        <v>8</v>
      </c>
      <c r="B127" s="322">
        <v>0.69791666666666663</v>
      </c>
      <c r="C127" s="320" t="s">
        <v>49</v>
      </c>
      <c r="D127" s="35" t="str">
        <f>VLOOKUP(C127,'Liste chauffeur'!$B$5:$L$20,2,TRUE)&amp;" "&amp;VLOOKUP(C127,'Liste chauffeur'!$B$5:$L$20,3,TRUE)</f>
        <v>AHAMADI Bacar Raenmouddine</v>
      </c>
      <c r="E127" s="53">
        <v>8</v>
      </c>
      <c r="F127" s="35">
        <f>B130-B127</f>
        <v>1.0416666666666741E-2</v>
      </c>
      <c r="G127" s="35"/>
      <c r="H127" s="62"/>
      <c r="I127" s="35"/>
      <c r="J127" s="35"/>
      <c r="K127" s="35"/>
      <c r="L127" s="36"/>
      <c r="M127" s="40"/>
      <c r="N127" s="61"/>
    </row>
    <row r="128" spans="1:14" ht="40.049999999999997" customHeight="1" x14ac:dyDescent="0.45">
      <c r="A128" s="14" t="s">
        <v>435</v>
      </c>
      <c r="B128" s="322">
        <v>0.69791666666666663</v>
      </c>
      <c r="C128" s="320" t="s">
        <v>44</v>
      </c>
      <c r="D128" s="35" t="str">
        <f>VLOOKUP(C128,'Liste chauffeur'!$B$5:$L$20,2,TRUE)&amp;" "&amp;VLOOKUP(C128,'Liste chauffeur'!$B$5:$L$20,3,TRUE)</f>
        <v>ALILOIFFA Said Siradj</v>
      </c>
      <c r="E128" s="53">
        <v>6</v>
      </c>
      <c r="F128" s="35">
        <f>B129-B128</f>
        <v>1.0416666666666741E-2</v>
      </c>
      <c r="G128" s="35"/>
      <c r="H128" s="62"/>
      <c r="I128" s="35"/>
      <c r="J128" s="35"/>
      <c r="K128" s="35"/>
      <c r="L128" s="36"/>
      <c r="M128" s="40"/>
      <c r="N128" s="61"/>
    </row>
    <row r="129" spans="1:14" ht="40.049999999999997" customHeight="1" x14ac:dyDescent="0.45">
      <c r="A129" s="14" t="s">
        <v>8</v>
      </c>
      <c r="B129" s="322">
        <v>0.70833333333333337</v>
      </c>
      <c r="C129" s="320" t="s">
        <v>44</v>
      </c>
      <c r="D129" s="35" t="str">
        <f>VLOOKUP(C129,'Liste chauffeur'!$B$5:$L$20,2,TRUE)&amp;" "&amp;VLOOKUP(C129,'Liste chauffeur'!$B$5:$L$20,3,TRUE)</f>
        <v>ALILOIFFA Said Siradj</v>
      </c>
      <c r="E129" s="53">
        <v>7</v>
      </c>
      <c r="F129" s="35">
        <f>B132-B129</f>
        <v>1.041666666666663E-2</v>
      </c>
      <c r="G129" s="35"/>
      <c r="H129" s="62"/>
      <c r="I129" s="35"/>
      <c r="J129" s="35"/>
      <c r="K129" s="35"/>
      <c r="L129" s="36"/>
      <c r="M129" s="40"/>
      <c r="N129" s="61"/>
    </row>
    <row r="130" spans="1:14" ht="40.049999999999997" customHeight="1" x14ac:dyDescent="0.45">
      <c r="A130" s="14" t="s">
        <v>435</v>
      </c>
      <c r="B130" s="322">
        <v>0.70833333333333337</v>
      </c>
      <c r="C130" s="320" t="s">
        <v>49</v>
      </c>
      <c r="D130" s="35" t="str">
        <f>VLOOKUP(C130,'Liste chauffeur'!$B$5:$L$20,2,TRUE)&amp;" "&amp;VLOOKUP(C130,'Liste chauffeur'!$B$5:$L$20,3,TRUE)</f>
        <v>AHAMADI Bacar Raenmouddine</v>
      </c>
      <c r="E130" s="53">
        <v>9</v>
      </c>
      <c r="F130" s="35">
        <f>B131-B130</f>
        <v>1.041666666666663E-2</v>
      </c>
      <c r="G130" s="35"/>
      <c r="H130" s="62"/>
      <c r="I130" s="35"/>
      <c r="J130" s="35"/>
      <c r="K130" s="35"/>
      <c r="L130" s="36"/>
      <c r="M130" s="40"/>
      <c r="N130" s="61"/>
    </row>
    <row r="131" spans="1:14" ht="40.049999999999997" customHeight="1" x14ac:dyDescent="0.45">
      <c r="A131" s="14" t="s">
        <v>8</v>
      </c>
      <c r="B131" s="322">
        <v>0.71875</v>
      </c>
      <c r="C131" s="320" t="s">
        <v>49</v>
      </c>
      <c r="D131" s="35" t="str">
        <f>VLOOKUP(C131,'Liste chauffeur'!$B$5:$L$20,2,TRUE)&amp;" "&amp;VLOOKUP(C131,'Liste chauffeur'!$B$5:$L$20,3,TRUE)</f>
        <v>AHAMADI Bacar Raenmouddine</v>
      </c>
      <c r="E131" s="53">
        <v>10</v>
      </c>
      <c r="F131" s="35">
        <f>B134-B131</f>
        <v>1.041666666666663E-2</v>
      </c>
      <c r="G131" s="35"/>
      <c r="H131" s="62"/>
      <c r="I131" s="35"/>
      <c r="J131" s="35"/>
      <c r="K131" s="35"/>
      <c r="L131" s="36"/>
      <c r="M131" s="40"/>
      <c r="N131" s="61"/>
    </row>
    <row r="132" spans="1:14" ht="40.049999999999997" customHeight="1" x14ac:dyDescent="0.45">
      <c r="A132" s="14" t="s">
        <v>435</v>
      </c>
      <c r="B132" s="322">
        <v>0.71875</v>
      </c>
      <c r="C132" s="320" t="s">
        <v>44</v>
      </c>
      <c r="D132" s="35" t="str">
        <f>VLOOKUP(C132,'Liste chauffeur'!$B$5:$L$20,2,TRUE)&amp;" "&amp;VLOOKUP(C132,'Liste chauffeur'!$B$5:$L$20,3,TRUE)</f>
        <v>ALILOIFFA Said Siradj</v>
      </c>
      <c r="E132" s="53">
        <v>8</v>
      </c>
      <c r="F132" s="35">
        <f>B133-B132</f>
        <v>1.041666666666663E-2</v>
      </c>
      <c r="G132" s="35"/>
      <c r="H132" s="62"/>
      <c r="I132" s="35"/>
      <c r="J132" s="35"/>
      <c r="K132" s="35"/>
      <c r="L132" s="36"/>
      <c r="M132" s="40"/>
      <c r="N132" s="61"/>
    </row>
    <row r="133" spans="1:14" ht="40.049999999999997" customHeight="1" x14ac:dyDescent="0.45">
      <c r="A133" s="14" t="s">
        <v>8</v>
      </c>
      <c r="B133" s="322">
        <v>0.72916666666666663</v>
      </c>
      <c r="C133" s="320" t="s">
        <v>44</v>
      </c>
      <c r="D133" s="35" t="str">
        <f>VLOOKUP(C133,'Liste chauffeur'!$B$5:$L$20,2,TRUE)&amp;" "&amp;VLOOKUP(C133,'Liste chauffeur'!$B$5:$L$20,3,TRUE)</f>
        <v>ALILOIFFA Said Siradj</v>
      </c>
      <c r="E133" s="53">
        <v>9</v>
      </c>
      <c r="F133" s="35">
        <f>B136-B133</f>
        <v>1.0416666666666741E-2</v>
      </c>
      <c r="G133" s="35"/>
      <c r="H133" s="62"/>
      <c r="I133" s="35"/>
      <c r="J133" s="35"/>
      <c r="K133" s="35"/>
      <c r="L133" s="36"/>
      <c r="M133" s="40"/>
      <c r="N133" s="61"/>
    </row>
    <row r="134" spans="1:14" ht="40.049999999999997" customHeight="1" x14ac:dyDescent="0.45">
      <c r="A134" s="14" t="s">
        <v>435</v>
      </c>
      <c r="B134" s="322">
        <v>0.72916666666666663</v>
      </c>
      <c r="C134" s="320" t="s">
        <v>49</v>
      </c>
      <c r="D134" s="35" t="str">
        <f>VLOOKUP(C134,'Liste chauffeur'!$B$5:$L$20,2,TRUE)&amp;" "&amp;VLOOKUP(C134,'Liste chauffeur'!$B$5:$L$20,3,TRUE)</f>
        <v>AHAMADI Bacar Raenmouddine</v>
      </c>
      <c r="E134" s="53">
        <v>11</v>
      </c>
      <c r="F134" s="35">
        <f>B135-B134</f>
        <v>1.0416666666666741E-2</v>
      </c>
      <c r="G134" s="35"/>
      <c r="H134" s="62"/>
      <c r="I134" s="35"/>
      <c r="J134" s="35"/>
      <c r="K134" s="35"/>
      <c r="L134" s="36"/>
      <c r="M134" s="40"/>
      <c r="N134" s="61"/>
    </row>
    <row r="135" spans="1:14" ht="40.049999999999997" customHeight="1" x14ac:dyDescent="0.45">
      <c r="A135" s="14" t="s">
        <v>8</v>
      </c>
      <c r="B135" s="322">
        <v>0.73958333333333337</v>
      </c>
      <c r="C135" s="320" t="s">
        <v>49</v>
      </c>
      <c r="D135" s="35" t="str">
        <f>VLOOKUP(C135,'Liste chauffeur'!$B$5:$L$20,2,TRUE)&amp;" "&amp;VLOOKUP(C135,'Liste chauffeur'!$B$5:$L$20,3,TRUE)</f>
        <v>AHAMADI Bacar Raenmouddine</v>
      </c>
      <c r="E135" s="53">
        <v>12</v>
      </c>
      <c r="F135" s="35">
        <f>B138-B135</f>
        <v>1.041666666666663E-2</v>
      </c>
      <c r="G135" s="35"/>
      <c r="H135" s="62"/>
      <c r="I135" s="35"/>
      <c r="J135" s="35"/>
      <c r="K135" s="35"/>
      <c r="L135" s="36"/>
      <c r="M135" s="40"/>
      <c r="N135" s="61"/>
    </row>
    <row r="136" spans="1:14" ht="40.049999999999997" customHeight="1" x14ac:dyDescent="0.45">
      <c r="A136" s="14" t="s">
        <v>435</v>
      </c>
      <c r="B136" s="322">
        <v>0.73958333333333337</v>
      </c>
      <c r="C136" s="320" t="s">
        <v>44</v>
      </c>
      <c r="D136" s="35" t="str">
        <f>VLOOKUP(C136,'Liste chauffeur'!$B$5:$L$20,2,TRUE)&amp;" "&amp;VLOOKUP(C136,'Liste chauffeur'!$B$5:$L$20,3,TRUE)</f>
        <v>ALILOIFFA Said Siradj</v>
      </c>
      <c r="E136" s="53">
        <v>10</v>
      </c>
      <c r="F136" s="35">
        <f>B137-B136</f>
        <v>1.041666666666663E-2</v>
      </c>
      <c r="G136" s="35"/>
      <c r="H136" s="62"/>
      <c r="I136" s="35"/>
      <c r="J136" s="35"/>
      <c r="K136" s="35"/>
      <c r="L136" s="36"/>
      <c r="M136" s="40"/>
      <c r="N136" s="61"/>
    </row>
    <row r="137" spans="1:14" ht="40.049999999999997" customHeight="1" x14ac:dyDescent="0.45">
      <c r="A137" s="14" t="s">
        <v>8</v>
      </c>
      <c r="B137" s="321">
        <v>0.75</v>
      </c>
      <c r="C137" s="320" t="s">
        <v>44</v>
      </c>
      <c r="D137" s="35" t="str">
        <f>VLOOKUP(C137,'Liste chauffeur'!$B$5:$L$20,2,TRUE)&amp;" "&amp;VLOOKUP(C137,'Liste chauffeur'!$B$5:$L$20,3,TRUE)</f>
        <v>ALILOIFFA Said Siradj</v>
      </c>
      <c r="E137" s="53">
        <v>11</v>
      </c>
      <c r="F137" s="35"/>
      <c r="G137" s="35"/>
      <c r="H137" s="62"/>
      <c r="I137" s="35"/>
      <c r="J137" s="35"/>
      <c r="K137" s="35"/>
      <c r="L137" s="36"/>
      <c r="M137" s="40"/>
      <c r="N137" s="61"/>
    </row>
    <row r="138" spans="1:14" ht="40.049999999999997" customHeight="1" x14ac:dyDescent="0.45">
      <c r="A138" s="14" t="s">
        <v>435</v>
      </c>
      <c r="B138" s="321">
        <v>0.75</v>
      </c>
      <c r="C138" s="320" t="s">
        <v>49</v>
      </c>
      <c r="D138" s="35" t="str">
        <f>VLOOKUP(C138,'Liste chauffeur'!$B$5:$L$20,2,TRUE)&amp;" "&amp;VLOOKUP(C138,'Liste chauffeur'!$B$5:$L$20,3,TRUE)</f>
        <v>AHAMADI Bacar Raenmouddine</v>
      </c>
      <c r="E138" s="53">
        <v>13</v>
      </c>
      <c r="F138" s="35"/>
      <c r="G138" s="35"/>
      <c r="H138" s="62"/>
      <c r="I138" s="35"/>
      <c r="J138" s="35"/>
      <c r="K138" s="35"/>
      <c r="L138" s="36"/>
      <c r="M138" s="40"/>
      <c r="N138" s="61"/>
    </row>
  </sheetData>
  <autoFilter ref="A7:K138" xr:uid="{E15BAD97-4E2F-4149-89CB-3FE52EBB9FA2}"/>
  <phoneticPr fontId="5" type="noConversion"/>
  <pageMargins left="0.23622047244094491" right="0.23622047244094491" top="0.74803149606299213" bottom="0.74803149606299213" header="0.31496062992125984" footer="0.31496062992125984"/>
  <pageSetup paperSize="9" scale="4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4F55-1BC1-42F0-8E5F-2A79D5E431CA}">
  <sheetPr>
    <pageSetUpPr fitToPage="1"/>
  </sheetPr>
  <dimension ref="A3:N54"/>
  <sheetViews>
    <sheetView topLeftCell="A37" zoomScale="99" zoomScaleNormal="99" workbookViewId="0">
      <selection activeCell="A45" sqref="A45"/>
    </sheetView>
  </sheetViews>
  <sheetFormatPr baseColWidth="10" defaultRowHeight="14.25" x14ac:dyDescent="0.45"/>
  <cols>
    <col min="1" max="1" width="11.796875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412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414</v>
      </c>
      <c r="B7" s="3" t="s">
        <v>0</v>
      </c>
      <c r="C7" s="3" t="s">
        <v>25</v>
      </c>
      <c r="D7" s="3" t="s">
        <v>26</v>
      </c>
      <c r="E7" s="3" t="s">
        <v>398</v>
      </c>
      <c r="F7" s="3" t="s">
        <v>397</v>
      </c>
      <c r="G7" s="3" t="s">
        <v>399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40.049999999999997" customHeight="1" x14ac:dyDescent="0.45">
      <c r="A8" s="14" t="s">
        <v>8</v>
      </c>
      <c r="B8" s="48">
        <v>0.25</v>
      </c>
      <c r="C8" s="320" t="s">
        <v>43</v>
      </c>
      <c r="D8" s="35" t="str">
        <f>VLOOKUP(C8,'Liste chauffeur'!$B$5:$L$20,2,TRUE)&amp;" "&amp;VLOOKUP(C8,'Liste chauffeur'!$B$5:$L$20,3,TRUE)</f>
        <v>MADI BOINA Mkidachi</v>
      </c>
      <c r="E8" s="53">
        <v>1</v>
      </c>
      <c r="F8" s="35">
        <f>B10-B8</f>
        <v>2.0833333333333315E-2</v>
      </c>
      <c r="G8" s="35"/>
      <c r="H8" s="62"/>
      <c r="I8" s="35"/>
      <c r="J8" s="62"/>
      <c r="K8" s="35"/>
      <c r="L8" s="36"/>
      <c r="M8" s="40"/>
      <c r="N8" s="61"/>
    </row>
    <row r="9" spans="1:14" ht="40.049999999999997" customHeight="1" x14ac:dyDescent="0.45">
      <c r="A9" s="14" t="s">
        <v>8</v>
      </c>
      <c r="B9" s="48">
        <v>0.27083333333333331</v>
      </c>
      <c r="C9" s="320" t="s">
        <v>41</v>
      </c>
      <c r="D9" s="35" t="str">
        <f>VLOOKUP(C9,'Liste chauffeur'!$B$5:$L$20,2,TRUE)&amp;" "&amp;VLOOKUP(C9,'Liste chauffeur'!$B$5:$L$20,3,TRUE)</f>
        <v>SANDI Maanrouf</v>
      </c>
      <c r="E9" s="53">
        <v>1</v>
      </c>
      <c r="F9" s="35">
        <f>B12-B9</f>
        <v>2.083333333333337E-2</v>
      </c>
      <c r="G9" s="35"/>
      <c r="H9" s="62"/>
      <c r="I9" s="35"/>
      <c r="J9" s="62"/>
      <c r="K9" s="35"/>
      <c r="L9" s="36"/>
      <c r="M9" s="40"/>
      <c r="N9" s="61"/>
    </row>
    <row r="10" spans="1:14" ht="40.049999999999997" customHeight="1" x14ac:dyDescent="0.45">
      <c r="A10" s="14" t="s">
        <v>435</v>
      </c>
      <c r="B10" s="322">
        <v>0.27083333333333331</v>
      </c>
      <c r="C10" s="320" t="s">
        <v>43</v>
      </c>
      <c r="D10" s="35" t="str">
        <f>VLOOKUP(C10,'Liste chauffeur'!$B$5:$L$20,2,TRUE)&amp;" "&amp;VLOOKUP(C10,'Liste chauffeur'!$B$5:$L$20,3,TRUE)</f>
        <v>MADI BOINA Mkidachi</v>
      </c>
      <c r="E10" s="53">
        <v>2</v>
      </c>
      <c r="F10" s="35">
        <f>B11-B10</f>
        <v>2.083333333333337E-2</v>
      </c>
      <c r="G10" s="35"/>
      <c r="H10" s="62"/>
      <c r="I10" s="35"/>
      <c r="J10" s="62"/>
      <c r="K10" s="35"/>
      <c r="L10" s="36"/>
      <c r="M10" s="40"/>
      <c r="N10" s="61"/>
    </row>
    <row r="11" spans="1:14" ht="40.049999999999997" customHeight="1" x14ac:dyDescent="0.45">
      <c r="A11" s="14" t="s">
        <v>8</v>
      </c>
      <c r="B11" s="322">
        <v>0.29166666666666669</v>
      </c>
      <c r="C11" s="320" t="s">
        <v>43</v>
      </c>
      <c r="D11" s="35" t="str">
        <f>VLOOKUP(C11,'Liste chauffeur'!$B$5:$L$20,2,TRUE)&amp;" "&amp;VLOOKUP(C11,'Liste chauffeur'!$B$5:$L$20,3,TRUE)</f>
        <v>MADI BOINA Mkidachi</v>
      </c>
      <c r="E11" s="53">
        <v>3</v>
      </c>
      <c r="F11" s="35">
        <f>B13-B11</f>
        <v>2.0833333333333315E-2</v>
      </c>
      <c r="G11" s="35"/>
      <c r="H11" s="62"/>
      <c r="I11" s="35"/>
      <c r="J11" s="35"/>
      <c r="K11" s="35"/>
      <c r="L11" s="36"/>
      <c r="M11" s="40"/>
      <c r="N11" s="61"/>
    </row>
    <row r="12" spans="1:14" ht="40.049999999999997" customHeight="1" x14ac:dyDescent="0.45">
      <c r="A12" s="14" t="s">
        <v>435</v>
      </c>
      <c r="B12" s="35">
        <v>0.29166666666666669</v>
      </c>
      <c r="C12" s="320" t="s">
        <v>41</v>
      </c>
      <c r="D12" s="35" t="str">
        <f>VLOOKUP(C12,'Liste chauffeur'!$B$5:$L$20,2,TRUE)&amp;" "&amp;VLOOKUP(C12,'Liste chauffeur'!$B$5:$L$20,3,TRUE)</f>
        <v>SANDI Maanrouf</v>
      </c>
      <c r="E12" s="53">
        <v>2</v>
      </c>
      <c r="F12" s="322">
        <f>B14-B12</f>
        <v>2.0833333333333315E-2</v>
      </c>
      <c r="G12" s="35"/>
      <c r="H12" s="62"/>
      <c r="I12" s="35"/>
      <c r="J12" s="35"/>
      <c r="K12" s="35"/>
      <c r="L12" s="36"/>
      <c r="M12" s="40"/>
      <c r="N12" s="61"/>
    </row>
    <row r="13" spans="1:14" ht="40.049999999999997" customHeight="1" x14ac:dyDescent="0.45">
      <c r="A13" s="14" t="s">
        <v>8</v>
      </c>
      <c r="B13" s="322">
        <v>0.3125</v>
      </c>
      <c r="C13" s="320" t="s">
        <v>43</v>
      </c>
      <c r="D13" s="35" t="str">
        <f>VLOOKUP(C13,'Liste chauffeur'!$B$5:$L$20,2,TRUE)&amp;" "&amp;VLOOKUP(C13,'Liste chauffeur'!$B$5:$L$20,3,TRUE)</f>
        <v>MADI BOINA Mkidachi</v>
      </c>
      <c r="E13" s="53">
        <v>4</v>
      </c>
      <c r="F13" s="35">
        <f>B16-B13</f>
        <v>2.0833333333333315E-2</v>
      </c>
      <c r="G13" s="35"/>
      <c r="H13" s="62"/>
      <c r="I13" s="35"/>
      <c r="J13" s="35"/>
      <c r="K13" s="35"/>
      <c r="L13" s="36"/>
      <c r="M13" s="40"/>
      <c r="N13" s="61"/>
    </row>
    <row r="14" spans="1:14" ht="40.049999999999997" customHeight="1" x14ac:dyDescent="0.45">
      <c r="A14" s="14" t="s">
        <v>435</v>
      </c>
      <c r="B14" s="322">
        <v>0.3125</v>
      </c>
      <c r="C14" s="320" t="s">
        <v>41</v>
      </c>
      <c r="D14" s="35" t="str">
        <f>VLOOKUP(C14,'Liste chauffeur'!$B$5:$L$20,2,TRUE)&amp;" "&amp;VLOOKUP(C14,'Liste chauffeur'!$B$5:$L$20,3,TRUE)</f>
        <v>SANDI Maanrouf</v>
      </c>
      <c r="E14" s="53">
        <v>3</v>
      </c>
      <c r="F14" s="35">
        <f>B15-B14</f>
        <v>2.0833333333333315E-2</v>
      </c>
      <c r="G14" s="35"/>
      <c r="H14" s="62"/>
      <c r="I14" s="35"/>
      <c r="J14" s="35"/>
      <c r="K14" s="35"/>
      <c r="L14" s="36"/>
      <c r="M14" s="40"/>
      <c r="N14" s="61"/>
    </row>
    <row r="15" spans="1:14" ht="40.049999999999997" customHeight="1" x14ac:dyDescent="0.45">
      <c r="A15" s="14" t="s">
        <v>8</v>
      </c>
      <c r="B15" s="322">
        <v>0.33333333333333331</v>
      </c>
      <c r="C15" s="320" t="s">
        <v>41</v>
      </c>
      <c r="D15" s="35" t="str">
        <f>VLOOKUP(C15,'Liste chauffeur'!$B$5:$L$20,2,TRUE)&amp;" "&amp;VLOOKUP(C15,'Liste chauffeur'!$B$5:$L$20,3,TRUE)</f>
        <v>SANDI Maanrouf</v>
      </c>
      <c r="E15" s="53">
        <v>4</v>
      </c>
      <c r="F15" s="35">
        <f>B18-B15</f>
        <v>4.1666666666666685E-2</v>
      </c>
      <c r="G15" s="35"/>
      <c r="H15" s="62"/>
      <c r="I15" s="35"/>
      <c r="J15" s="35"/>
      <c r="K15" s="35"/>
      <c r="L15" s="36"/>
      <c r="M15" s="40"/>
      <c r="N15" s="61"/>
    </row>
    <row r="16" spans="1:14" ht="40.049999999999997" customHeight="1" x14ac:dyDescent="0.45">
      <c r="A16" s="14" t="s">
        <v>435</v>
      </c>
      <c r="B16" s="322">
        <v>0.33333333333333331</v>
      </c>
      <c r="C16" s="320" t="s">
        <v>43</v>
      </c>
      <c r="D16" s="35" t="str">
        <f>VLOOKUP(C16,'Liste chauffeur'!$B$5:$L$20,2,TRUE)&amp;" "&amp;VLOOKUP(C16,'Liste chauffeur'!$B$5:$L$20,3,TRUE)</f>
        <v>MADI BOINA Mkidachi</v>
      </c>
      <c r="E16" s="53">
        <v>5</v>
      </c>
      <c r="F16" s="35">
        <f>B17-B16</f>
        <v>4.1666666666666685E-2</v>
      </c>
      <c r="G16" s="35"/>
      <c r="H16" s="62"/>
      <c r="I16" s="35"/>
      <c r="J16" s="35"/>
      <c r="K16" s="35"/>
      <c r="L16" s="36"/>
      <c r="M16" s="40"/>
      <c r="N16" s="61"/>
    </row>
    <row r="17" spans="1:14" ht="40.049999999999997" customHeight="1" x14ac:dyDescent="0.45">
      <c r="A17" s="14" t="s">
        <v>8</v>
      </c>
      <c r="B17" s="322">
        <v>0.375</v>
      </c>
      <c r="C17" s="320" t="s">
        <v>43</v>
      </c>
      <c r="D17" s="35" t="str">
        <f>VLOOKUP(C17,'Liste chauffeur'!$B$5:$L$20,2,TRUE)&amp;" "&amp;VLOOKUP(C17,'Liste chauffeur'!$B$5:$L$20,3,TRUE)</f>
        <v>MADI BOINA Mkidachi</v>
      </c>
      <c r="E17" s="53">
        <v>6</v>
      </c>
      <c r="F17" s="35">
        <f>B20-B17</f>
        <v>2.0833333333333315E-2</v>
      </c>
      <c r="G17" s="35"/>
      <c r="H17" s="62"/>
      <c r="I17" s="35"/>
      <c r="J17" s="35"/>
      <c r="K17" s="35"/>
      <c r="L17" s="36"/>
      <c r="M17" s="40"/>
      <c r="N17" s="61"/>
    </row>
    <row r="18" spans="1:14" ht="40.049999999999997" customHeight="1" x14ac:dyDescent="0.45">
      <c r="A18" s="14" t="s">
        <v>435</v>
      </c>
      <c r="B18" s="322">
        <v>0.375</v>
      </c>
      <c r="C18" s="320" t="s">
        <v>41</v>
      </c>
      <c r="D18" s="35" t="str">
        <f>VLOOKUP(C18,'Liste chauffeur'!$B$5:$L$20,2,TRUE)&amp;" "&amp;VLOOKUP(C18,'Liste chauffeur'!$B$5:$L$20,3,TRUE)</f>
        <v>SANDI Maanrouf</v>
      </c>
      <c r="E18" s="53">
        <v>5</v>
      </c>
      <c r="F18" s="35">
        <f>B19-B18</f>
        <v>2.0833333333333315E-2</v>
      </c>
      <c r="G18" s="35"/>
      <c r="H18" s="62"/>
      <c r="I18" s="35"/>
      <c r="J18" s="35"/>
      <c r="K18" s="35"/>
      <c r="L18" s="36"/>
      <c r="M18" s="40"/>
      <c r="N18" s="61"/>
    </row>
    <row r="19" spans="1:14" ht="40.049999999999997" customHeight="1" x14ac:dyDescent="0.45">
      <c r="A19" s="14" t="s">
        <v>8</v>
      </c>
      <c r="B19" s="322">
        <v>0.39583333333333331</v>
      </c>
      <c r="C19" s="320" t="s">
        <v>41</v>
      </c>
      <c r="D19" s="35" t="str">
        <f>VLOOKUP(C19,'Liste chauffeur'!$B$5:$L$20,2,TRUE)&amp;" "&amp;VLOOKUP(C19,'Liste chauffeur'!$B$5:$L$20,3,TRUE)</f>
        <v>SANDI Maanrouf</v>
      </c>
      <c r="E19" s="53">
        <v>6</v>
      </c>
      <c r="F19" s="35">
        <f>B22-B19</f>
        <v>2.083333333333337E-2</v>
      </c>
      <c r="G19" s="35"/>
      <c r="H19" s="62"/>
      <c r="I19" s="35"/>
      <c r="J19" s="35"/>
      <c r="K19" s="35"/>
      <c r="L19" s="36"/>
      <c r="M19" s="40"/>
      <c r="N19" s="61"/>
    </row>
    <row r="20" spans="1:14" ht="40.049999999999997" customHeight="1" x14ac:dyDescent="0.45">
      <c r="A20" s="14" t="s">
        <v>435</v>
      </c>
      <c r="B20" s="322">
        <v>0.39583333333333331</v>
      </c>
      <c r="C20" s="320" t="s">
        <v>43</v>
      </c>
      <c r="D20" s="35" t="str">
        <f>VLOOKUP(C20,'Liste chauffeur'!$B$5:$L$20,2,TRUE)&amp;" "&amp;VLOOKUP(C20,'Liste chauffeur'!$B$5:$L$20,3,TRUE)</f>
        <v>MADI BOINA Mkidachi</v>
      </c>
      <c r="E20" s="53">
        <v>7</v>
      </c>
      <c r="F20" s="35">
        <f>B21-B20</f>
        <v>2.083333333333337E-2</v>
      </c>
      <c r="G20" s="35"/>
      <c r="H20" s="62"/>
      <c r="I20" s="35"/>
      <c r="J20" s="35"/>
      <c r="K20" s="35"/>
      <c r="L20" s="36"/>
      <c r="M20" s="40"/>
      <c r="N20" s="61"/>
    </row>
    <row r="21" spans="1:14" ht="40.049999999999997" customHeight="1" x14ac:dyDescent="0.45">
      <c r="A21" s="14" t="s">
        <v>8</v>
      </c>
      <c r="B21" s="322">
        <v>0.41666666666666669</v>
      </c>
      <c r="C21" s="320" t="s">
        <v>43</v>
      </c>
      <c r="D21" s="35" t="str">
        <f>VLOOKUP(C21,'Liste chauffeur'!$B$5:$L$20,2,TRUE)&amp;" "&amp;VLOOKUP(C21,'Liste chauffeur'!$B$5:$L$20,3,TRUE)</f>
        <v>MADI BOINA Mkidachi</v>
      </c>
      <c r="E21" s="53">
        <v>8</v>
      </c>
      <c r="F21" s="35">
        <f>B24-B21</f>
        <v>2.0833333333333315E-2</v>
      </c>
      <c r="G21" s="35"/>
      <c r="H21" s="62"/>
      <c r="I21" s="35"/>
      <c r="J21" s="35"/>
      <c r="K21" s="35"/>
      <c r="L21" s="36"/>
      <c r="M21" s="40"/>
      <c r="N21" s="61"/>
    </row>
    <row r="22" spans="1:14" ht="40.049999999999997" customHeight="1" x14ac:dyDescent="0.45">
      <c r="A22" s="14" t="s">
        <v>435</v>
      </c>
      <c r="B22" s="322">
        <v>0.41666666666666669</v>
      </c>
      <c r="C22" s="320" t="s">
        <v>41</v>
      </c>
      <c r="D22" s="35" t="str">
        <f>VLOOKUP(C22,'Liste chauffeur'!$B$5:$L$20,2,TRUE)&amp;" "&amp;VLOOKUP(C22,'Liste chauffeur'!$B$5:$L$20,3,TRUE)</f>
        <v>SANDI Maanrouf</v>
      </c>
      <c r="E22" s="53">
        <v>7</v>
      </c>
      <c r="F22" s="35">
        <f>B23-B22</f>
        <v>2.0833333333333315E-2</v>
      </c>
      <c r="G22" s="35"/>
      <c r="H22" s="62"/>
      <c r="I22" s="35"/>
      <c r="J22" s="35"/>
      <c r="K22" s="35"/>
      <c r="L22" s="36"/>
      <c r="M22" s="40"/>
      <c r="N22" s="61"/>
    </row>
    <row r="23" spans="1:14" ht="40.049999999999997" customHeight="1" x14ac:dyDescent="0.45">
      <c r="A23" s="14" t="s">
        <v>8</v>
      </c>
      <c r="B23" s="322">
        <v>0.4375</v>
      </c>
      <c r="C23" s="320" t="s">
        <v>41</v>
      </c>
      <c r="D23" s="35" t="str">
        <f>VLOOKUP(C23,'Liste chauffeur'!$B$5:$L$20,2,TRUE)&amp;" "&amp;VLOOKUP(C23,'Liste chauffeur'!$B$5:$L$20,3,TRUE)</f>
        <v>SANDI Maanrouf</v>
      </c>
      <c r="E23" s="53">
        <v>8</v>
      </c>
      <c r="F23" s="35">
        <f>B26-B23</f>
        <v>2.0833333333333315E-2</v>
      </c>
      <c r="G23" s="35"/>
      <c r="H23" s="62"/>
      <c r="I23" s="35"/>
      <c r="J23" s="35"/>
      <c r="K23" s="35"/>
      <c r="L23" s="36"/>
      <c r="M23" s="40"/>
      <c r="N23" s="61"/>
    </row>
    <row r="24" spans="1:14" ht="40.049999999999997" customHeight="1" x14ac:dyDescent="0.45">
      <c r="A24" s="14" t="s">
        <v>435</v>
      </c>
      <c r="B24" s="322">
        <v>0.4375</v>
      </c>
      <c r="C24" s="320" t="s">
        <v>43</v>
      </c>
      <c r="D24" s="35" t="str">
        <f>VLOOKUP(C24,'Liste chauffeur'!$B$5:$L$20,2,TRUE)&amp;" "&amp;VLOOKUP(C24,'Liste chauffeur'!$B$5:$L$20,3,TRUE)</f>
        <v>MADI BOINA Mkidachi</v>
      </c>
      <c r="E24" s="53">
        <v>9</v>
      </c>
      <c r="F24" s="35">
        <f>B25-B24</f>
        <v>2.0833333333333315E-2</v>
      </c>
      <c r="G24" s="35"/>
      <c r="H24" s="62"/>
      <c r="I24" s="35"/>
      <c r="J24" s="35"/>
      <c r="K24" s="35"/>
      <c r="L24" s="36"/>
      <c r="M24" s="40"/>
      <c r="N24" s="61"/>
    </row>
    <row r="25" spans="1:14" ht="40.049999999999997" customHeight="1" x14ac:dyDescent="0.45">
      <c r="A25" s="14" t="s">
        <v>8</v>
      </c>
      <c r="B25" s="322">
        <v>0.45833333333333331</v>
      </c>
      <c r="C25" s="320" t="s">
        <v>43</v>
      </c>
      <c r="D25" s="35" t="str">
        <f>VLOOKUP(C25,'Liste chauffeur'!$B$5:$L$20,2,TRUE)&amp;" "&amp;VLOOKUP(C25,'Liste chauffeur'!$B$5:$L$20,3,TRUE)</f>
        <v>MADI BOINA Mkidachi</v>
      </c>
      <c r="E25" s="53">
        <v>10</v>
      </c>
      <c r="F25" s="35">
        <f>B28-B25</f>
        <v>2.083333333333337E-2</v>
      </c>
      <c r="G25" s="35"/>
      <c r="H25" s="62"/>
      <c r="I25" s="35"/>
      <c r="J25" s="35"/>
      <c r="K25" s="35"/>
      <c r="L25" s="36"/>
      <c r="M25" s="40"/>
      <c r="N25" s="61"/>
    </row>
    <row r="26" spans="1:14" ht="40.049999999999997" customHeight="1" x14ac:dyDescent="0.45">
      <c r="A26" s="14" t="s">
        <v>435</v>
      </c>
      <c r="B26" s="322">
        <v>0.45833333333333331</v>
      </c>
      <c r="C26" s="320" t="s">
        <v>41</v>
      </c>
      <c r="D26" s="35" t="str">
        <f>VLOOKUP(C26,'Liste chauffeur'!$B$5:$L$20,2,TRUE)&amp;" "&amp;VLOOKUP(C26,'Liste chauffeur'!$B$5:$L$20,3,TRUE)</f>
        <v>SANDI Maanrouf</v>
      </c>
      <c r="E26" s="53">
        <v>9</v>
      </c>
      <c r="F26" s="35">
        <f>B27-B26</f>
        <v>2.083333333333337E-2</v>
      </c>
      <c r="G26" s="35"/>
      <c r="H26" s="62"/>
      <c r="I26" s="35"/>
      <c r="J26" s="35"/>
      <c r="K26" s="35"/>
      <c r="L26" s="36"/>
      <c r="M26" s="40"/>
      <c r="N26" s="61"/>
    </row>
    <row r="27" spans="1:14" ht="40.049999999999997" customHeight="1" x14ac:dyDescent="0.45">
      <c r="A27" s="14" t="s">
        <v>8</v>
      </c>
      <c r="B27" s="322">
        <v>0.47916666666666669</v>
      </c>
      <c r="C27" s="320" t="s">
        <v>41</v>
      </c>
      <c r="D27" s="35" t="str">
        <f>VLOOKUP(C27,'Liste chauffeur'!$B$5:$L$20,2,TRUE)&amp;" "&amp;VLOOKUP(C27,'Liste chauffeur'!$B$5:$L$20,3,TRUE)</f>
        <v>SANDI Maanrouf</v>
      </c>
      <c r="E27" s="53">
        <v>10</v>
      </c>
      <c r="F27" s="35">
        <f>B30-B27</f>
        <v>2.0833333333333315E-2</v>
      </c>
      <c r="G27" s="35"/>
      <c r="H27" s="62"/>
      <c r="I27" s="35"/>
      <c r="J27" s="35"/>
      <c r="K27" s="35"/>
      <c r="L27" s="36"/>
      <c r="M27" s="40"/>
      <c r="N27" s="61"/>
    </row>
    <row r="28" spans="1:14" ht="40.049999999999997" customHeight="1" x14ac:dyDescent="0.45">
      <c r="A28" s="14" t="s">
        <v>435</v>
      </c>
      <c r="B28" s="322">
        <v>0.47916666666666669</v>
      </c>
      <c r="C28" s="320" t="s">
        <v>43</v>
      </c>
      <c r="D28" s="35" t="str">
        <f>VLOOKUP(C28,'Liste chauffeur'!$B$5:$L$20,2,TRUE)&amp;" "&amp;VLOOKUP(C28,'Liste chauffeur'!$B$5:$L$20,3,TRUE)</f>
        <v>MADI BOINA Mkidachi</v>
      </c>
      <c r="E28" s="53">
        <v>11</v>
      </c>
      <c r="F28" s="35">
        <f>B29-B28</f>
        <v>2.0833333333333315E-2</v>
      </c>
      <c r="G28" s="35"/>
      <c r="H28" s="62"/>
      <c r="I28" s="35"/>
      <c r="J28" s="35"/>
      <c r="K28" s="35"/>
      <c r="L28" s="36"/>
      <c r="M28" s="40"/>
      <c r="N28" s="61"/>
    </row>
    <row r="29" spans="1:14" ht="40.049999999999997" customHeight="1" x14ac:dyDescent="0.45">
      <c r="A29" s="14" t="s">
        <v>8</v>
      </c>
      <c r="B29" s="322">
        <v>0.5</v>
      </c>
      <c r="C29" s="320" t="s">
        <v>43</v>
      </c>
      <c r="D29" s="35" t="str">
        <f>VLOOKUP(C29,'Liste chauffeur'!$B$5:$L$20,2,TRUE)&amp;" "&amp;VLOOKUP(C29,'Liste chauffeur'!$B$5:$L$20,3,TRUE)</f>
        <v>MADI BOINA Mkidachi</v>
      </c>
      <c r="E29" s="53">
        <v>12</v>
      </c>
      <c r="F29" s="35">
        <f>B32-B29</f>
        <v>2.083333333333337E-2</v>
      </c>
      <c r="G29" s="35"/>
      <c r="H29" s="62"/>
      <c r="I29" s="35"/>
      <c r="J29" s="35"/>
      <c r="K29" s="35"/>
      <c r="L29" s="36"/>
      <c r="M29" s="40"/>
      <c r="N29" s="61"/>
    </row>
    <row r="30" spans="1:14" ht="40.049999999999997" customHeight="1" x14ac:dyDescent="0.45">
      <c r="A30" s="14" t="s">
        <v>435</v>
      </c>
      <c r="B30" s="322">
        <v>0.5</v>
      </c>
      <c r="C30" s="320" t="s">
        <v>41</v>
      </c>
      <c r="D30" s="35" t="str">
        <f>VLOOKUP(C30,'Liste chauffeur'!$B$5:$L$20,2,TRUE)&amp;" "&amp;VLOOKUP(C30,'Liste chauffeur'!$B$5:$L$20,3,TRUE)</f>
        <v>SANDI Maanrouf</v>
      </c>
      <c r="E30" s="53">
        <v>11</v>
      </c>
      <c r="F30" s="35">
        <f>B31-B30</f>
        <v>2.083333333333337E-2</v>
      </c>
      <c r="G30" s="35"/>
      <c r="H30" s="62"/>
      <c r="I30" s="35"/>
      <c r="J30" s="35"/>
      <c r="K30" s="35"/>
      <c r="L30" s="36"/>
      <c r="M30" s="40"/>
      <c r="N30" s="61"/>
    </row>
    <row r="31" spans="1:14" ht="40.049999999999997" customHeight="1" x14ac:dyDescent="0.45">
      <c r="A31" s="14" t="s">
        <v>8</v>
      </c>
      <c r="B31" s="322">
        <v>0.52083333333333337</v>
      </c>
      <c r="C31" s="320" t="s">
        <v>41</v>
      </c>
      <c r="D31" s="35" t="str">
        <f>VLOOKUP(C31,'Liste chauffeur'!$B$5:$L$20,2,TRUE)&amp;" "&amp;VLOOKUP(C31,'Liste chauffeur'!$B$5:$L$20,3,TRUE)</f>
        <v>SANDI Maanrouf</v>
      </c>
      <c r="E31" s="53">
        <v>12</v>
      </c>
      <c r="F31" s="35">
        <f>B34-B31</f>
        <v>2.0833333333333259E-2</v>
      </c>
      <c r="G31" s="35"/>
      <c r="H31" s="62"/>
      <c r="I31" s="35"/>
      <c r="J31" s="35"/>
      <c r="K31" s="35"/>
      <c r="L31" s="36"/>
      <c r="M31" s="40"/>
      <c r="N31" s="61"/>
    </row>
    <row r="32" spans="1:14" ht="40.049999999999997" customHeight="1" x14ac:dyDescent="0.45">
      <c r="A32" s="14" t="s">
        <v>435</v>
      </c>
      <c r="B32" s="322">
        <v>0.52083333333333337</v>
      </c>
      <c r="C32" s="320" t="s">
        <v>43</v>
      </c>
      <c r="D32" s="35" t="str">
        <f>VLOOKUP(C32,'Liste chauffeur'!$B$5:$L$20,2,TRUE)&amp;" "&amp;VLOOKUP(C32,'Liste chauffeur'!$B$5:$L$20,3,TRUE)</f>
        <v>MADI BOINA Mkidachi</v>
      </c>
      <c r="E32" s="53">
        <v>13</v>
      </c>
      <c r="F32" s="35">
        <f>B33-B32</f>
        <v>2.0833333333333259E-2</v>
      </c>
      <c r="G32" s="35"/>
      <c r="H32" s="62"/>
      <c r="I32" s="35"/>
      <c r="J32" s="35"/>
      <c r="K32" s="35"/>
      <c r="L32" s="36"/>
      <c r="M32" s="40"/>
      <c r="N32" s="61"/>
    </row>
    <row r="33" spans="1:14" ht="40.049999999999997" customHeight="1" x14ac:dyDescent="0.45">
      <c r="A33" s="14" t="s">
        <v>8</v>
      </c>
      <c r="B33" s="321">
        <v>0.54166666666666663</v>
      </c>
      <c r="C33" s="320" t="s">
        <v>43</v>
      </c>
      <c r="D33" s="35" t="str">
        <f>VLOOKUP(C33,'Liste chauffeur'!$B$5:$L$20,2,TRUE)&amp;" "&amp;VLOOKUP(C33,'Liste chauffeur'!$B$5:$L$20,3,TRUE)</f>
        <v>MADI BOINA Mkidachi</v>
      </c>
      <c r="E33" s="53">
        <v>14</v>
      </c>
      <c r="F33" s="35"/>
      <c r="G33" s="35"/>
      <c r="H33" s="62"/>
      <c r="I33" s="35"/>
      <c r="J33" s="35"/>
      <c r="K33" s="35"/>
      <c r="L33" s="36"/>
      <c r="M33" s="40"/>
      <c r="N33" s="61"/>
    </row>
    <row r="34" spans="1:14" ht="40.049999999999997" customHeight="1" x14ac:dyDescent="0.45">
      <c r="A34" s="14" t="s">
        <v>435</v>
      </c>
      <c r="B34" s="322">
        <v>0.54166666666666663</v>
      </c>
      <c r="C34" s="320" t="s">
        <v>41</v>
      </c>
      <c r="D34" s="35" t="str">
        <f>VLOOKUP(C34,'Liste chauffeur'!$B$5:$L$20,2,TRUE)&amp;" "&amp;VLOOKUP(C34,'Liste chauffeur'!$B$5:$L$20,3,TRUE)</f>
        <v>SANDI Maanrouf</v>
      </c>
      <c r="E34" s="53">
        <v>13</v>
      </c>
      <c r="F34" s="35">
        <f>B35-B34</f>
        <v>2.083333333333337E-2</v>
      </c>
      <c r="G34" s="35"/>
      <c r="H34" s="62"/>
      <c r="I34" s="35"/>
      <c r="J34" s="35"/>
      <c r="K34" s="35"/>
      <c r="L34" s="36"/>
      <c r="M34" s="40"/>
      <c r="N34" s="61"/>
    </row>
    <row r="35" spans="1:14" ht="40.049999999999997" customHeight="1" x14ac:dyDescent="0.45">
      <c r="A35" s="14" t="s">
        <v>8</v>
      </c>
      <c r="B35" s="321">
        <v>0.5625</v>
      </c>
      <c r="C35" s="320" t="s">
        <v>41</v>
      </c>
      <c r="D35" s="35" t="str">
        <f>VLOOKUP(C35,'Liste chauffeur'!$B$5:$L$20,2,TRUE)&amp;" "&amp;VLOOKUP(C35,'Liste chauffeur'!$B$5:$L$20,3,TRUE)</f>
        <v>SANDI Maanrouf</v>
      </c>
      <c r="E35" s="53">
        <v>14</v>
      </c>
      <c r="F35" s="35"/>
      <c r="G35" s="35"/>
      <c r="H35" s="62"/>
      <c r="I35" s="35"/>
      <c r="J35" s="35"/>
      <c r="K35" s="35"/>
      <c r="L35" s="36"/>
      <c r="M35" s="40"/>
      <c r="N35" s="61"/>
    </row>
    <row r="36" spans="1:14" ht="40.049999999999997" customHeight="1" x14ac:dyDescent="0.45">
      <c r="A36" s="14" t="s">
        <v>435</v>
      </c>
      <c r="B36" s="48">
        <v>0.5625</v>
      </c>
      <c r="C36" s="320" t="s">
        <v>42</v>
      </c>
      <c r="D36" s="35" t="str">
        <f>VLOOKUP(C36,'Liste chauffeur'!$B$5:$L$20,2,TRUE)&amp;" "&amp;VLOOKUP(C36,'Liste chauffeur'!$B$5:$L$20,3,TRUE)</f>
        <v>ISSIHAKA M'Changama</v>
      </c>
      <c r="E36" s="53">
        <v>1</v>
      </c>
      <c r="F36" s="35">
        <f>B37-B36</f>
        <v>2.083333333333337E-2</v>
      </c>
      <c r="G36" s="35"/>
      <c r="H36" s="62"/>
      <c r="I36" s="35"/>
      <c r="J36" s="35"/>
      <c r="K36" s="35"/>
      <c r="L36" s="36"/>
      <c r="M36" s="40"/>
      <c r="N36" s="61"/>
    </row>
    <row r="37" spans="1:14" ht="40.049999999999997" customHeight="1" x14ac:dyDescent="0.45">
      <c r="A37" s="14" t="s">
        <v>8</v>
      </c>
      <c r="B37" s="322">
        <v>0.58333333333333337</v>
      </c>
      <c r="C37" s="320" t="s">
        <v>42</v>
      </c>
      <c r="D37" s="35" t="str">
        <f>VLOOKUP(C37,'Liste chauffeur'!$B$5:$L$20,2,TRUE)&amp;" "&amp;VLOOKUP(C37,'Liste chauffeur'!$B$5:$L$20,3,TRUE)</f>
        <v>ISSIHAKA M'Changama</v>
      </c>
      <c r="E37" s="53">
        <v>2</v>
      </c>
      <c r="F37" s="35">
        <f>B40-B37</f>
        <v>2.0833333333333259E-2</v>
      </c>
      <c r="G37" s="35"/>
      <c r="H37" s="62"/>
      <c r="I37" s="35"/>
      <c r="J37" s="35"/>
      <c r="K37" s="35"/>
      <c r="L37" s="36"/>
      <c r="M37" s="40"/>
      <c r="N37" s="61"/>
    </row>
    <row r="38" spans="1:14" ht="40.049999999999997" customHeight="1" x14ac:dyDescent="0.45">
      <c r="A38" s="14" t="s">
        <v>435</v>
      </c>
      <c r="B38" s="48">
        <v>0.58333333333333337</v>
      </c>
      <c r="C38" s="320" t="s">
        <v>37</v>
      </c>
      <c r="D38" s="35" t="str">
        <f>VLOOKUP(C38,'Liste chauffeur'!$B$5:$L$20,2,TRUE)&amp;" "&amp;VLOOKUP(C38,'Liste chauffeur'!$B$5:$L$20,3,TRUE)</f>
        <v>HADHURAMI Makinedine</v>
      </c>
      <c r="E38" s="53">
        <v>1</v>
      </c>
      <c r="F38" s="35">
        <f>B39-B38</f>
        <v>2.0833333333333259E-2</v>
      </c>
      <c r="G38" s="35"/>
      <c r="H38" s="62"/>
      <c r="I38" s="35"/>
      <c r="J38" s="35"/>
      <c r="K38" s="35"/>
      <c r="L38" s="36"/>
      <c r="M38" s="40"/>
      <c r="N38" s="61"/>
    </row>
    <row r="39" spans="1:14" ht="40.049999999999997" customHeight="1" x14ac:dyDescent="0.45">
      <c r="A39" s="14" t="s">
        <v>8</v>
      </c>
      <c r="B39" s="322">
        <v>0.60416666666666663</v>
      </c>
      <c r="C39" s="320" t="s">
        <v>37</v>
      </c>
      <c r="D39" s="35" t="str">
        <f>VLOOKUP(C39,'Liste chauffeur'!$B$5:$L$20,2,TRUE)&amp;" "&amp;VLOOKUP(C39,'Liste chauffeur'!$B$5:$L$20,3,TRUE)</f>
        <v>HADHURAMI Makinedine</v>
      </c>
      <c r="E39" s="53">
        <v>2</v>
      </c>
      <c r="F39" s="35">
        <f>B42-B39</f>
        <v>2.083333333333337E-2</v>
      </c>
      <c r="G39" s="35"/>
      <c r="H39" s="62"/>
      <c r="I39" s="35"/>
      <c r="J39" s="35"/>
      <c r="K39" s="35"/>
      <c r="L39" s="36"/>
      <c r="M39" s="40"/>
      <c r="N39" s="61"/>
    </row>
    <row r="40" spans="1:14" ht="40.049999999999997" customHeight="1" x14ac:dyDescent="0.45">
      <c r="A40" s="14" t="s">
        <v>435</v>
      </c>
      <c r="B40" s="322">
        <v>0.60416666666666663</v>
      </c>
      <c r="C40" s="320" t="s">
        <v>42</v>
      </c>
      <c r="D40" s="35" t="str">
        <f>VLOOKUP(C40,'Liste chauffeur'!$B$5:$L$20,2,TRUE)&amp;" "&amp;VLOOKUP(C40,'Liste chauffeur'!$B$5:$L$20,3,TRUE)</f>
        <v>ISSIHAKA M'Changama</v>
      </c>
      <c r="E40" s="53">
        <v>3</v>
      </c>
      <c r="F40" s="35">
        <f>B41-B40</f>
        <v>2.083333333333337E-2</v>
      </c>
      <c r="G40" s="35"/>
      <c r="H40" s="62"/>
      <c r="I40" s="35"/>
      <c r="J40" s="35"/>
      <c r="K40" s="35"/>
      <c r="L40" s="36"/>
      <c r="M40" s="40"/>
      <c r="N40" s="61"/>
    </row>
    <row r="41" spans="1:14" ht="40.049999999999997" customHeight="1" x14ac:dyDescent="0.45">
      <c r="A41" s="14" t="s">
        <v>8</v>
      </c>
      <c r="B41" s="322">
        <v>0.625</v>
      </c>
      <c r="C41" s="320" t="s">
        <v>42</v>
      </c>
      <c r="D41" s="35" t="str">
        <f>VLOOKUP(C41,'Liste chauffeur'!$B$5:$L$20,2,TRUE)&amp;" "&amp;VLOOKUP(C41,'Liste chauffeur'!$B$5:$L$20,3,TRUE)</f>
        <v>ISSIHAKA M'Changama</v>
      </c>
      <c r="E41" s="53">
        <v>4</v>
      </c>
      <c r="F41" s="35">
        <f>B44-B41</f>
        <v>2.083333333333337E-2</v>
      </c>
      <c r="G41" s="35"/>
      <c r="H41" s="62"/>
      <c r="I41" s="35"/>
      <c r="J41" s="35"/>
      <c r="K41" s="35"/>
      <c r="L41" s="36"/>
      <c r="M41" s="40"/>
      <c r="N41" s="61"/>
    </row>
    <row r="42" spans="1:14" ht="40.049999999999997" customHeight="1" x14ac:dyDescent="0.45">
      <c r="A42" s="14" t="s">
        <v>435</v>
      </c>
      <c r="B42" s="322">
        <v>0.625</v>
      </c>
      <c r="C42" s="320" t="s">
        <v>37</v>
      </c>
      <c r="D42" s="35" t="str">
        <f>VLOOKUP(C42,'Liste chauffeur'!$B$5:$L$20,2,TRUE)&amp;" "&amp;VLOOKUP(C42,'Liste chauffeur'!$B$5:$L$20,3,TRUE)</f>
        <v>HADHURAMI Makinedine</v>
      </c>
      <c r="E42" s="53">
        <v>3</v>
      </c>
      <c r="F42" s="35">
        <f>B43-B42</f>
        <v>2.083333333333337E-2</v>
      </c>
      <c r="G42" s="35"/>
      <c r="H42" s="62"/>
      <c r="I42" s="35"/>
      <c r="J42" s="35"/>
      <c r="K42" s="35"/>
      <c r="L42" s="36"/>
      <c r="M42" s="40"/>
      <c r="N42" s="61"/>
    </row>
    <row r="43" spans="1:14" ht="40.049999999999997" customHeight="1" x14ac:dyDescent="0.45">
      <c r="A43" s="14" t="s">
        <v>8</v>
      </c>
      <c r="B43" s="322">
        <v>0.64583333333333337</v>
      </c>
      <c r="C43" s="320" t="s">
        <v>37</v>
      </c>
      <c r="D43" s="35" t="str">
        <f>VLOOKUP(C43,'Liste chauffeur'!$B$5:$L$20,2,TRUE)&amp;" "&amp;VLOOKUP(C43,'Liste chauffeur'!$B$5:$L$20,3,TRUE)</f>
        <v>HADHURAMI Makinedine</v>
      </c>
      <c r="E43" s="53">
        <v>4</v>
      </c>
      <c r="F43" s="35">
        <f>B46-B43</f>
        <v>2.0833333333333259E-2</v>
      </c>
      <c r="G43" s="35"/>
      <c r="H43" s="62"/>
      <c r="I43" s="35"/>
      <c r="J43" s="35"/>
      <c r="K43" s="35"/>
      <c r="L43" s="36"/>
      <c r="M43" s="40"/>
      <c r="N43" s="61"/>
    </row>
    <row r="44" spans="1:14" ht="40.049999999999997" customHeight="1" x14ac:dyDescent="0.45">
      <c r="A44" s="14" t="s">
        <v>435</v>
      </c>
      <c r="B44" s="322">
        <v>0.64583333333333337</v>
      </c>
      <c r="C44" s="320" t="s">
        <v>42</v>
      </c>
      <c r="D44" s="35" t="str">
        <f>VLOOKUP(C44,'Liste chauffeur'!$B$5:$L$20,2,TRUE)&amp;" "&amp;VLOOKUP(C44,'Liste chauffeur'!$B$5:$L$20,3,TRUE)</f>
        <v>ISSIHAKA M'Changama</v>
      </c>
      <c r="E44" s="53">
        <v>5</v>
      </c>
      <c r="F44" s="35">
        <f>B45-B44</f>
        <v>2.0833333333333259E-2</v>
      </c>
      <c r="G44" s="35"/>
      <c r="H44" s="62"/>
      <c r="I44" s="35"/>
      <c r="J44" s="35"/>
      <c r="K44" s="35"/>
      <c r="L44" s="36"/>
      <c r="M44" s="40"/>
      <c r="N44" s="61"/>
    </row>
    <row r="45" spans="1:14" ht="40.049999999999997" customHeight="1" x14ac:dyDescent="0.45">
      <c r="A45" s="14" t="s">
        <v>8</v>
      </c>
      <c r="B45" s="322">
        <v>0.66666666666666663</v>
      </c>
      <c r="C45" s="320" t="s">
        <v>42</v>
      </c>
      <c r="D45" s="35" t="str">
        <f>VLOOKUP(C45,'Liste chauffeur'!$B$5:$L$20,2,TRUE)&amp;" "&amp;VLOOKUP(C45,'Liste chauffeur'!$B$5:$L$20,3,TRUE)</f>
        <v>ISSIHAKA M'Changama</v>
      </c>
      <c r="E45" s="53">
        <v>6</v>
      </c>
      <c r="F45" s="35">
        <f>B48-B45</f>
        <v>2.083333333333337E-2</v>
      </c>
      <c r="G45" s="35"/>
      <c r="H45" s="62"/>
      <c r="I45" s="35"/>
      <c r="J45" s="35"/>
      <c r="K45" s="35"/>
      <c r="L45" s="36"/>
      <c r="M45" s="40"/>
      <c r="N45" s="61"/>
    </row>
    <row r="46" spans="1:14" ht="40.049999999999997" customHeight="1" x14ac:dyDescent="0.45">
      <c r="A46" s="14" t="s">
        <v>435</v>
      </c>
      <c r="B46" s="322">
        <v>0.66666666666666663</v>
      </c>
      <c r="C46" s="320" t="s">
        <v>37</v>
      </c>
      <c r="D46" s="35" t="str">
        <f>VLOOKUP(C46,'Liste chauffeur'!$B$5:$L$20,2,TRUE)&amp;" "&amp;VLOOKUP(C46,'Liste chauffeur'!$B$5:$L$20,3,TRUE)</f>
        <v>HADHURAMI Makinedine</v>
      </c>
      <c r="E46" s="53">
        <v>5</v>
      </c>
      <c r="F46" s="35">
        <f>B47-B46</f>
        <v>2.083333333333337E-2</v>
      </c>
      <c r="G46" s="35"/>
      <c r="H46" s="62"/>
      <c r="I46" s="35"/>
      <c r="J46" s="35"/>
      <c r="K46" s="35"/>
      <c r="L46" s="36"/>
      <c r="M46" s="40"/>
      <c r="N46" s="61"/>
    </row>
    <row r="47" spans="1:14" ht="40.049999999999997" customHeight="1" x14ac:dyDescent="0.45">
      <c r="A47" s="14" t="s">
        <v>8</v>
      </c>
      <c r="B47" s="322">
        <v>0.6875</v>
      </c>
      <c r="C47" s="320" t="s">
        <v>37</v>
      </c>
      <c r="D47" s="35" t="str">
        <f>VLOOKUP(C47,'Liste chauffeur'!$B$5:$L$20,2,TRUE)&amp;" "&amp;VLOOKUP(C47,'Liste chauffeur'!$B$5:$L$20,3,TRUE)</f>
        <v>HADHURAMI Makinedine</v>
      </c>
      <c r="E47" s="53">
        <v>6</v>
      </c>
      <c r="F47" s="35">
        <f>B50-B47</f>
        <v>2.083333333333337E-2</v>
      </c>
      <c r="G47" s="35"/>
      <c r="H47" s="62"/>
      <c r="I47" s="35"/>
      <c r="J47" s="35"/>
      <c r="K47" s="35"/>
      <c r="L47" s="36"/>
      <c r="M47" s="40"/>
      <c r="N47" s="61"/>
    </row>
    <row r="48" spans="1:14" ht="40.049999999999997" customHeight="1" x14ac:dyDescent="0.45">
      <c r="A48" s="14" t="s">
        <v>435</v>
      </c>
      <c r="B48" s="322">
        <v>0.6875</v>
      </c>
      <c r="C48" s="320" t="s">
        <v>42</v>
      </c>
      <c r="D48" s="35" t="str">
        <f>VLOOKUP(C48,'Liste chauffeur'!$B$5:$L$20,2,TRUE)&amp;" "&amp;VLOOKUP(C48,'Liste chauffeur'!$B$5:$L$20,3,TRUE)</f>
        <v>ISSIHAKA M'Changama</v>
      </c>
      <c r="E48" s="53">
        <v>7</v>
      </c>
      <c r="F48" s="35">
        <f>B49-B48</f>
        <v>2.083333333333337E-2</v>
      </c>
      <c r="G48" s="35"/>
      <c r="H48" s="62"/>
      <c r="I48" s="35"/>
      <c r="J48" s="35"/>
      <c r="K48" s="35"/>
      <c r="L48" s="36"/>
      <c r="M48" s="40"/>
      <c r="N48" s="61"/>
    </row>
    <row r="49" spans="1:14" ht="40.049999999999997" customHeight="1" x14ac:dyDescent="0.45">
      <c r="A49" s="14" t="s">
        <v>8</v>
      </c>
      <c r="B49" s="322">
        <v>0.70833333333333337</v>
      </c>
      <c r="C49" s="320" t="s">
        <v>42</v>
      </c>
      <c r="D49" s="35" t="str">
        <f>VLOOKUP(C49,'Liste chauffeur'!$B$5:$L$20,2,TRUE)&amp;" "&amp;VLOOKUP(C49,'Liste chauffeur'!$B$5:$L$20,3,TRUE)</f>
        <v>ISSIHAKA M'Changama</v>
      </c>
      <c r="E49" s="53">
        <v>8</v>
      </c>
      <c r="F49" s="35">
        <f>B52-B49</f>
        <v>2.0833333333333259E-2</v>
      </c>
      <c r="G49" s="35"/>
      <c r="H49" s="62"/>
      <c r="I49" s="35"/>
      <c r="J49" s="35"/>
      <c r="K49" s="35"/>
      <c r="L49" s="36"/>
      <c r="M49" s="40"/>
      <c r="N49" s="61"/>
    </row>
    <row r="50" spans="1:14" ht="40.049999999999997" customHeight="1" x14ac:dyDescent="0.45">
      <c r="A50" s="14" t="s">
        <v>435</v>
      </c>
      <c r="B50" s="322">
        <v>0.70833333333333337</v>
      </c>
      <c r="C50" s="320" t="s">
        <v>37</v>
      </c>
      <c r="D50" s="35" t="str">
        <f>VLOOKUP(C50,'Liste chauffeur'!$B$5:$L$20,2,TRUE)&amp;" "&amp;VLOOKUP(C50,'Liste chauffeur'!$B$5:$L$20,3,TRUE)</f>
        <v>HADHURAMI Makinedine</v>
      </c>
      <c r="E50" s="53">
        <v>7</v>
      </c>
      <c r="F50" s="35">
        <f>B51-B50</f>
        <v>2.0833333333333259E-2</v>
      </c>
      <c r="G50" s="35"/>
      <c r="H50" s="62"/>
      <c r="I50" s="35"/>
      <c r="J50" s="35"/>
      <c r="K50" s="35"/>
      <c r="L50" s="36"/>
      <c r="M50" s="40"/>
      <c r="N50" s="61"/>
    </row>
    <row r="51" spans="1:14" ht="40.049999999999997" customHeight="1" x14ac:dyDescent="0.45">
      <c r="A51" s="14" t="s">
        <v>8</v>
      </c>
      <c r="B51" s="322">
        <v>0.72916666666666663</v>
      </c>
      <c r="C51" s="320" t="s">
        <v>37</v>
      </c>
      <c r="D51" s="35" t="str">
        <f>VLOOKUP(C51,'Liste chauffeur'!$B$5:$L$20,2,TRUE)&amp;" "&amp;VLOOKUP(C51,'Liste chauffeur'!$B$5:$L$20,3,TRUE)</f>
        <v>HADHURAMI Makinedine</v>
      </c>
      <c r="E51" s="53">
        <v>8</v>
      </c>
      <c r="F51" s="35">
        <f>B54-B51</f>
        <v>2.083333333333337E-2</v>
      </c>
      <c r="G51" s="35"/>
      <c r="H51" s="62"/>
      <c r="I51" s="35"/>
      <c r="J51" s="35"/>
      <c r="K51" s="35"/>
      <c r="L51" s="36"/>
      <c r="M51" s="40"/>
      <c r="N51" s="61"/>
    </row>
    <row r="52" spans="1:14" ht="40.049999999999997" customHeight="1" x14ac:dyDescent="0.45">
      <c r="A52" s="14" t="s">
        <v>435</v>
      </c>
      <c r="B52" s="322">
        <v>0.72916666666666663</v>
      </c>
      <c r="C52" s="320" t="s">
        <v>42</v>
      </c>
      <c r="D52" s="35" t="str">
        <f>VLOOKUP(C52,'Liste chauffeur'!$B$5:$L$20,2,TRUE)&amp;" "&amp;VLOOKUP(C52,'Liste chauffeur'!$B$5:$L$20,3,TRUE)</f>
        <v>ISSIHAKA M'Changama</v>
      </c>
      <c r="E52" s="53">
        <v>9</v>
      </c>
      <c r="F52" s="35">
        <f>B53-B52</f>
        <v>2.083333333333337E-2</v>
      </c>
      <c r="G52" s="35"/>
      <c r="H52" s="62"/>
      <c r="I52" s="35"/>
      <c r="J52" s="35"/>
      <c r="K52" s="35"/>
      <c r="L52" s="36"/>
      <c r="M52" s="40"/>
      <c r="N52" s="61"/>
    </row>
    <row r="53" spans="1:14" ht="40.049999999999997" customHeight="1" x14ac:dyDescent="0.45">
      <c r="A53" s="14" t="s">
        <v>8</v>
      </c>
      <c r="B53" s="321">
        <v>0.75</v>
      </c>
      <c r="C53" s="320" t="s">
        <v>42</v>
      </c>
      <c r="D53" s="35" t="str">
        <f>VLOOKUP(C53,'Liste chauffeur'!$B$5:$L$20,2,TRUE)&amp;" "&amp;VLOOKUP(C53,'Liste chauffeur'!$B$5:$L$20,3,TRUE)</f>
        <v>ISSIHAKA M'Changama</v>
      </c>
      <c r="E53" s="53">
        <v>10</v>
      </c>
      <c r="F53" s="35"/>
      <c r="G53" s="35"/>
      <c r="H53" s="62"/>
      <c r="I53" s="35"/>
      <c r="J53" s="35"/>
      <c r="K53" s="35"/>
      <c r="L53" s="36"/>
      <c r="M53" s="40"/>
      <c r="N53" s="61"/>
    </row>
    <row r="54" spans="1:14" ht="40.049999999999997" customHeight="1" x14ac:dyDescent="0.45">
      <c r="A54" s="14" t="s">
        <v>435</v>
      </c>
      <c r="B54" s="321">
        <v>0.75</v>
      </c>
      <c r="C54" s="320" t="s">
        <v>37</v>
      </c>
      <c r="D54" s="35" t="str">
        <f>VLOOKUP(C54,'Liste chauffeur'!$B$5:$L$20,2,TRUE)&amp;" "&amp;VLOOKUP(C54,'Liste chauffeur'!$B$5:$L$20,3,TRUE)</f>
        <v>HADHURAMI Makinedine</v>
      </c>
      <c r="E54" s="53">
        <v>9</v>
      </c>
      <c r="F54" s="35"/>
      <c r="G54" s="35"/>
      <c r="H54" s="62"/>
      <c r="I54" s="35"/>
      <c r="J54" s="35"/>
      <c r="K54" s="35"/>
      <c r="L54" s="36"/>
      <c r="M54" s="40"/>
      <c r="N54" s="61"/>
    </row>
  </sheetData>
  <autoFilter ref="A7:K54" xr:uid="{E15BAD97-4E2F-4149-89CB-3FE52EBB9FA2}"/>
  <pageMargins left="0.23622047244094491" right="0.23622047244094491" top="0.74803149606299213" bottom="0.74803149606299213" header="0.31496062992125984" footer="0.31496062992125984"/>
  <pageSetup paperSize="9" scale="4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3338-BCCE-47EA-8EB8-ABD27B1E77A7}">
  <sheetPr>
    <pageSetUpPr fitToPage="1"/>
  </sheetPr>
  <dimension ref="A3:N29"/>
  <sheetViews>
    <sheetView zoomScale="99" zoomScaleNormal="99" workbookViewId="0">
      <selection activeCell="B37" sqref="B37"/>
    </sheetView>
  </sheetViews>
  <sheetFormatPr baseColWidth="10" defaultRowHeight="14.25" x14ac:dyDescent="0.45"/>
  <cols>
    <col min="1" max="1" width="11.796875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412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414</v>
      </c>
      <c r="B7" s="3" t="s">
        <v>0</v>
      </c>
      <c r="C7" s="3" t="s">
        <v>25</v>
      </c>
      <c r="D7" s="3" t="s">
        <v>26</v>
      </c>
      <c r="E7" s="3" t="s">
        <v>398</v>
      </c>
      <c r="F7" s="3" t="s">
        <v>397</v>
      </c>
      <c r="G7" s="3" t="s">
        <v>399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40.049999999999997" customHeight="1" x14ac:dyDescent="0.45">
      <c r="A8" s="14" t="s">
        <v>8</v>
      </c>
      <c r="B8" s="48">
        <v>0.33333333333333331</v>
      </c>
      <c r="C8" s="320" t="s">
        <v>49</v>
      </c>
      <c r="D8" s="35" t="str">
        <f>VLOOKUP(C8,'Liste chauffeur'!$B$5:$L$20,2,TRUE)&amp;" "&amp;VLOOKUP(C8,'Liste chauffeur'!$B$5:$L$20,3,TRUE)</f>
        <v>AHAMADI Bacar Raenmouddine</v>
      </c>
      <c r="E8" s="53">
        <v>1</v>
      </c>
      <c r="F8" s="35">
        <f>B9-B8</f>
        <v>2.083333333333337E-2</v>
      </c>
      <c r="G8" s="35"/>
      <c r="H8" s="62"/>
      <c r="I8" s="35"/>
      <c r="J8" s="35"/>
      <c r="K8" s="35"/>
      <c r="L8" s="36"/>
      <c r="M8" s="40"/>
      <c r="N8" s="61"/>
    </row>
    <row r="9" spans="1:14" ht="40.049999999999997" customHeight="1" x14ac:dyDescent="0.45">
      <c r="A9" s="14" t="s">
        <v>435</v>
      </c>
      <c r="B9" s="322">
        <v>0.35416666666666669</v>
      </c>
      <c r="C9" s="320" t="s">
        <v>49</v>
      </c>
      <c r="D9" s="35" t="str">
        <f>VLOOKUP(C9,'Liste chauffeur'!$B$5:$L$20,2,TRUE)&amp;" "&amp;VLOOKUP(C9,'Liste chauffeur'!$B$5:$L$20,3,TRUE)</f>
        <v>AHAMADI Bacar Raenmouddine</v>
      </c>
      <c r="E9" s="53">
        <v>2</v>
      </c>
      <c r="F9" s="35">
        <f t="shared" ref="F9:F18" si="0">B10-B9</f>
        <v>2.0833333333333315E-2</v>
      </c>
      <c r="G9" s="35"/>
      <c r="H9" s="62"/>
      <c r="I9" s="35"/>
      <c r="J9" s="35"/>
      <c r="K9" s="35"/>
      <c r="L9" s="36"/>
      <c r="M9" s="40"/>
      <c r="N9" s="61"/>
    </row>
    <row r="10" spans="1:14" ht="40.049999999999997" customHeight="1" x14ac:dyDescent="0.45">
      <c r="A10" s="14" t="s">
        <v>8</v>
      </c>
      <c r="B10" s="322">
        <v>0.375</v>
      </c>
      <c r="C10" s="320" t="s">
        <v>49</v>
      </c>
      <c r="D10" s="35" t="str">
        <f>VLOOKUP(C10,'Liste chauffeur'!$B$5:$L$20,2,TRUE)&amp;" "&amp;VLOOKUP(C10,'Liste chauffeur'!$B$5:$L$20,3,TRUE)</f>
        <v>AHAMADI Bacar Raenmouddine</v>
      </c>
      <c r="E10" s="53">
        <v>3</v>
      </c>
      <c r="F10" s="35">
        <f t="shared" si="0"/>
        <v>2.0833333333333315E-2</v>
      </c>
      <c r="G10" s="35"/>
      <c r="H10" s="62"/>
      <c r="I10" s="35"/>
      <c r="J10" s="35"/>
      <c r="K10" s="35"/>
      <c r="L10" s="36"/>
      <c r="M10" s="40"/>
      <c r="N10" s="61"/>
    </row>
    <row r="11" spans="1:14" ht="40.049999999999997" customHeight="1" x14ac:dyDescent="0.45">
      <c r="A11" s="14" t="s">
        <v>435</v>
      </c>
      <c r="B11" s="322">
        <v>0.39583333333333331</v>
      </c>
      <c r="C11" s="320" t="s">
        <v>49</v>
      </c>
      <c r="D11" s="35" t="str">
        <f>VLOOKUP(C11,'Liste chauffeur'!$B$5:$L$20,2,TRUE)&amp;" "&amp;VLOOKUP(C11,'Liste chauffeur'!$B$5:$L$20,3,TRUE)</f>
        <v>AHAMADI Bacar Raenmouddine</v>
      </c>
      <c r="E11" s="53">
        <v>4</v>
      </c>
      <c r="F11" s="35">
        <f t="shared" si="0"/>
        <v>2.0833333333333703E-2</v>
      </c>
      <c r="G11" s="35"/>
      <c r="H11" s="62"/>
      <c r="I11" s="35"/>
      <c r="J11" s="35"/>
      <c r="K11" s="35"/>
      <c r="L11" s="36"/>
      <c r="M11" s="40"/>
      <c r="N11" s="61"/>
    </row>
    <row r="12" spans="1:14" ht="40.049999999999997" customHeight="1" x14ac:dyDescent="0.45">
      <c r="A12" s="14" t="s">
        <v>8</v>
      </c>
      <c r="B12" s="322">
        <v>0.41666666666666702</v>
      </c>
      <c r="C12" s="320" t="s">
        <v>49</v>
      </c>
      <c r="D12" s="35" t="str">
        <f>VLOOKUP(C12,'Liste chauffeur'!$B$5:$L$20,2,TRUE)&amp;" "&amp;VLOOKUP(C12,'Liste chauffeur'!$B$5:$L$20,3,TRUE)</f>
        <v>AHAMADI Bacar Raenmouddine</v>
      </c>
      <c r="E12" s="53">
        <v>5</v>
      </c>
      <c r="F12" s="35">
        <f t="shared" si="0"/>
        <v>2.0833333333332982E-2</v>
      </c>
      <c r="G12" s="35"/>
      <c r="H12" s="62"/>
      <c r="I12" s="35"/>
      <c r="J12" s="35"/>
      <c r="K12" s="35"/>
      <c r="L12" s="36"/>
      <c r="M12" s="40"/>
      <c r="N12" s="61"/>
    </row>
    <row r="13" spans="1:14" ht="40.049999999999997" customHeight="1" x14ac:dyDescent="0.45">
      <c r="A13" s="14" t="s">
        <v>435</v>
      </c>
      <c r="B13" s="322">
        <v>0.4375</v>
      </c>
      <c r="C13" s="320" t="s">
        <v>49</v>
      </c>
      <c r="D13" s="35" t="str">
        <f>VLOOKUP(C13,'Liste chauffeur'!$B$5:$L$20,2,TRUE)&amp;" "&amp;VLOOKUP(C13,'Liste chauffeur'!$B$5:$L$20,3,TRUE)</f>
        <v>AHAMADI Bacar Raenmouddine</v>
      </c>
      <c r="E13" s="53">
        <v>6</v>
      </c>
      <c r="F13" s="35">
        <f t="shared" si="0"/>
        <v>2.0833333333332982E-2</v>
      </c>
      <c r="G13" s="35"/>
      <c r="H13" s="62"/>
      <c r="I13" s="35"/>
      <c r="J13" s="35"/>
      <c r="K13" s="35"/>
      <c r="L13" s="36"/>
      <c r="M13" s="40"/>
      <c r="N13" s="61"/>
    </row>
    <row r="14" spans="1:14" ht="40.049999999999997" customHeight="1" x14ac:dyDescent="0.45">
      <c r="A14" s="14" t="s">
        <v>8</v>
      </c>
      <c r="B14" s="322">
        <v>0.45833333333333298</v>
      </c>
      <c r="C14" s="320" t="s">
        <v>49</v>
      </c>
      <c r="D14" s="35" t="str">
        <f>VLOOKUP(C14,'Liste chauffeur'!$B$5:$L$20,2,TRUE)&amp;" "&amp;VLOOKUP(C14,'Liste chauffeur'!$B$5:$L$20,3,TRUE)</f>
        <v>AHAMADI Bacar Raenmouddine</v>
      </c>
      <c r="E14" s="53">
        <v>7</v>
      </c>
      <c r="F14" s="35">
        <f t="shared" si="0"/>
        <v>2.0833333333334036E-2</v>
      </c>
      <c r="G14" s="35"/>
      <c r="H14" s="62"/>
      <c r="I14" s="35"/>
      <c r="J14" s="35"/>
      <c r="K14" s="35"/>
      <c r="L14" s="36"/>
      <c r="M14" s="40"/>
      <c r="N14" s="61"/>
    </row>
    <row r="15" spans="1:14" ht="40.049999999999997" customHeight="1" x14ac:dyDescent="0.45">
      <c r="A15" s="14" t="s">
        <v>435</v>
      </c>
      <c r="B15" s="322">
        <v>0.47916666666666702</v>
      </c>
      <c r="C15" s="320" t="s">
        <v>49</v>
      </c>
      <c r="D15" s="35" t="str">
        <f>VLOOKUP(C15,'Liste chauffeur'!$B$5:$L$20,2,TRUE)&amp;" "&amp;VLOOKUP(C15,'Liste chauffeur'!$B$5:$L$20,3,TRUE)</f>
        <v>AHAMADI Bacar Raenmouddine</v>
      </c>
      <c r="E15" s="53">
        <v>8</v>
      </c>
      <c r="F15" s="35">
        <f t="shared" si="0"/>
        <v>2.0833333333332982E-2</v>
      </c>
      <c r="G15" s="35"/>
      <c r="H15" s="62"/>
      <c r="I15" s="35"/>
      <c r="J15" s="35"/>
      <c r="K15" s="35"/>
      <c r="L15" s="36"/>
      <c r="M15" s="40"/>
      <c r="N15" s="61"/>
    </row>
    <row r="16" spans="1:14" ht="40.049999999999997" customHeight="1" x14ac:dyDescent="0.45">
      <c r="A16" s="14" t="s">
        <v>8</v>
      </c>
      <c r="B16" s="322">
        <v>0.5</v>
      </c>
      <c r="C16" s="320" t="s">
        <v>49</v>
      </c>
      <c r="D16" s="35" t="str">
        <f>VLOOKUP(C16,'Liste chauffeur'!$B$5:$L$20,2,TRUE)&amp;" "&amp;VLOOKUP(C16,'Liste chauffeur'!$B$5:$L$20,3,TRUE)</f>
        <v>AHAMADI Bacar Raenmouddine</v>
      </c>
      <c r="E16" s="53">
        <v>9</v>
      </c>
      <c r="F16" s="35">
        <f t="shared" si="0"/>
        <v>2.0833333333333037E-2</v>
      </c>
      <c r="G16" s="35"/>
      <c r="H16" s="62"/>
      <c r="I16" s="35"/>
      <c r="J16" s="35"/>
      <c r="K16" s="35"/>
      <c r="L16" s="36"/>
      <c r="M16" s="40"/>
      <c r="N16" s="61"/>
    </row>
    <row r="17" spans="1:14" ht="40.049999999999997" customHeight="1" x14ac:dyDescent="0.45">
      <c r="A17" s="14" t="s">
        <v>435</v>
      </c>
      <c r="B17" s="322">
        <v>0.52083333333333304</v>
      </c>
      <c r="C17" s="320" t="s">
        <v>49</v>
      </c>
      <c r="D17" s="35" t="str">
        <f>VLOOKUP(C17,'Liste chauffeur'!$B$5:$L$20,2,TRUE)&amp;" "&amp;VLOOKUP(C17,'Liste chauffeur'!$B$5:$L$20,3,TRUE)</f>
        <v>AHAMADI Bacar Raenmouddine</v>
      </c>
      <c r="E17" s="53">
        <v>10</v>
      </c>
      <c r="F17" s="35">
        <f t="shared" si="0"/>
        <v>2.0833333333333925E-2</v>
      </c>
      <c r="G17" s="35"/>
      <c r="H17" s="62"/>
      <c r="I17" s="35"/>
      <c r="J17" s="35"/>
      <c r="K17" s="35"/>
      <c r="L17" s="36"/>
      <c r="M17" s="40"/>
      <c r="N17" s="61"/>
    </row>
    <row r="18" spans="1:14" ht="40.049999999999997" customHeight="1" x14ac:dyDescent="0.45">
      <c r="A18" s="14" t="s">
        <v>8</v>
      </c>
      <c r="B18" s="322">
        <v>0.54166666666666696</v>
      </c>
      <c r="C18" s="320" t="s">
        <v>49</v>
      </c>
      <c r="D18" s="35" t="str">
        <f>VLOOKUP(C18,'Liste chauffeur'!$B$5:$L$20,2,TRUE)&amp;" "&amp;VLOOKUP(C18,'Liste chauffeur'!$B$5:$L$20,3,TRUE)</f>
        <v>AHAMADI Bacar Raenmouddine</v>
      </c>
      <c r="E18" s="53">
        <v>11</v>
      </c>
      <c r="F18" s="35">
        <f t="shared" si="0"/>
        <v>2.0833333333333037E-2</v>
      </c>
      <c r="G18" s="35"/>
      <c r="H18" s="62"/>
      <c r="I18" s="35"/>
      <c r="J18" s="35"/>
      <c r="K18" s="35"/>
      <c r="L18" s="36"/>
      <c r="M18" s="40"/>
      <c r="N18" s="61"/>
    </row>
    <row r="19" spans="1:14" ht="40.049999999999997" customHeight="1" x14ac:dyDescent="0.45">
      <c r="A19" s="14" t="s">
        <v>435</v>
      </c>
      <c r="B19" s="321">
        <v>0.5625</v>
      </c>
      <c r="C19" s="320" t="s">
        <v>49</v>
      </c>
      <c r="D19" s="35" t="str">
        <f>VLOOKUP(C19,'Liste chauffeur'!$B$5:$L$20,2,TRUE)&amp;" "&amp;VLOOKUP(C19,'Liste chauffeur'!$B$5:$L$20,3,TRUE)</f>
        <v>AHAMADI Bacar Raenmouddine</v>
      </c>
      <c r="E19" s="53">
        <v>12</v>
      </c>
      <c r="F19" s="35"/>
      <c r="G19" s="35"/>
      <c r="H19" s="62"/>
      <c r="I19" s="35"/>
      <c r="J19" s="35"/>
      <c r="K19" s="35"/>
      <c r="L19" s="36"/>
      <c r="M19" s="40"/>
      <c r="N19" s="61"/>
    </row>
    <row r="20" spans="1:14" ht="40.049999999999997" customHeight="1" x14ac:dyDescent="0.45">
      <c r="A20" s="14" t="s">
        <v>8</v>
      </c>
      <c r="B20" s="322">
        <v>0.58333333333333304</v>
      </c>
      <c r="C20" s="351" t="s">
        <v>37</v>
      </c>
      <c r="D20" s="35" t="str">
        <f>VLOOKUP(C20,'Liste chauffeur'!$B$5:$L$20,2,TRUE)&amp;" "&amp;VLOOKUP(C20,'Liste chauffeur'!$B$5:$L$20,3,TRUE)</f>
        <v>HADHURAMI Makinedine</v>
      </c>
      <c r="E20" s="53">
        <v>1</v>
      </c>
      <c r="F20" s="35">
        <f t="shared" ref="F20:F25" si="1">B21-B20</f>
        <v>2.0833333333332926E-2</v>
      </c>
      <c r="G20" s="35"/>
      <c r="H20" s="62"/>
      <c r="I20" s="35"/>
      <c r="J20" s="35"/>
      <c r="K20" s="35"/>
      <c r="L20" s="36"/>
      <c r="M20" s="40"/>
      <c r="N20" s="61"/>
    </row>
    <row r="21" spans="1:14" ht="40.049999999999997" customHeight="1" x14ac:dyDescent="0.45">
      <c r="A21" s="14" t="s">
        <v>435</v>
      </c>
      <c r="B21" s="322">
        <v>0.60416666666666596</v>
      </c>
      <c r="C21" s="320" t="s">
        <v>37</v>
      </c>
      <c r="D21" s="35" t="str">
        <f>VLOOKUP(C21,'Liste chauffeur'!$B$5:$L$20,2,TRUE)&amp;" "&amp;VLOOKUP(C21,'Liste chauffeur'!$B$5:$L$20,3,TRUE)</f>
        <v>HADHURAMI Makinedine</v>
      </c>
      <c r="E21" s="53">
        <v>2</v>
      </c>
      <c r="F21" s="35">
        <f t="shared" si="1"/>
        <v>2.0833333333334036E-2</v>
      </c>
      <c r="G21" s="35"/>
      <c r="H21" s="62"/>
      <c r="I21" s="35"/>
      <c r="J21" s="35"/>
      <c r="K21" s="35"/>
      <c r="L21" s="36"/>
      <c r="M21" s="40"/>
      <c r="N21" s="61"/>
    </row>
    <row r="22" spans="1:14" ht="40.049999999999997" customHeight="1" x14ac:dyDescent="0.45">
      <c r="A22" s="14" t="s">
        <v>8</v>
      </c>
      <c r="B22" s="322">
        <v>0.625</v>
      </c>
      <c r="C22" s="320" t="s">
        <v>37</v>
      </c>
      <c r="D22" s="35" t="str">
        <f>VLOOKUP(C22,'Liste chauffeur'!$B$5:$L$20,2,TRUE)&amp;" "&amp;VLOOKUP(C22,'Liste chauffeur'!$B$5:$L$20,3,TRUE)</f>
        <v>HADHURAMI Makinedine</v>
      </c>
      <c r="E22" s="53">
        <v>3</v>
      </c>
      <c r="F22" s="35">
        <f t="shared" si="1"/>
        <v>2.0833333333333037E-2</v>
      </c>
      <c r="G22" s="35"/>
      <c r="H22" s="62"/>
      <c r="I22" s="35"/>
      <c r="J22" s="35"/>
      <c r="K22" s="35"/>
      <c r="L22" s="36"/>
      <c r="M22" s="40"/>
      <c r="N22" s="61"/>
    </row>
    <row r="23" spans="1:14" ht="40.049999999999997" customHeight="1" x14ac:dyDescent="0.45">
      <c r="A23" s="14" t="s">
        <v>435</v>
      </c>
      <c r="B23" s="322">
        <v>0.64583333333333304</v>
      </c>
      <c r="C23" s="320" t="s">
        <v>37</v>
      </c>
      <c r="D23" s="35" t="str">
        <f>VLOOKUP(C23,'Liste chauffeur'!$B$5:$L$20,2,TRUE)&amp;" "&amp;VLOOKUP(C23,'Liste chauffeur'!$B$5:$L$20,3,TRUE)</f>
        <v>HADHURAMI Makinedine</v>
      </c>
      <c r="E23" s="53">
        <v>4</v>
      </c>
      <c r="F23" s="35">
        <f t="shared" si="1"/>
        <v>2.0833333333332926E-2</v>
      </c>
      <c r="G23" s="35"/>
      <c r="H23" s="62"/>
      <c r="I23" s="35"/>
      <c r="J23" s="35"/>
      <c r="K23" s="35"/>
      <c r="L23" s="36"/>
      <c r="M23" s="40"/>
      <c r="N23" s="61"/>
    </row>
    <row r="24" spans="1:14" ht="40.049999999999997" customHeight="1" x14ac:dyDescent="0.45">
      <c r="A24" s="14" t="s">
        <v>8</v>
      </c>
      <c r="B24" s="322">
        <v>0.66666666666666596</v>
      </c>
      <c r="C24" s="320" t="s">
        <v>37</v>
      </c>
      <c r="D24" s="35" t="str">
        <f>VLOOKUP(C24,'Liste chauffeur'!$B$5:$L$20,2,TRUE)&amp;" "&amp;VLOOKUP(C24,'Liste chauffeur'!$B$5:$L$20,3,TRUE)</f>
        <v>HADHURAMI Makinedine</v>
      </c>
      <c r="E24" s="53">
        <v>5</v>
      </c>
      <c r="F24" s="35">
        <f t="shared" si="1"/>
        <v>2.0833333333334036E-2</v>
      </c>
      <c r="G24" s="35"/>
      <c r="H24" s="62"/>
      <c r="I24" s="35"/>
      <c r="J24" s="35"/>
      <c r="K24" s="35"/>
      <c r="L24" s="36"/>
      <c r="M24" s="40"/>
      <c r="N24" s="61"/>
    </row>
    <row r="25" spans="1:14" ht="40.049999999999997" customHeight="1" x14ac:dyDescent="0.45">
      <c r="A25" s="14" t="s">
        <v>435</v>
      </c>
      <c r="B25" s="322">
        <v>0.6875</v>
      </c>
      <c r="C25" s="320" t="s">
        <v>37</v>
      </c>
      <c r="D25" s="35" t="str">
        <f>VLOOKUP(C25,'Liste chauffeur'!$B$5:$L$20,2,TRUE)&amp;" "&amp;VLOOKUP(C25,'Liste chauffeur'!$B$5:$L$20,3,TRUE)</f>
        <v>HADHURAMI Makinedine</v>
      </c>
      <c r="E25" s="53">
        <v>6</v>
      </c>
      <c r="F25" s="35">
        <f t="shared" si="1"/>
        <v>2.0833333333333037E-2</v>
      </c>
      <c r="G25" s="35"/>
      <c r="H25" s="62"/>
      <c r="I25" s="35"/>
      <c r="J25" s="35"/>
      <c r="K25" s="35"/>
      <c r="L25" s="36"/>
      <c r="M25" s="40"/>
      <c r="N25" s="61"/>
    </row>
    <row r="26" spans="1:14" ht="40.049999999999997" customHeight="1" x14ac:dyDescent="0.45">
      <c r="A26" s="14" t="s">
        <v>8</v>
      </c>
      <c r="B26" s="322">
        <v>0.70833333333333304</v>
      </c>
      <c r="C26" s="320" t="s">
        <v>37</v>
      </c>
      <c r="D26" s="35" t="str">
        <f>VLOOKUP(C26,'Liste chauffeur'!$B$5:$L$20,2,TRUE)&amp;" "&amp;VLOOKUP(C26,'Liste chauffeur'!$B$5:$L$20,3,TRUE)</f>
        <v>HADHURAMI Makinedine</v>
      </c>
      <c r="E26" s="53">
        <v>7</v>
      </c>
      <c r="F26" s="35">
        <f t="shared" ref="F26:F28" si="2">B27-B26</f>
        <v>1.3888888888889173E-2</v>
      </c>
      <c r="G26" s="35"/>
      <c r="H26" s="62"/>
      <c r="I26" s="35"/>
      <c r="J26" s="35"/>
      <c r="K26" s="35"/>
      <c r="L26" s="36"/>
      <c r="M26" s="40"/>
      <c r="N26" s="61"/>
    </row>
    <row r="27" spans="1:14" ht="40.049999999999997" customHeight="1" x14ac:dyDescent="0.45">
      <c r="A27" s="14" t="s">
        <v>435</v>
      </c>
      <c r="B27" s="322">
        <v>0.72222222222222221</v>
      </c>
      <c r="C27" s="320" t="s">
        <v>37</v>
      </c>
      <c r="D27" s="35" t="str">
        <f>VLOOKUP(C27,'Liste chauffeur'!$B$5:$L$20,2,TRUE)&amp;" "&amp;VLOOKUP(C27,'Liste chauffeur'!$B$5:$L$20,3,TRUE)</f>
        <v>HADHURAMI Makinedine</v>
      </c>
      <c r="E27" s="53">
        <v>8</v>
      </c>
      <c r="F27" s="35">
        <f t="shared" si="2"/>
        <v>2.083333333333337E-2</v>
      </c>
      <c r="G27" s="35"/>
      <c r="H27" s="62"/>
      <c r="I27" s="35"/>
      <c r="J27" s="35"/>
      <c r="K27" s="35"/>
      <c r="L27" s="36"/>
      <c r="M27" s="40"/>
      <c r="N27" s="61"/>
    </row>
    <row r="28" spans="1:14" ht="40.049999999999997" customHeight="1" x14ac:dyDescent="0.45">
      <c r="A28" s="14" t="s">
        <v>8</v>
      </c>
      <c r="B28" s="322">
        <v>0.74305555555555558</v>
      </c>
      <c r="C28" s="320" t="s">
        <v>37</v>
      </c>
      <c r="D28" s="35" t="str">
        <f>VLOOKUP(C28,'Liste chauffeur'!$B$5:$L$20,2,TRUE)&amp;" "&amp;VLOOKUP(C28,'Liste chauffeur'!$B$5:$L$20,3,TRUE)</f>
        <v>HADHURAMI Makinedine</v>
      </c>
      <c r="E28" s="53">
        <v>9</v>
      </c>
      <c r="F28" s="35">
        <f t="shared" si="2"/>
        <v>1.388888888888884E-2</v>
      </c>
      <c r="G28" s="35"/>
      <c r="H28" s="62"/>
      <c r="I28" s="35"/>
      <c r="J28" s="35"/>
      <c r="K28" s="35"/>
      <c r="L28" s="36"/>
      <c r="M28" s="40"/>
      <c r="N28" s="61"/>
    </row>
    <row r="29" spans="1:14" ht="40.049999999999997" customHeight="1" x14ac:dyDescent="0.45">
      <c r="A29" s="14" t="s">
        <v>435</v>
      </c>
      <c r="B29" s="322">
        <v>0.75694444444444442</v>
      </c>
      <c r="C29" s="352" t="s">
        <v>37</v>
      </c>
      <c r="D29" s="35" t="str">
        <f>VLOOKUP(C29,'Liste chauffeur'!$B$5:$L$20,2,TRUE)&amp;" "&amp;VLOOKUP(C29,'Liste chauffeur'!$B$5:$L$20,3,TRUE)</f>
        <v>HADHURAMI Makinedine</v>
      </c>
      <c r="E29" s="53">
        <v>10</v>
      </c>
      <c r="F29" s="35"/>
      <c r="G29" s="35"/>
      <c r="H29" s="62"/>
      <c r="I29" s="35"/>
      <c r="J29" s="35"/>
      <c r="K29" s="35"/>
      <c r="L29" s="36"/>
      <c r="M29" s="40"/>
      <c r="N29" s="61"/>
    </row>
  </sheetData>
  <autoFilter ref="A7:K29" xr:uid="{E15BAD97-4E2F-4149-89CB-3FE52EBB9FA2}"/>
  <pageMargins left="0.23622047244094491" right="0.23622047244094491" top="0.74803149606299213" bottom="0.74803149606299213" header="0.31496062992125984" footer="0.31496062992125984"/>
  <pageSetup paperSize="9" scale="4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5454-3460-45FA-9D9A-923416AC204B}">
  <sheetPr>
    <pageSetUpPr fitToPage="1"/>
  </sheetPr>
  <dimension ref="A3:N29"/>
  <sheetViews>
    <sheetView topLeftCell="A3" zoomScale="99" zoomScaleNormal="99" workbookViewId="0">
      <selection activeCell="C28" sqref="C28"/>
    </sheetView>
  </sheetViews>
  <sheetFormatPr baseColWidth="10" defaultRowHeight="14.25" x14ac:dyDescent="0.45"/>
  <cols>
    <col min="1" max="1" width="11.796875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412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414</v>
      </c>
      <c r="B7" s="3" t="s">
        <v>0</v>
      </c>
      <c r="C7" s="3" t="s">
        <v>25</v>
      </c>
      <c r="D7" s="3" t="s">
        <v>26</v>
      </c>
      <c r="E7" s="3" t="s">
        <v>398</v>
      </c>
      <c r="F7" s="3" t="s">
        <v>397</v>
      </c>
      <c r="G7" s="3" t="s">
        <v>399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40.049999999999997" customHeight="1" x14ac:dyDescent="0.45">
      <c r="A8" s="14" t="s">
        <v>8</v>
      </c>
      <c r="B8" s="48">
        <v>0.33333333333333331</v>
      </c>
      <c r="C8" s="320" t="s">
        <v>42</v>
      </c>
      <c r="D8" s="35" t="str">
        <f>VLOOKUP(C8,'Liste chauffeur'!$B$5:$L$20,2,TRUE)&amp;" "&amp;VLOOKUP(C8,'Liste chauffeur'!$B$5:$L$20,3,TRUE)</f>
        <v>ISSIHAKA M'Changama</v>
      </c>
      <c r="E8" s="53">
        <v>1</v>
      </c>
      <c r="F8" s="35">
        <f>B9-B8</f>
        <v>2.083333333333337E-2</v>
      </c>
      <c r="G8" s="35"/>
      <c r="H8" s="62"/>
      <c r="I8" s="35"/>
      <c r="J8" s="35"/>
      <c r="K8" s="35"/>
      <c r="L8" s="36"/>
      <c r="M8" s="40"/>
      <c r="N8" s="61"/>
    </row>
    <row r="9" spans="1:14" ht="40.049999999999997" customHeight="1" x14ac:dyDescent="0.45">
      <c r="A9" s="14" t="s">
        <v>435</v>
      </c>
      <c r="B9" s="322">
        <v>0.35416666666666669</v>
      </c>
      <c r="C9" s="320" t="s">
        <v>42</v>
      </c>
      <c r="D9" s="35" t="str">
        <f>VLOOKUP(C9,'Liste chauffeur'!$B$5:$L$20,2,TRUE)&amp;" "&amp;VLOOKUP(C9,'Liste chauffeur'!$B$5:$L$20,3,TRUE)</f>
        <v>ISSIHAKA M'Changama</v>
      </c>
      <c r="E9" s="53">
        <v>2</v>
      </c>
      <c r="F9" s="35">
        <f t="shared" ref="F9:F18" si="0">B10-B9</f>
        <v>2.0833333333333315E-2</v>
      </c>
      <c r="G9" s="35"/>
      <c r="H9" s="62"/>
      <c r="I9" s="35"/>
      <c r="J9" s="35"/>
      <c r="K9" s="35"/>
      <c r="L9" s="36"/>
      <c r="M9" s="40"/>
      <c r="N9" s="61"/>
    </row>
    <row r="10" spans="1:14" ht="40.049999999999997" customHeight="1" x14ac:dyDescent="0.45">
      <c r="A10" s="14" t="s">
        <v>8</v>
      </c>
      <c r="B10" s="322">
        <v>0.375</v>
      </c>
      <c r="C10" s="320" t="s">
        <v>42</v>
      </c>
      <c r="D10" s="35" t="str">
        <f>VLOOKUP(C10,'Liste chauffeur'!$B$5:$L$20,2,TRUE)&amp;" "&amp;VLOOKUP(C10,'Liste chauffeur'!$B$5:$L$20,3,TRUE)</f>
        <v>ISSIHAKA M'Changama</v>
      </c>
      <c r="E10" s="53">
        <v>3</v>
      </c>
      <c r="F10" s="35">
        <f t="shared" si="0"/>
        <v>2.0833333333333315E-2</v>
      </c>
      <c r="G10" s="35"/>
      <c r="H10" s="62"/>
      <c r="I10" s="35"/>
      <c r="J10" s="35"/>
      <c r="K10" s="35"/>
      <c r="L10" s="36"/>
      <c r="M10" s="40"/>
      <c r="N10" s="61"/>
    </row>
    <row r="11" spans="1:14" ht="40.049999999999997" customHeight="1" x14ac:dyDescent="0.45">
      <c r="A11" s="14" t="s">
        <v>435</v>
      </c>
      <c r="B11" s="322">
        <v>0.39583333333333331</v>
      </c>
      <c r="C11" s="320" t="s">
        <v>42</v>
      </c>
      <c r="D11" s="35" t="str">
        <f>VLOOKUP(C11,'Liste chauffeur'!$B$5:$L$20,2,TRUE)&amp;" "&amp;VLOOKUP(C11,'Liste chauffeur'!$B$5:$L$20,3,TRUE)</f>
        <v>ISSIHAKA M'Changama</v>
      </c>
      <c r="E11" s="53">
        <v>4</v>
      </c>
      <c r="F11" s="35">
        <f t="shared" si="0"/>
        <v>2.0833333333333703E-2</v>
      </c>
      <c r="G11" s="35"/>
      <c r="H11" s="62"/>
      <c r="I11" s="35"/>
      <c r="J11" s="35"/>
      <c r="K11" s="35"/>
      <c r="L11" s="36"/>
      <c r="M11" s="40"/>
      <c r="N11" s="61"/>
    </row>
    <row r="12" spans="1:14" ht="40.049999999999997" customHeight="1" x14ac:dyDescent="0.45">
      <c r="A12" s="14" t="s">
        <v>8</v>
      </c>
      <c r="B12" s="322">
        <v>0.41666666666666702</v>
      </c>
      <c r="C12" s="320" t="s">
        <v>42</v>
      </c>
      <c r="D12" s="35" t="str">
        <f>VLOOKUP(C12,'Liste chauffeur'!$B$5:$L$20,2,TRUE)&amp;" "&amp;VLOOKUP(C12,'Liste chauffeur'!$B$5:$L$20,3,TRUE)</f>
        <v>ISSIHAKA M'Changama</v>
      </c>
      <c r="E12" s="53">
        <v>5</v>
      </c>
      <c r="F12" s="35">
        <f t="shared" si="0"/>
        <v>2.0833333333332982E-2</v>
      </c>
      <c r="G12" s="35"/>
      <c r="H12" s="62"/>
      <c r="I12" s="35"/>
      <c r="J12" s="35"/>
      <c r="K12" s="35"/>
      <c r="L12" s="36"/>
      <c r="M12" s="40"/>
      <c r="N12" s="61"/>
    </row>
    <row r="13" spans="1:14" ht="40.049999999999997" customHeight="1" x14ac:dyDescent="0.45">
      <c r="A13" s="14" t="s">
        <v>435</v>
      </c>
      <c r="B13" s="322">
        <v>0.4375</v>
      </c>
      <c r="C13" s="320" t="s">
        <v>42</v>
      </c>
      <c r="D13" s="35" t="str">
        <f>VLOOKUP(C13,'Liste chauffeur'!$B$5:$L$20,2,TRUE)&amp;" "&amp;VLOOKUP(C13,'Liste chauffeur'!$B$5:$L$20,3,TRUE)</f>
        <v>ISSIHAKA M'Changama</v>
      </c>
      <c r="E13" s="53">
        <v>6</v>
      </c>
      <c r="F13" s="35">
        <f t="shared" si="0"/>
        <v>2.0833333333332982E-2</v>
      </c>
      <c r="G13" s="35"/>
      <c r="H13" s="62"/>
      <c r="I13" s="35"/>
      <c r="J13" s="35"/>
      <c r="K13" s="35"/>
      <c r="L13" s="36"/>
      <c r="M13" s="40"/>
      <c r="N13" s="61"/>
    </row>
    <row r="14" spans="1:14" ht="40.049999999999997" customHeight="1" x14ac:dyDescent="0.45">
      <c r="A14" s="14" t="s">
        <v>8</v>
      </c>
      <c r="B14" s="322">
        <v>0.45833333333333298</v>
      </c>
      <c r="C14" s="320" t="s">
        <v>42</v>
      </c>
      <c r="D14" s="35" t="str">
        <f>VLOOKUP(C14,'Liste chauffeur'!$B$5:$L$20,2,TRUE)&amp;" "&amp;VLOOKUP(C14,'Liste chauffeur'!$B$5:$L$20,3,TRUE)</f>
        <v>ISSIHAKA M'Changama</v>
      </c>
      <c r="E14" s="53">
        <v>7</v>
      </c>
      <c r="F14" s="35">
        <f t="shared" si="0"/>
        <v>2.0833333333334036E-2</v>
      </c>
      <c r="G14" s="35"/>
      <c r="H14" s="62"/>
      <c r="I14" s="35"/>
      <c r="J14" s="35"/>
      <c r="K14" s="35"/>
      <c r="L14" s="36"/>
      <c r="M14" s="40"/>
      <c r="N14" s="61"/>
    </row>
    <row r="15" spans="1:14" ht="40.049999999999997" customHeight="1" x14ac:dyDescent="0.45">
      <c r="A15" s="14" t="s">
        <v>435</v>
      </c>
      <c r="B15" s="322">
        <v>0.47916666666666702</v>
      </c>
      <c r="C15" s="320" t="s">
        <v>42</v>
      </c>
      <c r="D15" s="35" t="str">
        <f>VLOOKUP(C15,'Liste chauffeur'!$B$5:$L$20,2,TRUE)&amp;" "&amp;VLOOKUP(C15,'Liste chauffeur'!$B$5:$L$20,3,TRUE)</f>
        <v>ISSIHAKA M'Changama</v>
      </c>
      <c r="E15" s="53">
        <v>8</v>
      </c>
      <c r="F15" s="35">
        <f t="shared" si="0"/>
        <v>2.0833333333332982E-2</v>
      </c>
      <c r="G15" s="35"/>
      <c r="H15" s="62"/>
      <c r="I15" s="35"/>
      <c r="J15" s="35"/>
      <c r="K15" s="35"/>
      <c r="L15" s="36"/>
      <c r="M15" s="40"/>
      <c r="N15" s="61"/>
    </row>
    <row r="16" spans="1:14" ht="40.049999999999997" customHeight="1" x14ac:dyDescent="0.45">
      <c r="A16" s="14" t="s">
        <v>8</v>
      </c>
      <c r="B16" s="322">
        <v>0.5</v>
      </c>
      <c r="C16" s="320" t="s">
        <v>42</v>
      </c>
      <c r="D16" s="35" t="str">
        <f>VLOOKUP(C16,'Liste chauffeur'!$B$5:$L$20,2,TRUE)&amp;" "&amp;VLOOKUP(C16,'Liste chauffeur'!$B$5:$L$20,3,TRUE)</f>
        <v>ISSIHAKA M'Changama</v>
      </c>
      <c r="E16" s="53">
        <v>9</v>
      </c>
      <c r="F16" s="35">
        <f t="shared" si="0"/>
        <v>2.0833333333333037E-2</v>
      </c>
      <c r="G16" s="35"/>
      <c r="H16" s="62"/>
      <c r="I16" s="35"/>
      <c r="J16" s="35"/>
      <c r="K16" s="35"/>
      <c r="L16" s="36"/>
      <c r="M16" s="40"/>
      <c r="N16" s="61"/>
    </row>
    <row r="17" spans="1:14" ht="40.049999999999997" customHeight="1" x14ac:dyDescent="0.45">
      <c r="A17" s="14" t="s">
        <v>435</v>
      </c>
      <c r="B17" s="322">
        <v>0.52083333333333304</v>
      </c>
      <c r="C17" s="320" t="s">
        <v>42</v>
      </c>
      <c r="D17" s="35" t="str">
        <f>VLOOKUP(C17,'Liste chauffeur'!$B$5:$L$20,2,TRUE)&amp;" "&amp;VLOOKUP(C17,'Liste chauffeur'!$B$5:$L$20,3,TRUE)</f>
        <v>ISSIHAKA M'Changama</v>
      </c>
      <c r="E17" s="53">
        <v>10</v>
      </c>
      <c r="F17" s="35">
        <f t="shared" si="0"/>
        <v>2.0833333333333925E-2</v>
      </c>
      <c r="G17" s="35"/>
      <c r="H17" s="62"/>
      <c r="I17" s="35"/>
      <c r="J17" s="35"/>
      <c r="K17" s="35"/>
      <c r="L17" s="36"/>
      <c r="M17" s="40"/>
      <c r="N17" s="61"/>
    </row>
    <row r="18" spans="1:14" ht="40.049999999999997" customHeight="1" x14ac:dyDescent="0.45">
      <c r="A18" s="14" t="s">
        <v>8</v>
      </c>
      <c r="B18" s="322">
        <v>0.54166666666666696</v>
      </c>
      <c r="C18" s="320" t="s">
        <v>42</v>
      </c>
      <c r="D18" s="35" t="str">
        <f>VLOOKUP(C18,'Liste chauffeur'!$B$5:$L$20,2,TRUE)&amp;" "&amp;VLOOKUP(C18,'Liste chauffeur'!$B$5:$L$20,3,TRUE)</f>
        <v>ISSIHAKA M'Changama</v>
      </c>
      <c r="E18" s="53">
        <v>11</v>
      </c>
      <c r="F18" s="35">
        <f t="shared" si="0"/>
        <v>2.0833333333333037E-2</v>
      </c>
      <c r="G18" s="35"/>
      <c r="H18" s="62"/>
      <c r="I18" s="35"/>
      <c r="J18" s="35"/>
      <c r="K18" s="35"/>
      <c r="L18" s="36"/>
      <c r="M18" s="40"/>
      <c r="N18" s="61"/>
    </row>
    <row r="19" spans="1:14" ht="40.049999999999997" customHeight="1" x14ac:dyDescent="0.45">
      <c r="A19" s="14" t="s">
        <v>435</v>
      </c>
      <c r="B19" s="321">
        <v>0.5625</v>
      </c>
      <c r="C19" s="320" t="s">
        <v>42</v>
      </c>
      <c r="D19" s="35" t="str">
        <f>VLOOKUP(C19,'Liste chauffeur'!$B$5:$L$20,2,TRUE)&amp;" "&amp;VLOOKUP(C19,'Liste chauffeur'!$B$5:$L$20,3,TRUE)</f>
        <v>ISSIHAKA M'Changama</v>
      </c>
      <c r="E19" s="53">
        <v>12</v>
      </c>
      <c r="F19" s="35"/>
      <c r="G19" s="35"/>
      <c r="H19" s="62"/>
      <c r="I19" s="35"/>
      <c r="J19" s="35"/>
      <c r="K19" s="35"/>
      <c r="L19" s="36"/>
      <c r="M19" s="40"/>
      <c r="N19" s="61"/>
    </row>
    <row r="20" spans="1:14" ht="40.049999999999997" customHeight="1" x14ac:dyDescent="0.45">
      <c r="A20" s="14" t="s">
        <v>8</v>
      </c>
      <c r="B20" s="48">
        <v>0.58333333333333304</v>
      </c>
      <c r="C20" s="320" t="s">
        <v>31</v>
      </c>
      <c r="D20" s="35" t="str">
        <f>VLOOKUP(C20,'Liste chauffeur'!$B$5:$L$20,2,TRUE)&amp;" "&amp;VLOOKUP(C20,'Liste chauffeur'!$B$5:$L$20,3,TRUE)</f>
        <v>HAMADA Babou</v>
      </c>
      <c r="E20" s="53">
        <v>1</v>
      </c>
      <c r="F20" s="35">
        <f t="shared" ref="F20:F25" si="1">B21-B20</f>
        <v>2.0833333333332926E-2</v>
      </c>
      <c r="G20" s="35"/>
      <c r="H20" s="62"/>
      <c r="I20" s="35"/>
      <c r="J20" s="35"/>
      <c r="K20" s="35"/>
      <c r="L20" s="36"/>
      <c r="M20" s="40"/>
      <c r="N20" s="61"/>
    </row>
    <row r="21" spans="1:14" ht="40.049999999999997" customHeight="1" x14ac:dyDescent="0.45">
      <c r="A21" s="14" t="s">
        <v>435</v>
      </c>
      <c r="B21" s="322">
        <v>0.60416666666666596</v>
      </c>
      <c r="C21" s="320" t="s">
        <v>31</v>
      </c>
      <c r="D21" s="35" t="str">
        <f>VLOOKUP(C21,'Liste chauffeur'!$B$5:$L$20,2,TRUE)&amp;" "&amp;VLOOKUP(C21,'Liste chauffeur'!$B$5:$L$20,3,TRUE)</f>
        <v>HAMADA Babou</v>
      </c>
      <c r="E21" s="53">
        <v>2</v>
      </c>
      <c r="F21" s="35">
        <f t="shared" si="1"/>
        <v>2.0833333333334036E-2</v>
      </c>
      <c r="G21" s="35"/>
      <c r="H21" s="62"/>
      <c r="I21" s="35"/>
      <c r="J21" s="35"/>
      <c r="K21" s="35"/>
      <c r="L21" s="36"/>
      <c r="M21" s="40"/>
      <c r="N21" s="61"/>
    </row>
    <row r="22" spans="1:14" ht="40.049999999999997" customHeight="1" x14ac:dyDescent="0.45">
      <c r="A22" s="14" t="s">
        <v>8</v>
      </c>
      <c r="B22" s="322">
        <v>0.625</v>
      </c>
      <c r="C22" s="320" t="s">
        <v>31</v>
      </c>
      <c r="D22" s="35" t="str">
        <f>VLOOKUP(C22,'Liste chauffeur'!$B$5:$L$20,2,TRUE)&amp;" "&amp;VLOOKUP(C22,'Liste chauffeur'!$B$5:$L$20,3,TRUE)</f>
        <v>HAMADA Babou</v>
      </c>
      <c r="E22" s="53">
        <v>3</v>
      </c>
      <c r="F22" s="35">
        <f t="shared" si="1"/>
        <v>2.0833333333333037E-2</v>
      </c>
      <c r="G22" s="35"/>
      <c r="H22" s="62"/>
      <c r="I22" s="35"/>
      <c r="J22" s="35"/>
      <c r="K22" s="35"/>
      <c r="L22" s="36"/>
      <c r="M22" s="40"/>
      <c r="N22" s="61"/>
    </row>
    <row r="23" spans="1:14" ht="40.049999999999997" customHeight="1" x14ac:dyDescent="0.45">
      <c r="A23" s="14" t="s">
        <v>435</v>
      </c>
      <c r="B23" s="322">
        <v>0.64583333333333304</v>
      </c>
      <c r="C23" s="320" t="s">
        <v>31</v>
      </c>
      <c r="D23" s="35" t="str">
        <f>VLOOKUP(C23,'Liste chauffeur'!$B$5:$L$20,2,TRUE)&amp;" "&amp;VLOOKUP(C23,'Liste chauffeur'!$B$5:$L$20,3,TRUE)</f>
        <v>HAMADA Babou</v>
      </c>
      <c r="E23" s="53">
        <v>4</v>
      </c>
      <c r="F23" s="35">
        <f t="shared" si="1"/>
        <v>2.0833333333332926E-2</v>
      </c>
      <c r="G23" s="35"/>
      <c r="H23" s="62"/>
      <c r="I23" s="35"/>
      <c r="J23" s="35"/>
      <c r="K23" s="35"/>
      <c r="L23" s="36"/>
      <c r="M23" s="40"/>
      <c r="N23" s="61"/>
    </row>
    <row r="24" spans="1:14" ht="40.049999999999997" customHeight="1" x14ac:dyDescent="0.45">
      <c r="A24" s="14" t="s">
        <v>8</v>
      </c>
      <c r="B24" s="322">
        <v>0.66666666666666596</v>
      </c>
      <c r="C24" s="320" t="s">
        <v>31</v>
      </c>
      <c r="D24" s="35" t="str">
        <f>VLOOKUP(C24,'Liste chauffeur'!$B$5:$L$20,2,TRUE)&amp;" "&amp;VLOOKUP(C24,'Liste chauffeur'!$B$5:$L$20,3,TRUE)</f>
        <v>HAMADA Babou</v>
      </c>
      <c r="E24" s="53">
        <v>5</v>
      </c>
      <c r="F24" s="35">
        <f t="shared" si="1"/>
        <v>2.0833333333334036E-2</v>
      </c>
      <c r="G24" s="35"/>
      <c r="H24" s="62"/>
      <c r="I24" s="35"/>
      <c r="J24" s="35"/>
      <c r="K24" s="35"/>
      <c r="L24" s="36"/>
      <c r="M24" s="40"/>
      <c r="N24" s="61"/>
    </row>
    <row r="25" spans="1:14" ht="40.049999999999997" customHeight="1" x14ac:dyDescent="0.45">
      <c r="A25" s="14" t="s">
        <v>435</v>
      </c>
      <c r="B25" s="322">
        <v>0.6875</v>
      </c>
      <c r="C25" s="320" t="s">
        <v>31</v>
      </c>
      <c r="D25" s="35" t="str">
        <f>VLOOKUP(C25,'Liste chauffeur'!$B$5:$L$20,2,TRUE)&amp;" "&amp;VLOOKUP(C25,'Liste chauffeur'!$B$5:$L$20,3,TRUE)</f>
        <v>HAMADA Babou</v>
      </c>
      <c r="E25" s="53">
        <v>6</v>
      </c>
      <c r="F25" s="35">
        <f t="shared" si="1"/>
        <v>2.0833333333333037E-2</v>
      </c>
      <c r="G25" s="35"/>
      <c r="H25" s="62"/>
      <c r="I25" s="35"/>
      <c r="J25" s="35"/>
      <c r="K25" s="35"/>
      <c r="L25" s="36"/>
      <c r="M25" s="40"/>
      <c r="N25" s="61"/>
    </row>
    <row r="26" spans="1:14" ht="40.049999999999997" customHeight="1" x14ac:dyDescent="0.45">
      <c r="A26" s="14" t="s">
        <v>8</v>
      </c>
      <c r="B26" s="322">
        <v>0.70833333333333304</v>
      </c>
      <c r="C26" s="320" t="s">
        <v>31</v>
      </c>
      <c r="D26" s="35" t="str">
        <f>VLOOKUP(C26,'Liste chauffeur'!$B$5:$L$20,2,TRUE)&amp;" "&amp;VLOOKUP(C26,'Liste chauffeur'!$B$5:$L$20,3,TRUE)</f>
        <v>HAMADA Babou</v>
      </c>
      <c r="E26" s="53">
        <v>7</v>
      </c>
      <c r="F26" s="35">
        <f t="shared" ref="F26:F28" si="2">B27-B26</f>
        <v>1.3888888888889173E-2</v>
      </c>
      <c r="G26" s="35"/>
      <c r="H26" s="62"/>
      <c r="I26" s="35"/>
      <c r="J26" s="35"/>
      <c r="K26" s="35"/>
      <c r="L26" s="36"/>
      <c r="M26" s="40"/>
      <c r="N26" s="61"/>
    </row>
    <row r="27" spans="1:14" ht="40.049999999999997" customHeight="1" x14ac:dyDescent="0.45">
      <c r="A27" s="14" t="s">
        <v>435</v>
      </c>
      <c r="B27" s="322">
        <v>0.72222222222222221</v>
      </c>
      <c r="C27" s="320" t="s">
        <v>31</v>
      </c>
      <c r="D27" s="35" t="str">
        <f>VLOOKUP(C27,'Liste chauffeur'!$B$5:$L$20,2,TRUE)&amp;" "&amp;VLOOKUP(C27,'Liste chauffeur'!$B$5:$L$20,3,TRUE)</f>
        <v>HAMADA Babou</v>
      </c>
      <c r="E27" s="53">
        <v>8</v>
      </c>
      <c r="F27" s="35">
        <f t="shared" si="2"/>
        <v>2.083333333333337E-2</v>
      </c>
      <c r="G27" s="35"/>
      <c r="H27" s="62"/>
      <c r="I27" s="35"/>
      <c r="J27" s="35"/>
      <c r="K27" s="35"/>
      <c r="L27" s="36"/>
      <c r="M27" s="40"/>
      <c r="N27" s="61"/>
    </row>
    <row r="28" spans="1:14" ht="40.049999999999997" customHeight="1" x14ac:dyDescent="0.45">
      <c r="A28" s="14" t="s">
        <v>8</v>
      </c>
      <c r="B28" s="322">
        <v>0.74305555555555558</v>
      </c>
      <c r="C28" s="320" t="s">
        <v>31</v>
      </c>
      <c r="D28" s="35" t="str">
        <f>VLOOKUP(C28,'Liste chauffeur'!$B$5:$L$20,2,TRUE)&amp;" "&amp;VLOOKUP(C28,'Liste chauffeur'!$B$5:$L$20,3,TRUE)</f>
        <v>HAMADA Babou</v>
      </c>
      <c r="E28" s="53">
        <v>9</v>
      </c>
      <c r="F28" s="35">
        <f t="shared" si="2"/>
        <v>1.388888888888884E-2</v>
      </c>
      <c r="G28" s="35"/>
      <c r="H28" s="62"/>
      <c r="I28" s="35"/>
      <c r="J28" s="35"/>
      <c r="K28" s="35"/>
      <c r="L28" s="36"/>
      <c r="M28" s="40"/>
      <c r="N28" s="61"/>
    </row>
    <row r="29" spans="1:14" ht="40.049999999999997" customHeight="1" x14ac:dyDescent="0.45">
      <c r="A29" s="14" t="s">
        <v>435</v>
      </c>
      <c r="B29" s="322">
        <v>0.75694444444444442</v>
      </c>
      <c r="C29" s="320" t="s">
        <v>31</v>
      </c>
      <c r="D29" s="35" t="str">
        <f>VLOOKUP(C29,'Liste chauffeur'!$B$5:$L$20,2,TRUE)&amp;" "&amp;VLOOKUP(C29,'Liste chauffeur'!$B$5:$L$20,3,TRUE)</f>
        <v>HAMADA Babou</v>
      </c>
      <c r="E29" s="53">
        <v>10</v>
      </c>
      <c r="F29" s="35"/>
      <c r="G29" s="35"/>
      <c r="H29" s="62"/>
      <c r="I29" s="35"/>
      <c r="J29" s="35"/>
      <c r="K29" s="35"/>
      <c r="L29" s="36"/>
      <c r="M29" s="40"/>
      <c r="N29" s="61"/>
    </row>
  </sheetData>
  <autoFilter ref="A7:K29" xr:uid="{E15BAD97-4E2F-4149-89CB-3FE52EBB9FA2}"/>
  <pageMargins left="0.23622047244094491" right="0.23622047244094491" top="0.74803149606299213" bottom="0.74803149606299213" header="0.31496062992125984" footer="0.31496062992125984"/>
  <pageSetup paperSize="9" scale="4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4483-8A60-4642-B9D6-6F887E1C6E07}">
  <sheetPr>
    <pageSetUpPr fitToPage="1"/>
  </sheetPr>
  <dimension ref="A2:J78"/>
  <sheetViews>
    <sheetView workbookViewId="0">
      <selection activeCell="A21" sqref="A21:XFD22"/>
    </sheetView>
  </sheetViews>
  <sheetFormatPr baseColWidth="10" defaultRowHeight="14.25" x14ac:dyDescent="0.45"/>
  <cols>
    <col min="1" max="1" width="15.265625" customWidth="1"/>
    <col min="2" max="2" width="28.6640625" customWidth="1"/>
    <col min="4" max="4" width="56.19921875" customWidth="1"/>
    <col min="5" max="6" width="12.6640625" customWidth="1"/>
    <col min="8" max="8" width="3.3984375" customWidth="1"/>
    <col min="10" max="10" width="0" hidden="1" customWidth="1"/>
  </cols>
  <sheetData>
    <row r="2" spans="1:10" x14ac:dyDescent="0.45">
      <c r="D2" s="225" t="s">
        <v>476</v>
      </c>
    </row>
    <row r="4" spans="1:10" ht="42.75" x14ac:dyDescent="0.45">
      <c r="A4" s="363" t="s">
        <v>477</v>
      </c>
      <c r="B4" s="20" t="s">
        <v>478</v>
      </c>
      <c r="D4" s="435" t="s">
        <v>479</v>
      </c>
      <c r="E4" s="380" t="s">
        <v>480</v>
      </c>
      <c r="F4" s="380" t="s">
        <v>481</v>
      </c>
      <c r="G4" s="364" t="s">
        <v>482</v>
      </c>
      <c r="I4" s="364" t="s">
        <v>483</v>
      </c>
      <c r="J4" s="364" t="s">
        <v>484</v>
      </c>
    </row>
    <row r="6" spans="1:10" ht="35.75" customHeight="1" x14ac:dyDescent="0.45">
      <c r="A6" s="5" t="s">
        <v>24</v>
      </c>
      <c r="B6" s="500" t="s">
        <v>485</v>
      </c>
      <c r="D6" s="502" t="s">
        <v>486</v>
      </c>
      <c r="E6" s="436">
        <f>'Recap par chauffeur-L4'!B6</f>
        <v>0.19444444444444445</v>
      </c>
      <c r="F6" s="437"/>
      <c r="G6" s="502">
        <f>'Recap par chauffeur-L4'!O6</f>
        <v>17</v>
      </c>
      <c r="I6" s="504" t="e">
        <f>ROUND('Recap par chauffeur-L4'!AJ6,-2)</f>
        <v>#REF!</v>
      </c>
      <c r="J6" s="504">
        <v>1500</v>
      </c>
    </row>
    <row r="7" spans="1:10" ht="35.75" customHeight="1" x14ac:dyDescent="0.45">
      <c r="A7" s="6"/>
      <c r="B7" s="501"/>
      <c r="C7" t="s">
        <v>487</v>
      </c>
      <c r="D7" s="503"/>
      <c r="E7" s="436">
        <f>'Recap par chauffeur-L4'!C6</f>
        <v>0.52083333333333337</v>
      </c>
      <c r="F7" s="438"/>
      <c r="G7" s="503"/>
      <c r="I7" s="505"/>
      <c r="J7" s="505"/>
    </row>
    <row r="8" spans="1:10" ht="13.9" customHeight="1" x14ac:dyDescent="0.45"/>
    <row r="9" spans="1:10" ht="35.75" customHeight="1" x14ac:dyDescent="0.45">
      <c r="A9" s="5" t="s">
        <v>36</v>
      </c>
      <c r="B9" s="500" t="s">
        <v>488</v>
      </c>
      <c r="D9" s="502" t="s">
        <v>489</v>
      </c>
      <c r="E9" s="436">
        <f>'Recap par chauffeur-L4'!B7</f>
        <v>0.1875</v>
      </c>
      <c r="F9" s="437">
        <f>'Recap par chauffeur-L4'!D7</f>
        <v>0.54166666666666663</v>
      </c>
      <c r="G9" s="502">
        <f>'Recap par chauffeur-L4'!O7</f>
        <v>16</v>
      </c>
      <c r="I9" s="504" t="e">
        <f>ROUND('Recap par chauffeur-L4'!AJ7,-2)</f>
        <v>#REF!</v>
      </c>
      <c r="J9" s="504">
        <v>1500</v>
      </c>
    </row>
    <row r="10" spans="1:10" ht="35.75" customHeight="1" x14ac:dyDescent="0.45">
      <c r="A10" s="6"/>
      <c r="B10" s="501"/>
      <c r="D10" s="503"/>
      <c r="E10" s="436">
        <f>'Recap par chauffeur-L4'!C7</f>
        <v>0.3263888888888889</v>
      </c>
      <c r="F10" s="437">
        <f>'Recap par chauffeur-L4'!E7</f>
        <v>0.65625</v>
      </c>
      <c r="G10" s="503"/>
      <c r="I10" s="505"/>
      <c r="J10" s="505"/>
    </row>
    <row r="11" spans="1:10" ht="15" customHeight="1" x14ac:dyDescent="0.45"/>
    <row r="12" spans="1:10" ht="35.75" customHeight="1" x14ac:dyDescent="0.45">
      <c r="A12" s="5" t="s">
        <v>27</v>
      </c>
      <c r="B12" s="500" t="s">
        <v>490</v>
      </c>
      <c r="D12" s="502" t="s">
        <v>491</v>
      </c>
      <c r="E12" s="436">
        <f>'Recap par chauffeur-L4'!B8</f>
        <v>0.2013888888888889</v>
      </c>
      <c r="F12" s="437">
        <f>'Recap par chauffeur-L4'!D8</f>
        <v>0.60416666666666663</v>
      </c>
      <c r="G12" s="502">
        <f>'Recap par chauffeur-L4'!O8</f>
        <v>16</v>
      </c>
      <c r="I12" s="504" t="e">
        <f>ROUND('Recap par chauffeur-L4'!AJ8,-2)</f>
        <v>#REF!</v>
      </c>
      <c r="J12" s="504">
        <v>1500</v>
      </c>
    </row>
    <row r="13" spans="1:10" ht="35.75" customHeight="1" x14ac:dyDescent="0.45">
      <c r="A13" s="6"/>
      <c r="B13" s="501"/>
      <c r="D13" s="503"/>
      <c r="E13" s="436">
        <f>'Recap par chauffeur-L4'!C8</f>
        <v>0.34375</v>
      </c>
      <c r="F13" s="437">
        <f>'Recap par chauffeur-L4'!E8</f>
        <v>0.69791666666666663</v>
      </c>
      <c r="G13" s="503"/>
      <c r="I13" s="505"/>
      <c r="J13" s="505"/>
    </row>
    <row r="14" spans="1:10" ht="13.25" customHeight="1" x14ac:dyDescent="0.45"/>
    <row r="15" spans="1:10" ht="35.75" customHeight="1" x14ac:dyDescent="0.45">
      <c r="A15" s="5" t="s">
        <v>48</v>
      </c>
      <c r="B15" s="500" t="s">
        <v>492</v>
      </c>
      <c r="D15" s="502" t="s">
        <v>493</v>
      </c>
      <c r="E15" s="436">
        <f>'Recap par chauffeur-L4'!B9</f>
        <v>0.20833333333333334</v>
      </c>
      <c r="F15" s="437" t="e">
        <f>'Recap par chauffeur-L4'!D9</f>
        <v>#REF!</v>
      </c>
      <c r="G15" s="502">
        <f>'Recap par chauffeur-L4'!O9</f>
        <v>9</v>
      </c>
      <c r="I15" s="504" t="e">
        <f>ROUND('Recap par chauffeur-L4'!AJ9,-2)</f>
        <v>#REF!</v>
      </c>
      <c r="J15" s="504">
        <v>1500</v>
      </c>
    </row>
    <row r="16" spans="1:10" ht="35.75" customHeight="1" x14ac:dyDescent="0.45">
      <c r="A16" s="6"/>
      <c r="B16" s="501"/>
      <c r="D16" s="503"/>
      <c r="E16" s="436">
        <f>'Recap par chauffeur-L4'!C9</f>
        <v>0.31944444444444442</v>
      </c>
      <c r="F16" s="437" t="e">
        <f>'Recap par chauffeur-L4'!E9</f>
        <v>#REF!</v>
      </c>
      <c r="G16" s="503"/>
      <c r="I16" s="505"/>
      <c r="J16" s="505"/>
    </row>
    <row r="17" spans="1:10" ht="10.25" customHeight="1" x14ac:dyDescent="0.45"/>
    <row r="18" spans="1:10" ht="35.75" customHeight="1" x14ac:dyDescent="0.45">
      <c r="A18" s="5" t="s">
        <v>49</v>
      </c>
      <c r="B18" s="500" t="s">
        <v>494</v>
      </c>
      <c r="D18" s="506" t="s">
        <v>495</v>
      </c>
      <c r="E18" s="436">
        <f>'Recap par chauffeur-L4'!B10</f>
        <v>0.25</v>
      </c>
      <c r="F18" s="437">
        <f>'Recap par chauffeur-L4'!D10</f>
        <v>0.70833333333333337</v>
      </c>
      <c r="G18" s="502">
        <f>[1]Synthsemaine!G141</f>
        <v>17</v>
      </c>
      <c r="I18" s="504" t="e">
        <f>ROUND('Recap par chauffeur-L4'!AJ10,-2)</f>
        <v>#REF!</v>
      </c>
      <c r="J18" s="504">
        <v>1500</v>
      </c>
    </row>
    <row r="19" spans="1:10" ht="35.75" customHeight="1" x14ac:dyDescent="0.45">
      <c r="A19" s="6"/>
      <c r="B19" s="501"/>
      <c r="D19" s="503"/>
      <c r="E19" s="436">
        <f>'Recap par chauffeur-L4'!C10</f>
        <v>0.375</v>
      </c>
      <c r="F19" s="437" t="e">
        <f>'Recap par chauffeur-L4'!E10</f>
        <v>#REF!</v>
      </c>
      <c r="G19" s="503"/>
      <c r="I19" s="505"/>
      <c r="J19" s="505"/>
    </row>
    <row r="20" spans="1:10" ht="14.35" customHeight="1" x14ac:dyDescent="0.45"/>
    <row r="21" spans="1:10" ht="35.75" hidden="1" customHeight="1" x14ac:dyDescent="0.45">
      <c r="A21" s="5" t="s">
        <v>50</v>
      </c>
      <c r="B21" s="500" t="s">
        <v>496</v>
      </c>
      <c r="D21" s="502"/>
      <c r="E21" s="436"/>
      <c r="F21" s="437"/>
      <c r="G21" s="502">
        <f>'Recap par chauffeur-L4'!O11</f>
        <v>0</v>
      </c>
      <c r="I21" s="504" t="e">
        <f>ROUND('Recap par chauffeur-L4'!AJ11,-2)</f>
        <v>#REF!</v>
      </c>
      <c r="J21" s="504">
        <v>1500</v>
      </c>
    </row>
    <row r="22" spans="1:10" ht="35.75" hidden="1" customHeight="1" x14ac:dyDescent="0.45">
      <c r="A22" s="6"/>
      <c r="B22" s="501"/>
      <c r="D22" s="503"/>
      <c r="E22" s="438"/>
      <c r="F22" s="437"/>
      <c r="G22" s="503"/>
      <c r="I22" s="505"/>
      <c r="J22" s="505"/>
    </row>
    <row r="23" spans="1:10" ht="14.35" customHeight="1" x14ac:dyDescent="0.45"/>
    <row r="24" spans="1:10" ht="32.75" customHeight="1" x14ac:dyDescent="0.45">
      <c r="A24" s="439" t="s">
        <v>51</v>
      </c>
      <c r="B24" s="500" t="s">
        <v>510</v>
      </c>
      <c r="D24" s="502" t="s">
        <v>511</v>
      </c>
      <c r="E24" s="436">
        <f>'Recap par chauffeur-L4'!B12</f>
        <v>0.27777777777777779</v>
      </c>
      <c r="F24" s="437"/>
      <c r="G24" s="502">
        <f>'Recap par chauffeur-L4'!O12</f>
        <v>0</v>
      </c>
      <c r="I24" s="504" t="e">
        <f>ROUND('Recap par chauffeur-L4'!AJ12,-2)</f>
        <v>#REF!</v>
      </c>
      <c r="J24" s="504">
        <v>1500</v>
      </c>
    </row>
    <row r="25" spans="1:10" ht="32.75" customHeight="1" x14ac:dyDescent="0.45">
      <c r="A25" s="440"/>
      <c r="B25" s="501"/>
      <c r="D25" s="503"/>
      <c r="E25" s="438">
        <f>'Recap par chauffeur-L4'!C12</f>
        <v>0.34375</v>
      </c>
      <c r="F25" s="438"/>
      <c r="G25" s="503"/>
      <c r="I25" s="505"/>
      <c r="J25" s="505"/>
    </row>
    <row r="26" spans="1:10" ht="14.35" customHeight="1" x14ac:dyDescent="0.45"/>
    <row r="27" spans="1:10" ht="35.75" customHeight="1" x14ac:dyDescent="0.45">
      <c r="A27" s="439" t="s">
        <v>37</v>
      </c>
      <c r="B27" s="500" t="s">
        <v>497</v>
      </c>
      <c r="D27" s="506" t="s">
        <v>498</v>
      </c>
      <c r="E27" s="436">
        <f>'Recap par chauffeur-L4'!B13</f>
        <v>0.21527777777777779</v>
      </c>
      <c r="F27" s="437"/>
      <c r="G27" s="502">
        <f>'Recap par chauffeur-L4'!O13</f>
        <v>7</v>
      </c>
      <c r="I27" s="504" t="e">
        <f>ROUND('Recap par chauffeur-L4'!AJ13,-2)</f>
        <v>#REF!</v>
      </c>
      <c r="J27" s="504">
        <v>1500</v>
      </c>
    </row>
    <row r="28" spans="1:10" ht="35.75" customHeight="1" x14ac:dyDescent="0.45">
      <c r="A28" s="440"/>
      <c r="B28" s="501"/>
      <c r="D28" s="507"/>
      <c r="E28" s="436">
        <f>'Recap par chauffeur-L4'!C13</f>
        <v>0.3263888888888889</v>
      </c>
      <c r="F28" s="438"/>
      <c r="G28" s="503"/>
      <c r="I28" s="505"/>
      <c r="J28" s="505"/>
    </row>
    <row r="29" spans="1:10" ht="14.75" customHeight="1" x14ac:dyDescent="0.45"/>
    <row r="30" spans="1:10" ht="35.75" customHeight="1" x14ac:dyDescent="0.45">
      <c r="A30" s="439" t="s">
        <v>41</v>
      </c>
      <c r="B30" s="500" t="s">
        <v>499</v>
      </c>
      <c r="D30" s="506" t="s">
        <v>500</v>
      </c>
      <c r="E30" s="436">
        <f>'Recap par chauffeur-L4'!B14</f>
        <v>0.22222222222222221</v>
      </c>
      <c r="F30" s="437"/>
      <c r="G30" s="502">
        <f>'Recap par chauffeur-L4'!O14</f>
        <v>7</v>
      </c>
      <c r="I30" s="504" t="e">
        <f>ROUND('Recap par chauffeur-L4'!AJ14,-2)</f>
        <v>#REF!</v>
      </c>
      <c r="J30" s="504">
        <v>1500</v>
      </c>
    </row>
    <row r="31" spans="1:10" ht="35.75" customHeight="1" x14ac:dyDescent="0.45">
      <c r="A31" s="440"/>
      <c r="B31" s="501"/>
      <c r="D31" s="507"/>
      <c r="E31" s="436">
        <f>'Recap par chauffeur-L4'!C14</f>
        <v>0.2986111111111111</v>
      </c>
      <c r="F31" s="438"/>
      <c r="G31" s="503"/>
      <c r="I31" s="505"/>
      <c r="J31" s="505"/>
    </row>
    <row r="33" spans="1:10" ht="39" customHeight="1" x14ac:dyDescent="0.45">
      <c r="A33" s="439" t="s">
        <v>42</v>
      </c>
      <c r="B33" s="500" t="s">
        <v>501</v>
      </c>
      <c r="D33" s="506" t="s">
        <v>502</v>
      </c>
      <c r="E33" s="436">
        <f>'Recap par chauffeur-L4'!B15</f>
        <v>0.22916666666666666</v>
      </c>
      <c r="F33" s="437"/>
      <c r="G33" s="502">
        <f>'Recap par chauffeur-L4'!O15</f>
        <v>7</v>
      </c>
      <c r="I33" s="504" t="e">
        <f>ROUND('Recap par chauffeur-L4'!AJ15,-2)</f>
        <v>#REF!</v>
      </c>
      <c r="J33" s="504">
        <v>1500</v>
      </c>
    </row>
    <row r="34" spans="1:10" ht="39" customHeight="1" x14ac:dyDescent="0.45">
      <c r="A34" s="440"/>
      <c r="B34" s="501"/>
      <c r="D34" s="507"/>
      <c r="E34" s="436">
        <f>'Recap par chauffeur-L4'!C15</f>
        <v>0.30555555555555558</v>
      </c>
      <c r="F34" s="438"/>
      <c r="G34" s="503"/>
      <c r="I34" s="505"/>
      <c r="J34" s="505"/>
    </row>
    <row r="36" spans="1:10" ht="30.85" customHeight="1" x14ac:dyDescent="0.45">
      <c r="A36" s="5" t="s">
        <v>43</v>
      </c>
      <c r="B36" s="500" t="s">
        <v>503</v>
      </c>
      <c r="D36" s="506" t="s">
        <v>504</v>
      </c>
      <c r="E36" s="436">
        <f>[1]Synthsemaine!M121</f>
        <v>0.20833333333333334</v>
      </c>
      <c r="F36" s="437">
        <f>'Recap par chauffeur-L4'!D16</f>
        <v>0.72916666666666663</v>
      </c>
      <c r="G36" s="502">
        <f>'Recap par chauffeur-L4'!O16</f>
        <v>8</v>
      </c>
      <c r="I36" s="504" t="e">
        <f>ROUND('Recap par chauffeur-L4'!AJ16,-2)</f>
        <v>#REF!</v>
      </c>
      <c r="J36" s="504">
        <v>1500</v>
      </c>
    </row>
    <row r="37" spans="1:10" ht="30.85" customHeight="1" x14ac:dyDescent="0.45">
      <c r="A37" s="6"/>
      <c r="B37" s="501"/>
      <c r="D37" s="507"/>
      <c r="E37" s="436">
        <f>[1]Synthsemaine!M122</f>
        <v>10.355555555555554</v>
      </c>
      <c r="F37" s="438" t="e">
        <f>'Recap par chauffeur-L4'!E16</f>
        <v>#REF!</v>
      </c>
      <c r="G37" s="503"/>
      <c r="I37" s="505"/>
      <c r="J37" s="505"/>
    </row>
    <row r="39" spans="1:10" ht="28.5" customHeight="1" x14ac:dyDescent="0.45">
      <c r="A39" s="439" t="s">
        <v>44</v>
      </c>
      <c r="B39" s="500" t="s">
        <v>505</v>
      </c>
      <c r="D39" s="506" t="s">
        <v>506</v>
      </c>
      <c r="E39" s="436">
        <f>'Recap par chauffeur-L4'!B17</f>
        <v>0.25</v>
      </c>
      <c r="F39" s="437">
        <f>'Recap par chauffeur-L4'!D17</f>
        <v>0.66666666666666663</v>
      </c>
      <c r="G39" s="502">
        <f>'Recap par chauffeur-L4'!O17</f>
        <v>11</v>
      </c>
      <c r="I39" s="504" t="e">
        <f>ROUND('Recap par chauffeur-L4'!AJ17,-2)</f>
        <v>#REF!</v>
      </c>
      <c r="J39" s="504">
        <v>1500</v>
      </c>
    </row>
    <row r="40" spans="1:10" ht="28.5" customHeight="1" x14ac:dyDescent="0.45">
      <c r="A40" s="440"/>
      <c r="B40" s="501"/>
      <c r="D40" s="507"/>
      <c r="E40" s="436">
        <f>'Recap par chauffeur-L4'!C17</f>
        <v>0.3125</v>
      </c>
      <c r="F40" s="437">
        <f>'Recap par chauffeur-L4'!E17</f>
        <v>0.71875</v>
      </c>
      <c r="G40" s="503"/>
      <c r="I40" s="505"/>
      <c r="J40" s="505"/>
    </row>
    <row r="42" spans="1:10" ht="26.35" customHeight="1" x14ac:dyDescent="0.45">
      <c r="A42" s="5" t="s">
        <v>45</v>
      </c>
      <c r="B42" s="500" t="s">
        <v>507</v>
      </c>
      <c r="D42" s="506" t="s">
        <v>508</v>
      </c>
      <c r="E42" s="436">
        <f>'Recap par chauffeur-L4'!B18</f>
        <v>0.27083333333333331</v>
      </c>
      <c r="F42" s="437"/>
      <c r="G42" s="502">
        <f>'Recap par chauffeur-L4'!O18</f>
        <v>3</v>
      </c>
      <c r="I42" s="504" t="e">
        <f>ROUND('Recap par chauffeur-L4'!AJ18,-2)</f>
        <v>#REF!</v>
      </c>
      <c r="J42" s="504">
        <v>1500</v>
      </c>
    </row>
    <row r="43" spans="1:10" ht="26.35" customHeight="1" x14ac:dyDescent="0.45">
      <c r="A43" s="6"/>
      <c r="B43" s="501"/>
      <c r="C43" t="s">
        <v>487</v>
      </c>
      <c r="D43" s="507"/>
      <c r="E43" s="436" t="e">
        <f>'Recap par chauffeur-L4'!C18</f>
        <v>#REF!</v>
      </c>
      <c r="F43" s="438"/>
      <c r="G43" s="503"/>
      <c r="I43" s="505"/>
      <c r="J43" s="505"/>
    </row>
    <row r="45" spans="1:10" ht="20.75" customHeight="1" x14ac:dyDescent="0.45">
      <c r="A45" s="5" t="s">
        <v>46</v>
      </c>
      <c r="B45" s="500" t="s">
        <v>417</v>
      </c>
      <c r="D45" s="506" t="s">
        <v>509</v>
      </c>
      <c r="E45" s="436">
        <f>'Recap par chauffeur-L4'!B19</f>
        <v>0.27777777777777779</v>
      </c>
      <c r="F45" s="437"/>
      <c r="G45" s="502">
        <f>'Recap par chauffeur-L4'!O19</f>
        <v>12</v>
      </c>
      <c r="I45" s="504" t="e">
        <f>ROUND('Recap par chauffeur-L4'!AJ19,-2)</f>
        <v>#REF!</v>
      </c>
      <c r="J45" s="504">
        <v>1500</v>
      </c>
    </row>
    <row r="46" spans="1:10" ht="20.75" customHeight="1" x14ac:dyDescent="0.45">
      <c r="A46" s="6"/>
      <c r="B46" s="501"/>
      <c r="C46" t="s">
        <v>487</v>
      </c>
      <c r="D46" s="507"/>
      <c r="E46" s="436">
        <f>'Recap par chauffeur-L4'!C19</f>
        <v>0.45833333333333331</v>
      </c>
      <c r="F46" s="438"/>
      <c r="G46" s="503"/>
      <c r="I46" s="505"/>
      <c r="J46" s="505"/>
    </row>
    <row r="48" spans="1:10" ht="27.85" customHeight="1" x14ac:dyDescent="0.45">
      <c r="A48" s="5" t="s">
        <v>31</v>
      </c>
      <c r="B48" s="500" t="s">
        <v>615</v>
      </c>
      <c r="D48" s="506" t="s">
        <v>509</v>
      </c>
      <c r="E48" s="436">
        <f>'Recap par chauffeur-L4'!B20</f>
        <v>0.27083333333333331</v>
      </c>
      <c r="F48" s="437"/>
      <c r="G48" s="502">
        <f>'Recap par chauffeur-L4'!O20</f>
        <v>5</v>
      </c>
      <c r="I48" s="504" t="e">
        <f>ROUND('Recap par chauffeur-L4'!AJ20,-2)</f>
        <v>#REF!</v>
      </c>
    </row>
    <row r="49" spans="1:10" ht="27.85" customHeight="1" x14ac:dyDescent="0.45">
      <c r="A49" s="6"/>
      <c r="B49" s="501"/>
      <c r="D49" s="507"/>
      <c r="E49" s="436">
        <f>'Recap par chauffeur-L4'!C20</f>
        <v>0.58333333333333337</v>
      </c>
      <c r="F49" s="438"/>
      <c r="G49" s="503"/>
      <c r="I49" s="505"/>
    </row>
    <row r="52" spans="1:10" ht="19.25" customHeight="1" x14ac:dyDescent="0.45">
      <c r="A52" s="5" t="s">
        <v>512</v>
      </c>
      <c r="B52" s="500" t="s">
        <v>513</v>
      </c>
      <c r="D52" s="502" t="s">
        <v>514</v>
      </c>
      <c r="E52" s="436">
        <v>0.20833333333333334</v>
      </c>
      <c r="F52" s="437"/>
      <c r="G52" s="502">
        <v>0</v>
      </c>
      <c r="I52" s="504">
        <v>1400</v>
      </c>
      <c r="J52" s="504"/>
    </row>
    <row r="53" spans="1:10" ht="19.25" customHeight="1" x14ac:dyDescent="0.45">
      <c r="A53" s="6"/>
      <c r="B53" s="501"/>
      <c r="D53" s="503"/>
      <c r="E53" s="438">
        <v>0.5</v>
      </c>
      <c r="F53" s="438"/>
      <c r="G53" s="503"/>
      <c r="I53" s="505"/>
      <c r="J53" s="505"/>
    </row>
    <row r="55" spans="1:10" ht="28.5" customHeight="1" x14ac:dyDescent="0.45">
      <c r="A55" s="5" t="s">
        <v>515</v>
      </c>
      <c r="B55" s="500" t="s">
        <v>485</v>
      </c>
      <c r="D55" s="502" t="s">
        <v>516</v>
      </c>
      <c r="E55" s="436"/>
      <c r="F55" s="437">
        <v>0.5</v>
      </c>
      <c r="G55" s="502">
        <v>0</v>
      </c>
      <c r="I55" s="504">
        <v>1400</v>
      </c>
      <c r="J55" s="504"/>
    </row>
    <row r="56" spans="1:10" ht="28.5" customHeight="1" x14ac:dyDescent="0.45">
      <c r="A56" s="6"/>
      <c r="B56" s="501"/>
      <c r="D56" s="503"/>
      <c r="E56" s="438"/>
      <c r="F56" s="438">
        <v>0.79166666666666663</v>
      </c>
      <c r="G56" s="503"/>
      <c r="I56" s="505"/>
      <c r="J56" s="505"/>
    </row>
    <row r="59" spans="1:10" ht="28.5" x14ac:dyDescent="0.45">
      <c r="A59" s="441" t="s">
        <v>517</v>
      </c>
      <c r="B59" s="500" t="s">
        <v>518</v>
      </c>
      <c r="D59" s="502" t="s">
        <v>519</v>
      </c>
      <c r="E59" s="436">
        <v>0.20833333333333334</v>
      </c>
      <c r="F59" s="437"/>
      <c r="G59" s="502">
        <v>0</v>
      </c>
      <c r="I59" s="504">
        <v>200</v>
      </c>
      <c r="J59" s="504"/>
    </row>
    <row r="60" spans="1:10" ht="22.5" customHeight="1" x14ac:dyDescent="0.45">
      <c r="A60" s="442"/>
      <c r="B60" s="501"/>
      <c r="D60" s="503"/>
      <c r="E60" s="438">
        <v>0.54166666666666663</v>
      </c>
      <c r="F60" s="438"/>
      <c r="G60" s="503"/>
      <c r="I60" s="505"/>
      <c r="J60" s="505"/>
    </row>
    <row r="62" spans="1:10" ht="28.5" x14ac:dyDescent="0.45">
      <c r="A62" s="441" t="s">
        <v>520</v>
      </c>
      <c r="B62" s="500" t="s">
        <v>485</v>
      </c>
      <c r="D62" s="502" t="s">
        <v>521</v>
      </c>
      <c r="E62" s="436"/>
      <c r="F62" s="437">
        <v>0.54166666666666663</v>
      </c>
      <c r="G62" s="502">
        <v>0</v>
      </c>
      <c r="I62" s="504">
        <v>200</v>
      </c>
      <c r="J62" s="504"/>
    </row>
    <row r="63" spans="1:10" ht="21.85" customHeight="1" x14ac:dyDescent="0.45">
      <c r="A63" s="442"/>
      <c r="B63" s="501"/>
      <c r="D63" s="503"/>
      <c r="E63" s="438"/>
      <c r="F63" s="438">
        <v>0.79166666666666663</v>
      </c>
      <c r="G63" s="503"/>
      <c r="I63" s="505"/>
      <c r="J63" s="505"/>
    </row>
    <row r="65" spans="1:10" ht="28.5" x14ac:dyDescent="0.45">
      <c r="A65" s="441" t="s">
        <v>522</v>
      </c>
      <c r="B65" s="500" t="s">
        <v>523</v>
      </c>
      <c r="D65" s="502" t="s">
        <v>524</v>
      </c>
      <c r="E65" s="436">
        <v>0.33333333333333331</v>
      </c>
      <c r="F65" s="437"/>
      <c r="G65" s="502">
        <v>0</v>
      </c>
      <c r="I65" s="504">
        <v>300</v>
      </c>
      <c r="J65" s="504"/>
    </row>
    <row r="66" spans="1:10" ht="23.35" customHeight="1" x14ac:dyDescent="0.45">
      <c r="A66" s="6"/>
      <c r="B66" s="501"/>
      <c r="D66" s="503"/>
      <c r="E66" s="438">
        <v>0.54166666666666663</v>
      </c>
      <c r="F66" s="438"/>
      <c r="G66" s="503"/>
      <c r="I66" s="505"/>
      <c r="J66" s="505"/>
    </row>
    <row r="68" spans="1:10" ht="42.75" x14ac:dyDescent="0.45">
      <c r="A68" s="441" t="s">
        <v>525</v>
      </c>
      <c r="B68" s="500" t="s">
        <v>492</v>
      </c>
      <c r="D68" s="502" t="s">
        <v>526</v>
      </c>
      <c r="E68" s="436"/>
      <c r="F68" s="437">
        <v>0.54166666666666663</v>
      </c>
      <c r="G68" s="502">
        <v>0</v>
      </c>
      <c r="I68" s="504">
        <v>300</v>
      </c>
    </row>
    <row r="69" spans="1:10" ht="20.75" customHeight="1" x14ac:dyDescent="0.45">
      <c r="A69" s="6"/>
      <c r="B69" s="501"/>
      <c r="D69" s="503"/>
      <c r="E69" s="438"/>
      <c r="F69" s="438">
        <v>0.79166666666666663</v>
      </c>
      <c r="G69" s="503"/>
      <c r="I69" s="505"/>
    </row>
    <row r="73" spans="1:10" x14ac:dyDescent="0.45">
      <c r="G73" s="53">
        <f>SUM(G6:G72)</f>
        <v>135</v>
      </c>
      <c r="I73" s="443" t="e">
        <f>SUM(I6:I72)</f>
        <v>#REF!</v>
      </c>
    </row>
    <row r="75" spans="1:10" x14ac:dyDescent="0.45">
      <c r="I75" s="444">
        <f>'Recap par chauffeur-L4'!AF26/12</f>
        <v>82795.248500000002</v>
      </c>
    </row>
    <row r="77" spans="1:10" x14ac:dyDescent="0.45">
      <c r="I77" s="444" t="e">
        <f>I75-I73</f>
        <v>#REF!</v>
      </c>
    </row>
    <row r="78" spans="1:10" x14ac:dyDescent="0.45">
      <c r="I78" s="445" t="e">
        <f>I77/I75</f>
        <v>#REF!</v>
      </c>
    </row>
  </sheetData>
  <mergeCells count="103">
    <mergeCell ref="B48:B49"/>
    <mergeCell ref="D48:D49"/>
    <mergeCell ref="G48:G49"/>
    <mergeCell ref="I48:I49"/>
    <mergeCell ref="B65:B66"/>
    <mergeCell ref="D65:D66"/>
    <mergeCell ref="G65:G66"/>
    <mergeCell ref="I65:I66"/>
    <mergeCell ref="J65:J66"/>
    <mergeCell ref="J52:J53"/>
    <mergeCell ref="B55:B56"/>
    <mergeCell ref="D55:D56"/>
    <mergeCell ref="G55:G56"/>
    <mergeCell ref="I55:I56"/>
    <mergeCell ref="J55:J56"/>
    <mergeCell ref="B52:B53"/>
    <mergeCell ref="D52:D53"/>
    <mergeCell ref="G52:G53"/>
    <mergeCell ref="I52:I53"/>
    <mergeCell ref="B68:B69"/>
    <mergeCell ref="D68:D69"/>
    <mergeCell ref="G68:G69"/>
    <mergeCell ref="I68:I69"/>
    <mergeCell ref="B59:B60"/>
    <mergeCell ref="D59:D60"/>
    <mergeCell ref="G59:G60"/>
    <mergeCell ref="I59:I60"/>
    <mergeCell ref="J59:J60"/>
    <mergeCell ref="B62:B63"/>
    <mergeCell ref="D62:D63"/>
    <mergeCell ref="G62:G63"/>
    <mergeCell ref="I62:I63"/>
    <mergeCell ref="J62:J63"/>
    <mergeCell ref="B45:B46"/>
    <mergeCell ref="D45:D46"/>
    <mergeCell ref="G45:G46"/>
    <mergeCell ref="I45:I46"/>
    <mergeCell ref="J45:J46"/>
    <mergeCell ref="B24:B25"/>
    <mergeCell ref="D24:D25"/>
    <mergeCell ref="G24:G25"/>
    <mergeCell ref="I24:I25"/>
    <mergeCell ref="J24:J25"/>
    <mergeCell ref="B39:B40"/>
    <mergeCell ref="D39:D40"/>
    <mergeCell ref="G39:G40"/>
    <mergeCell ref="I39:I40"/>
    <mergeCell ref="J39:J40"/>
    <mergeCell ref="B42:B43"/>
    <mergeCell ref="D42:D43"/>
    <mergeCell ref="G42:G43"/>
    <mergeCell ref="I42:I43"/>
    <mergeCell ref="J42:J43"/>
    <mergeCell ref="B33:B34"/>
    <mergeCell ref="D33:D34"/>
    <mergeCell ref="G33:G34"/>
    <mergeCell ref="I33:I34"/>
    <mergeCell ref="J33:J34"/>
    <mergeCell ref="B36:B37"/>
    <mergeCell ref="D36:D37"/>
    <mergeCell ref="G36:G37"/>
    <mergeCell ref="I36:I37"/>
    <mergeCell ref="J36:J37"/>
    <mergeCell ref="B27:B28"/>
    <mergeCell ref="D27:D28"/>
    <mergeCell ref="G27:G28"/>
    <mergeCell ref="I27:I28"/>
    <mergeCell ref="J27:J28"/>
    <mergeCell ref="B30:B31"/>
    <mergeCell ref="D30:D31"/>
    <mergeCell ref="G30:G31"/>
    <mergeCell ref="I30:I31"/>
    <mergeCell ref="J30:J31"/>
    <mergeCell ref="B18:B19"/>
    <mergeCell ref="D18:D19"/>
    <mergeCell ref="G18:G19"/>
    <mergeCell ref="I18:I19"/>
    <mergeCell ref="J18:J19"/>
    <mergeCell ref="B21:B22"/>
    <mergeCell ref="D21:D22"/>
    <mergeCell ref="G21:G22"/>
    <mergeCell ref="I21:I22"/>
    <mergeCell ref="J21:J22"/>
    <mergeCell ref="B12:B13"/>
    <mergeCell ref="D12:D13"/>
    <mergeCell ref="G12:G13"/>
    <mergeCell ref="I12:I13"/>
    <mergeCell ref="J12:J13"/>
    <mergeCell ref="B15:B16"/>
    <mergeCell ref="D15:D16"/>
    <mergeCell ref="G15:G16"/>
    <mergeCell ref="I15:I16"/>
    <mergeCell ref="J15:J16"/>
    <mergeCell ref="B6:B7"/>
    <mergeCell ref="D6:D7"/>
    <mergeCell ref="G6:G7"/>
    <mergeCell ref="I6:I7"/>
    <mergeCell ref="J6:J7"/>
    <mergeCell ref="B9:B10"/>
    <mergeCell ref="D9:D10"/>
    <mergeCell ref="G9:G10"/>
    <mergeCell ref="I9:I10"/>
    <mergeCell ref="J9:J10"/>
  </mergeCells>
  <pageMargins left="0.70866141732283472" right="0.70866141732283472" top="0.74803149606299213" bottom="0.74803149606299213" header="0.31496062992125984" footer="0.31496062992125984"/>
  <pageSetup paperSize="9" scale="81" fitToHeight="0" orientation="landscape" r:id="rId1"/>
  <rowBreaks count="3" manualBreakCount="3">
    <brk id="17" max="16383" man="1"/>
    <brk id="34" max="16383" man="1"/>
    <brk id="4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2983-E056-428A-9E78-E49A0ED73808}">
  <sheetPr>
    <pageSetUpPr fitToPage="1"/>
  </sheetPr>
  <dimension ref="A2:AR168"/>
  <sheetViews>
    <sheetView workbookViewId="0">
      <pane xSplit="1" ySplit="5" topLeftCell="V6" activePane="bottomRight" state="frozen"/>
      <selection activeCell="A21" sqref="A21:XFD22"/>
      <selection pane="topRight" activeCell="A21" sqref="A21:XFD22"/>
      <selection pane="bottomLeft" activeCell="A21" sqref="A21:XFD22"/>
      <selection pane="bottomRight" activeCell="A21" sqref="A21:XFD22"/>
    </sheetView>
  </sheetViews>
  <sheetFormatPr baseColWidth="10" defaultRowHeight="14.25" x14ac:dyDescent="0.45"/>
  <cols>
    <col min="1" max="1" width="18.265625" customWidth="1"/>
    <col min="2" max="8" width="18.265625" hidden="1" customWidth="1"/>
    <col min="9" max="14" width="10.6640625" customWidth="1"/>
    <col min="16" max="19" width="10.6640625" customWidth="1"/>
    <col min="21" max="23" width="10.6640625" customWidth="1"/>
    <col min="25" max="31" width="10.6640625" customWidth="1"/>
    <col min="32" max="32" width="12.3984375" customWidth="1"/>
    <col min="33" max="34" width="10.6640625" customWidth="1"/>
    <col min="35" max="35" width="11.73046875" customWidth="1"/>
    <col min="36" max="36" width="10.6640625" customWidth="1"/>
    <col min="37" max="39" width="10.6640625" hidden="1" customWidth="1"/>
    <col min="40" max="40" width="10.6640625" customWidth="1"/>
    <col min="43" max="43" width="11.46484375" customWidth="1"/>
  </cols>
  <sheetData>
    <row r="2" spans="1:44" x14ac:dyDescent="0.45">
      <c r="AF2">
        <v>249</v>
      </c>
      <c r="AG2">
        <v>52</v>
      </c>
      <c r="AH2">
        <v>64</v>
      </c>
      <c r="AJ2">
        <v>12</v>
      </c>
    </row>
    <row r="4" spans="1:44" x14ac:dyDescent="0.45">
      <c r="L4" t="s">
        <v>527</v>
      </c>
      <c r="O4" s="7" t="s">
        <v>528</v>
      </c>
      <c r="P4" s="9"/>
      <c r="Q4" s="9"/>
      <c r="R4" s="9"/>
      <c r="S4" s="10"/>
      <c r="T4" s="7" t="s">
        <v>529</v>
      </c>
      <c r="U4" s="9"/>
      <c r="V4" s="9"/>
      <c r="W4" s="10"/>
      <c r="X4" s="7" t="s">
        <v>613</v>
      </c>
      <c r="Y4" s="9"/>
      <c r="Z4" s="9"/>
      <c r="AA4" s="10"/>
      <c r="AB4" s="7" t="s">
        <v>614</v>
      </c>
      <c r="AC4" s="9"/>
      <c r="AD4" s="9"/>
      <c r="AE4" s="10"/>
      <c r="AF4" s="7" t="s">
        <v>531</v>
      </c>
      <c r="AG4" s="9"/>
      <c r="AH4" s="9"/>
      <c r="AI4" s="9"/>
      <c r="AJ4" s="9"/>
      <c r="AK4" s="9"/>
      <c r="AL4" s="9"/>
      <c r="AM4" s="10"/>
      <c r="AN4" s="9"/>
      <c r="AO4" s="9">
        <f>AF25</f>
        <v>5.3</v>
      </c>
      <c r="AP4" s="9">
        <v>100</v>
      </c>
      <c r="AQ4" s="9"/>
      <c r="AR4" s="10"/>
    </row>
    <row r="5" spans="1:44" ht="42.75" x14ac:dyDescent="0.45">
      <c r="A5" t="s">
        <v>532</v>
      </c>
      <c r="I5" t="s">
        <v>528</v>
      </c>
      <c r="J5" t="s">
        <v>529</v>
      </c>
      <c r="K5" t="s">
        <v>530</v>
      </c>
      <c r="L5" t="s">
        <v>528</v>
      </c>
      <c r="M5" t="s">
        <v>529</v>
      </c>
      <c r="N5" t="s">
        <v>530</v>
      </c>
      <c r="O5" s="8" t="s">
        <v>482</v>
      </c>
      <c r="P5" s="3" t="s">
        <v>533</v>
      </c>
      <c r="Q5" s="3" t="s">
        <v>534</v>
      </c>
      <c r="R5" s="3" t="s">
        <v>535</v>
      </c>
      <c r="S5" s="42" t="s">
        <v>536</v>
      </c>
      <c r="T5" s="2" t="s">
        <v>482</v>
      </c>
      <c r="U5" s="3" t="s">
        <v>534</v>
      </c>
      <c r="V5" s="3" t="s">
        <v>535</v>
      </c>
      <c r="W5" s="42" t="s">
        <v>537</v>
      </c>
      <c r="X5" s="8" t="s">
        <v>482</v>
      </c>
      <c r="Y5" s="11" t="s">
        <v>534</v>
      </c>
      <c r="Z5" s="11" t="s">
        <v>535</v>
      </c>
      <c r="AA5" s="42" t="s">
        <v>537</v>
      </c>
      <c r="AB5" s="8" t="s">
        <v>482</v>
      </c>
      <c r="AC5" s="11" t="s">
        <v>534</v>
      </c>
      <c r="AD5" s="11" t="s">
        <v>535</v>
      </c>
      <c r="AE5" s="42" t="s">
        <v>537</v>
      </c>
      <c r="AF5" s="2" t="s">
        <v>482</v>
      </c>
      <c r="AG5" s="3" t="s">
        <v>534</v>
      </c>
      <c r="AH5" s="3" t="s">
        <v>535</v>
      </c>
      <c r="AI5" s="11" t="s">
        <v>536</v>
      </c>
      <c r="AJ5" s="3" t="s">
        <v>538</v>
      </c>
      <c r="AK5" s="3" t="s">
        <v>539</v>
      </c>
      <c r="AL5" s="3" t="s">
        <v>540</v>
      </c>
      <c r="AM5" s="4" t="s">
        <v>541</v>
      </c>
      <c r="AN5" s="11"/>
      <c r="AO5" s="3" t="s">
        <v>542</v>
      </c>
      <c r="AP5" s="3" t="s">
        <v>543</v>
      </c>
      <c r="AQ5" s="3" t="s">
        <v>544</v>
      </c>
      <c r="AR5" s="4" t="s">
        <v>545</v>
      </c>
    </row>
    <row r="6" spans="1:44" x14ac:dyDescent="0.45">
      <c r="A6" s="225" t="s">
        <v>24</v>
      </c>
      <c r="B6" s="480">
        <f>'coordinateur matin'!B4</f>
        <v>0.19444444444444445</v>
      </c>
      <c r="C6" s="480">
        <f>'coordinateur matin'!B99</f>
        <v>0.52083333333333337</v>
      </c>
      <c r="D6" s="225"/>
      <c r="E6" s="225"/>
      <c r="F6" s="225"/>
      <c r="G6" s="225"/>
      <c r="H6" s="225"/>
      <c r="I6" s="446">
        <f>C6-B6+E6-D6</f>
        <v>0.32638888888888895</v>
      </c>
      <c r="J6" s="446"/>
      <c r="K6" s="446"/>
      <c r="L6" s="447">
        <f t="shared" ref="L6:L21" si="0">MINUTE(I6)+HOUR(I6)*60</f>
        <v>470</v>
      </c>
      <c r="M6" s="447"/>
      <c r="N6" s="447"/>
      <c r="O6" s="14">
        <f>COUNTIFS(Horaire!C$8:C$138,'Recap par chauffeur-L4'!A6)</f>
        <v>17</v>
      </c>
      <c r="P6" s="14">
        <f>COUNTIFS(Horaire!$C$34:$C$81,'Recap par chauffeur-L4'!A6)</f>
        <v>5</v>
      </c>
      <c r="Q6" s="14" t="e">
        <f>COUNTIFS(Horaire!#REF!,'Recap par chauffeur-L4'!$A6)</f>
        <v>#REF!</v>
      </c>
      <c r="R6" s="58">
        <f>[1]Synthsemaine!C$137</f>
        <v>0</v>
      </c>
      <c r="S6" s="448" t="e">
        <f>O6*O$24+P6*P$24+Q6*Q$24+R6*R$24</f>
        <v>#REF!</v>
      </c>
      <c r="T6" s="14">
        <f>COUNTIF('Horaire samedi'!$C$8:$C$54,'Recap par chauffeur-L4'!$A6)</f>
        <v>0</v>
      </c>
      <c r="W6" s="448">
        <f>T6*T$24+U6*U$24+V6*V$24</f>
        <v>0</v>
      </c>
      <c r="X6" s="477">
        <f>COUNTIF('Horaire dimanche1'!C$8:C$29,'Recap par chauffeur-L4'!$A6)</f>
        <v>0</v>
      </c>
      <c r="AA6" s="452">
        <f>X6*X$24+Y6*Y24+Z6*Z$24</f>
        <v>0</v>
      </c>
      <c r="AB6" s="14">
        <f>COUNTIF('Horaire dimanche2'!$C$8:$C$29,'Recap par chauffeur-L4'!$A6)</f>
        <v>0</v>
      </c>
      <c r="AE6" s="452">
        <f>AB6*AB$24+AC6*AC$24+AD6*AD$24</f>
        <v>0</v>
      </c>
      <c r="AF6" s="14">
        <f>$AF$2*O6+$AG$2*T6+$AH$2/2*X6+$AH$2/2*AB6</f>
        <v>4233</v>
      </c>
      <c r="AG6" t="e">
        <f>$AF$2*Q6+$AG$2*U6+$AH$2/2*Y6+AC6*$AH$2/2</f>
        <v>#REF!</v>
      </c>
      <c r="AH6">
        <f>$AF$2*R6+$AG$2*V6+$AH$2/2*Z6+AD6*$AH$2/2</f>
        <v>0</v>
      </c>
      <c r="AI6" s="449" t="e">
        <f>$AF$2*S6+$AG$2*W6+$AH$2/2*AA6+AE6*$AH$2/2</f>
        <v>#REF!</v>
      </c>
      <c r="AJ6" s="449" t="e">
        <f>AI6/AJ$2</f>
        <v>#REF!</v>
      </c>
      <c r="AK6">
        <f>$AF$2*L6/60+$AG$2*M6/60+$AH$2*N6/60/2</f>
        <v>1950.5</v>
      </c>
      <c r="AL6" s="449" t="e">
        <f>AI6/AK6</f>
        <v>#REF!</v>
      </c>
      <c r="AM6" s="57">
        <f>AK6/AF6*60</f>
        <v>27.647058823529409</v>
      </c>
      <c r="AO6">
        <f>AF6*AO$4</f>
        <v>22434.899999999998</v>
      </c>
      <c r="AP6" t="e">
        <f>(AF$2+IF($S6=0,0,AG$2)+IF($W6=0,0,AH$2))*$AP$4</f>
        <v>#REF!</v>
      </c>
      <c r="AQ6" t="e">
        <f>AO6+AP6</f>
        <v>#REF!</v>
      </c>
      <c r="AR6" s="58" t="e">
        <f>AQ6/12</f>
        <v>#REF!</v>
      </c>
    </row>
    <row r="7" spans="1:44" x14ac:dyDescent="0.45">
      <c r="A7" s="225" t="s">
        <v>36</v>
      </c>
      <c r="B7" s="480">
        <f>'coordinateur matin'!B3</f>
        <v>0.1875</v>
      </c>
      <c r="C7" s="480">
        <f>'coordinateur matin'!B73</f>
        <v>0.3263888888888889</v>
      </c>
      <c r="D7" s="480">
        <f>'coordinateur matin'!B100</f>
        <v>0.54166666666666663</v>
      </c>
      <c r="E7" s="480">
        <f>'coordinateur matin'!B115</f>
        <v>0.65625</v>
      </c>
      <c r="F7" s="225"/>
      <c r="G7" s="225"/>
      <c r="H7" s="225"/>
      <c r="I7" s="446">
        <f t="shared" ref="I7:I20" si="1">C7-B7+E7-D7</f>
        <v>0.25347222222222221</v>
      </c>
      <c r="J7" s="446"/>
      <c r="K7" s="446"/>
      <c r="L7" s="447">
        <f t="shared" si="0"/>
        <v>365</v>
      </c>
      <c r="M7" s="447"/>
      <c r="N7" s="447"/>
      <c r="O7" s="14">
        <f>COUNTIFS(Horaire!C$8:C$138,'Recap par chauffeur-L4'!A7)</f>
        <v>16</v>
      </c>
      <c r="P7">
        <f>COUNTIFS(Horaire!$C$34:$C$81,'Recap par chauffeur-L4'!A7)</f>
        <v>2</v>
      </c>
      <c r="Q7" s="53" t="e">
        <f>COUNTIFS(Horaire!#REF!,'Recap par chauffeur-L4'!$A7)</f>
        <v>#REF!</v>
      </c>
      <c r="R7" s="58">
        <f>[1]Synthsemaine!D$137</f>
        <v>0</v>
      </c>
      <c r="S7" s="448" t="e">
        <f t="shared" ref="S7:S20" si="2">O7*O$24+P7*P$24+Q7*Q$24+R7*R$24</f>
        <v>#REF!</v>
      </c>
      <c r="T7" s="14">
        <f>COUNTIF('Horaire samedi'!$C$8:$C$54,'Recap par chauffeur-L4'!$A7)</f>
        <v>0</v>
      </c>
      <c r="W7" s="24">
        <f t="shared" ref="W7:W21" si="3">T7*T$24+U7*U$24+V7*V$24</f>
        <v>0</v>
      </c>
      <c r="X7" s="477">
        <f>COUNTIF('Horaire dimanche1'!C$8:C$29,'Recap par chauffeur-L4'!$A7)</f>
        <v>0</v>
      </c>
      <c r="AA7" s="452">
        <f t="shared" ref="AA7:AA20" si="4">X7*X$24+Y7*Y25+Z7*Z$24</f>
        <v>0</v>
      </c>
      <c r="AB7" s="14">
        <f>COUNTIF('Horaire dimanche2'!$C$8:$C$29,'Recap par chauffeur-L4'!$A7)</f>
        <v>0</v>
      </c>
      <c r="AE7" s="452">
        <f t="shared" ref="AE7:AE20" si="5">AB7*AB$24+AC7*AC$24+AD7*AD$24</f>
        <v>0</v>
      </c>
      <c r="AF7" s="14">
        <f t="shared" ref="AF7:AF20" si="6">$AF$2*O7+$AG$2*T7+$AH$2/2*X7+$AH$2/2*AB7</f>
        <v>3984</v>
      </c>
      <c r="AG7" t="e">
        <f t="shared" ref="AG7:AG20" si="7">$AF$2*Q7+$AG$2*U7+$AH$2/2*Y7+AC7*$AH$2/2</f>
        <v>#REF!</v>
      </c>
      <c r="AH7">
        <f t="shared" ref="AH7:AH12" si="8">$AF$2*R7+$AG$2*V7+$AH$2*Z7</f>
        <v>0</v>
      </c>
      <c r="AI7" s="449" t="e">
        <f t="shared" ref="AI7:AI20" si="9">$AF$2*S7+$AG$2*W7+$AH$2/2*AA7+AE7*$AH$2/2</f>
        <v>#REF!</v>
      </c>
      <c r="AJ7" s="449" t="e">
        <f t="shared" ref="AJ7:AJ22" si="10">AI7/AJ$2</f>
        <v>#REF!</v>
      </c>
      <c r="AK7">
        <f t="shared" ref="AK7:AK20" si="11">$AF$2*L7/60+$AG$2*M7/60+$AH$2*N7/60/2</f>
        <v>1514.75</v>
      </c>
      <c r="AL7" s="449" t="e">
        <f t="shared" ref="AL7:AL22" si="12">AI7/AK7</f>
        <v>#REF!</v>
      </c>
      <c r="AM7" s="57">
        <f t="shared" ref="AM7:AM20" si="13">AK7/AF7*60</f>
        <v>22.8125</v>
      </c>
      <c r="AO7">
        <f t="shared" ref="AO7:AO20" si="14">AF7*AO$4</f>
        <v>21115.200000000001</v>
      </c>
      <c r="AP7" t="e">
        <f>(AF$2+IF($S7=0,0,AG$2)+IF($W7=0,0,AH$2))*$AP$4</f>
        <v>#REF!</v>
      </c>
      <c r="AQ7" t="e">
        <f t="shared" ref="AQ7:AQ20" si="15">AO7+AP7</f>
        <v>#REF!</v>
      </c>
      <c r="AR7" s="450" t="e">
        <f t="shared" ref="AR7:AR20" si="16">AQ7/12</f>
        <v>#REF!</v>
      </c>
    </row>
    <row r="8" spans="1:44" x14ac:dyDescent="0.45">
      <c r="A8" t="s">
        <v>27</v>
      </c>
      <c r="B8" s="35">
        <f>'coordinateur matin'!B5</f>
        <v>0.2013888888888889</v>
      </c>
      <c r="C8" s="35">
        <f>'coordinateur matin'!B81</f>
        <v>0.34375</v>
      </c>
      <c r="D8" s="35">
        <f>'coordinateur matin'!B106</f>
        <v>0.60416666666666663</v>
      </c>
      <c r="E8" s="35">
        <f>'coordinateur matin'!B122</f>
        <v>0.69791666666666663</v>
      </c>
      <c r="I8" s="446">
        <f t="shared" si="1"/>
        <v>0.23611111111111105</v>
      </c>
      <c r="J8" s="446"/>
      <c r="K8" s="446"/>
      <c r="L8" s="447">
        <f t="shared" si="0"/>
        <v>340</v>
      </c>
      <c r="M8" s="447"/>
      <c r="N8" s="447"/>
      <c r="O8" s="14">
        <f>COUNTIFS(Horaire!C$8:C$138,'Recap par chauffeur-L4'!A8)</f>
        <v>16</v>
      </c>
      <c r="P8">
        <f>COUNTIFS(Horaire!$C$34:$C$81,'Recap par chauffeur-L4'!A8)</f>
        <v>5</v>
      </c>
      <c r="Q8" s="53" t="e">
        <f>COUNTIFS(Horaire!#REF!,'Recap par chauffeur-L4'!$A8)</f>
        <v>#REF!</v>
      </c>
      <c r="R8" s="58">
        <f>[1]Synthsemaine!E$137</f>
        <v>0</v>
      </c>
      <c r="S8" s="448" t="e">
        <f t="shared" si="2"/>
        <v>#REF!</v>
      </c>
      <c r="T8" s="14">
        <f>COUNTIF('Horaire samedi'!$C$8:$C$54,'Recap par chauffeur-L4'!$A8)</f>
        <v>0</v>
      </c>
      <c r="W8" s="24">
        <f t="shared" si="3"/>
        <v>0</v>
      </c>
      <c r="X8" s="477">
        <f>COUNTIF('Horaire dimanche1'!C$8:C$29,'Recap par chauffeur-L4'!$A8)</f>
        <v>0</v>
      </c>
      <c r="AA8" s="452">
        <f t="shared" si="4"/>
        <v>0</v>
      </c>
      <c r="AB8" s="14">
        <f>COUNTIF('Horaire dimanche2'!$C$8:$C$29,'Recap par chauffeur-L4'!$A8)</f>
        <v>0</v>
      </c>
      <c r="AE8" s="452">
        <f t="shared" si="5"/>
        <v>0</v>
      </c>
      <c r="AF8" s="14">
        <f t="shared" si="6"/>
        <v>3984</v>
      </c>
      <c r="AG8" t="e">
        <f t="shared" si="7"/>
        <v>#REF!</v>
      </c>
      <c r="AH8">
        <f t="shared" si="8"/>
        <v>0</v>
      </c>
      <c r="AI8" s="449" t="e">
        <f t="shared" si="9"/>
        <v>#REF!</v>
      </c>
      <c r="AJ8" s="449" t="e">
        <f t="shared" si="10"/>
        <v>#REF!</v>
      </c>
      <c r="AK8">
        <f t="shared" si="11"/>
        <v>1411</v>
      </c>
      <c r="AL8" s="449" t="e">
        <f t="shared" si="12"/>
        <v>#REF!</v>
      </c>
      <c r="AM8" s="57">
        <f t="shared" si="13"/>
        <v>21.25</v>
      </c>
      <c r="AO8">
        <f t="shared" si="14"/>
        <v>21115.200000000001</v>
      </c>
      <c r="AP8" t="e">
        <f>(AF$2+IF($S8=0,0,AG$2)+IF($W8=0,0,AH$2))*$AP$4</f>
        <v>#REF!</v>
      </c>
      <c r="AQ8" t="e">
        <f t="shared" si="15"/>
        <v>#REF!</v>
      </c>
      <c r="AR8" s="58" t="e">
        <f t="shared" si="16"/>
        <v>#REF!</v>
      </c>
    </row>
    <row r="9" spans="1:44" x14ac:dyDescent="0.45">
      <c r="A9" t="s">
        <v>48</v>
      </c>
      <c r="B9" s="35">
        <f>'coordinateur matin'!B7</f>
        <v>0.20833333333333334</v>
      </c>
      <c r="C9" s="35">
        <f>'coordinateur matin'!B69</f>
        <v>0.31944444444444442</v>
      </c>
      <c r="D9" s="35" t="e">
        <f>'coordinateur matin'!#REF!</f>
        <v>#REF!</v>
      </c>
      <c r="E9" s="35" t="e">
        <f>'coordinateur matin'!#REF!</f>
        <v>#REF!</v>
      </c>
      <c r="I9" s="446" t="e">
        <f t="shared" si="1"/>
        <v>#REF!</v>
      </c>
      <c r="J9" s="446"/>
      <c r="K9" s="446"/>
      <c r="L9" s="447" t="e">
        <f t="shared" si="0"/>
        <v>#REF!</v>
      </c>
      <c r="M9" s="447"/>
      <c r="N9" s="447"/>
      <c r="O9" s="14">
        <f>COUNTIFS(Horaire!C$8:C$138,'Recap par chauffeur-L4'!A9)</f>
        <v>9</v>
      </c>
      <c r="P9">
        <f>COUNTIFS(Horaire!$C$34:$C$81,'Recap par chauffeur-L4'!A9)</f>
        <v>5</v>
      </c>
      <c r="Q9" s="53" t="e">
        <f>COUNTIFS(Horaire!#REF!,'Recap par chauffeur-L4'!$A9)</f>
        <v>#REF!</v>
      </c>
      <c r="R9" s="58">
        <f>[1]Synthsemaine!F$137</f>
        <v>2</v>
      </c>
      <c r="S9" s="448" t="e">
        <f t="shared" si="2"/>
        <v>#REF!</v>
      </c>
      <c r="T9" s="14">
        <f>COUNTIF('Horaire samedi'!$C$8:$C$54,'Recap par chauffeur-L4'!$A9)</f>
        <v>0</v>
      </c>
      <c r="W9" s="24">
        <f t="shared" si="3"/>
        <v>0</v>
      </c>
      <c r="X9" s="477">
        <f>COUNTIF('Horaire dimanche1'!C$8:C$29,'Recap par chauffeur-L4'!$A9)</f>
        <v>0</v>
      </c>
      <c r="AA9" s="452">
        <f t="shared" si="4"/>
        <v>0</v>
      </c>
      <c r="AB9" s="14">
        <f>COUNTIF('Horaire dimanche2'!$C$8:$C$29,'Recap par chauffeur-L4'!$A9)</f>
        <v>0</v>
      </c>
      <c r="AE9" s="452">
        <f t="shared" si="5"/>
        <v>0</v>
      </c>
      <c r="AF9" s="14">
        <f t="shared" si="6"/>
        <v>2241</v>
      </c>
      <c r="AG9" t="e">
        <f t="shared" si="7"/>
        <v>#REF!</v>
      </c>
      <c r="AH9">
        <f t="shared" si="8"/>
        <v>498</v>
      </c>
      <c r="AI9" s="449" t="e">
        <f t="shared" si="9"/>
        <v>#REF!</v>
      </c>
      <c r="AJ9" s="449" t="e">
        <f t="shared" si="10"/>
        <v>#REF!</v>
      </c>
      <c r="AK9" t="e">
        <f t="shared" si="11"/>
        <v>#REF!</v>
      </c>
      <c r="AL9" s="449" t="e">
        <f t="shared" si="12"/>
        <v>#REF!</v>
      </c>
      <c r="AM9" s="57" t="e">
        <f t="shared" si="13"/>
        <v>#REF!</v>
      </c>
      <c r="AO9">
        <f>AF9*AO$4</f>
        <v>11877.3</v>
      </c>
      <c r="AP9" t="e">
        <f>(AF$2+IF($S9=0,0,AG$2)+IF($W9=0,0,AH$2))*$AP$4</f>
        <v>#REF!</v>
      </c>
      <c r="AQ9" t="e">
        <f t="shared" si="15"/>
        <v>#REF!</v>
      </c>
      <c r="AR9" s="450" t="e">
        <f t="shared" si="16"/>
        <v>#REF!</v>
      </c>
    </row>
    <row r="10" spans="1:44" x14ac:dyDescent="0.45">
      <c r="A10" t="s">
        <v>49</v>
      </c>
      <c r="B10" s="35">
        <f>'coordinateur matin'!B31</f>
        <v>0.25</v>
      </c>
      <c r="C10" s="35">
        <f>'coordinateur matin'!B84</f>
        <v>0.375</v>
      </c>
      <c r="D10" s="35">
        <f>'coordinateur matin'!B125</f>
        <v>0.70833333333333337</v>
      </c>
      <c r="E10" s="35" t="e">
        <f>'coordinateur matin'!#REF!</f>
        <v>#REF!</v>
      </c>
      <c r="I10" s="446" t="e">
        <f t="shared" si="1"/>
        <v>#REF!</v>
      </c>
      <c r="J10" s="446"/>
      <c r="K10" s="446">
        <f>[1]syntdimanche!E46</f>
        <v>0.23958333333333365</v>
      </c>
      <c r="L10" s="447" t="e">
        <f t="shared" si="0"/>
        <v>#REF!</v>
      </c>
      <c r="M10" s="447"/>
      <c r="N10" s="447">
        <f>MINUTE(K10)+HOUR(K10)*60</f>
        <v>345</v>
      </c>
      <c r="O10" s="14">
        <f>COUNTIFS(Horaire!C$8:C$138,'Recap par chauffeur-L4'!A10)</f>
        <v>13</v>
      </c>
      <c r="P10">
        <f>COUNTIFS(Horaire!$C$34:$C$81,'Recap par chauffeur-L4'!A10)</f>
        <v>5</v>
      </c>
      <c r="Q10" s="53" t="e">
        <f>COUNTIFS(Horaire!#REF!,'Recap par chauffeur-L4'!$A10)</f>
        <v>#REF!</v>
      </c>
      <c r="R10" s="58">
        <f>[1]Synthsemaine!G$137</f>
        <v>0</v>
      </c>
      <c r="S10" s="448" t="e">
        <f t="shared" si="2"/>
        <v>#REF!</v>
      </c>
      <c r="T10" s="14">
        <f>COUNTIF('Horaire samedi'!$C$8:$C$54,'Recap par chauffeur-L4'!$A10)</f>
        <v>0</v>
      </c>
      <c r="W10" s="24">
        <f t="shared" si="3"/>
        <v>0</v>
      </c>
      <c r="X10" s="477">
        <f>COUNTIF('Horaire dimanche1'!C$8:C$29,'Recap par chauffeur-L4'!$A10)</f>
        <v>12</v>
      </c>
      <c r="Y10" s="478">
        <v>0</v>
      </c>
      <c r="Z10" s="478"/>
      <c r="AA10" s="452">
        <f t="shared" si="4"/>
        <v>294</v>
      </c>
      <c r="AB10" s="14">
        <f>COUNTIF('Horaire dimanche2'!$C$8:$C$29,'Recap par chauffeur-L4'!$A10)</f>
        <v>0</v>
      </c>
      <c r="AC10" s="478">
        <f>[1]syntdimanche!I53</f>
        <v>0</v>
      </c>
      <c r="AD10" s="478"/>
      <c r="AE10" s="452">
        <f t="shared" si="5"/>
        <v>0</v>
      </c>
      <c r="AF10" s="14">
        <f t="shared" si="6"/>
        <v>3621</v>
      </c>
      <c r="AG10" t="e">
        <f t="shared" si="7"/>
        <v>#REF!</v>
      </c>
      <c r="AH10">
        <f t="shared" si="8"/>
        <v>0</v>
      </c>
      <c r="AI10" s="449" t="e">
        <f t="shared" si="9"/>
        <v>#REF!</v>
      </c>
      <c r="AJ10" s="449" t="e">
        <f t="shared" si="10"/>
        <v>#REF!</v>
      </c>
      <c r="AK10" t="e">
        <f t="shared" si="11"/>
        <v>#REF!</v>
      </c>
      <c r="AL10" s="449" t="e">
        <f t="shared" si="12"/>
        <v>#REF!</v>
      </c>
      <c r="AM10" s="57" t="e">
        <f t="shared" si="13"/>
        <v>#REF!</v>
      </c>
      <c r="AO10">
        <f>AF10*AO$4</f>
        <v>19191.3</v>
      </c>
      <c r="AP10" t="e">
        <f>(AF$2+IF($S10=0,0,AG$2)+IF($W10=0,0,AH$2))*$AP$4</f>
        <v>#REF!</v>
      </c>
      <c r="AQ10" t="e">
        <f t="shared" si="15"/>
        <v>#REF!</v>
      </c>
      <c r="AR10" s="58" t="e">
        <f t="shared" si="16"/>
        <v>#REF!</v>
      </c>
    </row>
    <row r="11" spans="1:44" x14ac:dyDescent="0.45">
      <c r="A11" t="s">
        <v>50</v>
      </c>
      <c r="I11" s="446">
        <f t="shared" si="1"/>
        <v>0</v>
      </c>
      <c r="J11" s="446"/>
      <c r="K11" s="446"/>
      <c r="L11" s="447">
        <f t="shared" si="0"/>
        <v>0</v>
      </c>
      <c r="M11" s="447"/>
      <c r="N11" s="447"/>
      <c r="O11" s="14">
        <f>COUNTIFS(Horaire!C$8:C$138,'Recap par chauffeur-L4'!A11)</f>
        <v>0</v>
      </c>
      <c r="P11">
        <f>COUNTIFS(Horaire!$C$34:$C$81,'Recap par chauffeur-L4'!A11)</f>
        <v>0</v>
      </c>
      <c r="Q11" s="53" t="e">
        <f>COUNTIFS(Horaire!#REF!,'Recap par chauffeur-L4'!$A11)</f>
        <v>#REF!</v>
      </c>
      <c r="R11" s="58">
        <f>[1]Synthsemaine!H$137</f>
        <v>0</v>
      </c>
      <c r="S11" s="448" t="e">
        <f t="shared" si="2"/>
        <v>#REF!</v>
      </c>
      <c r="T11" s="14">
        <f>COUNTIF('Horaire samedi'!$C$8:$C$54,'Recap par chauffeur-L4'!$A11)</f>
        <v>0</v>
      </c>
      <c r="W11" s="24">
        <f t="shared" si="3"/>
        <v>0</v>
      </c>
      <c r="X11" s="477">
        <f>COUNTIF('Horaire dimanche1'!C$8:C$29,'Recap par chauffeur-L4'!$A11)</f>
        <v>0</v>
      </c>
      <c r="Y11" s="479"/>
      <c r="Z11" s="479"/>
      <c r="AA11" s="452">
        <f t="shared" si="4"/>
        <v>0</v>
      </c>
      <c r="AB11" s="14">
        <f>COUNTIF('Horaire dimanche2'!$C$8:$C$29,'Recap par chauffeur-L4'!$A11)</f>
        <v>0</v>
      </c>
      <c r="AC11" s="479"/>
      <c r="AD11" s="479"/>
      <c r="AE11" s="452">
        <f t="shared" si="5"/>
        <v>0</v>
      </c>
      <c r="AF11" s="14">
        <f t="shared" si="6"/>
        <v>0</v>
      </c>
      <c r="AG11" t="e">
        <f t="shared" si="7"/>
        <v>#REF!</v>
      </c>
      <c r="AH11">
        <f t="shared" si="8"/>
        <v>0</v>
      </c>
      <c r="AI11" s="449" t="e">
        <f t="shared" si="9"/>
        <v>#REF!</v>
      </c>
      <c r="AJ11" s="449" t="e">
        <f t="shared" si="10"/>
        <v>#REF!</v>
      </c>
      <c r="AK11">
        <f t="shared" si="11"/>
        <v>0</v>
      </c>
      <c r="AL11" s="449" t="e">
        <f t="shared" si="12"/>
        <v>#REF!</v>
      </c>
      <c r="AM11" s="57" t="e">
        <f t="shared" si="13"/>
        <v>#DIV/0!</v>
      </c>
      <c r="AO11">
        <f t="shared" si="14"/>
        <v>0</v>
      </c>
      <c r="AP11">
        <v>0</v>
      </c>
      <c r="AQ11">
        <f t="shared" si="15"/>
        <v>0</v>
      </c>
      <c r="AR11" s="58">
        <f t="shared" si="16"/>
        <v>0</v>
      </c>
    </row>
    <row r="12" spans="1:44" x14ac:dyDescent="0.45">
      <c r="A12" t="s">
        <v>51</v>
      </c>
      <c r="B12" s="35">
        <f>'coordinateur matin'!B47</f>
        <v>0.27777777777777779</v>
      </c>
      <c r="C12" s="35">
        <f>'coordinateur matin'!B80</f>
        <v>0.34375</v>
      </c>
      <c r="I12" s="446">
        <f t="shared" si="1"/>
        <v>6.597222222222221E-2</v>
      </c>
      <c r="J12" s="446"/>
      <c r="K12" s="446"/>
      <c r="L12" s="447">
        <f t="shared" si="0"/>
        <v>95</v>
      </c>
      <c r="M12" s="447"/>
      <c r="N12" s="447"/>
      <c r="O12" s="14">
        <f>COUNTIFS(Horaire!C$8:C$138,'Recap par chauffeur-L4'!A12)</f>
        <v>0</v>
      </c>
      <c r="P12">
        <f>COUNTIFS(Horaire!$C$34:$C$81,'Recap par chauffeur-L4'!A12)</f>
        <v>0</v>
      </c>
      <c r="Q12" s="53" t="e">
        <f>COUNTIFS(Horaire!#REF!,'Recap par chauffeur-L4'!$A12)</f>
        <v>#REF!</v>
      </c>
      <c r="R12" s="58">
        <f>[1]Synthsemaine!I$137</f>
        <v>4</v>
      </c>
      <c r="S12" s="448" t="e">
        <f t="shared" si="2"/>
        <v>#REF!</v>
      </c>
      <c r="T12" s="14">
        <f>COUNTIF('Horaire samedi'!$C$8:$C$54,'Recap par chauffeur-L4'!$A12)</f>
        <v>0</v>
      </c>
      <c r="W12" s="24">
        <f t="shared" si="3"/>
        <v>0</v>
      </c>
      <c r="X12" s="477">
        <f>COUNTIF('Horaire dimanche1'!C$8:C$29,'Recap par chauffeur-L4'!$A12)</f>
        <v>0</v>
      </c>
      <c r="Y12" s="479"/>
      <c r="Z12" s="479"/>
      <c r="AA12" s="452">
        <f t="shared" si="4"/>
        <v>0</v>
      </c>
      <c r="AB12" s="14">
        <f>COUNTIF('Horaire dimanche2'!$C$8:$C$29,'Recap par chauffeur-L4'!$A12)</f>
        <v>0</v>
      </c>
      <c r="AC12" s="479"/>
      <c r="AD12" s="479"/>
      <c r="AE12" s="452">
        <f t="shared" si="5"/>
        <v>0</v>
      </c>
      <c r="AF12" s="14">
        <f t="shared" si="6"/>
        <v>0</v>
      </c>
      <c r="AG12" t="e">
        <f t="shared" si="7"/>
        <v>#REF!</v>
      </c>
      <c r="AH12">
        <f t="shared" si="8"/>
        <v>996</v>
      </c>
      <c r="AI12" s="449" t="e">
        <f t="shared" si="9"/>
        <v>#REF!</v>
      </c>
      <c r="AJ12" s="449" t="e">
        <f t="shared" si="10"/>
        <v>#REF!</v>
      </c>
      <c r="AK12">
        <f t="shared" si="11"/>
        <v>394.25</v>
      </c>
      <c r="AL12" s="449" t="e">
        <f t="shared" si="12"/>
        <v>#REF!</v>
      </c>
      <c r="AM12" s="57"/>
      <c r="AO12">
        <f t="shared" si="14"/>
        <v>0</v>
      </c>
      <c r="AP12" t="e">
        <f t="shared" ref="AP12:AP20" si="17">(AF$2+IF($S12=0,0,AG$2)+IF($W12=0,0,AH$2))*$AP$4</f>
        <v>#REF!</v>
      </c>
      <c r="AQ12" t="e">
        <f t="shared" si="15"/>
        <v>#REF!</v>
      </c>
      <c r="AR12" s="58" t="e">
        <f t="shared" si="16"/>
        <v>#REF!</v>
      </c>
    </row>
    <row r="13" spans="1:44" x14ac:dyDescent="0.45">
      <c r="A13" t="s">
        <v>37</v>
      </c>
      <c r="B13" s="35">
        <f>'coordinateur matin'!B11</f>
        <v>0.21527777777777779</v>
      </c>
      <c r="C13" s="35">
        <f>'coordinateur matin'!B74</f>
        <v>0.3263888888888889</v>
      </c>
      <c r="I13" s="446">
        <f t="shared" si="1"/>
        <v>0.1111111111111111</v>
      </c>
      <c r="J13" s="446">
        <f>[1]Synthsamedi!C59</f>
        <v>0.30208333333333359</v>
      </c>
      <c r="K13" s="446">
        <f>[1]syntdimanche!C46</f>
        <v>0.21874999999999822</v>
      </c>
      <c r="L13" s="447">
        <f t="shared" si="0"/>
        <v>160</v>
      </c>
      <c r="M13" s="447">
        <f>MINUTE(J13)+HOUR(J13)*60</f>
        <v>435</v>
      </c>
      <c r="N13" s="447">
        <f>MINUTE(K13)+HOUR(K13)*60</f>
        <v>315</v>
      </c>
      <c r="O13" s="14">
        <f>COUNTIFS(Horaire!C$8:C$138,'Recap par chauffeur-L4'!A13)</f>
        <v>7</v>
      </c>
      <c r="P13">
        <f>COUNTIFS(Horaire!$C$34:$C$81,'Recap par chauffeur-L4'!A13)</f>
        <v>4</v>
      </c>
      <c r="Q13" s="53" t="e">
        <f>COUNTIFS(Horaire!#REF!,'Recap par chauffeur-L4'!$A13)</f>
        <v>#REF!</v>
      </c>
      <c r="R13" s="58">
        <f>[1]Synthsemaine!J$137</f>
        <v>0</v>
      </c>
      <c r="S13" s="448" t="e">
        <f t="shared" si="2"/>
        <v>#REF!</v>
      </c>
      <c r="T13" s="14">
        <f>COUNTIF('Horaire samedi'!$C$8:$C$54,'Recap par chauffeur-L4'!$A13)</f>
        <v>9</v>
      </c>
      <c r="U13" t="e">
        <f>COUNTIF('Horaire samedi'!#REF!,'Recap par chauffeur-L4'!$A13)</f>
        <v>#REF!</v>
      </c>
      <c r="W13" s="451" t="e">
        <f t="shared" si="3"/>
        <v>#REF!</v>
      </c>
      <c r="X13" s="477">
        <f>COUNTIF('Horaire dimanche1'!C$8:C$29,'Recap par chauffeur-L4'!$A13)</f>
        <v>10</v>
      </c>
      <c r="Y13" s="479">
        <v>0</v>
      </c>
      <c r="Z13" s="479"/>
      <c r="AA13" s="452">
        <f t="shared" si="4"/>
        <v>245</v>
      </c>
      <c r="AB13" s="14">
        <f>COUNTIF('Horaire dimanche2'!$C$8:$C$29,'Recap par chauffeur-L4'!$A13)</f>
        <v>0</v>
      </c>
      <c r="AC13" s="479">
        <f>[1]syntdimanche!G53</f>
        <v>0</v>
      </c>
      <c r="AD13" s="479"/>
      <c r="AE13" s="452">
        <f t="shared" si="5"/>
        <v>0</v>
      </c>
      <c r="AF13" s="14">
        <f t="shared" si="6"/>
        <v>2531</v>
      </c>
      <c r="AG13" t="e">
        <f t="shared" si="7"/>
        <v>#REF!</v>
      </c>
      <c r="AH13">
        <f>$AF$2*R13+$AG$2*V13+($AH$2*Z13)/2</f>
        <v>0</v>
      </c>
      <c r="AI13" s="449" t="e">
        <f t="shared" si="9"/>
        <v>#REF!</v>
      </c>
      <c r="AJ13" s="449" t="e">
        <f t="shared" si="10"/>
        <v>#REF!</v>
      </c>
      <c r="AK13">
        <f t="shared" si="11"/>
        <v>1209</v>
      </c>
      <c r="AL13" s="449" t="e">
        <f t="shared" si="12"/>
        <v>#REF!</v>
      </c>
      <c r="AM13" s="57">
        <f t="shared" si="13"/>
        <v>28.660608455156062</v>
      </c>
      <c r="AO13">
        <f t="shared" si="14"/>
        <v>13414.3</v>
      </c>
      <c r="AP13" t="e">
        <f t="shared" si="17"/>
        <v>#REF!</v>
      </c>
      <c r="AQ13" t="e">
        <f t="shared" si="15"/>
        <v>#REF!</v>
      </c>
      <c r="AR13" s="58" t="e">
        <f t="shared" si="16"/>
        <v>#REF!</v>
      </c>
    </row>
    <row r="14" spans="1:44" x14ac:dyDescent="0.45">
      <c r="A14" t="s">
        <v>41</v>
      </c>
      <c r="B14" s="35">
        <f>'coordinateur matin'!B14</f>
        <v>0.22222222222222221</v>
      </c>
      <c r="C14" s="35">
        <f>'coordinateur matin'!B58</f>
        <v>0.2986111111111111</v>
      </c>
      <c r="I14" s="446">
        <f t="shared" si="1"/>
        <v>7.6388888888888895E-2</v>
      </c>
      <c r="J14" s="446">
        <f>[1]Synthsamedi!D59</f>
        <v>0.30208333333333331</v>
      </c>
      <c r="K14" s="446">
        <f>[1]syntdimanche!D46</f>
        <v>0</v>
      </c>
      <c r="L14" s="447">
        <f t="shared" si="0"/>
        <v>110</v>
      </c>
      <c r="M14" s="447">
        <f>MINUTE(J14)+HOUR(J14)*60</f>
        <v>435</v>
      </c>
      <c r="N14" s="447">
        <f>MINUTE(K14)+HOUR(K14)*60</f>
        <v>0</v>
      </c>
      <c r="O14" s="14">
        <f>COUNTIFS(Horaire!C$8:C$138,'Recap par chauffeur-L4'!A14)</f>
        <v>7</v>
      </c>
      <c r="P14">
        <f>COUNTIFS(Horaire!$C$34:$C$81,'Recap par chauffeur-L4'!A14)</f>
        <v>5</v>
      </c>
      <c r="Q14" s="53" t="e">
        <f>COUNTIFS(Horaire!#REF!,'Recap par chauffeur-L4'!$A14)</f>
        <v>#REF!</v>
      </c>
      <c r="R14" s="58">
        <f>[1]Synthsemaine!K$137</f>
        <v>0</v>
      </c>
      <c r="S14" s="448" t="e">
        <f t="shared" si="2"/>
        <v>#REF!</v>
      </c>
      <c r="T14" s="14">
        <f>COUNTIF('Horaire samedi'!$C$8:$C$54,'Recap par chauffeur-L4'!$A14)</f>
        <v>14</v>
      </c>
      <c r="U14" t="e">
        <f>COUNTIF('Horaire samedi'!#REF!,'Recap par chauffeur-L4'!$A14)</f>
        <v>#REF!</v>
      </c>
      <c r="W14" s="451" t="e">
        <f t="shared" si="3"/>
        <v>#REF!</v>
      </c>
      <c r="X14" s="477">
        <f>COUNTIF('Horaire dimanche1'!C$8:C$29,'Recap par chauffeur-L4'!$A14)</f>
        <v>0</v>
      </c>
      <c r="Y14" s="479">
        <f>[1]syntdimanche!D53</f>
        <v>0</v>
      </c>
      <c r="Z14" s="479"/>
      <c r="AA14" s="452">
        <f t="shared" si="4"/>
        <v>0</v>
      </c>
      <c r="AB14" s="14">
        <f>COUNTIF('Horaire dimanche2'!$C$8:$C$29,'Recap par chauffeur-L4'!$A14)</f>
        <v>0</v>
      </c>
      <c r="AC14" s="479">
        <f>[1]syntdimanche!H53</f>
        <v>0</v>
      </c>
      <c r="AD14" s="479"/>
      <c r="AE14" s="452">
        <f t="shared" si="5"/>
        <v>0</v>
      </c>
      <c r="AF14" s="14">
        <f t="shared" si="6"/>
        <v>2471</v>
      </c>
      <c r="AG14" t="e">
        <f t="shared" si="7"/>
        <v>#REF!</v>
      </c>
      <c r="AH14">
        <f>$AF$2*R14+$AG$2*V14+($AH$2*Z14)/2</f>
        <v>0</v>
      </c>
      <c r="AI14" s="449" t="e">
        <f t="shared" si="9"/>
        <v>#REF!</v>
      </c>
      <c r="AJ14" s="449" t="e">
        <f t="shared" si="10"/>
        <v>#REF!</v>
      </c>
      <c r="AK14">
        <f t="shared" si="11"/>
        <v>833.5</v>
      </c>
      <c r="AL14" s="449" t="e">
        <f t="shared" si="12"/>
        <v>#REF!</v>
      </c>
      <c r="AM14" s="57">
        <f t="shared" si="13"/>
        <v>20.238769728854713</v>
      </c>
      <c r="AO14">
        <f t="shared" si="14"/>
        <v>13096.3</v>
      </c>
      <c r="AP14" t="e">
        <f t="shared" si="17"/>
        <v>#REF!</v>
      </c>
      <c r="AQ14" t="e">
        <f t="shared" si="15"/>
        <v>#REF!</v>
      </c>
      <c r="AR14" s="58" t="e">
        <f t="shared" si="16"/>
        <v>#REF!</v>
      </c>
    </row>
    <row r="15" spans="1:44" x14ac:dyDescent="0.45">
      <c r="A15" s="225" t="s">
        <v>42</v>
      </c>
      <c r="B15" s="480">
        <f>'coordinateur matin'!B18</f>
        <v>0.22916666666666666</v>
      </c>
      <c r="C15" s="480">
        <f>'coordinateur matin'!B62</f>
        <v>0.30555555555555558</v>
      </c>
      <c r="D15" s="225"/>
      <c r="E15" s="225"/>
      <c r="F15" s="225"/>
      <c r="G15" s="225"/>
      <c r="H15" s="225"/>
      <c r="I15" s="446">
        <f t="shared" si="1"/>
        <v>7.6388888888888923E-2</v>
      </c>
      <c r="J15" s="446">
        <f>[1]Synthsamedi!E59</f>
        <v>0.28125000000000056</v>
      </c>
      <c r="K15" s="446"/>
      <c r="L15" s="447">
        <f t="shared" si="0"/>
        <v>110</v>
      </c>
      <c r="M15" s="447">
        <f>MINUTE(J15)+HOUR(J15)*60</f>
        <v>405</v>
      </c>
      <c r="N15" s="447">
        <f t="shared" ref="N15:N22" si="18">MINUTE(K15)+HOUR(K15)*60</f>
        <v>0</v>
      </c>
      <c r="O15" s="14">
        <f>COUNTIFS(Horaire!C$8:C$138,'Recap par chauffeur-L4'!A15)</f>
        <v>7</v>
      </c>
      <c r="P15">
        <f>COUNTIFS(Horaire!$C$34:$C$81,'Recap par chauffeur-L4'!A15)</f>
        <v>4</v>
      </c>
      <c r="Q15" s="53" t="e">
        <f>COUNTIFS(Horaire!#REF!,'Recap par chauffeur-L4'!$A15)</f>
        <v>#REF!</v>
      </c>
      <c r="R15" s="58">
        <f>[1]Synthsemaine!L$137</f>
        <v>0</v>
      </c>
      <c r="S15" s="448" t="e">
        <f t="shared" si="2"/>
        <v>#REF!</v>
      </c>
      <c r="T15" s="14">
        <f>COUNTIF('Horaire samedi'!$C$8:$C$54,'Recap par chauffeur-L4'!$A15)</f>
        <v>10</v>
      </c>
      <c r="U15" t="e">
        <f>COUNTIF('Horaire samedi'!#REF!,'Recap par chauffeur-L4'!$A15)</f>
        <v>#REF!</v>
      </c>
      <c r="W15" s="451" t="e">
        <f t="shared" si="3"/>
        <v>#REF!</v>
      </c>
      <c r="X15" s="477">
        <f>COUNTIF('Horaire dimanche1'!C$8:C$29,'Recap par chauffeur-L4'!$A15)</f>
        <v>0</v>
      </c>
      <c r="AA15" s="452">
        <f t="shared" si="4"/>
        <v>0</v>
      </c>
      <c r="AB15" s="14">
        <f>COUNTIF('Horaire dimanche2'!$C$8:$C$29,'Recap par chauffeur-L4'!$A15)</f>
        <v>12</v>
      </c>
      <c r="AC15" s="479">
        <v>0</v>
      </c>
      <c r="AD15" s="479"/>
      <c r="AE15" s="452">
        <f t="shared" si="5"/>
        <v>294</v>
      </c>
      <c r="AF15" s="14">
        <f t="shared" si="6"/>
        <v>2647</v>
      </c>
      <c r="AG15" t="e">
        <f t="shared" si="7"/>
        <v>#REF!</v>
      </c>
      <c r="AH15">
        <f t="shared" ref="AH15:AH20" si="19">$AF$2*R15+$AG$2*V15+($AH$2*Z13)/2</f>
        <v>0</v>
      </c>
      <c r="AI15" s="449" t="e">
        <f t="shared" si="9"/>
        <v>#REF!</v>
      </c>
      <c r="AJ15" s="449" t="e">
        <f t="shared" si="10"/>
        <v>#REF!</v>
      </c>
      <c r="AK15">
        <f t="shared" si="11"/>
        <v>807.5</v>
      </c>
      <c r="AL15" s="449" t="e">
        <f t="shared" si="12"/>
        <v>#REF!</v>
      </c>
      <c r="AM15" s="57">
        <f t="shared" si="13"/>
        <v>18.30374008311296</v>
      </c>
      <c r="AO15">
        <f t="shared" si="14"/>
        <v>14029.1</v>
      </c>
      <c r="AP15" t="e">
        <f t="shared" si="17"/>
        <v>#REF!</v>
      </c>
      <c r="AQ15" t="e">
        <f t="shared" si="15"/>
        <v>#REF!</v>
      </c>
      <c r="AR15" s="58" t="e">
        <f t="shared" si="16"/>
        <v>#REF!</v>
      </c>
    </row>
    <row r="16" spans="1:44" x14ac:dyDescent="0.45">
      <c r="A16" s="225" t="s">
        <v>43</v>
      </c>
      <c r="B16" s="480">
        <f>'coordinateur matin'!B9</f>
        <v>0.20833333333333334</v>
      </c>
      <c r="C16" s="480">
        <f>'coordinateur matin'!B70</f>
        <v>0.31944444444444442</v>
      </c>
      <c r="D16" s="480">
        <f>'coordinateur matin'!B128</f>
        <v>0.72916666666666663</v>
      </c>
      <c r="E16" s="480" t="e">
        <f>'coordinateur matin'!#REF!</f>
        <v>#REF!</v>
      </c>
      <c r="F16" s="225"/>
      <c r="G16" s="225"/>
      <c r="H16" s="225"/>
      <c r="I16" s="446" t="e">
        <f t="shared" si="1"/>
        <v>#REF!</v>
      </c>
      <c r="J16" s="446">
        <f>[1]Synthsamedi!F59</f>
        <v>0.30208333333333359</v>
      </c>
      <c r="K16" s="446"/>
      <c r="L16" s="447" t="e">
        <f t="shared" si="0"/>
        <v>#REF!</v>
      </c>
      <c r="M16" s="447">
        <f>MINUTE(J16)+HOUR(J16)*60</f>
        <v>435</v>
      </c>
      <c r="N16" s="447">
        <f t="shared" si="18"/>
        <v>0</v>
      </c>
      <c r="O16" s="14">
        <f>COUNTIFS(Horaire!C$8:C$138,'Recap par chauffeur-L4'!A16)</f>
        <v>8</v>
      </c>
      <c r="P16">
        <f>COUNTIFS(Horaire!$C$34:$C$81,'Recap par chauffeur-L4'!A16)</f>
        <v>5</v>
      </c>
      <c r="Q16" s="53" t="e">
        <f>COUNTIFS(Horaire!#REF!,'Recap par chauffeur-L4'!$A16)</f>
        <v>#REF!</v>
      </c>
      <c r="R16" s="58">
        <f>[1]Synthsemaine!M$137</f>
        <v>0</v>
      </c>
      <c r="S16" s="448" t="e">
        <f t="shared" si="2"/>
        <v>#REF!</v>
      </c>
      <c r="T16" s="14">
        <f>COUNTIF('Horaire samedi'!$C$8:$C$54,'Recap par chauffeur-L4'!$A16)</f>
        <v>14</v>
      </c>
      <c r="U16" t="e">
        <f>COUNTIF('Horaire samedi'!#REF!,'Recap par chauffeur-L4'!$A16)</f>
        <v>#REF!</v>
      </c>
      <c r="W16" s="451" t="e">
        <f t="shared" si="3"/>
        <v>#REF!</v>
      </c>
      <c r="X16" s="477">
        <f>COUNTIF('Horaire dimanche1'!C$8:C$29,'Recap par chauffeur-L4'!$A16)</f>
        <v>0</v>
      </c>
      <c r="AA16" s="452">
        <f t="shared" si="4"/>
        <v>0</v>
      </c>
      <c r="AB16" s="14">
        <f>COUNTIF('Horaire dimanche2'!$C$8:$C$29,'Recap par chauffeur-L4'!$A16)</f>
        <v>0</v>
      </c>
      <c r="AC16" s="479"/>
      <c r="AD16" s="479"/>
      <c r="AE16" s="452">
        <f t="shared" si="5"/>
        <v>0</v>
      </c>
      <c r="AF16" s="14">
        <f t="shared" si="6"/>
        <v>2720</v>
      </c>
      <c r="AG16" t="e">
        <f t="shared" si="7"/>
        <v>#REF!</v>
      </c>
      <c r="AH16">
        <f t="shared" si="19"/>
        <v>0</v>
      </c>
      <c r="AI16" s="449" t="e">
        <f t="shared" si="9"/>
        <v>#REF!</v>
      </c>
      <c r="AJ16" s="449" t="e">
        <f t="shared" si="10"/>
        <v>#REF!</v>
      </c>
      <c r="AK16" t="e">
        <f t="shared" si="11"/>
        <v>#REF!</v>
      </c>
      <c r="AL16" s="449" t="e">
        <f t="shared" si="12"/>
        <v>#REF!</v>
      </c>
      <c r="AM16" s="57" t="e">
        <f t="shared" si="13"/>
        <v>#REF!</v>
      </c>
      <c r="AO16">
        <f t="shared" si="14"/>
        <v>14416</v>
      </c>
      <c r="AP16" t="e">
        <f t="shared" si="17"/>
        <v>#REF!</v>
      </c>
      <c r="AQ16" t="e">
        <f t="shared" si="15"/>
        <v>#REF!</v>
      </c>
      <c r="AR16" s="58" t="e">
        <f t="shared" si="16"/>
        <v>#REF!</v>
      </c>
    </row>
    <row r="17" spans="1:44" x14ac:dyDescent="0.45">
      <c r="A17" s="225" t="s">
        <v>44</v>
      </c>
      <c r="B17" s="480">
        <f>'coordinateur matin'!B32</f>
        <v>0.25</v>
      </c>
      <c r="C17" s="480">
        <f>'coordinateur matin'!B66</f>
        <v>0.3125</v>
      </c>
      <c r="D17" s="480">
        <f>'coordinateur matin'!B116</f>
        <v>0.66666666666666663</v>
      </c>
      <c r="E17" s="480">
        <f>'coordinateur matin'!B127</f>
        <v>0.71875</v>
      </c>
      <c r="F17" s="225"/>
      <c r="G17" s="225"/>
      <c r="H17" s="225"/>
      <c r="I17" s="446">
        <f t="shared" si="1"/>
        <v>0.11458333333333337</v>
      </c>
      <c r="J17" s="446"/>
      <c r="K17" s="446"/>
      <c r="L17" s="447">
        <f t="shared" si="0"/>
        <v>165</v>
      </c>
      <c r="M17" s="447"/>
      <c r="N17" s="447"/>
      <c r="O17" s="14">
        <f>COUNTIFS(Horaire!C$8:C$138,'Recap par chauffeur-L4'!A17)</f>
        <v>11</v>
      </c>
      <c r="P17">
        <f>COUNTIFS(Horaire!$C$34:$C$81,'Recap par chauffeur-L4'!A17)</f>
        <v>2</v>
      </c>
      <c r="Q17" s="53" t="e">
        <f>COUNTIFS(Horaire!#REF!,'Recap par chauffeur-L4'!$A17)</f>
        <v>#REF!</v>
      </c>
      <c r="R17" s="58">
        <f>[1]Synthsemaine!N$137</f>
        <v>0</v>
      </c>
      <c r="S17" s="448" t="e">
        <f t="shared" si="2"/>
        <v>#REF!</v>
      </c>
      <c r="T17" s="14">
        <f>COUNTIF('Horaire samedi'!$C$8:$C$54,'Recap par chauffeur-L4'!$A17)</f>
        <v>0</v>
      </c>
      <c r="W17" s="451">
        <f t="shared" si="3"/>
        <v>0</v>
      </c>
      <c r="X17" s="477">
        <f>COUNTIF('Horaire dimanche1'!C$8:C$29,'Recap par chauffeur-L4'!$A17)</f>
        <v>0</v>
      </c>
      <c r="AA17" s="452">
        <f t="shared" si="4"/>
        <v>0</v>
      </c>
      <c r="AB17" s="14">
        <f>COUNTIF('Horaire dimanche2'!$C$8:$C$29,'Recap par chauffeur-L4'!$A17)</f>
        <v>0</v>
      </c>
      <c r="AE17" s="452">
        <f t="shared" si="5"/>
        <v>0</v>
      </c>
      <c r="AF17" s="14">
        <f t="shared" si="6"/>
        <v>2739</v>
      </c>
      <c r="AG17" t="e">
        <f t="shared" si="7"/>
        <v>#REF!</v>
      </c>
      <c r="AH17">
        <f t="shared" si="19"/>
        <v>0</v>
      </c>
      <c r="AI17" s="449" t="e">
        <f t="shared" si="9"/>
        <v>#REF!</v>
      </c>
      <c r="AJ17" s="449" t="e">
        <f t="shared" si="10"/>
        <v>#REF!</v>
      </c>
      <c r="AK17">
        <f t="shared" si="11"/>
        <v>684.75</v>
      </c>
      <c r="AL17" s="449" t="e">
        <f t="shared" si="12"/>
        <v>#REF!</v>
      </c>
      <c r="AM17" s="57">
        <f t="shared" si="13"/>
        <v>15</v>
      </c>
      <c r="AO17">
        <f t="shared" si="14"/>
        <v>14516.699999999999</v>
      </c>
      <c r="AP17" t="e">
        <f t="shared" si="17"/>
        <v>#REF!</v>
      </c>
      <c r="AQ17" t="e">
        <f t="shared" si="15"/>
        <v>#REF!</v>
      </c>
      <c r="AR17" s="58" t="e">
        <f t="shared" si="16"/>
        <v>#REF!</v>
      </c>
    </row>
    <row r="18" spans="1:44" x14ac:dyDescent="0.45">
      <c r="A18" s="225" t="s">
        <v>45</v>
      </c>
      <c r="B18" s="480">
        <f>'coordinateur matin'!B44</f>
        <v>0.27083333333333331</v>
      </c>
      <c r="C18" s="480" t="e">
        <f>'coordinateur matin'!#REF!</f>
        <v>#REF!</v>
      </c>
      <c r="D18" s="225"/>
      <c r="E18" s="225"/>
      <c r="F18" s="225"/>
      <c r="G18" s="225"/>
      <c r="H18" s="225"/>
      <c r="I18" s="446" t="e">
        <f t="shared" si="1"/>
        <v>#REF!</v>
      </c>
      <c r="J18" s="446"/>
      <c r="K18" s="446"/>
      <c r="L18" s="447" t="e">
        <f t="shared" si="0"/>
        <v>#REF!</v>
      </c>
      <c r="M18" s="447"/>
      <c r="N18" s="447"/>
      <c r="O18" s="14">
        <f>COUNTIFS(Horaire!C$8:C$138,'Recap par chauffeur-L4'!A18)</f>
        <v>3</v>
      </c>
      <c r="P18">
        <f>COUNTIFS(Horaire!$C$34:$C$81,'Recap par chauffeur-L4'!A18)</f>
        <v>2</v>
      </c>
      <c r="Q18" s="53" t="e">
        <f>COUNTIFS(Horaire!#REF!,'Recap par chauffeur-L4'!$A18)</f>
        <v>#REF!</v>
      </c>
      <c r="R18" s="58">
        <f>[1]Synthsemaine!O$137</f>
        <v>0</v>
      </c>
      <c r="S18" s="448" t="e">
        <f t="shared" si="2"/>
        <v>#REF!</v>
      </c>
      <c r="T18" s="14">
        <f>COUNTIF('Horaire samedi'!$C$8:$C$54,'Recap par chauffeur-L4'!$A18)</f>
        <v>0</v>
      </c>
      <c r="W18" s="451">
        <f t="shared" si="3"/>
        <v>0</v>
      </c>
      <c r="X18" s="477">
        <f>COUNTIF('Horaire dimanche1'!C$8:C$29,'Recap par chauffeur-L4'!$A18)</f>
        <v>0</v>
      </c>
      <c r="AA18" s="452">
        <f t="shared" si="4"/>
        <v>0</v>
      </c>
      <c r="AB18" s="14">
        <f>COUNTIF('Horaire dimanche2'!$C$8:$C$29,'Recap par chauffeur-L4'!$A18)</f>
        <v>0</v>
      </c>
      <c r="AE18" s="452">
        <f t="shared" si="5"/>
        <v>0</v>
      </c>
      <c r="AF18" s="14">
        <f t="shared" si="6"/>
        <v>747</v>
      </c>
      <c r="AG18" t="e">
        <f t="shared" si="7"/>
        <v>#REF!</v>
      </c>
      <c r="AH18">
        <f t="shared" si="19"/>
        <v>0</v>
      </c>
      <c r="AI18" s="449" t="e">
        <f t="shared" si="9"/>
        <v>#REF!</v>
      </c>
      <c r="AJ18" s="449" t="e">
        <f t="shared" si="10"/>
        <v>#REF!</v>
      </c>
      <c r="AK18" t="e">
        <f t="shared" si="11"/>
        <v>#REF!</v>
      </c>
      <c r="AL18" s="449" t="e">
        <f t="shared" si="12"/>
        <v>#REF!</v>
      </c>
      <c r="AM18" s="57" t="e">
        <f t="shared" si="13"/>
        <v>#REF!</v>
      </c>
      <c r="AO18">
        <f t="shared" si="14"/>
        <v>3959.1</v>
      </c>
      <c r="AP18" t="e">
        <f t="shared" si="17"/>
        <v>#REF!</v>
      </c>
      <c r="AQ18" t="e">
        <f t="shared" si="15"/>
        <v>#REF!</v>
      </c>
      <c r="AR18" s="450" t="e">
        <f t="shared" si="16"/>
        <v>#REF!</v>
      </c>
    </row>
    <row r="19" spans="1:44" x14ac:dyDescent="0.45">
      <c r="A19" s="225" t="s">
        <v>46</v>
      </c>
      <c r="B19" s="480">
        <f>'coordinateur matin'!B48</f>
        <v>0.27777777777777779</v>
      </c>
      <c r="C19" s="480">
        <f>'coordinateur matin'!B93</f>
        <v>0.45833333333333331</v>
      </c>
      <c r="D19" s="225"/>
      <c r="E19" s="225"/>
      <c r="F19" s="225"/>
      <c r="G19" s="225"/>
      <c r="H19" s="225"/>
      <c r="I19" s="446">
        <f t="shared" si="1"/>
        <v>0.18055555555555552</v>
      </c>
      <c r="J19" s="446"/>
      <c r="K19" s="446"/>
      <c r="L19" s="447">
        <f t="shared" si="0"/>
        <v>260</v>
      </c>
      <c r="M19" s="447"/>
      <c r="N19" s="447"/>
      <c r="O19" s="14">
        <f>COUNTIFS(Horaire!C$8:C$138,'Recap par chauffeur-L4'!A19)</f>
        <v>12</v>
      </c>
      <c r="P19">
        <f>COUNTIFS(Horaire!$C$34:$C$81,'Recap par chauffeur-L4'!A19)</f>
        <v>0</v>
      </c>
      <c r="Q19" s="53" t="e">
        <f>COUNTIFS(Horaire!#REF!,'Recap par chauffeur-L4'!$A19)</f>
        <v>#REF!</v>
      </c>
      <c r="R19" s="58">
        <f>[1]Synthsemaine!P$137</f>
        <v>0</v>
      </c>
      <c r="S19" s="448" t="e">
        <f t="shared" si="2"/>
        <v>#REF!</v>
      </c>
      <c r="T19" s="14">
        <f>COUNTIF('Horaire samedi'!$C$8:$C$54,'Recap par chauffeur-L4'!$A19)</f>
        <v>0</v>
      </c>
      <c r="W19" s="451">
        <f t="shared" si="3"/>
        <v>0</v>
      </c>
      <c r="X19" s="477">
        <f>COUNTIF('Horaire dimanche1'!C$8:C$29,'Recap par chauffeur-L4'!$A19)</f>
        <v>0</v>
      </c>
      <c r="AA19" s="452">
        <f t="shared" si="4"/>
        <v>0</v>
      </c>
      <c r="AB19" s="14">
        <f>COUNTIF('Horaire dimanche2'!$C$8:$C$29,'Recap par chauffeur-L4'!$A19)</f>
        <v>0</v>
      </c>
      <c r="AC19">
        <v>0</v>
      </c>
      <c r="AE19" s="452">
        <f t="shared" si="5"/>
        <v>0</v>
      </c>
      <c r="AF19" s="14">
        <f t="shared" si="6"/>
        <v>2988</v>
      </c>
      <c r="AG19" t="e">
        <f t="shared" si="7"/>
        <v>#REF!</v>
      </c>
      <c r="AH19">
        <f t="shared" si="19"/>
        <v>0</v>
      </c>
      <c r="AI19" s="449" t="e">
        <f t="shared" si="9"/>
        <v>#REF!</v>
      </c>
      <c r="AJ19" s="449" t="e">
        <f t="shared" si="10"/>
        <v>#REF!</v>
      </c>
      <c r="AK19">
        <f t="shared" si="11"/>
        <v>1079</v>
      </c>
      <c r="AL19" s="449" t="e">
        <f t="shared" si="12"/>
        <v>#REF!</v>
      </c>
      <c r="AM19" s="57">
        <f t="shared" si="13"/>
        <v>21.666666666666668</v>
      </c>
      <c r="AO19">
        <f t="shared" si="14"/>
        <v>15836.4</v>
      </c>
      <c r="AP19" t="e">
        <f t="shared" si="17"/>
        <v>#REF!</v>
      </c>
      <c r="AQ19" t="e">
        <f t="shared" si="15"/>
        <v>#REF!</v>
      </c>
      <c r="AR19" s="450" t="e">
        <f t="shared" si="16"/>
        <v>#REF!</v>
      </c>
    </row>
    <row r="20" spans="1:44" x14ac:dyDescent="0.45">
      <c r="A20" s="225" t="s">
        <v>31</v>
      </c>
      <c r="B20" s="480">
        <f>'coordinateur matin'!B43</f>
        <v>0.27083333333333331</v>
      </c>
      <c r="C20" s="480">
        <f>'coordinateur matin'!B105</f>
        <v>0.58333333333333337</v>
      </c>
      <c r="D20" s="225"/>
      <c r="E20" s="225"/>
      <c r="F20" s="225"/>
      <c r="G20" s="225"/>
      <c r="H20" s="225"/>
      <c r="I20" s="446">
        <f t="shared" si="1"/>
        <v>0.31250000000000006</v>
      </c>
      <c r="J20" s="446">
        <f>[1]Synthsamedi!G59</f>
        <v>0</v>
      </c>
      <c r="K20" s="446"/>
      <c r="L20" s="447"/>
      <c r="M20" s="447">
        <f>MINUTE(J20)+HOUR(J20)*60</f>
        <v>0</v>
      </c>
      <c r="N20" s="447"/>
      <c r="O20" s="14">
        <f>COUNTIFS(Horaire!C$8:C$138,'Recap par chauffeur-L4'!A20)</f>
        <v>5</v>
      </c>
      <c r="P20">
        <f>COUNTIFS(Horaire!$C$34:$C$81,'Recap par chauffeur-L4'!A20)</f>
        <v>4</v>
      </c>
      <c r="Q20" s="53" t="e">
        <f>COUNTIFS(Horaire!#REF!,'Recap par chauffeur-L4'!$A20)</f>
        <v>#REF!</v>
      </c>
      <c r="R20" s="58"/>
      <c r="S20" s="448" t="e">
        <f t="shared" si="2"/>
        <v>#REF!</v>
      </c>
      <c r="T20" s="14">
        <f>COUNTIF('Horaire samedi'!$C$8:$C$54,'Recap par chauffeur-L4'!$A20)</f>
        <v>0</v>
      </c>
      <c r="U20">
        <f>[1]Synthsamedi!G67</f>
        <v>0</v>
      </c>
      <c r="V20" s="447">
        <f>[1]Synthsamedi!G62</f>
        <v>0</v>
      </c>
      <c r="W20" s="451">
        <f t="shared" si="3"/>
        <v>0</v>
      </c>
      <c r="X20" s="477">
        <f>COUNTIF('Horaire dimanche1'!C$8:C$29,'Recap par chauffeur-L4'!$A20)</f>
        <v>0</v>
      </c>
      <c r="AA20" s="452">
        <f t="shared" si="4"/>
        <v>0</v>
      </c>
      <c r="AB20" s="14">
        <f>COUNTIF('Horaire dimanche2'!$C$8:$C$29,'Recap par chauffeur-L4'!$A20)</f>
        <v>10</v>
      </c>
      <c r="AE20" s="452">
        <f t="shared" si="5"/>
        <v>245</v>
      </c>
      <c r="AF20" s="14">
        <f t="shared" si="6"/>
        <v>1565</v>
      </c>
      <c r="AG20" t="e">
        <f t="shared" si="7"/>
        <v>#REF!</v>
      </c>
      <c r="AH20">
        <f t="shared" si="19"/>
        <v>0</v>
      </c>
      <c r="AI20" s="449" t="e">
        <f t="shared" si="9"/>
        <v>#REF!</v>
      </c>
      <c r="AJ20" s="449" t="e">
        <f t="shared" si="10"/>
        <v>#REF!</v>
      </c>
      <c r="AK20">
        <f t="shared" si="11"/>
        <v>0</v>
      </c>
      <c r="AL20" s="449" t="e">
        <f t="shared" si="12"/>
        <v>#REF!</v>
      </c>
      <c r="AM20" s="57">
        <f t="shared" si="13"/>
        <v>0</v>
      </c>
      <c r="AO20">
        <f t="shared" si="14"/>
        <v>8294.5</v>
      </c>
      <c r="AP20" t="e">
        <f t="shared" si="17"/>
        <v>#REF!</v>
      </c>
      <c r="AQ20" t="e">
        <f t="shared" si="15"/>
        <v>#REF!</v>
      </c>
      <c r="AR20" s="58" t="e">
        <f t="shared" si="16"/>
        <v>#REF!</v>
      </c>
    </row>
    <row r="21" spans="1:44" x14ac:dyDescent="0.45">
      <c r="A21" s="225" t="s">
        <v>546</v>
      </c>
      <c r="B21" s="225"/>
      <c r="C21" s="225"/>
      <c r="D21" s="225"/>
      <c r="E21" s="225"/>
      <c r="F21" s="225"/>
      <c r="G21" s="225"/>
      <c r="H21" s="225"/>
      <c r="I21" s="446"/>
      <c r="J21" s="446">
        <f>[1]Synthsamedi!H59</f>
        <v>0.41666666666666669</v>
      </c>
      <c r="K21" s="446"/>
      <c r="L21" s="447">
        <f t="shared" si="0"/>
        <v>0</v>
      </c>
      <c r="M21" s="447">
        <f>MINUTE(J21)+HOUR(J21)*60</f>
        <v>600</v>
      </c>
      <c r="N21" s="447">
        <f t="shared" si="18"/>
        <v>0</v>
      </c>
      <c r="O21" s="14"/>
      <c r="R21" s="58">
        <f>[1]Synthsemaine!Q$137</f>
        <v>0</v>
      </c>
      <c r="S21" s="448">
        <f>[1]Synthsemaine!Q$159</f>
        <v>0</v>
      </c>
      <c r="T21" s="14"/>
      <c r="V21" s="58"/>
      <c r="W21" s="451">
        <f t="shared" si="3"/>
        <v>0</v>
      </c>
      <c r="X21" s="14"/>
      <c r="Z21" s="58"/>
      <c r="AA21" s="452"/>
      <c r="AB21" s="14"/>
      <c r="AD21" s="58"/>
      <c r="AE21" s="452"/>
      <c r="AF21" s="14">
        <f>$AF$2*O21+$AG$2*T21+$AH$2*X21</f>
        <v>0</v>
      </c>
      <c r="AG21">
        <f t="shared" ref="AG21:AI22" si="20">$AF$2*Q21+$AG$2*U21+$AH$2*Y21</f>
        <v>0</v>
      </c>
      <c r="AH21">
        <f t="shared" si="20"/>
        <v>0</v>
      </c>
      <c r="AI21" s="449">
        <f t="shared" si="20"/>
        <v>0</v>
      </c>
      <c r="AJ21" s="449">
        <f t="shared" si="10"/>
        <v>0</v>
      </c>
      <c r="AK21">
        <f>$AF$2*L21/60+$AG$2*M21/60+$AH$2*N21/60</f>
        <v>520</v>
      </c>
      <c r="AL21" s="449">
        <f t="shared" si="12"/>
        <v>0</v>
      </c>
      <c r="AM21" s="24"/>
    </row>
    <row r="22" spans="1:44" x14ac:dyDescent="0.45">
      <c r="A22" s="225" t="s">
        <v>547</v>
      </c>
      <c r="B22" s="225"/>
      <c r="C22" s="225"/>
      <c r="D22" s="225"/>
      <c r="E22" s="225"/>
      <c r="F22" s="225"/>
      <c r="G22" s="225"/>
      <c r="H22" s="225"/>
      <c r="I22" s="446"/>
      <c r="J22" s="446"/>
      <c r="K22" s="446">
        <f>[1]syntdimanche!F46</f>
        <v>0.41666666666666669</v>
      </c>
      <c r="L22" s="447"/>
      <c r="M22" s="447"/>
      <c r="N22" s="447">
        <f t="shared" si="18"/>
        <v>600</v>
      </c>
      <c r="O22" s="14"/>
      <c r="R22" s="58">
        <f>[1]Synthsemaine!R$137</f>
        <v>0</v>
      </c>
      <c r="S22" s="24"/>
      <c r="T22" s="14"/>
      <c r="V22" s="58"/>
      <c r="W22" s="451"/>
      <c r="X22" s="14"/>
      <c r="Z22" s="58">
        <v>0</v>
      </c>
      <c r="AA22" s="452">
        <v>0</v>
      </c>
      <c r="AB22" s="14"/>
      <c r="AD22" s="58">
        <f>[1]syntdimanche!J49</f>
        <v>0</v>
      </c>
      <c r="AE22" s="452">
        <f>[1]syntdimanche!J62</f>
        <v>0</v>
      </c>
      <c r="AF22" s="14">
        <f>$AF$2*O22+$AG$2*T22+$AH$2*X22</f>
        <v>0</v>
      </c>
      <c r="AG22">
        <f t="shared" si="20"/>
        <v>0</v>
      </c>
      <c r="AH22">
        <f t="shared" si="20"/>
        <v>0</v>
      </c>
      <c r="AI22" s="449">
        <f t="shared" si="20"/>
        <v>0</v>
      </c>
      <c r="AJ22" s="449">
        <f t="shared" si="10"/>
        <v>0</v>
      </c>
      <c r="AK22">
        <f>$AF$2*L22/60+$AG$2*M22/60+$AH$2*N22/60</f>
        <v>640</v>
      </c>
      <c r="AL22" s="449">
        <f t="shared" si="12"/>
        <v>0</v>
      </c>
      <c r="AM22" s="24"/>
    </row>
    <row r="23" spans="1:44" x14ac:dyDescent="0.45">
      <c r="A23" s="225" t="s">
        <v>548</v>
      </c>
      <c r="B23" s="225"/>
      <c r="C23" s="225"/>
      <c r="D23" s="225"/>
      <c r="E23" s="225"/>
      <c r="F23" s="225"/>
      <c r="G23" s="225"/>
      <c r="H23" s="225"/>
      <c r="I23" s="446"/>
      <c r="J23" s="446"/>
      <c r="K23" s="446"/>
      <c r="L23" s="447"/>
      <c r="M23" s="447"/>
      <c r="N23" s="447"/>
      <c r="O23" s="14">
        <f>SUM(O6:O21)</f>
        <v>131</v>
      </c>
      <c r="P23">
        <f t="shared" ref="P23:AA23" si="21">SUM(P6:P21)</f>
        <v>48</v>
      </c>
      <c r="Q23" t="e">
        <f t="shared" si="21"/>
        <v>#REF!</v>
      </c>
      <c r="R23" s="58">
        <f t="shared" si="21"/>
        <v>6</v>
      </c>
      <c r="S23" s="448" t="e">
        <f>SUM(S6:S21)</f>
        <v>#REF!</v>
      </c>
      <c r="T23" s="14">
        <f t="shared" si="21"/>
        <v>47</v>
      </c>
      <c r="U23" t="e">
        <f t="shared" si="21"/>
        <v>#REF!</v>
      </c>
      <c r="V23" s="58">
        <f t="shared" si="21"/>
        <v>0</v>
      </c>
      <c r="W23" s="448" t="e">
        <f t="shared" si="21"/>
        <v>#REF!</v>
      </c>
      <c r="X23" s="14">
        <f t="shared" si="21"/>
        <v>22</v>
      </c>
      <c r="Y23">
        <f t="shared" si="21"/>
        <v>0</v>
      </c>
      <c r="Z23" s="58">
        <f t="shared" si="21"/>
        <v>0</v>
      </c>
      <c r="AA23" s="448">
        <f t="shared" si="21"/>
        <v>539</v>
      </c>
      <c r="AB23" s="14">
        <f t="shared" ref="AB23:AE23" si="22">SUM(AB6:AB21)</f>
        <v>22</v>
      </c>
      <c r="AC23">
        <f t="shared" si="22"/>
        <v>0</v>
      </c>
      <c r="AD23" s="58">
        <f t="shared" si="22"/>
        <v>0</v>
      </c>
      <c r="AE23" s="448">
        <f t="shared" si="22"/>
        <v>539</v>
      </c>
      <c r="AF23" s="14">
        <f>SUM(AF6:AF21)</f>
        <v>36471</v>
      </c>
      <c r="AG23" t="e">
        <f t="shared" ref="AG23:AH23" si="23">SUM(AG6:AG21)</f>
        <v>#REF!</v>
      </c>
      <c r="AH23">
        <f t="shared" si="23"/>
        <v>1494</v>
      </c>
      <c r="AI23" s="449" t="e">
        <f>SUM(AI6:AI22)</f>
        <v>#REF!</v>
      </c>
      <c r="AJ23" s="449" t="e">
        <f>SUM(AJ6:AJ22)</f>
        <v>#REF!</v>
      </c>
      <c r="AM23" s="24"/>
    </row>
    <row r="24" spans="1:44" x14ac:dyDescent="0.45">
      <c r="A24" s="225"/>
      <c r="B24" s="225"/>
      <c r="C24" s="225"/>
      <c r="D24" s="225"/>
      <c r="E24" s="225"/>
      <c r="F24" s="225"/>
      <c r="G24" s="225"/>
      <c r="H24" s="225"/>
      <c r="I24" s="446"/>
      <c r="J24" s="446"/>
      <c r="K24" s="446"/>
      <c r="L24" s="447"/>
      <c r="M24" s="447"/>
      <c r="N24" s="447"/>
      <c r="O24" s="453">
        <f>[1]Synthsemaine!A153</f>
        <v>13.5</v>
      </c>
      <c r="P24" s="454">
        <v>4</v>
      </c>
      <c r="Q24" s="449">
        <f>[1]Synthsemaine!A155</f>
        <v>4</v>
      </c>
      <c r="R24" s="449">
        <f>[1]Synthsemaine!A156</f>
        <v>15</v>
      </c>
      <c r="S24" s="24"/>
      <c r="T24" s="455">
        <f>O24+2</f>
        <v>15.5</v>
      </c>
      <c r="U24" s="449">
        <f>P24</f>
        <v>4</v>
      </c>
      <c r="V24" s="449">
        <f>R24</f>
        <v>15</v>
      </c>
      <c r="W24" s="24"/>
      <c r="X24" s="453">
        <v>24.5</v>
      </c>
      <c r="Y24" s="449">
        <v>4</v>
      </c>
      <c r="Z24" s="449">
        <f>[1]syntdimanche!A59</f>
        <v>15</v>
      </c>
      <c r="AA24" s="24"/>
      <c r="AB24" s="453">
        <f>X24</f>
        <v>24.5</v>
      </c>
      <c r="AC24" s="449">
        <f>Y24</f>
        <v>4</v>
      </c>
      <c r="AD24" s="449">
        <f>Z24</f>
        <v>15</v>
      </c>
      <c r="AE24" s="24"/>
      <c r="AF24" s="453">
        <v>5.14</v>
      </c>
      <c r="AM24" s="24"/>
    </row>
    <row r="25" spans="1:44" x14ac:dyDescent="0.45">
      <c r="A25" s="225"/>
      <c r="B25" s="225"/>
      <c r="C25" s="225"/>
      <c r="D25" s="225"/>
      <c r="E25" s="225"/>
      <c r="F25" s="225"/>
      <c r="G25" s="225"/>
      <c r="H25" s="225"/>
      <c r="I25" s="446"/>
      <c r="J25" s="446"/>
      <c r="K25" s="446"/>
      <c r="L25" s="447"/>
      <c r="M25" s="447"/>
      <c r="N25" s="447"/>
      <c r="O25" s="456">
        <f>O23*O24</f>
        <v>1768.5</v>
      </c>
      <c r="P25" s="457">
        <f>P23*P24</f>
        <v>192</v>
      </c>
      <c r="Q25" s="457" t="e">
        <f t="shared" ref="Q25:R25" si="24">Q23*Q24</f>
        <v>#REF!</v>
      </c>
      <c r="R25" s="457">
        <f t="shared" si="24"/>
        <v>90</v>
      </c>
      <c r="S25" s="458" t="e">
        <f>SUM(O25:R25)</f>
        <v>#REF!</v>
      </c>
      <c r="T25" s="459">
        <f>T23*T24</f>
        <v>728.5</v>
      </c>
      <c r="U25" s="460" t="e">
        <f t="shared" ref="U25:V25" si="25">U23*U24</f>
        <v>#REF!</v>
      </c>
      <c r="V25" s="460">
        <f t="shared" si="25"/>
        <v>0</v>
      </c>
      <c r="W25" s="461" t="e">
        <f>SUM(T25:V25)</f>
        <v>#REF!</v>
      </c>
      <c r="X25" s="456">
        <f>X23*X24</f>
        <v>539</v>
      </c>
      <c r="Y25" s="457">
        <f t="shared" ref="Y25:Z25" si="26">Y23*Y24</f>
        <v>0</v>
      </c>
      <c r="Z25" s="457">
        <f t="shared" si="26"/>
        <v>0</v>
      </c>
      <c r="AA25" s="458">
        <f>SUM(X25:Z25)</f>
        <v>539</v>
      </c>
      <c r="AB25" s="456">
        <f>AB23*AB24</f>
        <v>539</v>
      </c>
      <c r="AC25" s="457">
        <f t="shared" ref="AC25:AD25" si="27">AC23*AC24</f>
        <v>0</v>
      </c>
      <c r="AD25" s="457">
        <f t="shared" si="27"/>
        <v>0</v>
      </c>
      <c r="AE25" s="458">
        <f>SUM(AB25:AD25)</f>
        <v>539</v>
      </c>
      <c r="AF25" s="8">
        <v>5.3</v>
      </c>
      <c r="AG25" s="11"/>
      <c r="AH25" s="11"/>
      <c r="AI25" s="11"/>
      <c r="AJ25" s="11"/>
      <c r="AK25" s="11"/>
      <c r="AL25" s="11"/>
      <c r="AM25" s="42"/>
      <c r="AQ25">
        <v>5600</v>
      </c>
      <c r="AR25" t="s">
        <v>549</v>
      </c>
    </row>
    <row r="26" spans="1:44" x14ac:dyDescent="0.45">
      <c r="A26" s="225"/>
      <c r="B26" s="225"/>
      <c r="C26" s="225"/>
      <c r="D26" s="225"/>
      <c r="E26" s="225"/>
      <c r="F26" s="225"/>
      <c r="G26" s="225"/>
      <c r="H26" s="225"/>
      <c r="I26" s="446"/>
      <c r="J26" s="446"/>
      <c r="K26" s="446"/>
      <c r="L26" s="447"/>
      <c r="M26" s="447"/>
      <c r="N26" s="447"/>
      <c r="AF26" s="462">
        <f>AF23*AF24*AF25</f>
        <v>993542.98199999996</v>
      </c>
      <c r="AG26" s="9"/>
      <c r="AH26" s="9"/>
      <c r="AI26" s="463" t="e">
        <f>AF26-AI23</f>
        <v>#REF!</v>
      </c>
      <c r="AJ26" s="9"/>
      <c r="AK26" s="9"/>
      <c r="AL26" s="9"/>
      <c r="AM26" s="10"/>
      <c r="AQ26">
        <f>AQ25*12</f>
        <v>67200</v>
      </c>
      <c r="AR26" t="s">
        <v>550</v>
      </c>
    </row>
    <row r="27" spans="1:44" x14ac:dyDescent="0.45">
      <c r="A27" s="225"/>
      <c r="B27" s="225"/>
      <c r="C27" s="225"/>
      <c r="D27" s="225"/>
      <c r="E27" s="225"/>
      <c r="F27" s="225"/>
      <c r="G27" s="225"/>
      <c r="H27" s="225"/>
      <c r="I27" s="446"/>
      <c r="J27" s="446"/>
      <c r="K27" s="446"/>
      <c r="L27" s="447"/>
      <c r="M27" s="447"/>
      <c r="N27" s="447"/>
      <c r="AF27" s="8"/>
      <c r="AG27" s="11"/>
      <c r="AH27" s="11"/>
      <c r="AI27" s="464" t="e">
        <f>AI26/AF26</f>
        <v>#REF!</v>
      </c>
      <c r="AJ27" s="11"/>
      <c r="AK27" s="11"/>
      <c r="AL27" s="11"/>
      <c r="AM27" s="42"/>
      <c r="AQ27">
        <f>AQ26*(500/20000+1500/90000)</f>
        <v>2800.0000000000005</v>
      </c>
    </row>
    <row r="28" spans="1:44" x14ac:dyDescent="0.45">
      <c r="A28" s="225"/>
      <c r="B28" s="225"/>
      <c r="C28" s="225"/>
      <c r="D28" s="225"/>
      <c r="E28" s="225"/>
      <c r="F28" s="225"/>
      <c r="G28" s="225"/>
      <c r="H28" s="225"/>
      <c r="I28" s="446"/>
      <c r="J28" s="446"/>
      <c r="K28" s="446"/>
      <c r="L28" s="447"/>
      <c r="M28" s="447"/>
      <c r="N28" s="447"/>
    </row>
    <row r="29" spans="1:44" x14ac:dyDescent="0.45">
      <c r="A29" s="225"/>
      <c r="B29" s="225"/>
      <c r="C29" s="225"/>
      <c r="D29" s="225"/>
      <c r="E29" s="225"/>
      <c r="F29" s="225"/>
      <c r="G29" s="225"/>
      <c r="H29" s="225"/>
      <c r="I29" s="446"/>
      <c r="J29" s="446"/>
      <c r="K29" s="446"/>
      <c r="L29" s="447"/>
      <c r="M29" s="447"/>
      <c r="N29" s="447"/>
      <c r="AJ29" s="449" t="e">
        <f>AVERAGE(AJ6:AJ16)</f>
        <v>#REF!</v>
      </c>
    </row>
    <row r="30" spans="1:44" x14ac:dyDescent="0.45">
      <c r="A30" s="225"/>
      <c r="B30" s="225"/>
      <c r="C30" s="225"/>
      <c r="D30" s="225"/>
      <c r="E30" s="225"/>
      <c r="F30" s="225"/>
      <c r="G30" s="225"/>
      <c r="H30" s="225"/>
      <c r="I30" s="446"/>
      <c r="J30" s="446"/>
      <c r="K30" s="446"/>
      <c r="L30" s="447"/>
      <c r="M30" s="447"/>
      <c r="N30" s="447"/>
    </row>
    <row r="31" spans="1:44" x14ac:dyDescent="0.45">
      <c r="A31" s="225"/>
      <c r="B31" s="225"/>
      <c r="C31" s="225"/>
      <c r="D31" s="225"/>
      <c r="E31" s="225"/>
      <c r="F31" s="225"/>
      <c r="G31" s="225"/>
      <c r="H31" s="225"/>
      <c r="I31" s="446"/>
      <c r="J31" s="446"/>
      <c r="K31" s="446"/>
      <c r="L31" s="447"/>
      <c r="M31" s="447"/>
      <c r="N31" s="447"/>
      <c r="AJ31" s="443">
        <f>AF2*[1]Synthsemaine!V139+'Recap par chauffeur-L4'!AG2*[1]Synthsamedi!L64+'Recap par chauffeur-L4'!AH2*[1]syntdimanche!S51</f>
        <v>566120</v>
      </c>
    </row>
    <row r="32" spans="1:44" x14ac:dyDescent="0.45">
      <c r="A32" s="225"/>
      <c r="B32" s="225"/>
      <c r="C32" s="225"/>
      <c r="D32" s="225"/>
      <c r="E32" s="225"/>
      <c r="F32" s="225"/>
      <c r="G32" s="225"/>
      <c r="H32" s="225"/>
      <c r="I32" s="446"/>
      <c r="J32" s="446"/>
      <c r="K32" s="446"/>
      <c r="L32" s="447"/>
      <c r="M32" s="447"/>
      <c r="N32" s="447"/>
    </row>
    <row r="33" spans="1:14" x14ac:dyDescent="0.45">
      <c r="A33" s="225"/>
      <c r="B33" s="225"/>
      <c r="C33" s="225"/>
      <c r="D33" s="225"/>
      <c r="E33" s="225"/>
      <c r="F33" s="225"/>
      <c r="G33" s="225"/>
      <c r="H33" s="225"/>
      <c r="I33" s="446"/>
      <c r="J33" s="446"/>
      <c r="K33" s="446"/>
      <c r="L33" s="447"/>
      <c r="M33" s="447"/>
      <c r="N33" s="447"/>
    </row>
    <row r="34" spans="1:14" x14ac:dyDescent="0.45">
      <c r="A34" s="225"/>
      <c r="B34" s="225"/>
      <c r="C34" s="225"/>
      <c r="D34" s="225"/>
      <c r="E34" s="225"/>
      <c r="F34" s="225"/>
      <c r="G34" s="225"/>
      <c r="H34" s="225"/>
      <c r="I34" s="446"/>
      <c r="J34" s="446"/>
      <c r="K34" s="446"/>
      <c r="L34" s="447"/>
      <c r="M34" s="447"/>
      <c r="N34" s="447"/>
    </row>
    <row r="35" spans="1:14" x14ac:dyDescent="0.45">
      <c r="A35" s="225"/>
      <c r="B35" s="225"/>
      <c r="C35" s="225"/>
      <c r="D35" s="225"/>
      <c r="E35" s="225"/>
      <c r="F35" s="225"/>
      <c r="G35" s="225"/>
      <c r="H35" s="225"/>
      <c r="I35" s="446"/>
      <c r="J35" s="446"/>
      <c r="K35" s="446"/>
      <c r="L35" s="447"/>
      <c r="M35" s="447"/>
      <c r="N35" s="447"/>
    </row>
    <row r="36" spans="1:14" x14ac:dyDescent="0.45">
      <c r="A36" s="225"/>
      <c r="B36" s="225"/>
      <c r="C36" s="225"/>
      <c r="D36" s="225"/>
      <c r="E36" s="225"/>
      <c r="F36" s="225"/>
      <c r="G36" s="225"/>
      <c r="H36" s="225"/>
      <c r="I36" s="446"/>
      <c r="J36" s="446"/>
      <c r="K36" s="446"/>
      <c r="L36" s="447"/>
      <c r="M36" s="447"/>
      <c r="N36" s="447"/>
    </row>
    <row r="37" spans="1:14" x14ac:dyDescent="0.45">
      <c r="A37" s="225"/>
      <c r="B37" s="225"/>
      <c r="C37" s="225"/>
      <c r="D37" s="225"/>
      <c r="E37" s="225"/>
      <c r="F37" s="225"/>
      <c r="G37" s="225"/>
      <c r="H37" s="225"/>
      <c r="I37" s="446"/>
      <c r="J37" s="446"/>
      <c r="K37" s="446"/>
      <c r="L37" s="447"/>
      <c r="M37" s="447"/>
      <c r="N37" s="447"/>
    </row>
    <row r="38" spans="1:14" x14ac:dyDescent="0.45">
      <c r="A38" s="225"/>
      <c r="B38" s="225"/>
      <c r="C38" s="225"/>
      <c r="D38" s="225"/>
      <c r="E38" s="225"/>
      <c r="F38" s="225"/>
      <c r="G38" s="225"/>
      <c r="H38" s="225"/>
      <c r="I38" s="446"/>
      <c r="J38" s="446"/>
      <c r="K38" s="446"/>
      <c r="L38" s="447"/>
      <c r="M38" s="447"/>
      <c r="N38" s="447"/>
    </row>
    <row r="39" spans="1:14" x14ac:dyDescent="0.45">
      <c r="A39" s="225"/>
      <c r="B39" s="225"/>
      <c r="C39" s="225"/>
      <c r="D39" s="225"/>
      <c r="E39" s="225"/>
      <c r="F39" s="225"/>
      <c r="G39" s="225"/>
      <c r="H39" s="225"/>
      <c r="I39" s="446"/>
      <c r="J39" s="446"/>
      <c r="K39" s="446"/>
      <c r="L39" s="447"/>
      <c r="M39" s="447"/>
      <c r="N39" s="447"/>
    </row>
    <row r="40" spans="1:14" x14ac:dyDescent="0.45">
      <c r="A40" s="225"/>
      <c r="B40" s="225"/>
      <c r="C40" s="225"/>
      <c r="D40" s="225"/>
      <c r="E40" s="225"/>
      <c r="F40" s="225"/>
      <c r="G40" s="225"/>
      <c r="H40" s="225"/>
      <c r="I40" s="446"/>
      <c r="J40" s="446"/>
      <c r="K40" s="446"/>
      <c r="L40" s="447"/>
      <c r="M40" s="447"/>
      <c r="N40" s="447"/>
    </row>
    <row r="41" spans="1:14" x14ac:dyDescent="0.45">
      <c r="A41" s="225"/>
      <c r="B41" s="225"/>
      <c r="C41" s="225"/>
      <c r="D41" s="225"/>
      <c r="E41" s="225"/>
      <c r="F41" s="225"/>
      <c r="G41" s="225"/>
      <c r="H41" s="225"/>
      <c r="I41" s="446"/>
      <c r="J41" s="446"/>
      <c r="K41" s="446"/>
      <c r="L41" s="447"/>
      <c r="M41" s="447"/>
      <c r="N41" s="447"/>
    </row>
    <row r="42" spans="1:14" x14ac:dyDescent="0.45">
      <c r="A42" s="225"/>
      <c r="B42" s="225"/>
      <c r="C42" s="225"/>
      <c r="D42" s="225"/>
      <c r="E42" s="225"/>
      <c r="F42" s="225"/>
      <c r="G42" s="225"/>
      <c r="H42" s="225"/>
      <c r="I42" s="446"/>
      <c r="J42" s="446"/>
      <c r="K42" s="446"/>
      <c r="L42" s="447"/>
      <c r="M42" s="447"/>
      <c r="N42" s="447"/>
    </row>
    <row r="43" spans="1:14" x14ac:dyDescent="0.45">
      <c r="A43" s="225"/>
      <c r="B43" s="225"/>
      <c r="C43" s="225"/>
      <c r="D43" s="225"/>
      <c r="E43" s="225"/>
      <c r="F43" s="225"/>
      <c r="G43" s="225"/>
      <c r="H43" s="225"/>
      <c r="I43" s="446"/>
      <c r="J43" s="446"/>
      <c r="K43" s="446"/>
      <c r="L43" s="447"/>
      <c r="M43" s="447"/>
      <c r="N43" s="447"/>
    </row>
    <row r="44" spans="1:14" x14ac:dyDescent="0.45">
      <c r="A44" s="225"/>
      <c r="B44" s="225"/>
      <c r="C44" s="225"/>
      <c r="D44" s="225"/>
      <c r="E44" s="225"/>
      <c r="F44" s="225"/>
      <c r="G44" s="225"/>
      <c r="H44" s="225"/>
      <c r="I44" s="446"/>
      <c r="J44" s="446"/>
      <c r="K44" s="446"/>
      <c r="L44" s="447"/>
      <c r="M44" s="447"/>
      <c r="N44" s="447"/>
    </row>
    <row r="45" spans="1:14" x14ac:dyDescent="0.45">
      <c r="A45" s="225"/>
      <c r="B45" s="225"/>
      <c r="C45" s="225"/>
      <c r="D45" s="225"/>
      <c r="E45" s="225"/>
      <c r="F45" s="225"/>
      <c r="G45" s="225"/>
      <c r="H45" s="225"/>
      <c r="I45" s="446"/>
      <c r="J45" s="446"/>
      <c r="K45" s="446"/>
      <c r="L45" s="447"/>
      <c r="M45" s="447"/>
      <c r="N45" s="447"/>
    </row>
    <row r="46" spans="1:14" x14ac:dyDescent="0.45">
      <c r="A46" s="225"/>
      <c r="B46" s="225"/>
      <c r="C46" s="225"/>
      <c r="D46" s="225"/>
      <c r="E46" s="225"/>
      <c r="F46" s="225"/>
      <c r="G46" s="225"/>
      <c r="H46" s="225"/>
      <c r="I46" s="446"/>
      <c r="J46" s="446"/>
      <c r="K46" s="446"/>
      <c r="L46" s="447"/>
      <c r="M46" s="447"/>
      <c r="N46" s="447"/>
    </row>
    <row r="47" spans="1:14" x14ac:dyDescent="0.45">
      <c r="A47" s="225"/>
      <c r="B47" s="225"/>
      <c r="C47" s="225"/>
      <c r="D47" s="225"/>
      <c r="E47" s="225"/>
      <c r="F47" s="225"/>
      <c r="G47" s="225"/>
      <c r="H47" s="225"/>
      <c r="I47" s="446"/>
      <c r="J47" s="446"/>
      <c r="K47" s="446"/>
      <c r="L47" s="447"/>
      <c r="M47" s="447"/>
      <c r="N47" s="447"/>
    </row>
    <row r="48" spans="1:14" x14ac:dyDescent="0.45">
      <c r="A48" s="225"/>
      <c r="B48" s="225"/>
      <c r="C48" s="225"/>
      <c r="D48" s="225"/>
      <c r="E48" s="225"/>
      <c r="F48" s="225"/>
      <c r="G48" s="225"/>
      <c r="H48" s="225"/>
      <c r="I48" s="446"/>
      <c r="J48" s="446"/>
      <c r="K48" s="446"/>
      <c r="L48" s="447"/>
      <c r="M48" s="447"/>
      <c r="N48" s="447"/>
    </row>
    <row r="49" spans="1:14" x14ac:dyDescent="0.45">
      <c r="A49" s="225"/>
      <c r="B49" s="225"/>
      <c r="C49" s="225"/>
      <c r="D49" s="225"/>
      <c r="E49" s="225"/>
      <c r="F49" s="225"/>
      <c r="G49" s="225"/>
      <c r="H49" s="225"/>
      <c r="I49" s="446"/>
      <c r="J49" s="446"/>
      <c r="K49" s="446"/>
      <c r="L49" s="447"/>
      <c r="M49" s="447"/>
      <c r="N49" s="447"/>
    </row>
    <row r="50" spans="1:14" x14ac:dyDescent="0.45">
      <c r="A50" s="225"/>
      <c r="B50" s="225"/>
      <c r="C50" s="225"/>
      <c r="D50" s="225"/>
      <c r="E50" s="225"/>
      <c r="F50" s="225"/>
      <c r="G50" s="225"/>
      <c r="H50" s="225"/>
      <c r="I50" s="446"/>
      <c r="J50" s="446"/>
      <c r="K50" s="446"/>
      <c r="L50" s="447"/>
      <c r="M50" s="447"/>
      <c r="N50" s="447"/>
    </row>
    <row r="51" spans="1:14" x14ac:dyDescent="0.45">
      <c r="A51" s="225"/>
      <c r="B51" s="225"/>
      <c r="C51" s="225"/>
      <c r="D51" s="225"/>
      <c r="E51" s="225"/>
      <c r="F51" s="225"/>
      <c r="G51" s="225"/>
      <c r="H51" s="225"/>
      <c r="I51" s="446"/>
      <c r="J51" s="446"/>
      <c r="K51" s="446"/>
      <c r="L51" s="447"/>
      <c r="M51" s="447"/>
      <c r="N51" s="447"/>
    </row>
    <row r="52" spans="1:14" x14ac:dyDescent="0.45">
      <c r="A52" s="225"/>
      <c r="B52" s="225"/>
      <c r="C52" s="225"/>
      <c r="D52" s="225"/>
      <c r="E52" s="225"/>
      <c r="F52" s="225"/>
      <c r="G52" s="225"/>
      <c r="H52" s="225"/>
      <c r="I52" s="446"/>
      <c r="J52" s="446"/>
      <c r="K52" s="446"/>
      <c r="L52" s="447"/>
      <c r="M52" s="447"/>
      <c r="N52" s="447"/>
    </row>
    <row r="53" spans="1:14" x14ac:dyDescent="0.45">
      <c r="A53" s="225"/>
      <c r="B53" s="225"/>
      <c r="C53" s="225"/>
      <c r="D53" s="225"/>
      <c r="E53" s="225"/>
      <c r="F53" s="225"/>
      <c r="G53" s="225"/>
      <c r="H53" s="225"/>
      <c r="I53" s="446"/>
      <c r="J53" s="446"/>
      <c r="K53" s="446"/>
      <c r="L53" s="447"/>
      <c r="M53" s="447"/>
      <c r="N53" s="447"/>
    </row>
    <row r="54" spans="1:14" x14ac:dyDescent="0.45">
      <c r="A54" s="225"/>
      <c r="B54" s="225"/>
      <c r="C54" s="225"/>
      <c r="D54" s="225"/>
      <c r="E54" s="225"/>
      <c r="F54" s="225"/>
      <c r="G54" s="225"/>
      <c r="H54" s="225"/>
      <c r="I54" s="446"/>
      <c r="J54" s="446"/>
      <c r="K54" s="446"/>
      <c r="L54" s="447"/>
      <c r="M54" s="447"/>
      <c r="N54" s="447"/>
    </row>
    <row r="55" spans="1:14" x14ac:dyDescent="0.45">
      <c r="A55" s="225"/>
      <c r="B55" s="225"/>
      <c r="C55" s="225"/>
      <c r="D55" s="225"/>
      <c r="E55" s="225"/>
      <c r="F55" s="225"/>
      <c r="G55" s="225"/>
      <c r="H55" s="225"/>
      <c r="I55" s="446"/>
      <c r="J55" s="446"/>
      <c r="K55" s="446"/>
      <c r="L55" s="447"/>
      <c r="M55" s="447"/>
      <c r="N55" s="447"/>
    </row>
    <row r="56" spans="1:14" x14ac:dyDescent="0.45">
      <c r="A56" s="225"/>
      <c r="B56" s="225"/>
      <c r="C56" s="225"/>
      <c r="D56" s="225"/>
      <c r="E56" s="225"/>
      <c r="F56" s="225"/>
      <c r="G56" s="225"/>
      <c r="H56" s="225"/>
      <c r="I56" s="446"/>
      <c r="J56" s="446"/>
      <c r="K56" s="446"/>
      <c r="L56" s="447"/>
      <c r="M56" s="447"/>
      <c r="N56" s="447"/>
    </row>
    <row r="57" spans="1:14" x14ac:dyDescent="0.45">
      <c r="A57" s="225"/>
      <c r="B57" s="225"/>
      <c r="C57" s="225"/>
      <c r="D57" s="225"/>
      <c r="E57" s="225"/>
      <c r="F57" s="225"/>
      <c r="G57" s="225"/>
      <c r="H57" s="225"/>
      <c r="I57" s="446"/>
      <c r="J57" s="446"/>
      <c r="K57" s="446"/>
      <c r="L57" s="447"/>
      <c r="M57" s="447"/>
      <c r="N57" s="447"/>
    </row>
    <row r="58" spans="1:14" x14ac:dyDescent="0.45">
      <c r="A58" s="225"/>
      <c r="B58" s="225"/>
      <c r="C58" s="225"/>
      <c r="D58" s="225"/>
      <c r="E58" s="225"/>
      <c r="F58" s="225"/>
      <c r="G58" s="225"/>
      <c r="H58" s="225"/>
      <c r="I58" s="446"/>
      <c r="J58" s="446"/>
      <c r="K58" s="446"/>
      <c r="L58" s="447"/>
      <c r="M58" s="447"/>
      <c r="N58" s="447"/>
    </row>
    <row r="59" spans="1:14" x14ac:dyDescent="0.45">
      <c r="A59" s="225"/>
      <c r="B59" s="225"/>
      <c r="C59" s="225"/>
      <c r="D59" s="225"/>
      <c r="E59" s="225"/>
      <c r="F59" s="225"/>
      <c r="G59" s="225"/>
      <c r="H59" s="225"/>
      <c r="I59" s="446"/>
      <c r="J59" s="446"/>
      <c r="K59" s="446"/>
      <c r="L59" s="447"/>
      <c r="M59" s="447"/>
      <c r="N59" s="447"/>
    </row>
    <row r="60" spans="1:14" x14ac:dyDescent="0.45">
      <c r="A60" s="225"/>
      <c r="B60" s="225"/>
      <c r="C60" s="225"/>
      <c r="D60" s="225"/>
      <c r="E60" s="225"/>
      <c r="F60" s="225"/>
      <c r="G60" s="225"/>
      <c r="H60" s="225"/>
      <c r="I60" s="446"/>
      <c r="J60" s="446"/>
      <c r="K60" s="446"/>
      <c r="L60" s="447"/>
      <c r="M60" s="447"/>
      <c r="N60" s="447"/>
    </row>
    <row r="61" spans="1:14" x14ac:dyDescent="0.45">
      <c r="A61" s="225"/>
      <c r="B61" s="225"/>
      <c r="C61" s="225"/>
      <c r="D61" s="225"/>
      <c r="E61" s="225"/>
      <c r="F61" s="225"/>
      <c r="G61" s="225"/>
      <c r="H61" s="225"/>
      <c r="I61" s="446"/>
      <c r="J61" s="446"/>
      <c r="K61" s="446"/>
      <c r="L61" s="447"/>
      <c r="M61" s="447"/>
      <c r="N61" s="447"/>
    </row>
    <row r="62" spans="1:14" x14ac:dyDescent="0.45">
      <c r="A62" s="225"/>
      <c r="B62" s="225"/>
      <c r="C62" s="225"/>
      <c r="D62" s="225"/>
      <c r="E62" s="225"/>
      <c r="F62" s="225"/>
      <c r="G62" s="225"/>
      <c r="H62" s="225"/>
      <c r="I62" s="446"/>
      <c r="J62" s="446"/>
      <c r="K62" s="446"/>
      <c r="L62" s="447"/>
      <c r="M62" s="447"/>
      <c r="N62" s="447"/>
    </row>
    <row r="63" spans="1:14" x14ac:dyDescent="0.45">
      <c r="A63" s="225"/>
      <c r="B63" s="225"/>
      <c r="C63" s="225"/>
      <c r="D63" s="225"/>
      <c r="E63" s="225"/>
      <c r="F63" s="225"/>
      <c r="G63" s="225"/>
      <c r="H63" s="225"/>
      <c r="I63" s="446"/>
      <c r="J63" s="446"/>
      <c r="K63" s="446"/>
      <c r="L63" s="447"/>
      <c r="M63" s="447"/>
      <c r="N63" s="447"/>
    </row>
    <row r="64" spans="1:14" x14ac:dyDescent="0.45">
      <c r="A64" s="225"/>
      <c r="B64" s="225"/>
      <c r="C64" s="225"/>
      <c r="D64" s="225"/>
      <c r="E64" s="225"/>
      <c r="F64" s="225"/>
      <c r="G64" s="225"/>
      <c r="H64" s="225"/>
      <c r="I64" s="446"/>
      <c r="J64" s="446"/>
      <c r="K64" s="446"/>
      <c r="L64" s="447"/>
      <c r="M64" s="447"/>
      <c r="N64" s="447"/>
    </row>
    <row r="65" spans="1:14" x14ac:dyDescent="0.45">
      <c r="A65" s="225"/>
      <c r="B65" s="225"/>
      <c r="C65" s="225"/>
      <c r="D65" s="225"/>
      <c r="E65" s="225"/>
      <c r="F65" s="225"/>
      <c r="G65" s="225"/>
      <c r="H65" s="225"/>
      <c r="I65" s="446"/>
      <c r="J65" s="446"/>
      <c r="K65" s="446"/>
      <c r="L65" s="447"/>
      <c r="M65" s="447"/>
      <c r="N65" s="447"/>
    </row>
    <row r="66" spans="1:14" x14ac:dyDescent="0.45">
      <c r="A66" s="225"/>
      <c r="B66" s="225"/>
      <c r="C66" s="225"/>
      <c r="D66" s="225"/>
      <c r="E66" s="225"/>
      <c r="F66" s="225"/>
      <c r="G66" s="225"/>
      <c r="H66" s="225"/>
      <c r="I66" s="446"/>
      <c r="J66" s="446"/>
      <c r="K66" s="446"/>
      <c r="L66" s="447"/>
      <c r="M66" s="447"/>
      <c r="N66" s="447"/>
    </row>
    <row r="67" spans="1:14" x14ac:dyDescent="0.45">
      <c r="A67" s="225"/>
      <c r="B67" s="225"/>
      <c r="C67" s="225"/>
      <c r="D67" s="225"/>
      <c r="E67" s="225"/>
      <c r="F67" s="225"/>
      <c r="G67" s="225"/>
      <c r="H67" s="225"/>
      <c r="I67" s="446"/>
      <c r="J67" s="446"/>
      <c r="K67" s="446"/>
      <c r="L67" s="447"/>
      <c r="M67" s="447"/>
      <c r="N67" s="447"/>
    </row>
    <row r="68" spans="1:14" x14ac:dyDescent="0.45">
      <c r="A68" s="225"/>
      <c r="B68" s="225"/>
      <c r="C68" s="225"/>
      <c r="D68" s="225"/>
      <c r="E68" s="225"/>
      <c r="F68" s="225"/>
      <c r="G68" s="225"/>
      <c r="H68" s="225"/>
      <c r="I68" s="446"/>
      <c r="J68" s="446"/>
      <c r="K68" s="446"/>
      <c r="L68" s="447"/>
      <c r="M68" s="447"/>
      <c r="N68" s="447"/>
    </row>
    <row r="69" spans="1:14" x14ac:dyDescent="0.45">
      <c r="A69" s="225"/>
      <c r="B69" s="225"/>
      <c r="C69" s="225"/>
      <c r="D69" s="225"/>
      <c r="E69" s="225"/>
      <c r="F69" s="225"/>
      <c r="G69" s="225"/>
      <c r="H69" s="225"/>
      <c r="I69" s="446"/>
      <c r="J69" s="446"/>
      <c r="K69" s="446"/>
      <c r="L69" s="447"/>
      <c r="M69" s="447"/>
      <c r="N69" s="447"/>
    </row>
    <row r="70" spans="1:14" x14ac:dyDescent="0.45">
      <c r="A70" s="225"/>
      <c r="B70" s="225"/>
      <c r="C70" s="225"/>
      <c r="D70" s="225"/>
      <c r="E70" s="225"/>
      <c r="F70" s="225"/>
      <c r="G70" s="225"/>
      <c r="H70" s="225"/>
      <c r="I70" s="446"/>
      <c r="J70" s="446"/>
      <c r="K70" s="446"/>
      <c r="L70" s="447"/>
      <c r="M70" s="447"/>
      <c r="N70" s="447"/>
    </row>
    <row r="71" spans="1:14" x14ac:dyDescent="0.45">
      <c r="A71" s="225"/>
      <c r="B71" s="225"/>
      <c r="C71" s="225"/>
      <c r="D71" s="225"/>
      <c r="E71" s="225"/>
      <c r="F71" s="225"/>
      <c r="G71" s="225"/>
      <c r="H71" s="225"/>
      <c r="I71" s="446"/>
      <c r="J71" s="446"/>
      <c r="K71" s="446"/>
      <c r="L71" s="447"/>
      <c r="M71" s="447"/>
      <c r="N71" s="447"/>
    </row>
    <row r="72" spans="1:14" x14ac:dyDescent="0.45">
      <c r="A72" s="225"/>
      <c r="B72" s="225"/>
      <c r="C72" s="225"/>
      <c r="D72" s="225"/>
      <c r="E72" s="225"/>
      <c r="F72" s="225"/>
      <c r="G72" s="225"/>
      <c r="H72" s="225"/>
      <c r="I72" s="446"/>
      <c r="J72" s="446"/>
      <c r="K72" s="446"/>
      <c r="L72" s="447"/>
      <c r="M72" s="447"/>
      <c r="N72" s="447"/>
    </row>
    <row r="73" spans="1:14" x14ac:dyDescent="0.45">
      <c r="A73" s="225"/>
      <c r="B73" s="225"/>
      <c r="C73" s="225"/>
      <c r="D73" s="225"/>
      <c r="E73" s="225"/>
      <c r="F73" s="225"/>
      <c r="G73" s="225"/>
      <c r="H73" s="225"/>
      <c r="I73" s="446"/>
      <c r="J73" s="446"/>
      <c r="K73" s="446"/>
      <c r="L73" s="447"/>
      <c r="M73" s="447"/>
      <c r="N73" s="447"/>
    </row>
    <row r="74" spans="1:14" x14ac:dyDescent="0.45">
      <c r="A74" s="225"/>
      <c r="B74" s="225"/>
      <c r="C74" s="225"/>
      <c r="D74" s="225"/>
      <c r="E74" s="225"/>
      <c r="F74" s="225"/>
      <c r="G74" s="225"/>
      <c r="H74" s="225"/>
      <c r="I74" s="446"/>
      <c r="J74" s="446"/>
      <c r="K74" s="446"/>
      <c r="L74" s="447"/>
      <c r="M74" s="447"/>
      <c r="N74" s="447"/>
    </row>
    <row r="75" spans="1:14" x14ac:dyDescent="0.45">
      <c r="A75" s="225"/>
      <c r="B75" s="225"/>
      <c r="C75" s="225"/>
      <c r="D75" s="225"/>
      <c r="E75" s="225"/>
      <c r="F75" s="225"/>
      <c r="G75" s="225"/>
      <c r="H75" s="225"/>
      <c r="I75" s="446"/>
      <c r="J75" s="446"/>
      <c r="K75" s="446"/>
      <c r="L75" s="447"/>
      <c r="M75" s="447"/>
      <c r="N75" s="447"/>
    </row>
    <row r="76" spans="1:14" x14ac:dyDescent="0.45">
      <c r="A76" s="225"/>
      <c r="B76" s="225"/>
      <c r="C76" s="225"/>
      <c r="D76" s="225"/>
      <c r="E76" s="225"/>
      <c r="F76" s="225"/>
      <c r="G76" s="225"/>
      <c r="H76" s="225"/>
      <c r="I76" s="446"/>
      <c r="J76" s="446"/>
      <c r="K76" s="446"/>
      <c r="L76" s="447"/>
      <c r="M76" s="447"/>
      <c r="N76" s="447"/>
    </row>
    <row r="77" spans="1:14" x14ac:dyDescent="0.45">
      <c r="A77" s="225"/>
      <c r="B77" s="225"/>
      <c r="C77" s="225"/>
      <c r="D77" s="225"/>
      <c r="E77" s="225"/>
      <c r="F77" s="225"/>
      <c r="G77" s="225"/>
      <c r="H77" s="225"/>
      <c r="I77" s="446"/>
      <c r="J77" s="446"/>
      <c r="K77" s="446"/>
      <c r="L77" s="447"/>
      <c r="M77" s="447"/>
      <c r="N77" s="447"/>
    </row>
    <row r="78" spans="1:14" x14ac:dyDescent="0.45">
      <c r="A78" s="225"/>
      <c r="B78" s="225"/>
      <c r="C78" s="225"/>
      <c r="D78" s="225"/>
      <c r="E78" s="225"/>
      <c r="F78" s="225"/>
      <c r="G78" s="225"/>
      <c r="H78" s="225"/>
      <c r="I78" s="446"/>
      <c r="J78" s="446"/>
      <c r="K78" s="446"/>
      <c r="L78" s="447"/>
      <c r="M78" s="447"/>
      <c r="N78" s="447"/>
    </row>
    <row r="79" spans="1:14" x14ac:dyDescent="0.45">
      <c r="A79" s="225"/>
      <c r="B79" s="225"/>
      <c r="C79" s="225"/>
      <c r="D79" s="225"/>
      <c r="E79" s="225"/>
      <c r="F79" s="225"/>
      <c r="G79" s="225"/>
      <c r="H79" s="225"/>
      <c r="I79" s="446"/>
      <c r="J79" s="446"/>
      <c r="K79" s="446"/>
      <c r="L79" s="447"/>
      <c r="M79" s="447"/>
      <c r="N79" s="447"/>
    </row>
    <row r="80" spans="1:14" x14ac:dyDescent="0.45">
      <c r="A80" s="225"/>
      <c r="B80" s="225"/>
      <c r="C80" s="225"/>
      <c r="D80" s="225"/>
      <c r="E80" s="225"/>
      <c r="F80" s="225"/>
      <c r="G80" s="225"/>
      <c r="H80" s="225"/>
      <c r="I80" s="446"/>
      <c r="J80" s="446"/>
      <c r="K80" s="446"/>
      <c r="L80" s="447"/>
      <c r="M80" s="447"/>
      <c r="N80" s="447"/>
    </row>
    <row r="81" spans="1:17" x14ac:dyDescent="0.45">
      <c r="A81" s="225"/>
      <c r="B81" s="225"/>
      <c r="C81" s="225"/>
      <c r="D81" s="225"/>
      <c r="E81" s="225"/>
      <c r="F81" s="225"/>
      <c r="G81" s="225"/>
      <c r="H81" s="225"/>
      <c r="I81" s="446"/>
      <c r="J81" s="446"/>
      <c r="K81" s="446"/>
      <c r="L81" s="447"/>
      <c r="M81" s="447"/>
      <c r="N81" s="447"/>
    </row>
    <row r="82" spans="1:17" x14ac:dyDescent="0.45">
      <c r="A82" s="225"/>
      <c r="B82" s="225"/>
      <c r="C82" s="225"/>
      <c r="D82" s="225"/>
      <c r="E82" s="225"/>
      <c r="F82" s="225"/>
      <c r="G82" s="225"/>
      <c r="H82" s="225"/>
      <c r="I82" s="446"/>
      <c r="J82" s="446"/>
      <c r="K82" s="446"/>
      <c r="L82" s="447"/>
      <c r="M82" s="447"/>
      <c r="N82" s="447"/>
    </row>
    <row r="83" spans="1:17" x14ac:dyDescent="0.45">
      <c r="A83" s="225"/>
      <c r="B83" s="225"/>
      <c r="C83" s="225"/>
      <c r="D83" s="225"/>
      <c r="E83" s="225"/>
      <c r="F83" s="225"/>
      <c r="G83" s="225"/>
      <c r="H83" s="225"/>
      <c r="I83" s="446"/>
      <c r="J83" s="446"/>
      <c r="K83" s="446"/>
      <c r="L83" s="447"/>
      <c r="M83" s="447"/>
      <c r="N83" s="447"/>
    </row>
    <row r="84" spans="1:17" x14ac:dyDescent="0.45">
      <c r="A84" s="225"/>
      <c r="B84" s="225"/>
      <c r="C84" s="225"/>
      <c r="D84" s="225"/>
      <c r="E84" s="225"/>
      <c r="F84" s="225"/>
      <c r="G84" s="225"/>
      <c r="H84" s="225"/>
      <c r="I84" s="446"/>
      <c r="J84" s="446"/>
      <c r="K84" s="446"/>
      <c r="L84" s="447"/>
      <c r="M84" s="447"/>
      <c r="N84" s="447"/>
    </row>
    <row r="85" spans="1:17" x14ac:dyDescent="0.45">
      <c r="A85" s="225"/>
      <c r="B85" s="225"/>
      <c r="C85" s="225"/>
      <c r="D85" s="225"/>
      <c r="E85" s="225"/>
      <c r="F85" s="225"/>
      <c r="G85" s="225"/>
      <c r="H85" s="225"/>
      <c r="I85" s="446"/>
      <c r="J85" s="446"/>
      <c r="K85" s="446"/>
      <c r="L85" s="447"/>
      <c r="M85" s="447"/>
      <c r="N85" s="447"/>
    </row>
    <row r="86" spans="1:17" x14ac:dyDescent="0.45">
      <c r="A86" s="225"/>
      <c r="B86" s="225"/>
      <c r="C86" s="225"/>
      <c r="D86" s="225"/>
      <c r="E86" s="225"/>
      <c r="F86" s="225"/>
      <c r="G86" s="225"/>
      <c r="H86" s="225"/>
      <c r="I86" s="446"/>
      <c r="J86" s="446"/>
      <c r="K86" s="446"/>
      <c r="L86" s="447"/>
      <c r="M86" s="447"/>
      <c r="N86" s="447"/>
    </row>
    <row r="87" spans="1:17" x14ac:dyDescent="0.45">
      <c r="A87" s="225"/>
      <c r="B87" s="225"/>
      <c r="C87" s="225"/>
      <c r="D87" s="225"/>
      <c r="E87" s="225"/>
      <c r="F87" s="225"/>
      <c r="G87" s="225"/>
      <c r="H87" s="225"/>
      <c r="I87" s="446"/>
      <c r="J87" s="446"/>
      <c r="K87" s="446"/>
      <c r="L87" s="447"/>
      <c r="M87" s="447"/>
      <c r="N87" s="447"/>
    </row>
    <row r="88" spans="1:17" x14ac:dyDescent="0.45">
      <c r="A88" s="225"/>
      <c r="B88" s="225"/>
      <c r="C88" s="225"/>
      <c r="D88" s="225"/>
      <c r="E88" s="225"/>
      <c r="F88" s="225"/>
      <c r="G88" s="225"/>
      <c r="H88" s="225"/>
      <c r="I88" s="446"/>
      <c r="J88" s="446"/>
      <c r="K88" s="446"/>
      <c r="L88" s="447"/>
      <c r="M88" s="447"/>
      <c r="N88" s="447"/>
    </row>
    <row r="89" spans="1:17" x14ac:dyDescent="0.45">
      <c r="A89" s="225"/>
      <c r="B89" s="225"/>
      <c r="C89" s="225"/>
      <c r="D89" s="225"/>
      <c r="E89" s="225"/>
      <c r="F89" s="225"/>
      <c r="G89" s="225"/>
      <c r="H89" s="225"/>
      <c r="I89" s="446"/>
      <c r="J89" s="446"/>
      <c r="K89" s="446"/>
      <c r="L89" s="447"/>
      <c r="M89" s="447"/>
      <c r="N89" s="447"/>
    </row>
    <row r="90" spans="1:17" x14ac:dyDescent="0.45">
      <c r="A90" s="225"/>
      <c r="B90" s="225"/>
      <c r="C90" s="225"/>
      <c r="D90" s="225"/>
      <c r="E90" s="225"/>
      <c r="F90" s="225"/>
      <c r="G90" s="225"/>
      <c r="H90" s="225"/>
      <c r="I90" s="446"/>
      <c r="J90" s="446"/>
      <c r="K90" s="446"/>
      <c r="L90" s="447"/>
      <c r="M90" s="447"/>
      <c r="N90" s="447"/>
    </row>
    <row r="91" spans="1:17" x14ac:dyDescent="0.45">
      <c r="A91" s="225"/>
      <c r="B91" s="225"/>
      <c r="C91" s="225"/>
      <c r="D91" s="225"/>
      <c r="E91" s="225"/>
      <c r="F91" s="225"/>
      <c r="G91" s="225"/>
      <c r="H91" s="225"/>
      <c r="I91" s="446"/>
      <c r="J91" s="446"/>
      <c r="K91" s="446"/>
      <c r="L91" s="447"/>
      <c r="M91" s="447"/>
      <c r="N91" s="447"/>
    </row>
    <row r="92" spans="1:17" x14ac:dyDescent="0.45">
      <c r="A92" s="225"/>
      <c r="B92" s="225"/>
      <c r="C92" s="225"/>
      <c r="D92" s="225"/>
      <c r="E92" s="225"/>
      <c r="F92" s="225"/>
      <c r="G92" s="225"/>
      <c r="H92" s="225"/>
      <c r="I92" s="446"/>
      <c r="J92" s="446"/>
      <c r="K92" s="446"/>
      <c r="L92" s="447"/>
      <c r="M92" s="447"/>
      <c r="N92" s="447"/>
    </row>
    <row r="93" spans="1:17" x14ac:dyDescent="0.45">
      <c r="A93" s="225"/>
      <c r="B93" s="225"/>
      <c r="C93" s="225"/>
      <c r="D93" s="225"/>
      <c r="E93" s="225"/>
      <c r="F93" s="225"/>
      <c r="G93" s="225"/>
      <c r="H93" s="225"/>
      <c r="I93" s="446"/>
      <c r="J93" s="446"/>
      <c r="K93" s="446"/>
      <c r="L93" s="447"/>
      <c r="M93" s="447"/>
      <c r="N93" s="447"/>
    </row>
    <row r="94" spans="1:17" x14ac:dyDescent="0.45">
      <c r="A94" s="225"/>
      <c r="B94" s="225"/>
      <c r="C94" s="225"/>
      <c r="D94" s="225"/>
      <c r="E94" s="225"/>
      <c r="F94" s="225"/>
      <c r="G94" s="225"/>
      <c r="H94" s="225"/>
      <c r="I94" s="446"/>
      <c r="J94" s="446"/>
      <c r="K94" s="446"/>
      <c r="L94" s="447"/>
      <c r="M94" s="447"/>
      <c r="N94" s="447"/>
    </row>
    <row r="95" spans="1:17" x14ac:dyDescent="0.45">
      <c r="A95" s="225"/>
      <c r="B95" s="225"/>
      <c r="C95" s="225"/>
      <c r="D95" s="225"/>
      <c r="E95" s="225"/>
      <c r="F95" s="225"/>
      <c r="G95" s="225"/>
      <c r="H95" s="225"/>
      <c r="I95" s="446"/>
      <c r="J95" s="446"/>
      <c r="K95" s="446"/>
      <c r="L95" s="447"/>
      <c r="M95" s="447"/>
      <c r="N95" s="447"/>
    </row>
    <row r="96" spans="1:17" x14ac:dyDescent="0.45">
      <c r="A96" s="225"/>
      <c r="B96" s="225"/>
      <c r="C96" s="225"/>
      <c r="D96" s="225"/>
      <c r="E96" s="225"/>
      <c r="F96" s="225"/>
      <c r="G96" s="225"/>
      <c r="H96" s="225"/>
      <c r="I96" s="446"/>
      <c r="J96" s="446"/>
      <c r="K96" s="446"/>
      <c r="L96" s="446"/>
      <c r="N96" s="447">
        <f t="shared" ref="N96:N115" si="28">MINUTE(I96)+HOUR(I96)*60</f>
        <v>0</v>
      </c>
      <c r="O96" s="465"/>
      <c r="P96" s="465"/>
      <c r="Q96" s="466"/>
    </row>
    <row r="97" spans="1:17" x14ac:dyDescent="0.45">
      <c r="A97" s="225"/>
      <c r="B97" s="225"/>
      <c r="C97" s="225"/>
      <c r="D97" s="225"/>
      <c r="E97" s="225"/>
      <c r="F97" s="225"/>
      <c r="G97" s="225"/>
      <c r="H97" s="225"/>
      <c r="I97" s="446"/>
      <c r="J97" s="446"/>
      <c r="K97" s="446"/>
      <c r="L97" s="446"/>
      <c r="N97" s="447">
        <f t="shared" si="28"/>
        <v>0</v>
      </c>
      <c r="O97" s="465"/>
      <c r="P97" s="465"/>
      <c r="Q97" s="466"/>
    </row>
    <row r="98" spans="1:17" x14ac:dyDescent="0.45">
      <c r="A98" s="225"/>
      <c r="B98" s="225"/>
      <c r="C98" s="225"/>
      <c r="D98" s="225"/>
      <c r="E98" s="225"/>
      <c r="F98" s="225"/>
      <c r="G98" s="225"/>
      <c r="H98" s="225"/>
      <c r="I98" s="446"/>
      <c r="J98" s="446"/>
      <c r="K98" s="446"/>
      <c r="L98" s="446"/>
      <c r="N98" s="447">
        <f t="shared" si="28"/>
        <v>0</v>
      </c>
      <c r="O98" s="465"/>
      <c r="P98" s="465"/>
      <c r="Q98" s="466"/>
    </row>
    <row r="99" spans="1:17" x14ac:dyDescent="0.45">
      <c r="A99" s="225" t="s">
        <v>551</v>
      </c>
      <c r="B99" s="225"/>
      <c r="C99" s="225"/>
      <c r="D99" s="225"/>
      <c r="E99" s="225"/>
      <c r="F99" s="225"/>
      <c r="G99" s="225"/>
      <c r="H99" s="225"/>
      <c r="I99" s="446"/>
      <c r="J99" s="446"/>
      <c r="K99" s="446"/>
      <c r="L99" s="446"/>
      <c r="N99" s="447">
        <f t="shared" si="28"/>
        <v>0</v>
      </c>
      <c r="O99" s="465"/>
      <c r="P99" s="465"/>
      <c r="Q99" s="466"/>
    </row>
    <row r="100" spans="1:17" x14ac:dyDescent="0.45">
      <c r="A100" t="s">
        <v>552</v>
      </c>
      <c r="I100" s="446"/>
      <c r="J100" s="446"/>
      <c r="K100" s="446"/>
      <c r="L100" s="446"/>
      <c r="N100" s="447">
        <f t="shared" si="28"/>
        <v>0</v>
      </c>
    </row>
    <row r="101" spans="1:17" x14ac:dyDescent="0.45">
      <c r="A101" t="s">
        <v>553</v>
      </c>
      <c r="I101" s="446"/>
      <c r="J101" s="446"/>
      <c r="K101" s="446"/>
      <c r="L101" s="446"/>
      <c r="N101" s="447">
        <f t="shared" si="28"/>
        <v>0</v>
      </c>
    </row>
    <row r="102" spans="1:17" x14ac:dyDescent="0.45">
      <c r="A102" t="s">
        <v>554</v>
      </c>
      <c r="I102" s="446"/>
      <c r="J102" s="446"/>
      <c r="K102" s="446"/>
      <c r="L102" s="446"/>
      <c r="N102" s="447">
        <f t="shared" si="28"/>
        <v>0</v>
      </c>
    </row>
    <row r="103" spans="1:17" x14ac:dyDescent="0.45">
      <c r="A103" t="s">
        <v>555</v>
      </c>
      <c r="I103" s="446"/>
      <c r="J103" s="446"/>
      <c r="K103" s="446"/>
      <c r="L103" s="446"/>
      <c r="N103" s="447">
        <f t="shared" si="28"/>
        <v>0</v>
      </c>
    </row>
    <row r="104" spans="1:17" x14ac:dyDescent="0.45">
      <c r="A104" t="s">
        <v>556</v>
      </c>
      <c r="I104" s="446"/>
      <c r="J104" s="446"/>
      <c r="K104" s="446"/>
      <c r="L104" s="446"/>
      <c r="N104" s="447">
        <f t="shared" si="28"/>
        <v>0</v>
      </c>
    </row>
    <row r="105" spans="1:17" x14ac:dyDescent="0.45">
      <c r="A105" t="s">
        <v>557</v>
      </c>
      <c r="I105" s="446"/>
      <c r="J105" s="446"/>
      <c r="K105" s="446"/>
      <c r="L105" s="446"/>
      <c r="N105" s="447">
        <f t="shared" si="28"/>
        <v>0</v>
      </c>
    </row>
    <row r="106" spans="1:17" x14ac:dyDescent="0.45">
      <c r="A106" t="s">
        <v>558</v>
      </c>
      <c r="I106" s="446"/>
      <c r="J106" s="446"/>
      <c r="K106" s="446"/>
      <c r="L106" s="446"/>
      <c r="N106" s="447">
        <f t="shared" si="28"/>
        <v>0</v>
      </c>
    </row>
    <row r="107" spans="1:17" x14ac:dyDescent="0.45">
      <c r="A107" t="s">
        <v>559</v>
      </c>
      <c r="I107" s="446"/>
      <c r="J107" s="446"/>
      <c r="K107" s="446"/>
      <c r="L107" s="446"/>
      <c r="N107" s="447">
        <f t="shared" si="28"/>
        <v>0</v>
      </c>
    </row>
    <row r="108" spans="1:17" x14ac:dyDescent="0.45">
      <c r="A108" t="s">
        <v>463</v>
      </c>
      <c r="I108" s="446"/>
      <c r="J108" s="446"/>
      <c r="K108" s="446"/>
      <c r="L108" s="446"/>
      <c r="N108" s="447">
        <f t="shared" si="28"/>
        <v>0</v>
      </c>
    </row>
    <row r="109" spans="1:17" x14ac:dyDescent="0.45">
      <c r="A109" t="s">
        <v>560</v>
      </c>
      <c r="I109" s="446"/>
      <c r="J109" s="446"/>
      <c r="K109" s="446"/>
      <c r="L109" s="446"/>
      <c r="N109" s="447">
        <f t="shared" si="28"/>
        <v>0</v>
      </c>
    </row>
    <row r="110" spans="1:17" x14ac:dyDescent="0.45">
      <c r="A110" t="s">
        <v>561</v>
      </c>
      <c r="I110" s="446"/>
      <c r="J110" s="446"/>
      <c r="K110" s="446"/>
      <c r="L110" s="446"/>
      <c r="N110" s="447">
        <f t="shared" si="28"/>
        <v>0</v>
      </c>
    </row>
    <row r="111" spans="1:17" x14ac:dyDescent="0.45">
      <c r="A111" t="s">
        <v>562</v>
      </c>
      <c r="I111" s="446"/>
      <c r="J111" s="446"/>
      <c r="K111" s="446"/>
      <c r="L111" s="446"/>
      <c r="N111" s="447">
        <f t="shared" si="28"/>
        <v>0</v>
      </c>
    </row>
    <row r="112" spans="1:17" x14ac:dyDescent="0.45">
      <c r="A112" t="s">
        <v>563</v>
      </c>
      <c r="I112" s="446"/>
      <c r="J112" s="446"/>
      <c r="K112" s="446"/>
      <c r="L112" s="446"/>
      <c r="N112" s="447">
        <f t="shared" si="28"/>
        <v>0</v>
      </c>
    </row>
    <row r="113" spans="1:17" x14ac:dyDescent="0.45">
      <c r="A113" t="s">
        <v>465</v>
      </c>
      <c r="I113" s="446"/>
      <c r="J113" s="446"/>
      <c r="K113" s="446"/>
      <c r="L113" s="446"/>
      <c r="N113" s="447">
        <f t="shared" si="28"/>
        <v>0</v>
      </c>
    </row>
    <row r="114" spans="1:17" x14ac:dyDescent="0.45">
      <c r="A114" t="s">
        <v>564</v>
      </c>
      <c r="I114" s="446"/>
      <c r="J114" s="446"/>
      <c r="K114" s="446"/>
      <c r="L114" s="446"/>
      <c r="N114" s="447">
        <f t="shared" si="28"/>
        <v>0</v>
      </c>
    </row>
    <row r="115" spans="1:17" x14ac:dyDescent="0.45">
      <c r="A115" t="s">
        <v>565</v>
      </c>
      <c r="I115" s="446"/>
      <c r="J115" s="446"/>
      <c r="K115" s="446"/>
      <c r="L115" s="446"/>
      <c r="N115" s="447">
        <f t="shared" si="28"/>
        <v>0</v>
      </c>
    </row>
    <row r="117" spans="1:17" x14ac:dyDescent="0.45">
      <c r="A117" t="s">
        <v>566</v>
      </c>
      <c r="I117">
        <v>28</v>
      </c>
      <c r="J117">
        <v>0</v>
      </c>
      <c r="K117">
        <v>0</v>
      </c>
      <c r="N117" s="447">
        <f>SUM(N6:N116)</f>
        <v>1260</v>
      </c>
    </row>
    <row r="118" spans="1:17" ht="28.5" x14ac:dyDescent="0.45">
      <c r="A118" t="s">
        <v>567</v>
      </c>
      <c r="I118" s="449">
        <v>60</v>
      </c>
      <c r="J118" s="449">
        <v>290</v>
      </c>
      <c r="K118" s="449">
        <v>380</v>
      </c>
      <c r="M118" s="51" t="s">
        <v>568</v>
      </c>
      <c r="N118" s="58">
        <f>N117/60</f>
        <v>21</v>
      </c>
      <c r="O118" s="58" t="e">
        <f>(N118*5+#REF!+#REF!+N119+#REF!+#REF!)/35</f>
        <v>#REF!</v>
      </c>
      <c r="P118" s="58"/>
      <c r="Q118" s="58" t="e">
        <f>O123</f>
        <v>#REF!</v>
      </c>
    </row>
    <row r="119" spans="1:17" ht="28.5" x14ac:dyDescent="0.45">
      <c r="A119" t="s">
        <v>569</v>
      </c>
      <c r="I119" s="449">
        <f>I117*I118</f>
        <v>1680</v>
      </c>
      <c r="J119" s="449">
        <f t="shared" ref="J119" si="29">J117*J118</f>
        <v>0</v>
      </c>
      <c r="K119" s="449">
        <f>K117*K118</f>
        <v>0</v>
      </c>
      <c r="L119" s="467">
        <v>0.14000000000000001</v>
      </c>
      <c r="M119" s="51" t="s">
        <v>570</v>
      </c>
      <c r="N119" s="58">
        <f>N118*L119</f>
        <v>2.9400000000000004</v>
      </c>
      <c r="O119" s="58"/>
      <c r="P119" s="58"/>
    </row>
    <row r="120" spans="1:17" x14ac:dyDescent="0.45">
      <c r="M120" s="51" t="s">
        <v>571</v>
      </c>
      <c r="N120" s="58">
        <f>N118+N119</f>
        <v>23.94</v>
      </c>
      <c r="O120" s="468"/>
      <c r="P120" s="468"/>
    </row>
    <row r="121" spans="1:17" ht="28.5" x14ac:dyDescent="0.45">
      <c r="M121" s="51" t="s">
        <v>572</v>
      </c>
      <c r="N121" s="53" t="e">
        <f>#REF!</f>
        <v>#REF!</v>
      </c>
      <c r="O121" s="468"/>
      <c r="P121" s="468"/>
    </row>
    <row r="122" spans="1:17" ht="28.5" x14ac:dyDescent="0.45">
      <c r="M122" s="51" t="s">
        <v>573</v>
      </c>
      <c r="N122" s="53" t="e">
        <f>N120*N121</f>
        <v>#REF!</v>
      </c>
      <c r="O122" s="468" t="e">
        <f>SUM(N122:N122)</f>
        <v>#REF!</v>
      </c>
      <c r="P122" s="468"/>
    </row>
    <row r="123" spans="1:17" x14ac:dyDescent="0.45">
      <c r="M123" s="51" t="s">
        <v>574</v>
      </c>
      <c r="N123" s="58" t="e">
        <f>N122/35/52</f>
        <v>#REF!</v>
      </c>
      <c r="O123" s="468" t="e">
        <f>N123+#REF!+#REF!</f>
        <v>#REF!</v>
      </c>
      <c r="P123" s="468"/>
    </row>
    <row r="126" spans="1:17" x14ac:dyDescent="0.45">
      <c r="M126" t="s">
        <v>575</v>
      </c>
      <c r="N126" s="58">
        <f>(N118+N119)/7</f>
        <v>3.4200000000000004</v>
      </c>
    </row>
    <row r="127" spans="1:17" x14ac:dyDescent="0.45">
      <c r="M127" t="s">
        <v>576</v>
      </c>
      <c r="N127" s="58">
        <f>N118/9</f>
        <v>2.3333333333333335</v>
      </c>
    </row>
    <row r="128" spans="1:17" x14ac:dyDescent="0.45">
      <c r="M128" t="s">
        <v>577</v>
      </c>
      <c r="N128">
        <v>27</v>
      </c>
    </row>
    <row r="129" spans="1:16" x14ac:dyDescent="0.45">
      <c r="M129" t="s">
        <v>569</v>
      </c>
      <c r="N129" s="469">
        <f>N118*N128</f>
        <v>567</v>
      </c>
    </row>
    <row r="130" spans="1:16" x14ac:dyDescent="0.45">
      <c r="M130" t="s">
        <v>578</v>
      </c>
      <c r="N130" s="447">
        <f>(SUM(L6:L7)+SUM(L13:L15))/60</f>
        <v>20.25</v>
      </c>
    </row>
    <row r="131" spans="1:16" x14ac:dyDescent="0.45">
      <c r="M131" t="s">
        <v>579</v>
      </c>
      <c r="N131" s="469">
        <v>6</v>
      </c>
    </row>
    <row r="132" spans="1:16" x14ac:dyDescent="0.45">
      <c r="N132" s="469">
        <f>N130*N131</f>
        <v>121.5</v>
      </c>
    </row>
    <row r="133" spans="1:16" x14ac:dyDescent="0.45">
      <c r="M133" t="s">
        <v>580</v>
      </c>
      <c r="N133" s="469">
        <f>N129+N132</f>
        <v>688.5</v>
      </c>
    </row>
    <row r="134" spans="1:16" x14ac:dyDescent="0.45">
      <c r="A134" t="s">
        <v>581</v>
      </c>
      <c r="J134">
        <f>365</f>
        <v>365</v>
      </c>
      <c r="M134" t="s">
        <v>582</v>
      </c>
      <c r="N134" s="53" t="e">
        <f>#REF!</f>
        <v>#REF!</v>
      </c>
    </row>
    <row r="135" spans="1:16" x14ac:dyDescent="0.45">
      <c r="A135" t="s">
        <v>583</v>
      </c>
      <c r="J135">
        <v>52</v>
      </c>
      <c r="N135" s="469" t="e">
        <f>N133*N134</f>
        <v>#REF!</v>
      </c>
      <c r="O135" s="469" t="e">
        <f>SUM(N135:N135)</f>
        <v>#REF!</v>
      </c>
      <c r="P135" s="469"/>
    </row>
    <row r="136" spans="1:16" x14ac:dyDescent="0.45">
      <c r="A136" t="s">
        <v>584</v>
      </c>
      <c r="J136">
        <v>13</v>
      </c>
      <c r="M136" t="s">
        <v>398</v>
      </c>
      <c r="N136" t="e">
        <f>N134*#REF!</f>
        <v>#REF!</v>
      </c>
      <c r="O136" t="e">
        <f>SUM(N136:N136)</f>
        <v>#REF!</v>
      </c>
    </row>
    <row r="137" spans="1:16" x14ac:dyDescent="0.45">
      <c r="A137" t="s">
        <v>585</v>
      </c>
      <c r="J137" t="e">
        <f>#REF!</f>
        <v>#REF!</v>
      </c>
      <c r="N137" s="469" t="e">
        <f>N135/N136</f>
        <v>#REF!</v>
      </c>
      <c r="O137" s="469" t="e">
        <f t="shared" ref="O137" si="30">O135/O136</f>
        <v>#REF!</v>
      </c>
      <c r="P137" s="469"/>
    </row>
    <row r="138" spans="1:16" x14ac:dyDescent="0.45">
      <c r="A138" t="s">
        <v>586</v>
      </c>
      <c r="J138" s="449">
        <f>I119</f>
        <v>1680</v>
      </c>
    </row>
    <row r="139" spans="1:16" x14ac:dyDescent="0.45">
      <c r="A139" t="s">
        <v>587</v>
      </c>
      <c r="J139">
        <f>J136+J135</f>
        <v>65</v>
      </c>
    </row>
    <row r="140" spans="1:16" x14ac:dyDescent="0.45">
      <c r="A140" t="s">
        <v>588</v>
      </c>
      <c r="J140" s="449">
        <f>K119</f>
        <v>0</v>
      </c>
    </row>
    <row r="141" spans="1:16" x14ac:dyDescent="0.45">
      <c r="A141" t="s">
        <v>589</v>
      </c>
      <c r="J141" s="449" t="e">
        <f>J137*J138+J139*J140</f>
        <v>#REF!</v>
      </c>
    </row>
    <row r="142" spans="1:16" x14ac:dyDescent="0.45">
      <c r="A142" t="s">
        <v>590</v>
      </c>
      <c r="J142" s="449"/>
    </row>
    <row r="143" spans="1:16" x14ac:dyDescent="0.45">
      <c r="A143" t="s">
        <v>591</v>
      </c>
      <c r="I143">
        <v>6700</v>
      </c>
      <c r="J143" s="449"/>
    </row>
    <row r="144" spans="1:16" x14ac:dyDescent="0.45">
      <c r="A144" t="s">
        <v>592</v>
      </c>
      <c r="I144">
        <f>248*90/12</f>
        <v>1860</v>
      </c>
      <c r="J144" s="449"/>
    </row>
    <row r="145" spans="1:14" x14ac:dyDescent="0.45">
      <c r="A145" t="s">
        <v>593</v>
      </c>
      <c r="I145">
        <v>1700</v>
      </c>
      <c r="J145" s="449"/>
    </row>
    <row r="146" spans="1:14" x14ac:dyDescent="0.45">
      <c r="A146" t="s">
        <v>594</v>
      </c>
      <c r="I146">
        <v>1000</v>
      </c>
      <c r="J146" s="449"/>
    </row>
    <row r="147" spans="1:14" x14ac:dyDescent="0.45">
      <c r="A147" t="s">
        <v>595</v>
      </c>
      <c r="I147">
        <v>3000</v>
      </c>
      <c r="J147" s="449" t="s">
        <v>596</v>
      </c>
    </row>
    <row r="148" spans="1:14" x14ac:dyDescent="0.45">
      <c r="A148" t="s">
        <v>597</v>
      </c>
      <c r="J148" s="449"/>
    </row>
    <row r="149" spans="1:14" x14ac:dyDescent="0.45">
      <c r="A149" t="s">
        <v>598</v>
      </c>
      <c r="I149">
        <f>SUM(I143:I148)</f>
        <v>14260</v>
      </c>
      <c r="J149" s="449"/>
    </row>
    <row r="150" spans="1:14" x14ac:dyDescent="0.45">
      <c r="A150" t="s">
        <v>599</v>
      </c>
      <c r="I150">
        <f>I149*12</f>
        <v>171120</v>
      </c>
      <c r="J150" s="449" t="e">
        <f>I150/#REF!</f>
        <v>#REF!</v>
      </c>
      <c r="K150" t="s">
        <v>600</v>
      </c>
    </row>
    <row r="151" spans="1:14" x14ac:dyDescent="0.45">
      <c r="A151" t="s">
        <v>601</v>
      </c>
      <c r="I151" s="467">
        <v>1</v>
      </c>
    </row>
    <row r="152" spans="1:14" x14ac:dyDescent="0.45">
      <c r="A152" t="s">
        <v>602</v>
      </c>
      <c r="I152">
        <f>I150*I151</f>
        <v>171120</v>
      </c>
    </row>
    <row r="153" spans="1:14" x14ac:dyDescent="0.45">
      <c r="A153" t="s">
        <v>603</v>
      </c>
      <c r="J153" s="449" t="e">
        <f>I152+J141</f>
        <v>#REF!</v>
      </c>
    </row>
    <row r="155" spans="1:14" x14ac:dyDescent="0.45">
      <c r="A155" t="s">
        <v>604</v>
      </c>
      <c r="J155" t="e">
        <f>#REF!</f>
        <v>#REF!</v>
      </c>
      <c r="K155" t="e">
        <f>#REF!</f>
        <v>#REF!</v>
      </c>
      <c r="L155" t="e">
        <f>J155*K155</f>
        <v>#REF!</v>
      </c>
    </row>
    <row r="156" spans="1:14" x14ac:dyDescent="0.45">
      <c r="A156" t="s">
        <v>605</v>
      </c>
      <c r="J156" t="e">
        <f>J155</f>
        <v>#REF!</v>
      </c>
      <c r="K156" t="e">
        <f>#REF!</f>
        <v>#REF!</v>
      </c>
      <c r="L156" t="e">
        <f>J156*K156</f>
        <v>#REF!</v>
      </c>
      <c r="M156" s="445" t="e">
        <f>L155/$L$160</f>
        <v>#REF!</v>
      </c>
      <c r="N156" s="444" t="e">
        <f>$N$161*M156</f>
        <v>#REF!</v>
      </c>
    </row>
    <row r="157" spans="1:14" x14ac:dyDescent="0.45">
      <c r="A157" t="s">
        <v>606</v>
      </c>
      <c r="J157" t="e">
        <f>#REF!</f>
        <v>#REF!</v>
      </c>
      <c r="K157" t="e">
        <f>#REF!</f>
        <v>#REF!</v>
      </c>
      <c r="L157" t="e">
        <f>J157*K157</f>
        <v>#REF!</v>
      </c>
      <c r="M157" s="445" t="e">
        <f>L156/$L$160</f>
        <v>#REF!</v>
      </c>
      <c r="N157" s="444" t="e">
        <f t="shared" ref="N157:N160" si="31">$N$161*M157</f>
        <v>#REF!</v>
      </c>
    </row>
    <row r="158" spans="1:14" x14ac:dyDescent="0.45">
      <c r="A158" t="s">
        <v>607</v>
      </c>
      <c r="J158">
        <f>J139</f>
        <v>65</v>
      </c>
      <c r="K158" t="e">
        <f>#REF!</f>
        <v>#REF!</v>
      </c>
      <c r="L158" t="e">
        <f>J158*K158</f>
        <v>#REF!</v>
      </c>
      <c r="M158" s="445" t="e">
        <f>L157/$L$160</f>
        <v>#REF!</v>
      </c>
      <c r="N158" s="444" t="e">
        <f t="shared" si="31"/>
        <v>#REF!</v>
      </c>
    </row>
    <row r="159" spans="1:14" x14ac:dyDescent="0.45">
      <c r="A159" t="s">
        <v>608</v>
      </c>
      <c r="J159">
        <f>J139</f>
        <v>65</v>
      </c>
      <c r="K159" t="e">
        <f>#REF!</f>
        <v>#REF!</v>
      </c>
      <c r="L159" t="e">
        <f>J159*K159</f>
        <v>#REF!</v>
      </c>
      <c r="M159" s="445" t="e">
        <f>L158/$L$160</f>
        <v>#REF!</v>
      </c>
      <c r="N159" s="444" t="e">
        <f>$N$161*M159</f>
        <v>#REF!</v>
      </c>
    </row>
    <row r="160" spans="1:14" x14ac:dyDescent="0.45">
      <c r="L160" t="e">
        <f>SUM(L155:L159)</f>
        <v>#REF!</v>
      </c>
      <c r="M160" s="445" t="e">
        <f>L159/$L$160</f>
        <v>#REF!</v>
      </c>
      <c r="N160" s="444" t="e">
        <f t="shared" si="31"/>
        <v>#REF!</v>
      </c>
    </row>
    <row r="161" spans="10:20" x14ac:dyDescent="0.45">
      <c r="M161" s="449" t="e">
        <f>N161/L160</f>
        <v>#REF!</v>
      </c>
      <c r="N161" s="449" t="e">
        <f>J153</f>
        <v>#REF!</v>
      </c>
      <c r="O161" s="449" t="e">
        <f>T163-#REF!</f>
        <v>#REF!</v>
      </c>
      <c r="P161" s="449"/>
    </row>
    <row r="162" spans="10:20" ht="14.65" thickBot="1" x14ac:dyDescent="0.5"/>
    <row r="163" spans="10:20" ht="14.65" thickBot="1" x14ac:dyDescent="0.5">
      <c r="J163" t="s">
        <v>609</v>
      </c>
      <c r="L163" t="e">
        <f>L160</f>
        <v>#REF!</v>
      </c>
      <c r="Q163" s="470" t="e">
        <f>L163</f>
        <v>#REF!</v>
      </c>
      <c r="R163" s="471">
        <v>44</v>
      </c>
      <c r="S163" s="471"/>
      <c r="T163" s="472" t="e">
        <f>Q163*R163</f>
        <v>#REF!</v>
      </c>
    </row>
    <row r="164" spans="10:20" x14ac:dyDescent="0.45">
      <c r="J164" t="s">
        <v>610</v>
      </c>
      <c r="L164" t="e">
        <f>L156</f>
        <v>#REF!</v>
      </c>
      <c r="M164" s="449" t="e">
        <f>N164/L163</f>
        <v>#REF!</v>
      </c>
      <c r="N164" s="449" t="e">
        <f>N168-N165-N166-N167</f>
        <v>#REF!</v>
      </c>
      <c r="O164" s="470"/>
      <c r="Q164" t="e">
        <f>L164</f>
        <v>#REF!</v>
      </c>
      <c r="R164">
        <v>7.5</v>
      </c>
      <c r="T164" s="473" t="e">
        <f>Q164*R164</f>
        <v>#REF!</v>
      </c>
    </row>
    <row r="165" spans="10:20" x14ac:dyDescent="0.45">
      <c r="J165" t="s">
        <v>611</v>
      </c>
      <c r="L165" t="e">
        <f>L158</f>
        <v>#REF!</v>
      </c>
      <c r="M165">
        <v>7.5</v>
      </c>
      <c r="N165" s="449" t="e">
        <f>L164*M165</f>
        <v>#REF!</v>
      </c>
      <c r="Q165" t="e">
        <f>L165</f>
        <v>#REF!</v>
      </c>
      <c r="R165" s="449">
        <v>15</v>
      </c>
      <c r="S165" s="449"/>
      <c r="T165" s="473" t="e">
        <f>Q165*R165</f>
        <v>#REF!</v>
      </c>
    </row>
    <row r="166" spans="10:20" x14ac:dyDescent="0.45">
      <c r="J166" t="s">
        <v>612</v>
      </c>
      <c r="L166" t="e">
        <f>L159</f>
        <v>#REF!</v>
      </c>
      <c r="M166" s="449">
        <v>15</v>
      </c>
      <c r="N166" s="449" t="e">
        <f>L165*M166</f>
        <v>#REF!</v>
      </c>
      <c r="Q166">
        <f>Q159</f>
        <v>0</v>
      </c>
      <c r="R166">
        <v>22.5</v>
      </c>
      <c r="T166" s="473">
        <f>Q166*R166</f>
        <v>0</v>
      </c>
    </row>
    <row r="167" spans="10:20" ht="14.65" thickBot="1" x14ac:dyDescent="0.5">
      <c r="J167" t="s">
        <v>571</v>
      </c>
      <c r="L167" t="e">
        <f>L160</f>
        <v>#REF!</v>
      </c>
      <c r="M167">
        <v>22.5</v>
      </c>
      <c r="N167" s="449" t="e">
        <f>L166*M167</f>
        <v>#REF!</v>
      </c>
      <c r="Q167" s="474" t="e">
        <f>Q163</f>
        <v>#REF!</v>
      </c>
      <c r="R167" s="475" t="e">
        <f>T167/Q167</f>
        <v>#REF!</v>
      </c>
      <c r="S167" s="475"/>
      <c r="T167" s="476" t="e">
        <f>T163+T164+T165+T166</f>
        <v>#REF!</v>
      </c>
    </row>
    <row r="168" spans="10:20" ht="14.65" thickBot="1" x14ac:dyDescent="0.5">
      <c r="M168" s="449" t="e">
        <f>M161</f>
        <v>#REF!</v>
      </c>
      <c r="N168" s="449" t="e">
        <f>N161</f>
        <v>#REF!</v>
      </c>
      <c r="O168" s="474"/>
    </row>
  </sheetData>
  <pageMargins left="0.7" right="0.7" top="0.75" bottom="0.75" header="0.3" footer="0.3"/>
  <pageSetup paperSize="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2458-2003-48DC-B237-A3D1C00A5FF1}">
  <sheetPr>
    <pageSetUpPr fitToPage="1"/>
  </sheetPr>
  <dimension ref="A2:U49"/>
  <sheetViews>
    <sheetView workbookViewId="0">
      <selection activeCell="AA69" sqref="AA68:AA69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5.7968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36</v>
      </c>
    </row>
    <row r="3" spans="1:21" ht="27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30.5" customHeight="1" x14ac:dyDescent="0.45">
      <c r="A4" s="137" t="s">
        <v>13</v>
      </c>
      <c r="B4" s="242" t="str">
        <f>VLOOKUP(B2,'Liste chauffeur'!$B$5:$L$20,2,TRUE)&amp;" "&amp;VLOOKUP(B2,'Liste chauffeur'!$B$5:$L$20,3,TRUE)</f>
        <v>BINA HALADI Bina</v>
      </c>
      <c r="C4" s="139"/>
      <c r="D4" s="140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4" orientation="landscape" copies="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EB4D-F718-4463-8F73-B159E929A216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5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3.25" x14ac:dyDescent="0.45">
      <c r="A2" s="137" t="s">
        <v>18</v>
      </c>
      <c r="B2" s="247" t="s">
        <v>27</v>
      </c>
    </row>
    <row r="3" spans="1:21" ht="27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6" customHeight="1" x14ac:dyDescent="0.45">
      <c r="A4" s="137" t="s">
        <v>13</v>
      </c>
      <c r="B4" s="242" t="str">
        <f>VLOOKUP(B2,'Liste chauffeur'!$B$5:$L$20,2,TRUE)&amp;" "&amp;VLOOKUP(B2,'Liste chauffeur'!$B$5:$L$20,3,TRUE)</f>
        <v>ABDOU MINIHADJI Amada</v>
      </c>
      <c r="C4" s="139"/>
      <c r="D4" s="140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4" orientation="landscape" copies="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B257-CB14-40D4-999B-F7A347496F8B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2" width="10.796875" style="137"/>
    <col min="3" max="3" width="12.1328125" style="137" customWidth="1"/>
    <col min="4" max="4" width="10.796875" style="137"/>
    <col min="5" max="5" width="11" style="137" customWidth="1"/>
    <col min="6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1328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48</v>
      </c>
    </row>
    <row r="3" spans="1:21" ht="27.5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6.55" customHeight="1" x14ac:dyDescent="0.45">
      <c r="A4" s="137" t="s">
        <v>13</v>
      </c>
      <c r="B4" s="242" t="str">
        <f>VLOOKUP(B2,'Liste chauffeur'!$B$5:$L$20,2,TRUE)&amp;" "&amp;VLOOKUP(B2,'Liste chauffeur'!$B$5:$L$20,3,TRUE)</f>
        <v>TOUMBOU  Toibourani</v>
      </c>
      <c r="C4" s="139"/>
      <c r="D4" s="140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69.7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9" t="s">
        <v>328</v>
      </c>
      <c r="G7" s="240" t="s">
        <v>5</v>
      </c>
      <c r="H7" s="241" t="s">
        <v>19</v>
      </c>
      <c r="I7" s="232" t="s">
        <v>131</v>
      </c>
      <c r="J7" s="239" t="s">
        <v>328</v>
      </c>
      <c r="K7" s="240" t="s">
        <v>9</v>
      </c>
      <c r="L7" s="241" t="s">
        <v>19</v>
      </c>
      <c r="M7" s="232" t="s">
        <v>131</v>
      </c>
      <c r="N7" s="239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2" orientation="landscape" copies="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8723-891B-48B6-8207-A94330A8E953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49</v>
      </c>
    </row>
    <row r="3" spans="1:21" ht="31.05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3" customHeight="1" x14ac:dyDescent="0.45">
      <c r="A4" s="137" t="s">
        <v>13</v>
      </c>
      <c r="B4" s="248" t="s">
        <v>329</v>
      </c>
      <c r="C4" s="139"/>
      <c r="D4" s="140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customHeight="1" x14ac:dyDescent="0.45">
      <c r="A10" s="197" t="s">
        <v>8</v>
      </c>
      <c r="B10" s="172">
        <v>0.22222222222222199</v>
      </c>
      <c r="C10" s="173"/>
      <c r="D10" s="210"/>
      <c r="E10" s="200"/>
      <c r="F10" s="201"/>
      <c r="G10" s="199"/>
      <c r="H10" s="172">
        <f t="shared" si="0"/>
        <v>0</v>
      </c>
      <c r="I10" s="200"/>
      <c r="J10" s="201"/>
      <c r="K10" s="199"/>
      <c r="L10" s="172">
        <f t="shared" si="1"/>
        <v>0</v>
      </c>
      <c r="M10" s="200"/>
      <c r="N10" s="201"/>
      <c r="O10" s="199"/>
      <c r="P10" s="172">
        <f t="shared" si="2"/>
        <v>0</v>
      </c>
      <c r="Q10" s="200"/>
      <c r="R10" s="202"/>
      <c r="S10" s="199"/>
      <c r="T10" s="175"/>
      <c r="U10" s="188">
        <f t="shared" si="3"/>
        <v>0</v>
      </c>
    </row>
    <row r="11" spans="1:21" ht="40.049999999999997" hidden="1" customHeight="1" x14ac:dyDescent="0.45">
      <c r="A11" s="149" t="s">
        <v>8</v>
      </c>
      <c r="B11" s="138">
        <v>0.22916666666666699</v>
      </c>
      <c r="C11" s="150"/>
      <c r="D11" s="151"/>
      <c r="E11" s="182"/>
      <c r="F11" s="183"/>
      <c r="G11" s="184"/>
      <c r="H11" s="138">
        <f t="shared" si="0"/>
        <v>0</v>
      </c>
      <c r="I11" s="182"/>
      <c r="J11" s="183"/>
      <c r="K11" s="184"/>
      <c r="L11" s="138">
        <f t="shared" si="1"/>
        <v>0</v>
      </c>
      <c r="M11" s="182"/>
      <c r="N11" s="183"/>
      <c r="O11" s="184"/>
      <c r="P11" s="138">
        <f t="shared" si="2"/>
        <v>0</v>
      </c>
      <c r="Q11" s="182"/>
      <c r="R11" s="185"/>
      <c r="S11" s="184"/>
      <c r="T11" s="152"/>
      <c r="U11" s="188">
        <f t="shared" si="3"/>
        <v>0</v>
      </c>
    </row>
    <row r="12" spans="1:21" ht="40.049999999999997" hidden="1" customHeight="1" x14ac:dyDescent="0.45">
      <c r="A12" s="149" t="s">
        <v>8</v>
      </c>
      <c r="B12" s="138">
        <v>0.23611111111111099</v>
      </c>
      <c r="C12" s="150"/>
      <c r="D12" s="151"/>
      <c r="E12" s="182"/>
      <c r="F12" s="183"/>
      <c r="G12" s="184"/>
      <c r="H12" s="138">
        <f t="shared" si="0"/>
        <v>0</v>
      </c>
      <c r="I12" s="182"/>
      <c r="J12" s="183"/>
      <c r="K12" s="184"/>
      <c r="L12" s="138">
        <f t="shared" si="1"/>
        <v>0</v>
      </c>
      <c r="M12" s="182"/>
      <c r="N12" s="183"/>
      <c r="O12" s="184"/>
      <c r="P12" s="138">
        <f t="shared" si="2"/>
        <v>0</v>
      </c>
      <c r="Q12" s="182"/>
      <c r="R12" s="185"/>
      <c r="S12" s="184"/>
      <c r="T12" s="152"/>
      <c r="U12" s="188">
        <f t="shared" si="3"/>
        <v>0</v>
      </c>
    </row>
    <row r="13" spans="1:21" ht="40.049999999999997" hidden="1" customHeight="1" x14ac:dyDescent="0.45">
      <c r="A13" s="149" t="s">
        <v>8</v>
      </c>
      <c r="B13" s="138">
        <v>0.243055555555556</v>
      </c>
      <c r="C13" s="150"/>
      <c r="D13" s="151"/>
      <c r="E13" s="182"/>
      <c r="F13" s="183"/>
      <c r="G13" s="184"/>
      <c r="H13" s="138">
        <f t="shared" si="0"/>
        <v>0</v>
      </c>
      <c r="I13" s="182"/>
      <c r="J13" s="183"/>
      <c r="K13" s="184"/>
      <c r="L13" s="138">
        <f t="shared" si="1"/>
        <v>0</v>
      </c>
      <c r="M13" s="182"/>
      <c r="N13" s="183"/>
      <c r="O13" s="184"/>
      <c r="P13" s="138">
        <f t="shared" si="2"/>
        <v>0</v>
      </c>
      <c r="Q13" s="182"/>
      <c r="R13" s="185"/>
      <c r="S13" s="184"/>
      <c r="T13" s="152"/>
      <c r="U13" s="188">
        <f t="shared" si="3"/>
        <v>0</v>
      </c>
    </row>
    <row r="14" spans="1:21" ht="40.049999999999997" hidden="1" customHeight="1" x14ac:dyDescent="0.45">
      <c r="A14" s="149" t="s">
        <v>8</v>
      </c>
      <c r="B14" s="138">
        <v>0.25</v>
      </c>
      <c r="C14" s="150"/>
      <c r="D14" s="151"/>
      <c r="E14" s="182"/>
      <c r="F14" s="183"/>
      <c r="G14" s="184"/>
      <c r="H14" s="138">
        <f t="shared" si="0"/>
        <v>0</v>
      </c>
      <c r="I14" s="182"/>
      <c r="J14" s="183"/>
      <c r="K14" s="184"/>
      <c r="L14" s="138">
        <f t="shared" si="1"/>
        <v>0</v>
      </c>
      <c r="M14" s="182"/>
      <c r="N14" s="183"/>
      <c r="O14" s="184"/>
      <c r="P14" s="138">
        <f t="shared" si="2"/>
        <v>0</v>
      </c>
      <c r="Q14" s="182"/>
      <c r="R14" s="185"/>
      <c r="S14" s="184"/>
      <c r="T14" s="152"/>
      <c r="U14" s="188">
        <f t="shared" si="3"/>
        <v>0</v>
      </c>
    </row>
    <row r="15" spans="1:21" ht="40.049999999999997" customHeight="1" x14ac:dyDescent="0.45">
      <c r="A15" s="149" t="s">
        <v>8</v>
      </c>
      <c r="B15" s="138">
        <v>0.25694444444444398</v>
      </c>
      <c r="C15" s="150"/>
      <c r="D15" s="151"/>
      <c r="E15" s="182"/>
      <c r="F15" s="183"/>
      <c r="G15" s="184"/>
      <c r="H15" s="138">
        <f t="shared" si="0"/>
        <v>0</v>
      </c>
      <c r="I15" s="182"/>
      <c r="J15" s="183"/>
      <c r="K15" s="184"/>
      <c r="L15" s="138">
        <f t="shared" si="1"/>
        <v>0</v>
      </c>
      <c r="M15" s="182"/>
      <c r="N15" s="183"/>
      <c r="O15" s="184"/>
      <c r="P15" s="138">
        <f t="shared" si="2"/>
        <v>0</v>
      </c>
      <c r="Q15" s="182"/>
      <c r="R15" s="185"/>
      <c r="S15" s="184"/>
      <c r="T15" s="152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customHeight="1" x14ac:dyDescent="0.45">
      <c r="A35" s="171" t="s">
        <v>11</v>
      </c>
      <c r="B35" s="172">
        <v>0.67361111111111105</v>
      </c>
      <c r="C35" s="173"/>
      <c r="D35" s="174"/>
      <c r="E35" s="197"/>
      <c r="F35" s="198"/>
      <c r="G35" s="199"/>
      <c r="H35" s="172">
        <f t="shared" si="0"/>
        <v>0</v>
      </c>
      <c r="I35" s="200"/>
      <c r="J35" s="201"/>
      <c r="K35" s="199"/>
      <c r="L35" s="172">
        <f t="shared" si="4"/>
        <v>0</v>
      </c>
      <c r="M35" s="200"/>
      <c r="N35" s="201"/>
      <c r="O35" s="199"/>
      <c r="P35" s="172">
        <f t="shared" si="5"/>
        <v>0</v>
      </c>
      <c r="Q35" s="200"/>
      <c r="R35" s="202"/>
      <c r="S35" s="199"/>
      <c r="T35" s="175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customHeight="1" x14ac:dyDescent="0.45">
      <c r="A42" s="171" t="s">
        <v>11</v>
      </c>
      <c r="B42" s="172">
        <v>0.72222222222222199</v>
      </c>
      <c r="C42" s="173"/>
      <c r="D42" s="174"/>
      <c r="E42" s="197"/>
      <c r="F42" s="198"/>
      <c r="G42" s="199"/>
      <c r="H42" s="172">
        <f t="shared" si="0"/>
        <v>0</v>
      </c>
      <c r="I42" s="200"/>
      <c r="J42" s="201"/>
      <c r="K42" s="199"/>
      <c r="L42" s="172">
        <f t="shared" si="4"/>
        <v>0</v>
      </c>
      <c r="M42" s="200"/>
      <c r="N42" s="201"/>
      <c r="O42" s="199"/>
      <c r="P42" s="172">
        <f t="shared" si="5"/>
        <v>0</v>
      </c>
      <c r="Q42" s="200"/>
      <c r="R42" s="202"/>
      <c r="S42" s="199"/>
      <c r="T42" s="175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700F-113F-482F-9BB9-C3BCD427C298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50</v>
      </c>
    </row>
    <row r="3" spans="1:21" ht="33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4.5" customHeight="1" x14ac:dyDescent="0.45">
      <c r="A4" s="137" t="s">
        <v>13</v>
      </c>
      <c r="B4" s="242" t="str">
        <f>VLOOKUP(B2,'Liste chauffeur'!$B$5:$L$20,2,TRUE)&amp;" "&amp;VLOOKUP(B2,'Liste chauffeur'!$B$5:$L$20,3,TRUE)</f>
        <v>OUSSENI Soula</v>
      </c>
      <c r="C4" s="243"/>
      <c r="D4" s="244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customHeight="1" x14ac:dyDescent="0.45">
      <c r="A10" s="197" t="s">
        <v>8</v>
      </c>
      <c r="B10" s="172">
        <v>0.22222222222222199</v>
      </c>
      <c r="C10" s="173"/>
      <c r="D10" s="210"/>
      <c r="E10" s="200"/>
      <c r="F10" s="201"/>
      <c r="G10" s="199"/>
      <c r="H10" s="172">
        <f t="shared" si="0"/>
        <v>0</v>
      </c>
      <c r="I10" s="200"/>
      <c r="J10" s="201"/>
      <c r="K10" s="199"/>
      <c r="L10" s="172">
        <f t="shared" si="1"/>
        <v>0</v>
      </c>
      <c r="M10" s="200"/>
      <c r="N10" s="201"/>
      <c r="O10" s="199"/>
      <c r="P10" s="172">
        <f t="shared" si="2"/>
        <v>0</v>
      </c>
      <c r="Q10" s="200"/>
      <c r="R10" s="202"/>
      <c r="S10" s="199"/>
      <c r="T10" s="175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customHeight="1" x14ac:dyDescent="0.45">
      <c r="A31" s="171" t="s">
        <v>11</v>
      </c>
      <c r="B31" s="172">
        <v>0.64583333333333304</v>
      </c>
      <c r="C31" s="173"/>
      <c r="D31" s="174"/>
      <c r="E31" s="197"/>
      <c r="F31" s="198"/>
      <c r="G31" s="199"/>
      <c r="H31" s="172">
        <f t="shared" si="0"/>
        <v>0</v>
      </c>
      <c r="I31" s="200"/>
      <c r="J31" s="201"/>
      <c r="K31" s="199"/>
      <c r="L31" s="172">
        <f t="shared" si="4"/>
        <v>0</v>
      </c>
      <c r="M31" s="200"/>
      <c r="N31" s="201"/>
      <c r="O31" s="199"/>
      <c r="P31" s="172">
        <f t="shared" si="5"/>
        <v>0</v>
      </c>
      <c r="Q31" s="200"/>
      <c r="R31" s="202"/>
      <c r="S31" s="199"/>
      <c r="T31" s="175"/>
      <c r="U31" s="188">
        <f t="shared" si="3"/>
        <v>0</v>
      </c>
    </row>
    <row r="32" spans="1:21" ht="39.5" hidden="1" customHeight="1" x14ac:dyDescent="0.45">
      <c r="A32" s="176" t="s">
        <v>11</v>
      </c>
      <c r="B32" s="138">
        <v>0.65277777777777801</v>
      </c>
      <c r="C32" s="150"/>
      <c r="D32" s="177"/>
      <c r="E32" s="149"/>
      <c r="F32" s="211"/>
      <c r="G32" s="184"/>
      <c r="H32" s="138">
        <f t="shared" si="0"/>
        <v>0</v>
      </c>
      <c r="I32" s="182"/>
      <c r="J32" s="183"/>
      <c r="K32" s="184"/>
      <c r="L32" s="138">
        <f t="shared" si="4"/>
        <v>0</v>
      </c>
      <c r="M32" s="182"/>
      <c r="N32" s="183"/>
      <c r="O32" s="184"/>
      <c r="P32" s="138">
        <f t="shared" si="5"/>
        <v>0</v>
      </c>
      <c r="Q32" s="182"/>
      <c r="R32" s="185"/>
      <c r="S32" s="184"/>
      <c r="T32" s="152"/>
      <c r="U32" s="188">
        <f t="shared" si="3"/>
        <v>0</v>
      </c>
    </row>
    <row r="33" spans="1:21" ht="39.5" hidden="1" customHeight="1" x14ac:dyDescent="0.45">
      <c r="A33" s="176" t="s">
        <v>11</v>
      </c>
      <c r="B33" s="138">
        <v>0.65972222222222199</v>
      </c>
      <c r="C33" s="150"/>
      <c r="D33" s="177"/>
      <c r="E33" s="149"/>
      <c r="F33" s="211"/>
      <c r="G33" s="184"/>
      <c r="H33" s="138">
        <f t="shared" si="0"/>
        <v>0</v>
      </c>
      <c r="I33" s="182"/>
      <c r="J33" s="183"/>
      <c r="K33" s="184"/>
      <c r="L33" s="138">
        <f t="shared" si="4"/>
        <v>0</v>
      </c>
      <c r="M33" s="182"/>
      <c r="N33" s="183"/>
      <c r="O33" s="184"/>
      <c r="P33" s="138">
        <f t="shared" si="5"/>
        <v>0</v>
      </c>
      <c r="Q33" s="182"/>
      <c r="R33" s="185"/>
      <c r="S33" s="184"/>
      <c r="T33" s="152"/>
      <c r="U33" s="188">
        <f t="shared" si="3"/>
        <v>0</v>
      </c>
    </row>
    <row r="34" spans="1:21" ht="39.5" hidden="1" customHeight="1" x14ac:dyDescent="0.45">
      <c r="A34" s="176" t="s">
        <v>11</v>
      </c>
      <c r="B34" s="138">
        <v>0.66666666666666696</v>
      </c>
      <c r="C34" s="150"/>
      <c r="D34" s="177"/>
      <c r="E34" s="149"/>
      <c r="F34" s="211"/>
      <c r="G34" s="184"/>
      <c r="H34" s="138">
        <f t="shared" si="0"/>
        <v>0</v>
      </c>
      <c r="I34" s="182"/>
      <c r="J34" s="183"/>
      <c r="K34" s="184"/>
      <c r="L34" s="138">
        <f t="shared" si="4"/>
        <v>0</v>
      </c>
      <c r="M34" s="182"/>
      <c r="N34" s="183"/>
      <c r="O34" s="184"/>
      <c r="P34" s="138">
        <f t="shared" si="5"/>
        <v>0</v>
      </c>
      <c r="Q34" s="182"/>
      <c r="R34" s="185"/>
      <c r="S34" s="184"/>
      <c r="T34" s="152"/>
      <c r="U34" s="188">
        <f t="shared" si="3"/>
        <v>0</v>
      </c>
    </row>
    <row r="35" spans="1:21" ht="39.5" hidden="1" customHeight="1" x14ac:dyDescent="0.45">
      <c r="A35" s="176" t="s">
        <v>11</v>
      </c>
      <c r="B35" s="138">
        <v>0.67361111111111105</v>
      </c>
      <c r="C35" s="150"/>
      <c r="D35" s="177"/>
      <c r="E35" s="149"/>
      <c r="F35" s="211"/>
      <c r="G35" s="184"/>
      <c r="H35" s="138">
        <f t="shared" si="0"/>
        <v>0</v>
      </c>
      <c r="I35" s="182"/>
      <c r="J35" s="183"/>
      <c r="K35" s="184"/>
      <c r="L35" s="138">
        <f t="shared" si="4"/>
        <v>0</v>
      </c>
      <c r="M35" s="182"/>
      <c r="N35" s="183"/>
      <c r="O35" s="184"/>
      <c r="P35" s="138">
        <f t="shared" si="5"/>
        <v>0</v>
      </c>
      <c r="Q35" s="182"/>
      <c r="R35" s="185"/>
      <c r="S35" s="184"/>
      <c r="T35" s="152"/>
      <c r="U35" s="188">
        <f t="shared" si="3"/>
        <v>0</v>
      </c>
    </row>
    <row r="36" spans="1:21" ht="39.5" customHeight="1" x14ac:dyDescent="0.45">
      <c r="A36" s="176" t="s">
        <v>11</v>
      </c>
      <c r="B36" s="138">
        <v>0.68055555555555503</v>
      </c>
      <c r="C36" s="150"/>
      <c r="D36" s="177"/>
      <c r="E36" s="149"/>
      <c r="F36" s="211"/>
      <c r="G36" s="184"/>
      <c r="H36" s="138">
        <f t="shared" si="0"/>
        <v>0</v>
      </c>
      <c r="I36" s="182"/>
      <c r="J36" s="183"/>
      <c r="K36" s="184"/>
      <c r="L36" s="138">
        <f t="shared" si="4"/>
        <v>0</v>
      </c>
      <c r="M36" s="182"/>
      <c r="N36" s="183"/>
      <c r="O36" s="184"/>
      <c r="P36" s="138">
        <f t="shared" si="5"/>
        <v>0</v>
      </c>
      <c r="Q36" s="182"/>
      <c r="R36" s="185"/>
      <c r="S36" s="184"/>
      <c r="T36" s="152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4D8A-DD64-460D-8492-D13979DA2300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51</v>
      </c>
    </row>
    <row r="3" spans="1:21" ht="27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7.5" customHeight="1" x14ac:dyDescent="0.45">
      <c r="A4" s="137" t="s">
        <v>13</v>
      </c>
      <c r="B4" s="242" t="str">
        <f>VLOOKUP(B2,'Liste chauffeur'!$B$5:$L$20,2,TRUE)&amp;" "&amp;VLOOKUP(B2,'Liste chauffeur'!$B$5:$L$20,3,TRUE)</f>
        <v>HAMIDOU Dahalani</v>
      </c>
      <c r="C4" s="243"/>
      <c r="D4" s="244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customHeight="1" x14ac:dyDescent="0.45">
      <c r="A11" s="197" t="s">
        <v>8</v>
      </c>
      <c r="B11" s="172">
        <v>0.22916666666666699</v>
      </c>
      <c r="C11" s="173"/>
      <c r="D11" s="210"/>
      <c r="E11" s="200"/>
      <c r="F11" s="201"/>
      <c r="G11" s="199"/>
      <c r="H11" s="172">
        <f t="shared" si="0"/>
        <v>0</v>
      </c>
      <c r="I11" s="200"/>
      <c r="J11" s="201"/>
      <c r="K11" s="199"/>
      <c r="L11" s="172">
        <f t="shared" si="1"/>
        <v>0</v>
      </c>
      <c r="M11" s="200"/>
      <c r="N11" s="201"/>
      <c r="O11" s="199"/>
      <c r="P11" s="172">
        <f t="shared" si="2"/>
        <v>0</v>
      </c>
      <c r="Q11" s="200"/>
      <c r="R11" s="202"/>
      <c r="S11" s="199"/>
      <c r="T11" s="175"/>
      <c r="U11" s="188">
        <f t="shared" si="3"/>
        <v>0</v>
      </c>
    </row>
    <row r="12" spans="1:21" ht="40.049999999999997" hidden="1" customHeight="1" x14ac:dyDescent="0.45">
      <c r="A12" s="149" t="s">
        <v>8</v>
      </c>
      <c r="B12" s="138">
        <v>0.23611111111111099</v>
      </c>
      <c r="C12" s="150"/>
      <c r="D12" s="151"/>
      <c r="E12" s="182"/>
      <c r="F12" s="183"/>
      <c r="G12" s="184"/>
      <c r="H12" s="138">
        <f t="shared" si="0"/>
        <v>0</v>
      </c>
      <c r="I12" s="182"/>
      <c r="J12" s="183"/>
      <c r="K12" s="184"/>
      <c r="L12" s="138">
        <f t="shared" si="1"/>
        <v>0</v>
      </c>
      <c r="M12" s="182"/>
      <c r="N12" s="183"/>
      <c r="O12" s="184"/>
      <c r="P12" s="138">
        <f t="shared" si="2"/>
        <v>0</v>
      </c>
      <c r="Q12" s="182"/>
      <c r="R12" s="185"/>
      <c r="S12" s="184"/>
      <c r="T12" s="152"/>
      <c r="U12" s="188">
        <f t="shared" si="3"/>
        <v>0</v>
      </c>
    </row>
    <row r="13" spans="1:21" ht="40.049999999999997" hidden="1" customHeight="1" x14ac:dyDescent="0.45">
      <c r="A13" s="149" t="s">
        <v>8</v>
      </c>
      <c r="B13" s="138">
        <v>0.243055555555556</v>
      </c>
      <c r="C13" s="150"/>
      <c r="D13" s="151"/>
      <c r="E13" s="182"/>
      <c r="F13" s="183"/>
      <c r="G13" s="184"/>
      <c r="H13" s="138">
        <f t="shared" si="0"/>
        <v>0</v>
      </c>
      <c r="I13" s="182"/>
      <c r="J13" s="183"/>
      <c r="K13" s="184"/>
      <c r="L13" s="138">
        <f t="shared" si="1"/>
        <v>0</v>
      </c>
      <c r="M13" s="182"/>
      <c r="N13" s="183"/>
      <c r="O13" s="184"/>
      <c r="P13" s="138">
        <f t="shared" si="2"/>
        <v>0</v>
      </c>
      <c r="Q13" s="182"/>
      <c r="R13" s="185"/>
      <c r="S13" s="184"/>
      <c r="T13" s="152"/>
      <c r="U13" s="188">
        <f t="shared" si="3"/>
        <v>0</v>
      </c>
    </row>
    <row r="14" spans="1:21" ht="40.049999999999997" hidden="1" customHeight="1" x14ac:dyDescent="0.45">
      <c r="A14" s="149" t="s">
        <v>8</v>
      </c>
      <c r="B14" s="138">
        <v>0.25</v>
      </c>
      <c r="C14" s="150"/>
      <c r="D14" s="151"/>
      <c r="E14" s="182"/>
      <c r="F14" s="183"/>
      <c r="G14" s="184"/>
      <c r="H14" s="138">
        <f t="shared" si="0"/>
        <v>0</v>
      </c>
      <c r="I14" s="182"/>
      <c r="J14" s="183"/>
      <c r="K14" s="184"/>
      <c r="L14" s="138">
        <f t="shared" si="1"/>
        <v>0</v>
      </c>
      <c r="M14" s="182"/>
      <c r="N14" s="183"/>
      <c r="O14" s="184"/>
      <c r="P14" s="138">
        <f t="shared" si="2"/>
        <v>0</v>
      </c>
      <c r="Q14" s="182"/>
      <c r="R14" s="185"/>
      <c r="S14" s="184"/>
      <c r="T14" s="152"/>
      <c r="U14" s="188">
        <f t="shared" si="3"/>
        <v>0</v>
      </c>
    </row>
    <row r="15" spans="1:21" ht="40.049999999999997" hidden="1" customHeight="1" x14ac:dyDescent="0.45">
      <c r="A15" s="149" t="s">
        <v>8</v>
      </c>
      <c r="B15" s="138">
        <v>0.25694444444444398</v>
      </c>
      <c r="C15" s="150"/>
      <c r="D15" s="151"/>
      <c r="E15" s="182"/>
      <c r="F15" s="183"/>
      <c r="G15" s="184"/>
      <c r="H15" s="138">
        <f t="shared" si="0"/>
        <v>0</v>
      </c>
      <c r="I15" s="182"/>
      <c r="J15" s="183"/>
      <c r="K15" s="184"/>
      <c r="L15" s="138">
        <f t="shared" si="1"/>
        <v>0</v>
      </c>
      <c r="M15" s="182"/>
      <c r="N15" s="183"/>
      <c r="O15" s="184"/>
      <c r="P15" s="138">
        <f t="shared" si="2"/>
        <v>0</v>
      </c>
      <c r="Q15" s="182"/>
      <c r="R15" s="185"/>
      <c r="S15" s="184"/>
      <c r="T15" s="152"/>
      <c r="U15" s="188">
        <f t="shared" si="3"/>
        <v>0</v>
      </c>
    </row>
    <row r="16" spans="1:21" ht="40.049999999999997" hidden="1" customHeight="1" x14ac:dyDescent="0.45">
      <c r="A16" s="149" t="s">
        <v>8</v>
      </c>
      <c r="B16" s="138">
        <v>0.26388888888888901</v>
      </c>
      <c r="C16" s="150"/>
      <c r="D16" s="151"/>
      <c r="E16" s="182"/>
      <c r="F16" s="183"/>
      <c r="G16" s="184"/>
      <c r="H16" s="138">
        <f t="shared" si="0"/>
        <v>0</v>
      </c>
      <c r="I16" s="182"/>
      <c r="J16" s="183"/>
      <c r="K16" s="184"/>
      <c r="L16" s="138">
        <f t="shared" si="1"/>
        <v>0</v>
      </c>
      <c r="M16" s="182"/>
      <c r="N16" s="183"/>
      <c r="O16" s="184"/>
      <c r="P16" s="138">
        <f t="shared" si="2"/>
        <v>0</v>
      </c>
      <c r="Q16" s="182"/>
      <c r="R16" s="185"/>
      <c r="S16" s="184"/>
      <c r="T16" s="152"/>
      <c r="U16" s="188">
        <f t="shared" si="3"/>
        <v>0</v>
      </c>
    </row>
    <row r="17" spans="1:21" ht="40.049999999999997" customHeight="1" x14ac:dyDescent="0.45">
      <c r="A17" s="149" t="s">
        <v>8</v>
      </c>
      <c r="B17" s="138">
        <v>0.27083333333333298</v>
      </c>
      <c r="C17" s="150"/>
      <c r="D17" s="151"/>
      <c r="E17" s="182"/>
      <c r="F17" s="183"/>
      <c r="G17" s="184"/>
      <c r="H17" s="138">
        <f t="shared" si="0"/>
        <v>0</v>
      </c>
      <c r="I17" s="182"/>
      <c r="J17" s="183"/>
      <c r="K17" s="184"/>
      <c r="L17" s="138">
        <f t="shared" si="1"/>
        <v>0</v>
      </c>
      <c r="M17" s="182"/>
      <c r="N17" s="183"/>
      <c r="O17" s="184"/>
      <c r="P17" s="138">
        <f t="shared" si="2"/>
        <v>0</v>
      </c>
      <c r="Q17" s="182"/>
      <c r="R17" s="185"/>
      <c r="S17" s="184"/>
      <c r="T17" s="152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customHeight="1" x14ac:dyDescent="0.45">
      <c r="A36" s="171" t="s">
        <v>11</v>
      </c>
      <c r="B36" s="172">
        <v>0.68055555555555503</v>
      </c>
      <c r="C36" s="173"/>
      <c r="D36" s="174"/>
      <c r="E36" s="197"/>
      <c r="F36" s="198"/>
      <c r="G36" s="199"/>
      <c r="H36" s="172">
        <f t="shared" si="0"/>
        <v>0</v>
      </c>
      <c r="I36" s="200"/>
      <c r="J36" s="201"/>
      <c r="K36" s="199"/>
      <c r="L36" s="172">
        <f t="shared" si="4"/>
        <v>0</v>
      </c>
      <c r="M36" s="200"/>
      <c r="N36" s="201"/>
      <c r="O36" s="199"/>
      <c r="P36" s="172">
        <f t="shared" si="5"/>
        <v>0</v>
      </c>
      <c r="Q36" s="200"/>
      <c r="R36" s="202"/>
      <c r="S36" s="199"/>
      <c r="T36" s="175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3CC-256D-4138-873D-839C5ABBCAD6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37</v>
      </c>
    </row>
    <row r="3" spans="1:21" ht="27.5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6" customHeight="1" x14ac:dyDescent="0.45">
      <c r="A4" s="137" t="s">
        <v>13</v>
      </c>
      <c r="B4" s="242" t="str">
        <f>VLOOKUP(B2,'Liste chauffeur'!$B$5:$L$20,2,TRUE)&amp;" "&amp;VLOOKUP(B2,'Liste chauffeur'!$B$5:$L$20,3,TRUE)</f>
        <v>HADHURAMI Makinedine</v>
      </c>
      <c r="C4" s="243"/>
      <c r="D4" s="244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4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customHeight="1" x14ac:dyDescent="0.45">
      <c r="A11" s="197" t="s">
        <v>8</v>
      </c>
      <c r="B11" s="172">
        <v>0.22916666666666699</v>
      </c>
      <c r="C11" s="173"/>
      <c r="D11" s="210"/>
      <c r="E11" s="200"/>
      <c r="F11" s="201"/>
      <c r="G11" s="199"/>
      <c r="H11" s="172">
        <f t="shared" si="0"/>
        <v>0</v>
      </c>
      <c r="I11" s="200"/>
      <c r="J11" s="201"/>
      <c r="K11" s="199"/>
      <c r="L11" s="172">
        <f t="shared" si="1"/>
        <v>0</v>
      </c>
      <c r="M11" s="200"/>
      <c r="N11" s="201"/>
      <c r="O11" s="199"/>
      <c r="P11" s="172">
        <f t="shared" si="2"/>
        <v>0</v>
      </c>
      <c r="Q11" s="200"/>
      <c r="R11" s="202"/>
      <c r="S11" s="199"/>
      <c r="T11" s="175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customHeight="1" x14ac:dyDescent="0.45">
      <c r="A32" s="171" t="s">
        <v>11</v>
      </c>
      <c r="B32" s="172">
        <v>0.65277777777777801</v>
      </c>
      <c r="C32" s="173"/>
      <c r="D32" s="174"/>
      <c r="E32" s="197"/>
      <c r="F32" s="198"/>
      <c r="G32" s="199"/>
      <c r="H32" s="172">
        <f t="shared" si="0"/>
        <v>0</v>
      </c>
      <c r="I32" s="200"/>
      <c r="J32" s="201"/>
      <c r="K32" s="199"/>
      <c r="L32" s="172">
        <f t="shared" si="4"/>
        <v>0</v>
      </c>
      <c r="M32" s="200"/>
      <c r="N32" s="201"/>
      <c r="O32" s="199"/>
      <c r="P32" s="172">
        <f t="shared" si="5"/>
        <v>0</v>
      </c>
      <c r="Q32" s="200"/>
      <c r="R32" s="202"/>
      <c r="S32" s="199"/>
      <c r="T32" s="175"/>
      <c r="U32" s="188">
        <f t="shared" si="3"/>
        <v>0</v>
      </c>
    </row>
    <row r="33" spans="1:21" ht="39.5" hidden="1" customHeight="1" x14ac:dyDescent="0.45">
      <c r="A33" s="176" t="s">
        <v>11</v>
      </c>
      <c r="B33" s="138">
        <v>0.65972222222222199</v>
      </c>
      <c r="C33" s="150"/>
      <c r="D33" s="177"/>
      <c r="E33" s="149"/>
      <c r="F33" s="211"/>
      <c r="G33" s="184"/>
      <c r="H33" s="138">
        <f t="shared" si="0"/>
        <v>0</v>
      </c>
      <c r="I33" s="182"/>
      <c r="J33" s="183"/>
      <c r="K33" s="184"/>
      <c r="L33" s="138">
        <f t="shared" si="4"/>
        <v>0</v>
      </c>
      <c r="M33" s="182"/>
      <c r="N33" s="183"/>
      <c r="O33" s="184"/>
      <c r="P33" s="138">
        <f t="shared" si="5"/>
        <v>0</v>
      </c>
      <c r="Q33" s="182"/>
      <c r="R33" s="185"/>
      <c r="S33" s="184"/>
      <c r="T33" s="152"/>
      <c r="U33" s="188">
        <f t="shared" si="3"/>
        <v>0</v>
      </c>
    </row>
    <row r="34" spans="1:21" ht="39.5" hidden="1" customHeight="1" x14ac:dyDescent="0.45">
      <c r="A34" s="176" t="s">
        <v>11</v>
      </c>
      <c r="B34" s="138">
        <v>0.66666666666666696</v>
      </c>
      <c r="C34" s="150"/>
      <c r="D34" s="177"/>
      <c r="E34" s="149"/>
      <c r="F34" s="211"/>
      <c r="G34" s="184"/>
      <c r="H34" s="138">
        <f t="shared" si="0"/>
        <v>0</v>
      </c>
      <c r="I34" s="182"/>
      <c r="J34" s="183"/>
      <c r="K34" s="184"/>
      <c r="L34" s="138">
        <f t="shared" si="4"/>
        <v>0</v>
      </c>
      <c r="M34" s="182"/>
      <c r="N34" s="183"/>
      <c r="O34" s="184"/>
      <c r="P34" s="138">
        <f t="shared" si="5"/>
        <v>0</v>
      </c>
      <c r="Q34" s="182"/>
      <c r="R34" s="185"/>
      <c r="S34" s="184"/>
      <c r="T34" s="152"/>
      <c r="U34" s="188">
        <f t="shared" si="3"/>
        <v>0</v>
      </c>
    </row>
    <row r="35" spans="1:21" ht="39.5" hidden="1" customHeight="1" x14ac:dyDescent="0.45">
      <c r="A35" s="176" t="s">
        <v>11</v>
      </c>
      <c r="B35" s="138">
        <v>0.67361111111111105</v>
      </c>
      <c r="C35" s="150"/>
      <c r="D35" s="177"/>
      <c r="E35" s="149"/>
      <c r="F35" s="211"/>
      <c r="G35" s="184"/>
      <c r="H35" s="138">
        <f t="shared" si="0"/>
        <v>0</v>
      </c>
      <c r="I35" s="182"/>
      <c r="J35" s="183"/>
      <c r="K35" s="184"/>
      <c r="L35" s="138">
        <f t="shared" si="4"/>
        <v>0</v>
      </c>
      <c r="M35" s="182"/>
      <c r="N35" s="183"/>
      <c r="O35" s="184"/>
      <c r="P35" s="138">
        <f t="shared" si="5"/>
        <v>0</v>
      </c>
      <c r="Q35" s="182"/>
      <c r="R35" s="185"/>
      <c r="S35" s="184"/>
      <c r="T35" s="152"/>
      <c r="U35" s="188">
        <f t="shared" si="3"/>
        <v>0</v>
      </c>
    </row>
    <row r="36" spans="1:21" ht="39.5" hidden="1" customHeight="1" x14ac:dyDescent="0.45">
      <c r="A36" s="176" t="s">
        <v>11</v>
      </c>
      <c r="B36" s="138">
        <v>0.68055555555555503</v>
      </c>
      <c r="C36" s="150"/>
      <c r="D36" s="177"/>
      <c r="E36" s="149"/>
      <c r="F36" s="211"/>
      <c r="G36" s="184"/>
      <c r="H36" s="138">
        <f t="shared" si="0"/>
        <v>0</v>
      </c>
      <c r="I36" s="182"/>
      <c r="J36" s="183"/>
      <c r="K36" s="184"/>
      <c r="L36" s="138">
        <f t="shared" si="4"/>
        <v>0</v>
      </c>
      <c r="M36" s="182"/>
      <c r="N36" s="183"/>
      <c r="O36" s="184"/>
      <c r="P36" s="138">
        <f t="shared" si="5"/>
        <v>0</v>
      </c>
      <c r="Q36" s="182"/>
      <c r="R36" s="185"/>
      <c r="S36" s="184"/>
      <c r="T36" s="152"/>
      <c r="U36" s="188">
        <f t="shared" si="3"/>
        <v>0</v>
      </c>
    </row>
    <row r="37" spans="1:21" ht="39.5" customHeight="1" x14ac:dyDescent="0.45">
      <c r="A37" s="176" t="s">
        <v>11</v>
      </c>
      <c r="B37" s="138">
        <v>0.6875</v>
      </c>
      <c r="C37" s="150"/>
      <c r="D37" s="177"/>
      <c r="E37" s="149"/>
      <c r="F37" s="211"/>
      <c r="G37" s="184"/>
      <c r="H37" s="138">
        <f t="shared" si="0"/>
        <v>0</v>
      </c>
      <c r="I37" s="182"/>
      <c r="J37" s="183"/>
      <c r="K37" s="184"/>
      <c r="L37" s="138">
        <f t="shared" si="4"/>
        <v>0</v>
      </c>
      <c r="M37" s="182"/>
      <c r="N37" s="183"/>
      <c r="O37" s="184"/>
      <c r="P37" s="138">
        <f t="shared" si="5"/>
        <v>0</v>
      </c>
      <c r="Q37" s="182"/>
      <c r="R37" s="185"/>
      <c r="S37" s="184"/>
      <c r="T37" s="152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232E-0CAD-4A44-84D6-BB9F54A2A4AD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41</v>
      </c>
    </row>
    <row r="3" spans="1:21" ht="24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2.05" customHeight="1" x14ac:dyDescent="0.45">
      <c r="A4" s="137" t="s">
        <v>13</v>
      </c>
      <c r="B4" s="242" t="str">
        <f>VLOOKUP(B2,'Liste chauffeur'!$B$5:$L$20,2,TRUE)&amp;" "&amp;VLOOKUP(B2,'Liste chauffeur'!$B$5:$L$20,3,TRUE)</f>
        <v>SANDI Maanrouf</v>
      </c>
      <c r="C4" s="243"/>
      <c r="D4" s="244"/>
    </row>
    <row r="5" spans="1:21" x14ac:dyDescent="0.45">
      <c r="T5" s="164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customHeight="1" x14ac:dyDescent="0.45">
      <c r="A13" s="197" t="s">
        <v>8</v>
      </c>
      <c r="B13" s="172">
        <v>0.243055555555556</v>
      </c>
      <c r="C13" s="173"/>
      <c r="D13" s="210"/>
      <c r="E13" s="200"/>
      <c r="F13" s="201"/>
      <c r="G13" s="199"/>
      <c r="H13" s="172">
        <f t="shared" si="0"/>
        <v>0</v>
      </c>
      <c r="I13" s="200"/>
      <c r="J13" s="201"/>
      <c r="K13" s="199"/>
      <c r="L13" s="172">
        <f t="shared" si="1"/>
        <v>0</v>
      </c>
      <c r="M13" s="200"/>
      <c r="N13" s="201"/>
      <c r="O13" s="199"/>
      <c r="P13" s="172">
        <f t="shared" si="2"/>
        <v>0</v>
      </c>
      <c r="Q13" s="200"/>
      <c r="R13" s="202"/>
      <c r="S13" s="199"/>
      <c r="T13" s="175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customHeight="1" x14ac:dyDescent="0.45">
      <c r="A28" s="212" t="s">
        <v>11</v>
      </c>
      <c r="B28" s="213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customHeight="1" x14ac:dyDescent="0.45">
      <c r="A29" s="212" t="s">
        <v>11</v>
      </c>
      <c r="B29" s="213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customHeight="1" x14ac:dyDescent="0.45">
      <c r="A30" s="212" t="s">
        <v>11</v>
      </c>
      <c r="B30" s="213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customHeight="1" x14ac:dyDescent="0.45">
      <c r="A31" s="212" t="s">
        <v>11</v>
      </c>
      <c r="B31" s="213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customHeight="1" x14ac:dyDescent="0.45">
      <c r="A32" s="212" t="s">
        <v>11</v>
      </c>
      <c r="B32" s="213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customHeight="1" x14ac:dyDescent="0.45">
      <c r="A33" s="212" t="s">
        <v>11</v>
      </c>
      <c r="B33" s="213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customHeight="1" x14ac:dyDescent="0.45">
      <c r="A34" s="212" t="s">
        <v>11</v>
      </c>
      <c r="B34" s="213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customHeight="1" x14ac:dyDescent="0.45">
      <c r="A35" s="212" t="s">
        <v>11</v>
      </c>
      <c r="B35" s="213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customHeight="1" x14ac:dyDescent="0.45">
      <c r="A36" s="212" t="s">
        <v>11</v>
      </c>
      <c r="B36" s="213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customHeight="1" x14ac:dyDescent="0.45">
      <c r="A37" s="176" t="s">
        <v>11</v>
      </c>
      <c r="B37" s="138">
        <v>0.6875</v>
      </c>
      <c r="C37" s="150"/>
      <c r="D37" s="177"/>
      <c r="E37" s="149"/>
      <c r="F37" s="211"/>
      <c r="G37" s="184"/>
      <c r="H37" s="138">
        <f t="shared" si="0"/>
        <v>0</v>
      </c>
      <c r="I37" s="182"/>
      <c r="J37" s="183"/>
      <c r="K37" s="184"/>
      <c r="L37" s="138">
        <f t="shared" si="4"/>
        <v>0</v>
      </c>
      <c r="M37" s="182"/>
      <c r="N37" s="183"/>
      <c r="O37" s="184"/>
      <c r="P37" s="138">
        <f t="shared" si="5"/>
        <v>0</v>
      </c>
      <c r="Q37" s="182"/>
      <c r="R37" s="185"/>
      <c r="S37" s="184"/>
      <c r="T37" s="152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70" orientation="landscape" copies="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F2EF-2F40-461A-946F-924E0BDA05AE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1328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42</v>
      </c>
    </row>
    <row r="3" spans="1:21" ht="23.55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2.5" customHeight="1" x14ac:dyDescent="0.45">
      <c r="A4" s="137" t="s">
        <v>13</v>
      </c>
      <c r="B4" s="242" t="str">
        <f>VLOOKUP(B2,'Liste chauffeur'!$B$5:$L$20,2,TRUE)&amp;" "&amp;VLOOKUP(B2,'Liste chauffeur'!$B$5:$L$20,3,TRUE)</f>
        <v>ISSIHAKA M'Changama</v>
      </c>
      <c r="C4" s="243"/>
      <c r="D4" s="244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customHeight="1" x14ac:dyDescent="0.45">
      <c r="A28" s="171" t="s">
        <v>11</v>
      </c>
      <c r="B28" s="172">
        <v>0.625</v>
      </c>
      <c r="C28" s="173"/>
      <c r="D28" s="174"/>
      <c r="E28" s="197"/>
      <c r="F28" s="198"/>
      <c r="G28" s="199"/>
      <c r="H28" s="172">
        <f t="shared" si="0"/>
        <v>0</v>
      </c>
      <c r="I28" s="200"/>
      <c r="J28" s="201"/>
      <c r="K28" s="199"/>
      <c r="L28" s="172">
        <f t="shared" ref="L28:L46" si="4">K28-G28</f>
        <v>0</v>
      </c>
      <c r="M28" s="200"/>
      <c r="N28" s="201"/>
      <c r="O28" s="199"/>
      <c r="P28" s="172">
        <f t="shared" ref="P28:P46" si="5">O28-K28</f>
        <v>0</v>
      </c>
      <c r="Q28" s="200"/>
      <c r="R28" s="202"/>
      <c r="S28" s="199"/>
      <c r="T28" s="175"/>
      <c r="U28" s="188">
        <f t="shared" si="3"/>
        <v>0</v>
      </c>
    </row>
    <row r="29" spans="1:21" ht="39.5" hidden="1" customHeight="1" x14ac:dyDescent="0.45">
      <c r="A29" s="176" t="s">
        <v>11</v>
      </c>
      <c r="B29" s="138">
        <v>0.63194444444444442</v>
      </c>
      <c r="C29" s="150"/>
      <c r="D29" s="177"/>
      <c r="E29" s="149"/>
      <c r="F29" s="211"/>
      <c r="G29" s="184"/>
      <c r="H29" s="138">
        <f t="shared" si="0"/>
        <v>0</v>
      </c>
      <c r="I29" s="182"/>
      <c r="J29" s="183"/>
      <c r="K29" s="184"/>
      <c r="L29" s="138">
        <f t="shared" si="4"/>
        <v>0</v>
      </c>
      <c r="M29" s="182"/>
      <c r="N29" s="183"/>
      <c r="O29" s="184"/>
      <c r="P29" s="138">
        <f t="shared" si="5"/>
        <v>0</v>
      </c>
      <c r="Q29" s="182"/>
      <c r="R29" s="185"/>
      <c r="S29" s="184"/>
      <c r="T29" s="152"/>
      <c r="U29" s="188">
        <f t="shared" si="3"/>
        <v>0</v>
      </c>
    </row>
    <row r="30" spans="1:21" ht="39.5" hidden="1" customHeight="1" x14ac:dyDescent="0.45">
      <c r="A30" s="176" t="s">
        <v>11</v>
      </c>
      <c r="B30" s="138">
        <v>0.63888888888888895</v>
      </c>
      <c r="C30" s="150"/>
      <c r="D30" s="177"/>
      <c r="E30" s="149"/>
      <c r="F30" s="211"/>
      <c r="G30" s="184"/>
      <c r="H30" s="138">
        <f t="shared" si="0"/>
        <v>0</v>
      </c>
      <c r="I30" s="182"/>
      <c r="J30" s="183"/>
      <c r="K30" s="184"/>
      <c r="L30" s="138">
        <f t="shared" si="4"/>
        <v>0</v>
      </c>
      <c r="M30" s="182"/>
      <c r="N30" s="183"/>
      <c r="O30" s="184"/>
      <c r="P30" s="138">
        <f t="shared" si="5"/>
        <v>0</v>
      </c>
      <c r="Q30" s="182"/>
      <c r="R30" s="185"/>
      <c r="S30" s="184"/>
      <c r="T30" s="152"/>
      <c r="U30" s="188">
        <f t="shared" si="3"/>
        <v>0</v>
      </c>
    </row>
    <row r="31" spans="1:21" ht="39.5" hidden="1" customHeight="1" x14ac:dyDescent="0.45">
      <c r="A31" s="176" t="s">
        <v>11</v>
      </c>
      <c r="B31" s="138">
        <v>0.64583333333333304</v>
      </c>
      <c r="C31" s="150"/>
      <c r="D31" s="177"/>
      <c r="E31" s="149"/>
      <c r="F31" s="211"/>
      <c r="G31" s="184"/>
      <c r="H31" s="138">
        <f t="shared" si="0"/>
        <v>0</v>
      </c>
      <c r="I31" s="182"/>
      <c r="J31" s="183"/>
      <c r="K31" s="184"/>
      <c r="L31" s="138">
        <f t="shared" si="4"/>
        <v>0</v>
      </c>
      <c r="M31" s="182"/>
      <c r="N31" s="183"/>
      <c r="O31" s="184"/>
      <c r="P31" s="138">
        <f t="shared" si="5"/>
        <v>0</v>
      </c>
      <c r="Q31" s="182"/>
      <c r="R31" s="185"/>
      <c r="S31" s="184"/>
      <c r="T31" s="152"/>
      <c r="U31" s="188">
        <f t="shared" si="3"/>
        <v>0</v>
      </c>
    </row>
    <row r="32" spans="1:21" ht="39.5" hidden="1" customHeight="1" x14ac:dyDescent="0.45">
      <c r="A32" s="176" t="s">
        <v>11</v>
      </c>
      <c r="B32" s="138">
        <v>0.65277777777777801</v>
      </c>
      <c r="C32" s="150"/>
      <c r="D32" s="177"/>
      <c r="E32" s="149"/>
      <c r="F32" s="211"/>
      <c r="G32" s="184"/>
      <c r="H32" s="138">
        <f t="shared" si="0"/>
        <v>0</v>
      </c>
      <c r="I32" s="182"/>
      <c r="J32" s="183"/>
      <c r="K32" s="184"/>
      <c r="L32" s="138">
        <f t="shared" si="4"/>
        <v>0</v>
      </c>
      <c r="M32" s="182"/>
      <c r="N32" s="183"/>
      <c r="O32" s="184"/>
      <c r="P32" s="138">
        <f t="shared" si="5"/>
        <v>0</v>
      </c>
      <c r="Q32" s="182"/>
      <c r="R32" s="185"/>
      <c r="S32" s="184"/>
      <c r="T32" s="152"/>
      <c r="U32" s="188">
        <f t="shared" si="3"/>
        <v>0</v>
      </c>
    </row>
    <row r="33" spans="1:21" ht="39.5" customHeight="1" x14ac:dyDescent="0.45">
      <c r="A33" s="176" t="s">
        <v>11</v>
      </c>
      <c r="B33" s="138">
        <v>0.65972222222222199</v>
      </c>
      <c r="C33" s="150"/>
      <c r="D33" s="177"/>
      <c r="E33" s="149"/>
      <c r="F33" s="211"/>
      <c r="G33" s="184"/>
      <c r="H33" s="138">
        <f t="shared" si="0"/>
        <v>0</v>
      </c>
      <c r="I33" s="182"/>
      <c r="J33" s="183"/>
      <c r="K33" s="184"/>
      <c r="L33" s="138">
        <f t="shared" si="4"/>
        <v>0</v>
      </c>
      <c r="M33" s="182"/>
      <c r="N33" s="183"/>
      <c r="O33" s="184"/>
      <c r="P33" s="138">
        <f t="shared" si="5"/>
        <v>0</v>
      </c>
      <c r="Q33" s="182"/>
      <c r="R33" s="185"/>
      <c r="S33" s="184"/>
      <c r="T33" s="152"/>
      <c r="U33" s="188">
        <f t="shared" si="3"/>
        <v>0</v>
      </c>
    </row>
    <row r="34" spans="1:21" ht="39.5" hidden="1" customHeight="1" x14ac:dyDescent="0.45">
      <c r="A34" s="176" t="s">
        <v>11</v>
      </c>
      <c r="B34" s="138">
        <v>0.66666666666666696</v>
      </c>
      <c r="C34" s="150"/>
      <c r="D34" s="177"/>
      <c r="E34" s="149"/>
      <c r="F34" s="211"/>
      <c r="G34" s="184"/>
      <c r="H34" s="138">
        <f t="shared" si="0"/>
        <v>0</v>
      </c>
      <c r="I34" s="182"/>
      <c r="J34" s="183"/>
      <c r="K34" s="184"/>
      <c r="L34" s="138">
        <f t="shared" si="4"/>
        <v>0</v>
      </c>
      <c r="M34" s="182"/>
      <c r="N34" s="183"/>
      <c r="O34" s="184"/>
      <c r="P34" s="138">
        <f t="shared" si="5"/>
        <v>0</v>
      </c>
      <c r="Q34" s="182"/>
      <c r="R34" s="185"/>
      <c r="S34" s="184"/>
      <c r="T34" s="152"/>
      <c r="U34" s="188">
        <f t="shared" si="3"/>
        <v>0</v>
      </c>
    </row>
    <row r="35" spans="1:21" ht="39.5" hidden="1" customHeight="1" x14ac:dyDescent="0.45">
      <c r="A35" s="176" t="s">
        <v>11</v>
      </c>
      <c r="B35" s="138">
        <v>0.67361111111111105</v>
      </c>
      <c r="C35" s="150"/>
      <c r="D35" s="177"/>
      <c r="E35" s="149"/>
      <c r="F35" s="211"/>
      <c r="G35" s="184"/>
      <c r="H35" s="138">
        <f t="shared" si="0"/>
        <v>0</v>
      </c>
      <c r="I35" s="182"/>
      <c r="J35" s="183"/>
      <c r="K35" s="184"/>
      <c r="L35" s="138">
        <f t="shared" si="4"/>
        <v>0</v>
      </c>
      <c r="M35" s="182"/>
      <c r="N35" s="183"/>
      <c r="O35" s="184"/>
      <c r="P35" s="138">
        <f t="shared" si="5"/>
        <v>0</v>
      </c>
      <c r="Q35" s="182"/>
      <c r="R35" s="185"/>
      <c r="S35" s="184"/>
      <c r="T35" s="152"/>
      <c r="U35" s="188">
        <f t="shared" si="3"/>
        <v>0</v>
      </c>
    </row>
    <row r="36" spans="1:21" ht="39.5" hidden="1" customHeight="1" x14ac:dyDescent="0.45">
      <c r="A36" s="176" t="s">
        <v>11</v>
      </c>
      <c r="B36" s="138">
        <v>0.68055555555555503</v>
      </c>
      <c r="C36" s="150"/>
      <c r="D36" s="177"/>
      <c r="E36" s="149"/>
      <c r="F36" s="211"/>
      <c r="G36" s="184"/>
      <c r="H36" s="138">
        <f t="shared" si="0"/>
        <v>0</v>
      </c>
      <c r="I36" s="182"/>
      <c r="J36" s="183"/>
      <c r="K36" s="184"/>
      <c r="L36" s="138">
        <f t="shared" si="4"/>
        <v>0</v>
      </c>
      <c r="M36" s="182"/>
      <c r="N36" s="183"/>
      <c r="O36" s="184"/>
      <c r="P36" s="138">
        <f t="shared" si="5"/>
        <v>0</v>
      </c>
      <c r="Q36" s="182"/>
      <c r="R36" s="185"/>
      <c r="S36" s="184"/>
      <c r="T36" s="152"/>
      <c r="U36" s="188">
        <f t="shared" si="3"/>
        <v>0</v>
      </c>
    </row>
    <row r="37" spans="1:21" ht="39.5" hidden="1" customHeight="1" x14ac:dyDescent="0.45">
      <c r="A37" s="176" t="s">
        <v>11</v>
      </c>
      <c r="B37" s="138">
        <v>0.6875</v>
      </c>
      <c r="C37" s="150"/>
      <c r="D37" s="177"/>
      <c r="E37" s="149"/>
      <c r="F37" s="211"/>
      <c r="G37" s="184"/>
      <c r="H37" s="138">
        <f t="shared" si="0"/>
        <v>0</v>
      </c>
      <c r="I37" s="182"/>
      <c r="J37" s="183"/>
      <c r="K37" s="184"/>
      <c r="L37" s="138">
        <f t="shared" si="4"/>
        <v>0</v>
      </c>
      <c r="M37" s="182"/>
      <c r="N37" s="183"/>
      <c r="O37" s="184"/>
      <c r="P37" s="138">
        <f t="shared" si="5"/>
        <v>0</v>
      </c>
      <c r="Q37" s="182"/>
      <c r="R37" s="185"/>
      <c r="S37" s="184"/>
      <c r="T37" s="152"/>
      <c r="U37" s="188">
        <f t="shared" si="3"/>
        <v>0</v>
      </c>
    </row>
    <row r="38" spans="1:21" ht="39.5" customHeight="1" x14ac:dyDescent="0.45">
      <c r="A38" s="176" t="s">
        <v>11</v>
      </c>
      <c r="B38" s="138">
        <v>0.69444444444444398</v>
      </c>
      <c r="C38" s="150"/>
      <c r="D38" s="177"/>
      <c r="E38" s="149"/>
      <c r="F38" s="211"/>
      <c r="G38" s="184"/>
      <c r="H38" s="138">
        <f t="shared" si="0"/>
        <v>0</v>
      </c>
      <c r="I38" s="182"/>
      <c r="J38" s="183"/>
      <c r="K38" s="184"/>
      <c r="L38" s="138">
        <f t="shared" si="4"/>
        <v>0</v>
      </c>
      <c r="M38" s="182"/>
      <c r="N38" s="183"/>
      <c r="O38" s="184"/>
      <c r="P38" s="138">
        <f t="shared" si="5"/>
        <v>0</v>
      </c>
      <c r="Q38" s="182"/>
      <c r="R38" s="185"/>
      <c r="S38" s="184"/>
      <c r="T38" s="152"/>
      <c r="U38" s="188">
        <f t="shared" si="3"/>
        <v>0</v>
      </c>
    </row>
    <row r="39" spans="1:21" ht="39.5" hidden="1" customHeight="1" x14ac:dyDescent="0.45">
      <c r="A39" s="176" t="s">
        <v>11</v>
      </c>
      <c r="B39" s="138">
        <v>0.70138888888888895</v>
      </c>
      <c r="C39" s="150"/>
      <c r="D39" s="177"/>
      <c r="E39" s="149"/>
      <c r="F39" s="211"/>
      <c r="G39" s="184"/>
      <c r="H39" s="138">
        <f t="shared" si="0"/>
        <v>0</v>
      </c>
      <c r="I39" s="182"/>
      <c r="J39" s="183"/>
      <c r="K39" s="184"/>
      <c r="L39" s="138">
        <f t="shared" si="4"/>
        <v>0</v>
      </c>
      <c r="M39" s="182"/>
      <c r="N39" s="183"/>
      <c r="O39" s="184"/>
      <c r="P39" s="138">
        <f t="shared" si="5"/>
        <v>0</v>
      </c>
      <c r="Q39" s="182"/>
      <c r="R39" s="185"/>
      <c r="S39" s="184"/>
      <c r="T39" s="152"/>
      <c r="U39" s="188">
        <f t="shared" si="3"/>
        <v>0</v>
      </c>
    </row>
    <row r="40" spans="1:21" ht="39.5" hidden="1" customHeight="1" x14ac:dyDescent="0.45">
      <c r="A40" s="176" t="s">
        <v>11</v>
      </c>
      <c r="B40" s="138">
        <v>0.70833333333333304</v>
      </c>
      <c r="C40" s="150"/>
      <c r="D40" s="177"/>
      <c r="E40" s="149"/>
      <c r="F40" s="211"/>
      <c r="G40" s="184"/>
      <c r="H40" s="138">
        <f t="shared" si="0"/>
        <v>0</v>
      </c>
      <c r="I40" s="182"/>
      <c r="J40" s="183"/>
      <c r="K40" s="184"/>
      <c r="L40" s="138">
        <f t="shared" si="4"/>
        <v>0</v>
      </c>
      <c r="M40" s="182"/>
      <c r="N40" s="183"/>
      <c r="O40" s="184"/>
      <c r="P40" s="138">
        <f t="shared" si="5"/>
        <v>0</v>
      </c>
      <c r="Q40" s="182"/>
      <c r="R40" s="185"/>
      <c r="S40" s="184"/>
      <c r="T40" s="152"/>
      <c r="U40" s="188">
        <f t="shared" si="3"/>
        <v>0</v>
      </c>
    </row>
    <row r="41" spans="1:21" ht="39.5" hidden="1" customHeight="1" x14ac:dyDescent="0.45">
      <c r="A41" s="176" t="s">
        <v>11</v>
      </c>
      <c r="B41" s="138">
        <v>0.71527777777777701</v>
      </c>
      <c r="C41" s="150"/>
      <c r="D41" s="177"/>
      <c r="E41" s="149"/>
      <c r="F41" s="211"/>
      <c r="G41" s="184"/>
      <c r="H41" s="138">
        <f t="shared" si="0"/>
        <v>0</v>
      </c>
      <c r="I41" s="182"/>
      <c r="J41" s="183"/>
      <c r="K41" s="184"/>
      <c r="L41" s="138">
        <f t="shared" si="4"/>
        <v>0</v>
      </c>
      <c r="M41" s="182"/>
      <c r="N41" s="183"/>
      <c r="O41" s="184"/>
      <c r="P41" s="138">
        <f t="shared" si="5"/>
        <v>0</v>
      </c>
      <c r="Q41" s="182"/>
      <c r="R41" s="185"/>
      <c r="S41" s="184"/>
      <c r="T41" s="152"/>
      <c r="U41" s="188">
        <f t="shared" si="3"/>
        <v>0</v>
      </c>
    </row>
    <row r="42" spans="1:21" ht="39.5" hidden="1" customHeight="1" x14ac:dyDescent="0.45">
      <c r="A42" s="176" t="s">
        <v>11</v>
      </c>
      <c r="B42" s="138">
        <v>0.72222222222222199</v>
      </c>
      <c r="C42" s="150"/>
      <c r="D42" s="177"/>
      <c r="E42" s="149"/>
      <c r="F42" s="211"/>
      <c r="G42" s="184"/>
      <c r="H42" s="138">
        <f t="shared" si="0"/>
        <v>0</v>
      </c>
      <c r="I42" s="182"/>
      <c r="J42" s="183"/>
      <c r="K42" s="184"/>
      <c r="L42" s="138">
        <f t="shared" si="4"/>
        <v>0</v>
      </c>
      <c r="M42" s="182"/>
      <c r="N42" s="183"/>
      <c r="O42" s="184"/>
      <c r="P42" s="138">
        <f t="shared" si="5"/>
        <v>0</v>
      </c>
      <c r="Q42" s="182"/>
      <c r="R42" s="185"/>
      <c r="S42" s="184"/>
      <c r="T42" s="152"/>
      <c r="U42" s="188">
        <f t="shared" si="3"/>
        <v>0</v>
      </c>
    </row>
    <row r="43" spans="1:21" ht="39.5" hidden="1" customHeight="1" x14ac:dyDescent="0.45">
      <c r="A43" s="176" t="s">
        <v>11</v>
      </c>
      <c r="B43" s="138">
        <v>0.72916666666666596</v>
      </c>
      <c r="C43" s="150"/>
      <c r="D43" s="177"/>
      <c r="E43" s="149"/>
      <c r="F43" s="211"/>
      <c r="G43" s="184"/>
      <c r="H43" s="138">
        <f t="shared" si="0"/>
        <v>0</v>
      </c>
      <c r="I43" s="182"/>
      <c r="J43" s="183"/>
      <c r="K43" s="184"/>
      <c r="L43" s="138">
        <f t="shared" si="4"/>
        <v>0</v>
      </c>
      <c r="M43" s="182"/>
      <c r="N43" s="183"/>
      <c r="O43" s="184"/>
      <c r="P43" s="138">
        <f t="shared" si="5"/>
        <v>0</v>
      </c>
      <c r="Q43" s="182"/>
      <c r="R43" s="185"/>
      <c r="S43" s="184"/>
      <c r="T43" s="152"/>
      <c r="U43" s="188">
        <f t="shared" si="3"/>
        <v>0</v>
      </c>
    </row>
    <row r="44" spans="1:21" ht="39.5" hidden="1" customHeight="1" x14ac:dyDescent="0.45">
      <c r="A44" s="176" t="s">
        <v>11</v>
      </c>
      <c r="B44" s="138">
        <v>0.73611111111111105</v>
      </c>
      <c r="C44" s="150"/>
      <c r="D44" s="177"/>
      <c r="E44" s="149"/>
      <c r="F44" s="211"/>
      <c r="G44" s="184"/>
      <c r="H44" s="138">
        <f t="shared" si="0"/>
        <v>0</v>
      </c>
      <c r="I44" s="182"/>
      <c r="J44" s="183"/>
      <c r="K44" s="184"/>
      <c r="L44" s="138">
        <f t="shared" si="4"/>
        <v>0</v>
      </c>
      <c r="M44" s="182"/>
      <c r="N44" s="183"/>
      <c r="O44" s="184"/>
      <c r="P44" s="138">
        <f t="shared" si="5"/>
        <v>0</v>
      </c>
      <c r="Q44" s="182"/>
      <c r="R44" s="185"/>
      <c r="S44" s="184"/>
      <c r="T44" s="152"/>
      <c r="U44" s="188">
        <f t="shared" si="3"/>
        <v>0</v>
      </c>
    </row>
    <row r="45" spans="1:21" ht="39.5" customHeight="1" x14ac:dyDescent="0.45">
      <c r="A45" s="176" t="s">
        <v>11</v>
      </c>
      <c r="B45" s="138">
        <v>0.74305555555555503</v>
      </c>
      <c r="C45" s="150"/>
      <c r="D45" s="177"/>
      <c r="E45" s="149"/>
      <c r="F45" s="211"/>
      <c r="G45" s="184"/>
      <c r="H45" s="138">
        <f t="shared" si="0"/>
        <v>0</v>
      </c>
      <c r="I45" s="182"/>
      <c r="J45" s="183"/>
      <c r="K45" s="184"/>
      <c r="L45" s="138">
        <f t="shared" si="4"/>
        <v>0</v>
      </c>
      <c r="M45" s="182"/>
      <c r="N45" s="183"/>
      <c r="O45" s="184"/>
      <c r="P45" s="138">
        <f t="shared" si="5"/>
        <v>0</v>
      </c>
      <c r="Q45" s="182"/>
      <c r="R45" s="185"/>
      <c r="S45" s="184"/>
      <c r="T45" s="152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66C8-C6A2-4C4B-8A6D-E1562AFFD8AC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33203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43</v>
      </c>
    </row>
    <row r="3" spans="1:21" ht="27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31.05" customHeight="1" x14ac:dyDescent="0.45">
      <c r="A4" s="137" t="s">
        <v>13</v>
      </c>
      <c r="B4" s="242" t="str">
        <f>VLOOKUP(B2,'Liste chauffeur'!$B$5:$L$20,2,TRUE)&amp;" "&amp;VLOOKUP(B2,'Liste chauffeur'!$B$5:$L$20,3,TRUE)</f>
        <v>MADI BOINA Mkidachi</v>
      </c>
      <c r="C4" s="243"/>
      <c r="D4" s="244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customHeight="1" x14ac:dyDescent="0.45">
      <c r="A8" s="214" t="s">
        <v>8</v>
      </c>
      <c r="B8" s="213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customHeight="1" x14ac:dyDescent="0.45">
      <c r="A9" s="214" t="s">
        <v>8</v>
      </c>
      <c r="B9" s="213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customHeight="1" x14ac:dyDescent="0.45">
      <c r="A10" s="214" t="s">
        <v>8</v>
      </c>
      <c r="B10" s="213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customHeight="1" x14ac:dyDescent="0.45">
      <c r="A11" s="214" t="s">
        <v>8</v>
      </c>
      <c r="B11" s="213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customHeight="1" x14ac:dyDescent="0.45">
      <c r="A12" s="214" t="s">
        <v>8</v>
      </c>
      <c r="B12" s="213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customHeight="1" x14ac:dyDescent="0.45">
      <c r="A13" s="214" t="s">
        <v>8</v>
      </c>
      <c r="B13" s="213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customHeight="1" x14ac:dyDescent="0.45">
      <c r="A14" s="214" t="s">
        <v>8</v>
      </c>
      <c r="B14" s="213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customHeight="1" x14ac:dyDescent="0.45">
      <c r="A15" s="214" t="s">
        <v>8</v>
      </c>
      <c r="B15" s="213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customHeight="1" x14ac:dyDescent="0.45">
      <c r="A16" s="149" t="s">
        <v>8</v>
      </c>
      <c r="B16" s="138">
        <v>0.26388888888888901</v>
      </c>
      <c r="C16" s="150"/>
      <c r="D16" s="151"/>
      <c r="E16" s="182"/>
      <c r="F16" s="183"/>
      <c r="G16" s="184"/>
      <c r="H16" s="138">
        <f t="shared" si="0"/>
        <v>0</v>
      </c>
      <c r="I16" s="182"/>
      <c r="J16" s="183"/>
      <c r="K16" s="184"/>
      <c r="L16" s="138">
        <f t="shared" si="1"/>
        <v>0</v>
      </c>
      <c r="M16" s="182"/>
      <c r="N16" s="183"/>
      <c r="O16" s="184"/>
      <c r="P16" s="138">
        <f t="shared" si="2"/>
        <v>0</v>
      </c>
      <c r="Q16" s="182"/>
      <c r="R16" s="185"/>
      <c r="S16" s="184"/>
      <c r="T16" s="152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customHeight="1" x14ac:dyDescent="0.45">
      <c r="A39" s="171" t="s">
        <v>11</v>
      </c>
      <c r="B39" s="172">
        <v>0.70138888888888895</v>
      </c>
      <c r="C39" s="173"/>
      <c r="D39" s="174"/>
      <c r="E39" s="197"/>
      <c r="F39" s="198"/>
      <c r="G39" s="199"/>
      <c r="H39" s="172">
        <f t="shared" si="0"/>
        <v>0</v>
      </c>
      <c r="I39" s="200"/>
      <c r="J39" s="201"/>
      <c r="K39" s="199"/>
      <c r="L39" s="172">
        <f t="shared" si="4"/>
        <v>0</v>
      </c>
      <c r="M39" s="200"/>
      <c r="N39" s="201"/>
      <c r="O39" s="199"/>
      <c r="P39" s="172">
        <f t="shared" si="5"/>
        <v>0</v>
      </c>
      <c r="Q39" s="200"/>
      <c r="R39" s="202"/>
      <c r="S39" s="199"/>
      <c r="T39" s="175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72" orientation="landscape" copies="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0A09-DE4D-4FD1-B1D4-2ECFBC91245E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44</v>
      </c>
    </row>
    <row r="3" spans="1:21" ht="30.5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6.55" customHeight="1" x14ac:dyDescent="0.45">
      <c r="A4" s="137" t="s">
        <v>13</v>
      </c>
      <c r="B4" s="248" t="s">
        <v>330</v>
      </c>
      <c r="C4" s="243"/>
      <c r="D4" s="244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customHeight="1" x14ac:dyDescent="0.45">
      <c r="A39" s="171" t="s">
        <v>11</v>
      </c>
      <c r="B39" s="172">
        <v>0.70138888888888895</v>
      </c>
      <c r="C39" s="173"/>
      <c r="D39" s="174"/>
      <c r="E39" s="197"/>
      <c r="F39" s="198"/>
      <c r="G39" s="199"/>
      <c r="H39" s="172">
        <f t="shared" si="0"/>
        <v>0</v>
      </c>
      <c r="I39" s="200"/>
      <c r="J39" s="201"/>
      <c r="K39" s="199"/>
      <c r="L39" s="172">
        <f t="shared" si="4"/>
        <v>0</v>
      </c>
      <c r="M39" s="200"/>
      <c r="N39" s="201"/>
      <c r="O39" s="199"/>
      <c r="P39" s="172">
        <f t="shared" si="5"/>
        <v>0</v>
      </c>
      <c r="Q39" s="200"/>
      <c r="R39" s="202"/>
      <c r="S39" s="199"/>
      <c r="T39" s="175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EAA-4D7A-4A3B-BA0B-90552BEBBF1A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33203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45</v>
      </c>
    </row>
    <row r="3" spans="1:21" ht="39.5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37.049999999999997" customHeight="1" x14ac:dyDescent="0.45">
      <c r="A4" s="137" t="s">
        <v>13</v>
      </c>
      <c r="B4" s="242" t="str">
        <f>VLOOKUP(B2,'Liste chauffeur'!$B$5:$L$20,2,TRUE)&amp;" "&amp;VLOOKUP(B2,'Liste chauffeur'!$B$5:$L$20,3,TRUE)</f>
        <v>ABDALLAH Ben (Taxi Vanille)</v>
      </c>
      <c r="C4" s="139"/>
      <c r="D4" s="140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customHeight="1" x14ac:dyDescent="0.45">
      <c r="A40" s="171" t="s">
        <v>11</v>
      </c>
      <c r="B40" s="172">
        <v>0.70833333333333304</v>
      </c>
      <c r="C40" s="173"/>
      <c r="D40" s="174"/>
      <c r="E40" s="197"/>
      <c r="F40" s="198"/>
      <c r="G40" s="199"/>
      <c r="H40" s="172">
        <f t="shared" si="0"/>
        <v>0</v>
      </c>
      <c r="I40" s="200"/>
      <c r="J40" s="201"/>
      <c r="K40" s="199"/>
      <c r="L40" s="172">
        <f t="shared" si="4"/>
        <v>0</v>
      </c>
      <c r="M40" s="200"/>
      <c r="N40" s="201"/>
      <c r="O40" s="199"/>
      <c r="P40" s="172">
        <f t="shared" si="5"/>
        <v>0</v>
      </c>
      <c r="Q40" s="200"/>
      <c r="R40" s="202"/>
      <c r="S40" s="199"/>
      <c r="T40" s="175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2" orientation="landscape" copies="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768F-D706-459F-82E9-6E089B691108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46</v>
      </c>
    </row>
    <row r="3" spans="1:21" ht="30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5.05" customHeight="1" x14ac:dyDescent="0.45">
      <c r="A4" s="137" t="s">
        <v>13</v>
      </c>
      <c r="B4" s="242" t="str">
        <f>VLOOKUP(B2,'Liste chauffeur'!$B$5:$L$20,2,TRUE)&amp;" "&amp;VLOOKUP(B2,'Liste chauffeur'!$B$5:$L$20,3,TRUE)</f>
        <v>KAMARDINE Mansour</v>
      </c>
      <c r="C4" s="139"/>
      <c r="D4" s="140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customHeight="1" x14ac:dyDescent="0.45">
      <c r="A40" s="171" t="s">
        <v>11</v>
      </c>
      <c r="B40" s="172">
        <v>0.70833333333333304</v>
      </c>
      <c r="C40" s="173"/>
      <c r="D40" s="174"/>
      <c r="E40" s="197"/>
      <c r="F40" s="198"/>
      <c r="G40" s="199"/>
      <c r="H40" s="172">
        <f t="shared" si="0"/>
        <v>0</v>
      </c>
      <c r="I40" s="200"/>
      <c r="J40" s="201"/>
      <c r="K40" s="199"/>
      <c r="L40" s="172">
        <f t="shared" si="4"/>
        <v>0</v>
      </c>
      <c r="M40" s="200"/>
      <c r="N40" s="201"/>
      <c r="O40" s="199"/>
      <c r="P40" s="172">
        <f t="shared" si="5"/>
        <v>0</v>
      </c>
      <c r="Q40" s="200"/>
      <c r="R40" s="202"/>
      <c r="S40" s="199"/>
      <c r="T40" s="175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DE14-F74C-4077-A545-BC3D59E09E2F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7968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15.75" x14ac:dyDescent="0.45">
      <c r="A2" s="137" t="s">
        <v>18</v>
      </c>
      <c r="B2" s="245" t="s">
        <v>31</v>
      </c>
    </row>
    <row r="3" spans="1:21" ht="25.05" customHeight="1" x14ac:dyDescent="0.45">
      <c r="A3" s="137" t="s">
        <v>14</v>
      </c>
      <c r="B3" s="492" t="str">
        <f>IF(ISBLANK(Feuil1!$B$3),"",Feuil1!$B$3)</f>
        <v/>
      </c>
      <c r="C3" s="493"/>
      <c r="D3" s="140"/>
    </row>
    <row r="4" spans="1:21" ht="24.5" customHeight="1" x14ac:dyDescent="0.45">
      <c r="A4" s="137" t="s">
        <v>13</v>
      </c>
      <c r="B4" s="209" t="str">
        <f>VLOOKUP(B2,'Liste chauffeur'!$B$5:$L$20,2,TRUE)&amp;" "&amp;VLOOKUP(B2,'Liste chauffeur'!$B$5:$L$20,3,TRUE)</f>
        <v>HAMADA Babou</v>
      </c>
      <c r="C4" s="139"/>
      <c r="D4" s="140"/>
    </row>
    <row r="6" spans="1:21" x14ac:dyDescent="0.45">
      <c r="A6" s="141"/>
      <c r="B6" s="142"/>
      <c r="C6" s="142"/>
      <c r="D6" s="143"/>
      <c r="E6" s="508" t="s">
        <v>2</v>
      </c>
      <c r="F6" s="509"/>
      <c r="G6" s="510"/>
      <c r="H6" s="226"/>
      <c r="I6" s="508" t="s">
        <v>6</v>
      </c>
      <c r="J6" s="509"/>
      <c r="K6" s="510"/>
      <c r="L6" s="226"/>
      <c r="M6" s="508" t="s">
        <v>7</v>
      </c>
      <c r="N6" s="509"/>
      <c r="O6" s="510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131</v>
      </c>
      <c r="F7" s="233" t="s">
        <v>328</v>
      </c>
      <c r="G7" s="147" t="s">
        <v>5</v>
      </c>
      <c r="H7" s="146" t="s">
        <v>19</v>
      </c>
      <c r="I7" s="231" t="s">
        <v>131</v>
      </c>
      <c r="J7" s="233" t="s">
        <v>328</v>
      </c>
      <c r="K7" s="147" t="s">
        <v>9</v>
      </c>
      <c r="L7" s="146" t="s">
        <v>19</v>
      </c>
      <c r="M7" s="231" t="s">
        <v>131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7DB5-CBA2-4647-B72B-24E0C7D4BE87}">
  <sheetPr>
    <pageSetUpPr fitToPage="1"/>
  </sheetPr>
  <dimension ref="A2:W49"/>
  <sheetViews>
    <sheetView topLeftCell="A8" zoomScaleNormal="100" zoomScaleSheetLayoutView="68" workbookViewId="0">
      <selection activeCell="B4" sqref="B4"/>
    </sheetView>
  </sheetViews>
  <sheetFormatPr baseColWidth="10" defaultColWidth="10.796875" defaultRowHeight="14.25" x14ac:dyDescent="0.45"/>
  <cols>
    <col min="1" max="1" width="13.6640625" style="137" customWidth="1"/>
    <col min="2" max="2" width="23.46484375" style="137" customWidth="1"/>
    <col min="3" max="3" width="27" style="137" customWidth="1"/>
    <col min="4" max="8" width="10.796875" style="137"/>
    <col min="9" max="9" width="0" style="137" hidden="1" customWidth="1"/>
    <col min="10" max="10" width="10.796875" style="137" hidden="1" customWidth="1"/>
    <col min="11" max="12" width="10.796875" style="137"/>
    <col min="13" max="13" width="0" style="137" hidden="1" customWidth="1"/>
    <col min="14" max="14" width="10.796875" style="137" hidden="1" customWidth="1"/>
    <col min="15" max="16" width="10.796875" style="137"/>
    <col min="17" max="17" width="0" style="137" hidden="1" customWidth="1"/>
    <col min="18" max="18" width="10.796875" style="137" hidden="1" customWidth="1"/>
    <col min="19" max="20" width="0" style="137" hidden="1" customWidth="1"/>
    <col min="21" max="21" width="19.796875" style="137" customWidth="1"/>
    <col min="22" max="22" width="34.796875" style="137" customWidth="1"/>
    <col min="23" max="23" width="0" style="137" hidden="1" customWidth="1"/>
    <col min="24" max="16384" width="10.796875" style="137"/>
  </cols>
  <sheetData>
    <row r="2" spans="1:23" ht="28.5" x14ac:dyDescent="0.45">
      <c r="A2" s="215" t="s">
        <v>21</v>
      </c>
      <c r="B2" s="238" t="s">
        <v>47</v>
      </c>
      <c r="C2" s="216" t="s">
        <v>32</v>
      </c>
    </row>
    <row r="3" spans="1:23" ht="29" customHeight="1" x14ac:dyDescent="0.45">
      <c r="A3" s="137" t="s">
        <v>14</v>
      </c>
      <c r="B3" s="492" t="str">
        <f>IF(ISBLANK(Feuil1!$B$3),"",Feuil1!$B$3)</f>
        <v/>
      </c>
      <c r="C3" s="514"/>
    </row>
    <row r="4" spans="1:23" ht="24" customHeight="1" x14ac:dyDescent="0.45">
      <c r="A4" s="137" t="s">
        <v>13</v>
      </c>
      <c r="B4" s="242" t="str">
        <f>VLOOKUP(B2,'Liste chauffeur'!$B$5:$L$20,2,TRUE)&amp;" "&amp;VLOOKUP(B2,'Liste chauffeur'!$B$5:$L$20,3,TRUE)</f>
        <v>HAMADA Babou</v>
      </c>
      <c r="C4" s="243"/>
      <c r="D4" s="244"/>
    </row>
    <row r="6" spans="1:23" x14ac:dyDescent="0.45">
      <c r="A6" s="141"/>
      <c r="B6" s="142"/>
      <c r="C6" s="142"/>
      <c r="D6" s="142"/>
      <c r="E6" s="142"/>
      <c r="F6" s="143"/>
      <c r="G6" s="511" t="s">
        <v>2</v>
      </c>
      <c r="H6" s="512"/>
      <c r="I6" s="513"/>
      <c r="J6" s="178"/>
      <c r="K6" s="511" t="s">
        <v>6</v>
      </c>
      <c r="L6" s="512"/>
      <c r="M6" s="513"/>
      <c r="N6" s="178"/>
      <c r="O6" s="511" t="s">
        <v>7</v>
      </c>
      <c r="P6" s="512"/>
      <c r="Q6" s="513"/>
      <c r="R6" s="178"/>
      <c r="S6" s="179" t="s">
        <v>11</v>
      </c>
      <c r="T6" s="180"/>
      <c r="U6" s="143"/>
      <c r="V6" s="144"/>
      <c r="W6" s="143"/>
    </row>
    <row r="7" spans="1:23" ht="47.25" x14ac:dyDescent="0.45">
      <c r="A7" s="145" t="s">
        <v>28</v>
      </c>
      <c r="B7" s="228" t="s">
        <v>29</v>
      </c>
      <c r="C7" s="228" t="s">
        <v>30</v>
      </c>
      <c r="D7" s="227" t="s">
        <v>0</v>
      </c>
      <c r="E7" s="228" t="s">
        <v>1</v>
      </c>
      <c r="F7" s="229" t="s">
        <v>23</v>
      </c>
      <c r="G7" s="232" t="s">
        <v>131</v>
      </c>
      <c r="H7" s="233" t="s">
        <v>328</v>
      </c>
      <c r="I7" s="147" t="s">
        <v>5</v>
      </c>
      <c r="J7" s="146" t="s">
        <v>19</v>
      </c>
      <c r="K7" s="231" t="s">
        <v>131</v>
      </c>
      <c r="L7" s="233" t="s">
        <v>328</v>
      </c>
      <c r="M7" s="147" t="s">
        <v>9</v>
      </c>
      <c r="N7" s="146" t="s">
        <v>19</v>
      </c>
      <c r="O7" s="231" t="s">
        <v>131</v>
      </c>
      <c r="P7" s="233" t="s">
        <v>328</v>
      </c>
      <c r="Q7" s="229" t="s">
        <v>10</v>
      </c>
      <c r="R7" s="227" t="s">
        <v>19</v>
      </c>
      <c r="S7" s="246" t="s">
        <v>22</v>
      </c>
      <c r="T7" s="227"/>
      <c r="U7" s="229" t="s">
        <v>17</v>
      </c>
      <c r="V7" s="230" t="s">
        <v>12</v>
      </c>
      <c r="W7" s="168" t="s">
        <v>20</v>
      </c>
    </row>
    <row r="8" spans="1:23" ht="40.049999999999997" customHeight="1" x14ac:dyDescent="0.45">
      <c r="A8" s="214" t="s">
        <v>8</v>
      </c>
      <c r="B8" s="217"/>
      <c r="C8" s="217"/>
      <c r="D8" s="213"/>
      <c r="E8" s="155"/>
      <c r="F8" s="156"/>
      <c r="G8" s="186"/>
      <c r="H8" s="187"/>
      <c r="I8" s="188"/>
      <c r="J8" s="154">
        <f>I8-E8</f>
        <v>0</v>
      </c>
      <c r="K8" s="186"/>
      <c r="L8" s="187"/>
      <c r="M8" s="188"/>
      <c r="N8" s="154">
        <f>M8-I8</f>
        <v>0</v>
      </c>
      <c r="O8" s="186"/>
      <c r="P8" s="187"/>
      <c r="Q8" s="188"/>
      <c r="R8" s="154">
        <f>Q8-M8</f>
        <v>0</v>
      </c>
      <c r="S8" s="218"/>
      <c r="T8" s="189" t="str">
        <f>IF(F8+G8-H8+K8-L8+O8-P8=S8,"OK",F8+G8-H8+K8-L8+O8-P8-S8)</f>
        <v>OK</v>
      </c>
      <c r="U8" s="188"/>
      <c r="V8" s="157"/>
      <c r="W8" s="188">
        <f>U8-E8</f>
        <v>0</v>
      </c>
    </row>
    <row r="9" spans="1:23" ht="40.049999999999997" customHeight="1" x14ac:dyDescent="0.45">
      <c r="A9" s="214" t="s">
        <v>8</v>
      </c>
      <c r="B9" s="217"/>
      <c r="C9" s="217"/>
      <c r="D9" s="213"/>
      <c r="E9" s="155"/>
      <c r="F9" s="156"/>
      <c r="G9" s="186"/>
      <c r="H9" s="187"/>
      <c r="I9" s="188"/>
      <c r="J9" s="154">
        <f t="shared" ref="J9:J46" si="0">I9-E9</f>
        <v>0</v>
      </c>
      <c r="K9" s="186"/>
      <c r="L9" s="187"/>
      <c r="M9" s="188"/>
      <c r="N9" s="154">
        <f t="shared" ref="N9:N26" si="1">M9-I9</f>
        <v>0</v>
      </c>
      <c r="O9" s="186"/>
      <c r="P9" s="187"/>
      <c r="Q9" s="188"/>
      <c r="R9" s="154">
        <f t="shared" ref="R9:R26" si="2">Q9-M9</f>
        <v>0</v>
      </c>
      <c r="S9" s="218"/>
      <c r="T9" s="189"/>
      <c r="U9" s="188"/>
      <c r="V9" s="157"/>
      <c r="W9" s="188">
        <f t="shared" ref="W9:W46" si="3">U9-E9</f>
        <v>0</v>
      </c>
    </row>
    <row r="10" spans="1:23" ht="40.049999999999997" customHeight="1" x14ac:dyDescent="0.45">
      <c r="A10" s="214" t="s">
        <v>8</v>
      </c>
      <c r="B10" s="217"/>
      <c r="C10" s="217"/>
      <c r="D10" s="213"/>
      <c r="E10" s="155"/>
      <c r="F10" s="156"/>
      <c r="G10" s="186"/>
      <c r="H10" s="187"/>
      <c r="I10" s="188"/>
      <c r="J10" s="154">
        <f t="shared" si="0"/>
        <v>0</v>
      </c>
      <c r="K10" s="186"/>
      <c r="L10" s="187"/>
      <c r="M10" s="188"/>
      <c r="N10" s="154">
        <f t="shared" si="1"/>
        <v>0</v>
      </c>
      <c r="O10" s="186"/>
      <c r="P10" s="187"/>
      <c r="Q10" s="188"/>
      <c r="R10" s="154">
        <f t="shared" si="2"/>
        <v>0</v>
      </c>
      <c r="S10" s="218"/>
      <c r="T10" s="189"/>
      <c r="U10" s="188"/>
      <c r="V10" s="157"/>
      <c r="W10" s="188">
        <f t="shared" si="3"/>
        <v>0</v>
      </c>
    </row>
    <row r="11" spans="1:23" ht="40.049999999999997" customHeight="1" x14ac:dyDescent="0.45">
      <c r="A11" s="214" t="s">
        <v>8</v>
      </c>
      <c r="B11" s="217"/>
      <c r="C11" s="217"/>
      <c r="D11" s="213"/>
      <c r="E11" s="155"/>
      <c r="F11" s="156"/>
      <c r="G11" s="186"/>
      <c r="H11" s="187"/>
      <c r="I11" s="188"/>
      <c r="J11" s="154">
        <f t="shared" si="0"/>
        <v>0</v>
      </c>
      <c r="K11" s="186"/>
      <c r="L11" s="187"/>
      <c r="M11" s="188"/>
      <c r="N11" s="154">
        <f t="shared" si="1"/>
        <v>0</v>
      </c>
      <c r="O11" s="186"/>
      <c r="P11" s="187"/>
      <c r="Q11" s="188"/>
      <c r="R11" s="154">
        <f t="shared" si="2"/>
        <v>0</v>
      </c>
      <c r="S11" s="218"/>
      <c r="T11" s="189"/>
      <c r="U11" s="188"/>
      <c r="V11" s="157"/>
      <c r="W11" s="188">
        <f t="shared" si="3"/>
        <v>0</v>
      </c>
    </row>
    <row r="12" spans="1:23" ht="40.049999999999997" hidden="1" customHeight="1" x14ac:dyDescent="0.45">
      <c r="A12" s="214" t="s">
        <v>8</v>
      </c>
      <c r="B12" s="217"/>
      <c r="C12" s="217"/>
      <c r="D12" s="213"/>
      <c r="E12" s="155"/>
      <c r="F12" s="156"/>
      <c r="G12" s="186"/>
      <c r="H12" s="187"/>
      <c r="I12" s="188"/>
      <c r="J12" s="154">
        <f t="shared" si="0"/>
        <v>0</v>
      </c>
      <c r="K12" s="186"/>
      <c r="L12" s="187"/>
      <c r="M12" s="188"/>
      <c r="N12" s="154">
        <f t="shared" si="1"/>
        <v>0</v>
      </c>
      <c r="O12" s="186"/>
      <c r="P12" s="187"/>
      <c r="Q12" s="188"/>
      <c r="R12" s="154">
        <f t="shared" si="2"/>
        <v>0</v>
      </c>
      <c r="S12" s="218"/>
      <c r="T12" s="189"/>
      <c r="U12" s="188"/>
      <c r="V12" s="157"/>
      <c r="W12" s="188">
        <f t="shared" si="3"/>
        <v>0</v>
      </c>
    </row>
    <row r="13" spans="1:23" ht="40.049999999999997" hidden="1" customHeight="1" x14ac:dyDescent="0.45">
      <c r="A13" s="214" t="s">
        <v>8</v>
      </c>
      <c r="B13" s="217"/>
      <c r="C13" s="217"/>
      <c r="D13" s="213"/>
      <c r="E13" s="155"/>
      <c r="F13" s="156"/>
      <c r="G13" s="186"/>
      <c r="H13" s="187"/>
      <c r="I13" s="188"/>
      <c r="J13" s="154">
        <f t="shared" si="0"/>
        <v>0</v>
      </c>
      <c r="K13" s="186"/>
      <c r="L13" s="187"/>
      <c r="M13" s="188"/>
      <c r="N13" s="154">
        <f t="shared" si="1"/>
        <v>0</v>
      </c>
      <c r="O13" s="186"/>
      <c r="P13" s="187"/>
      <c r="Q13" s="188"/>
      <c r="R13" s="154">
        <f t="shared" si="2"/>
        <v>0</v>
      </c>
      <c r="S13" s="218"/>
      <c r="T13" s="189"/>
      <c r="U13" s="188"/>
      <c r="V13" s="157"/>
      <c r="W13" s="188">
        <f t="shared" si="3"/>
        <v>0</v>
      </c>
    </row>
    <row r="14" spans="1:23" ht="40.049999999999997" hidden="1" customHeight="1" x14ac:dyDescent="0.45">
      <c r="A14" s="214" t="s">
        <v>8</v>
      </c>
      <c r="B14" s="217"/>
      <c r="C14" s="217"/>
      <c r="D14" s="213"/>
      <c r="E14" s="155"/>
      <c r="F14" s="156"/>
      <c r="G14" s="186"/>
      <c r="H14" s="187"/>
      <c r="I14" s="188"/>
      <c r="J14" s="154">
        <f t="shared" si="0"/>
        <v>0</v>
      </c>
      <c r="K14" s="186"/>
      <c r="L14" s="187"/>
      <c r="M14" s="188"/>
      <c r="N14" s="154">
        <f t="shared" si="1"/>
        <v>0</v>
      </c>
      <c r="O14" s="186"/>
      <c r="P14" s="187"/>
      <c r="Q14" s="188"/>
      <c r="R14" s="154">
        <f t="shared" si="2"/>
        <v>0</v>
      </c>
      <c r="S14" s="218"/>
      <c r="T14" s="189"/>
      <c r="U14" s="188"/>
      <c r="V14" s="157"/>
      <c r="W14" s="188">
        <f t="shared" si="3"/>
        <v>0</v>
      </c>
    </row>
    <row r="15" spans="1:23" ht="40.049999999999997" hidden="1" customHeight="1" x14ac:dyDescent="0.45">
      <c r="A15" s="214" t="s">
        <v>8</v>
      </c>
      <c r="B15" s="217"/>
      <c r="C15" s="217"/>
      <c r="D15" s="213"/>
      <c r="E15" s="155"/>
      <c r="F15" s="156"/>
      <c r="G15" s="186"/>
      <c r="H15" s="187"/>
      <c r="I15" s="188"/>
      <c r="J15" s="154">
        <f t="shared" si="0"/>
        <v>0</v>
      </c>
      <c r="K15" s="186"/>
      <c r="L15" s="187"/>
      <c r="M15" s="188"/>
      <c r="N15" s="154">
        <f t="shared" si="1"/>
        <v>0</v>
      </c>
      <c r="O15" s="186"/>
      <c r="P15" s="187"/>
      <c r="Q15" s="188"/>
      <c r="R15" s="154">
        <f t="shared" si="2"/>
        <v>0</v>
      </c>
      <c r="S15" s="218"/>
      <c r="T15" s="189"/>
      <c r="U15" s="188"/>
      <c r="V15" s="157"/>
      <c r="W15" s="188">
        <f t="shared" si="3"/>
        <v>0</v>
      </c>
    </row>
    <row r="16" spans="1:23" ht="40.049999999999997" hidden="1" customHeight="1" x14ac:dyDescent="0.45">
      <c r="A16" s="214" t="s">
        <v>8</v>
      </c>
      <c r="B16" s="217"/>
      <c r="C16" s="217"/>
      <c r="D16" s="213"/>
      <c r="E16" s="155"/>
      <c r="F16" s="156"/>
      <c r="G16" s="186"/>
      <c r="H16" s="187"/>
      <c r="I16" s="188"/>
      <c r="J16" s="154">
        <f t="shared" si="0"/>
        <v>0</v>
      </c>
      <c r="K16" s="186"/>
      <c r="L16" s="187"/>
      <c r="M16" s="188"/>
      <c r="N16" s="154">
        <f t="shared" si="1"/>
        <v>0</v>
      </c>
      <c r="O16" s="186"/>
      <c r="P16" s="187"/>
      <c r="Q16" s="188"/>
      <c r="R16" s="154">
        <f t="shared" si="2"/>
        <v>0</v>
      </c>
      <c r="S16" s="218"/>
      <c r="T16" s="189"/>
      <c r="U16" s="188"/>
      <c r="V16" s="157"/>
      <c r="W16" s="188">
        <f t="shared" si="3"/>
        <v>0</v>
      </c>
    </row>
    <row r="17" spans="1:23" ht="40.049999999999997" hidden="1" customHeight="1" x14ac:dyDescent="0.45">
      <c r="A17" s="214" t="s">
        <v>8</v>
      </c>
      <c r="B17" s="217"/>
      <c r="C17" s="217"/>
      <c r="D17" s="213"/>
      <c r="E17" s="155"/>
      <c r="F17" s="156"/>
      <c r="G17" s="186"/>
      <c r="H17" s="187"/>
      <c r="I17" s="188"/>
      <c r="J17" s="154">
        <f t="shared" si="0"/>
        <v>0</v>
      </c>
      <c r="K17" s="186"/>
      <c r="L17" s="187"/>
      <c r="M17" s="188"/>
      <c r="N17" s="154">
        <f t="shared" si="1"/>
        <v>0</v>
      </c>
      <c r="O17" s="186"/>
      <c r="P17" s="187"/>
      <c r="Q17" s="188"/>
      <c r="R17" s="154">
        <f t="shared" si="2"/>
        <v>0</v>
      </c>
      <c r="S17" s="218"/>
      <c r="T17" s="189"/>
      <c r="U17" s="188"/>
      <c r="V17" s="157"/>
      <c r="W17" s="188">
        <f t="shared" si="3"/>
        <v>0</v>
      </c>
    </row>
    <row r="18" spans="1:23" ht="40.049999999999997" hidden="1" customHeight="1" x14ac:dyDescent="0.45">
      <c r="A18" s="214" t="s">
        <v>8</v>
      </c>
      <c r="B18" s="217"/>
      <c r="C18" s="217"/>
      <c r="D18" s="213"/>
      <c r="E18" s="155"/>
      <c r="F18" s="156"/>
      <c r="G18" s="186"/>
      <c r="H18" s="187"/>
      <c r="I18" s="188"/>
      <c r="J18" s="154">
        <f t="shared" si="0"/>
        <v>0</v>
      </c>
      <c r="K18" s="186"/>
      <c r="L18" s="187"/>
      <c r="M18" s="188"/>
      <c r="N18" s="154">
        <f t="shared" si="1"/>
        <v>0</v>
      </c>
      <c r="O18" s="186"/>
      <c r="P18" s="187"/>
      <c r="Q18" s="188"/>
      <c r="R18" s="154">
        <f t="shared" si="2"/>
        <v>0</v>
      </c>
      <c r="S18" s="218"/>
      <c r="T18" s="189"/>
      <c r="U18" s="188"/>
      <c r="V18" s="157"/>
      <c r="W18" s="188">
        <f t="shared" si="3"/>
        <v>0</v>
      </c>
    </row>
    <row r="19" spans="1:23" ht="40.049999999999997" hidden="1" customHeight="1" x14ac:dyDescent="0.45">
      <c r="A19" s="214" t="s">
        <v>8</v>
      </c>
      <c r="B19" s="217"/>
      <c r="C19" s="217"/>
      <c r="D19" s="213"/>
      <c r="E19" s="155"/>
      <c r="F19" s="156"/>
      <c r="G19" s="186"/>
      <c r="H19" s="187"/>
      <c r="I19" s="188"/>
      <c r="J19" s="154">
        <f t="shared" si="0"/>
        <v>0</v>
      </c>
      <c r="K19" s="186"/>
      <c r="L19" s="187"/>
      <c r="M19" s="188"/>
      <c r="N19" s="154">
        <f t="shared" si="1"/>
        <v>0</v>
      </c>
      <c r="O19" s="186"/>
      <c r="P19" s="187"/>
      <c r="Q19" s="188"/>
      <c r="R19" s="154">
        <f t="shared" si="2"/>
        <v>0</v>
      </c>
      <c r="S19" s="218"/>
      <c r="T19" s="189"/>
      <c r="U19" s="188"/>
      <c r="V19" s="157"/>
      <c r="W19" s="188">
        <f t="shared" si="3"/>
        <v>0</v>
      </c>
    </row>
    <row r="20" spans="1:23" ht="40.049999999999997" hidden="1" customHeight="1" x14ac:dyDescent="0.45">
      <c r="A20" s="214" t="s">
        <v>8</v>
      </c>
      <c r="B20" s="217"/>
      <c r="C20" s="217"/>
      <c r="D20" s="213"/>
      <c r="E20" s="155"/>
      <c r="F20" s="156"/>
      <c r="G20" s="186"/>
      <c r="H20" s="187"/>
      <c r="I20" s="188"/>
      <c r="J20" s="154">
        <f t="shared" si="0"/>
        <v>0</v>
      </c>
      <c r="K20" s="186"/>
      <c r="L20" s="187"/>
      <c r="M20" s="188"/>
      <c r="N20" s="154">
        <f t="shared" si="1"/>
        <v>0</v>
      </c>
      <c r="O20" s="186"/>
      <c r="P20" s="187"/>
      <c r="Q20" s="188"/>
      <c r="R20" s="154">
        <f t="shared" si="2"/>
        <v>0</v>
      </c>
      <c r="S20" s="218"/>
      <c r="T20" s="189"/>
      <c r="U20" s="188"/>
      <c r="V20" s="157"/>
      <c r="W20" s="188">
        <f t="shared" si="3"/>
        <v>0</v>
      </c>
    </row>
    <row r="21" spans="1:23" ht="40.049999999999997" hidden="1" customHeight="1" x14ac:dyDescent="0.45">
      <c r="A21" s="214" t="s">
        <v>8</v>
      </c>
      <c r="B21" s="217"/>
      <c r="C21" s="217"/>
      <c r="D21" s="213"/>
      <c r="E21" s="155"/>
      <c r="F21" s="156"/>
      <c r="G21" s="186"/>
      <c r="H21" s="187"/>
      <c r="I21" s="188"/>
      <c r="J21" s="154">
        <f t="shared" si="0"/>
        <v>0</v>
      </c>
      <c r="K21" s="186"/>
      <c r="L21" s="187"/>
      <c r="M21" s="188"/>
      <c r="N21" s="154">
        <f t="shared" si="1"/>
        <v>0</v>
      </c>
      <c r="O21" s="186"/>
      <c r="P21" s="187"/>
      <c r="Q21" s="188"/>
      <c r="R21" s="154">
        <f t="shared" si="2"/>
        <v>0</v>
      </c>
      <c r="S21" s="218"/>
      <c r="T21" s="189"/>
      <c r="U21" s="188"/>
      <c r="V21" s="157"/>
      <c r="W21" s="188">
        <f t="shared" si="3"/>
        <v>0</v>
      </c>
    </row>
    <row r="22" spans="1:23" ht="40.049999999999997" hidden="1" customHeight="1" x14ac:dyDescent="0.45">
      <c r="A22" s="214" t="s">
        <v>8</v>
      </c>
      <c r="B22" s="217"/>
      <c r="C22" s="217"/>
      <c r="D22" s="213"/>
      <c r="E22" s="155"/>
      <c r="F22" s="156"/>
      <c r="G22" s="186"/>
      <c r="H22" s="187"/>
      <c r="I22" s="188"/>
      <c r="J22" s="154">
        <f t="shared" si="0"/>
        <v>0</v>
      </c>
      <c r="K22" s="186"/>
      <c r="L22" s="187"/>
      <c r="M22" s="188"/>
      <c r="N22" s="154">
        <f t="shared" si="1"/>
        <v>0</v>
      </c>
      <c r="O22" s="186"/>
      <c r="P22" s="187"/>
      <c r="Q22" s="188"/>
      <c r="R22" s="154">
        <f t="shared" si="2"/>
        <v>0</v>
      </c>
      <c r="S22" s="218"/>
      <c r="T22" s="189"/>
      <c r="U22" s="188"/>
      <c r="V22" s="157"/>
      <c r="W22" s="188">
        <f t="shared" si="3"/>
        <v>0</v>
      </c>
    </row>
    <row r="23" spans="1:23" ht="40.049999999999997" hidden="1" customHeight="1" x14ac:dyDescent="0.45">
      <c r="A23" s="214" t="s">
        <v>8</v>
      </c>
      <c r="B23" s="217"/>
      <c r="C23" s="217"/>
      <c r="D23" s="213"/>
      <c r="E23" s="155"/>
      <c r="F23" s="156"/>
      <c r="G23" s="186"/>
      <c r="H23" s="187"/>
      <c r="I23" s="188"/>
      <c r="J23" s="154">
        <f t="shared" si="0"/>
        <v>0</v>
      </c>
      <c r="K23" s="186"/>
      <c r="L23" s="187"/>
      <c r="M23" s="188"/>
      <c r="N23" s="154">
        <f t="shared" si="1"/>
        <v>0</v>
      </c>
      <c r="O23" s="186"/>
      <c r="P23" s="187"/>
      <c r="Q23" s="188"/>
      <c r="R23" s="154">
        <f t="shared" si="2"/>
        <v>0</v>
      </c>
      <c r="S23" s="218"/>
      <c r="T23" s="189"/>
      <c r="U23" s="188"/>
      <c r="V23" s="157"/>
      <c r="W23" s="188">
        <f t="shared" si="3"/>
        <v>0</v>
      </c>
    </row>
    <row r="24" spans="1:23" ht="40.049999999999997" hidden="1" customHeight="1" x14ac:dyDescent="0.45">
      <c r="A24" s="214" t="s">
        <v>8</v>
      </c>
      <c r="B24" s="217"/>
      <c r="C24" s="217"/>
      <c r="D24" s="213"/>
      <c r="E24" s="155"/>
      <c r="F24" s="156"/>
      <c r="G24" s="186"/>
      <c r="H24" s="187"/>
      <c r="I24" s="188"/>
      <c r="J24" s="154">
        <f t="shared" si="0"/>
        <v>0</v>
      </c>
      <c r="K24" s="186"/>
      <c r="L24" s="187"/>
      <c r="M24" s="188"/>
      <c r="N24" s="154">
        <f t="shared" si="1"/>
        <v>0</v>
      </c>
      <c r="O24" s="186"/>
      <c r="P24" s="187"/>
      <c r="Q24" s="188"/>
      <c r="R24" s="154">
        <f t="shared" si="2"/>
        <v>0</v>
      </c>
      <c r="S24" s="218"/>
      <c r="T24" s="189"/>
      <c r="U24" s="188"/>
      <c r="V24" s="157"/>
      <c r="W24" s="188">
        <f t="shared" si="3"/>
        <v>0</v>
      </c>
    </row>
    <row r="25" spans="1:23" ht="40.049999999999997" hidden="1" customHeight="1" x14ac:dyDescent="0.45">
      <c r="A25" s="214" t="s">
        <v>8</v>
      </c>
      <c r="B25" s="217"/>
      <c r="C25" s="217"/>
      <c r="D25" s="213"/>
      <c r="E25" s="155"/>
      <c r="F25" s="156"/>
      <c r="G25" s="186"/>
      <c r="H25" s="187"/>
      <c r="I25" s="188"/>
      <c r="J25" s="154">
        <f t="shared" si="0"/>
        <v>0</v>
      </c>
      <c r="K25" s="186"/>
      <c r="L25" s="187"/>
      <c r="M25" s="188"/>
      <c r="N25" s="154">
        <f t="shared" si="1"/>
        <v>0</v>
      </c>
      <c r="O25" s="186"/>
      <c r="P25" s="187"/>
      <c r="Q25" s="188"/>
      <c r="R25" s="154">
        <f t="shared" si="2"/>
        <v>0</v>
      </c>
      <c r="S25" s="218"/>
      <c r="T25" s="189"/>
      <c r="U25" s="188"/>
      <c r="V25" s="157"/>
      <c r="W25" s="188">
        <f t="shared" si="3"/>
        <v>0</v>
      </c>
    </row>
    <row r="26" spans="1:23" ht="40.049999999999997" hidden="1" customHeight="1" x14ac:dyDescent="0.45">
      <c r="A26" s="214" t="s">
        <v>8</v>
      </c>
      <c r="B26" s="217"/>
      <c r="C26" s="217"/>
      <c r="D26" s="213"/>
      <c r="E26" s="155"/>
      <c r="F26" s="156"/>
      <c r="G26" s="186"/>
      <c r="H26" s="187"/>
      <c r="I26" s="188"/>
      <c r="J26" s="154">
        <f t="shared" si="0"/>
        <v>0</v>
      </c>
      <c r="K26" s="186"/>
      <c r="L26" s="187"/>
      <c r="M26" s="188"/>
      <c r="N26" s="154">
        <f t="shared" si="1"/>
        <v>0</v>
      </c>
      <c r="O26" s="186"/>
      <c r="P26" s="187"/>
      <c r="Q26" s="188"/>
      <c r="R26" s="154">
        <f t="shared" si="2"/>
        <v>0</v>
      </c>
      <c r="S26" s="218"/>
      <c r="T26" s="189"/>
      <c r="U26" s="188"/>
      <c r="V26" s="157"/>
      <c r="W26" s="188">
        <f t="shared" si="3"/>
        <v>0</v>
      </c>
    </row>
    <row r="27" spans="1:23" ht="29.55" customHeight="1" x14ac:dyDescent="0.45">
      <c r="A27" s="158"/>
      <c r="B27" s="190"/>
      <c r="C27" s="190"/>
      <c r="D27" s="159"/>
      <c r="E27" s="160"/>
      <c r="F27" s="161"/>
      <c r="G27" s="158"/>
      <c r="H27" s="190"/>
      <c r="I27" s="191"/>
      <c r="J27" s="192"/>
      <c r="K27" s="193"/>
      <c r="L27" s="194"/>
      <c r="M27" s="191"/>
      <c r="N27" s="159"/>
      <c r="O27" s="193"/>
      <c r="P27" s="194"/>
      <c r="Q27" s="191"/>
      <c r="R27" s="159"/>
      <c r="S27" s="219" t="s">
        <v>8</v>
      </c>
      <c r="T27" s="195"/>
      <c r="U27" s="191"/>
      <c r="V27" s="162"/>
      <c r="W27" s="191">
        <f>SUM(W8:W26)</f>
        <v>0</v>
      </c>
    </row>
    <row r="28" spans="1:23" ht="39.5" customHeight="1" x14ac:dyDescent="0.45">
      <c r="A28" s="212" t="s">
        <v>11</v>
      </c>
      <c r="B28" s="220"/>
      <c r="C28" s="220"/>
      <c r="D28" s="213"/>
      <c r="E28" s="155"/>
      <c r="F28" s="164"/>
      <c r="G28" s="153"/>
      <c r="H28" s="196"/>
      <c r="I28" s="188"/>
      <c r="J28" s="154">
        <f t="shared" si="0"/>
        <v>0</v>
      </c>
      <c r="K28" s="186"/>
      <c r="L28" s="187"/>
      <c r="M28" s="188"/>
      <c r="N28" s="154">
        <f t="shared" ref="N28:N46" si="4">M28-I28</f>
        <v>0</v>
      </c>
      <c r="O28" s="186"/>
      <c r="P28" s="187"/>
      <c r="Q28" s="188"/>
      <c r="R28" s="154">
        <f t="shared" ref="R28:R46" si="5">Q28-M28</f>
        <v>0</v>
      </c>
      <c r="S28" s="218"/>
      <c r="T28" s="189"/>
      <c r="U28" s="188"/>
      <c r="V28" s="157"/>
      <c r="W28" s="188">
        <f t="shared" si="3"/>
        <v>0</v>
      </c>
    </row>
    <row r="29" spans="1:23" ht="39.5" customHeight="1" x14ac:dyDescent="0.45">
      <c r="A29" s="212" t="s">
        <v>11</v>
      </c>
      <c r="B29" s="220"/>
      <c r="C29" s="220"/>
      <c r="D29" s="213"/>
      <c r="E29" s="155"/>
      <c r="F29" s="164"/>
      <c r="G29" s="153"/>
      <c r="H29" s="196"/>
      <c r="I29" s="188"/>
      <c r="J29" s="154">
        <f t="shared" si="0"/>
        <v>0</v>
      </c>
      <c r="K29" s="186"/>
      <c r="L29" s="187"/>
      <c r="M29" s="188"/>
      <c r="N29" s="154">
        <f t="shared" si="4"/>
        <v>0</v>
      </c>
      <c r="O29" s="186"/>
      <c r="P29" s="187"/>
      <c r="Q29" s="188"/>
      <c r="R29" s="154">
        <f t="shared" si="5"/>
        <v>0</v>
      </c>
      <c r="S29" s="218"/>
      <c r="T29" s="189"/>
      <c r="U29" s="188"/>
      <c r="V29" s="157"/>
      <c r="W29" s="188">
        <f t="shared" si="3"/>
        <v>0</v>
      </c>
    </row>
    <row r="30" spans="1:23" ht="39.5" customHeight="1" x14ac:dyDescent="0.45">
      <c r="A30" s="212" t="s">
        <v>11</v>
      </c>
      <c r="B30" s="220"/>
      <c r="C30" s="220"/>
      <c r="D30" s="213"/>
      <c r="E30" s="155"/>
      <c r="F30" s="164"/>
      <c r="G30" s="153"/>
      <c r="H30" s="196"/>
      <c r="I30" s="188"/>
      <c r="J30" s="154">
        <f t="shared" si="0"/>
        <v>0</v>
      </c>
      <c r="K30" s="186"/>
      <c r="L30" s="187"/>
      <c r="M30" s="188"/>
      <c r="N30" s="154">
        <f t="shared" si="4"/>
        <v>0</v>
      </c>
      <c r="O30" s="186"/>
      <c r="P30" s="187"/>
      <c r="Q30" s="188"/>
      <c r="R30" s="154">
        <f t="shared" si="5"/>
        <v>0</v>
      </c>
      <c r="S30" s="218"/>
      <c r="T30" s="189"/>
      <c r="U30" s="188"/>
      <c r="V30" s="157"/>
      <c r="W30" s="188">
        <f t="shared" si="3"/>
        <v>0</v>
      </c>
    </row>
    <row r="31" spans="1:23" ht="39.5" customHeight="1" x14ac:dyDescent="0.45">
      <c r="A31" s="212" t="s">
        <v>11</v>
      </c>
      <c r="B31" s="220"/>
      <c r="C31" s="220"/>
      <c r="D31" s="213"/>
      <c r="E31" s="155"/>
      <c r="F31" s="164"/>
      <c r="G31" s="153"/>
      <c r="H31" s="196"/>
      <c r="I31" s="188"/>
      <c r="J31" s="154">
        <f t="shared" si="0"/>
        <v>0</v>
      </c>
      <c r="K31" s="186"/>
      <c r="L31" s="187"/>
      <c r="M31" s="188"/>
      <c r="N31" s="154">
        <f t="shared" si="4"/>
        <v>0</v>
      </c>
      <c r="O31" s="186"/>
      <c r="P31" s="187"/>
      <c r="Q31" s="188"/>
      <c r="R31" s="154">
        <f t="shared" si="5"/>
        <v>0</v>
      </c>
      <c r="S31" s="218"/>
      <c r="T31" s="189"/>
      <c r="U31" s="188"/>
      <c r="V31" s="157"/>
      <c r="W31" s="188">
        <f t="shared" si="3"/>
        <v>0</v>
      </c>
    </row>
    <row r="32" spans="1:23" ht="39.5" customHeight="1" x14ac:dyDescent="0.45">
      <c r="A32" s="212" t="s">
        <v>11</v>
      </c>
      <c r="B32" s="220"/>
      <c r="C32" s="220"/>
      <c r="D32" s="213"/>
      <c r="E32" s="155"/>
      <c r="F32" s="164"/>
      <c r="G32" s="153"/>
      <c r="H32" s="196"/>
      <c r="I32" s="188"/>
      <c r="J32" s="154">
        <f t="shared" si="0"/>
        <v>0</v>
      </c>
      <c r="K32" s="186"/>
      <c r="L32" s="187"/>
      <c r="M32" s="188"/>
      <c r="N32" s="154">
        <f t="shared" si="4"/>
        <v>0</v>
      </c>
      <c r="O32" s="186"/>
      <c r="P32" s="187"/>
      <c r="Q32" s="188"/>
      <c r="R32" s="154">
        <f t="shared" si="5"/>
        <v>0</v>
      </c>
      <c r="S32" s="218"/>
      <c r="T32" s="189"/>
      <c r="U32" s="188"/>
      <c r="V32" s="157"/>
      <c r="W32" s="188">
        <f t="shared" si="3"/>
        <v>0</v>
      </c>
    </row>
    <row r="33" spans="1:23" ht="39.5" hidden="1" customHeight="1" x14ac:dyDescent="0.45">
      <c r="A33" s="212" t="s">
        <v>11</v>
      </c>
      <c r="B33" s="220"/>
      <c r="C33" s="220"/>
      <c r="D33" s="213"/>
      <c r="E33" s="155"/>
      <c r="F33" s="164"/>
      <c r="G33" s="153"/>
      <c r="H33" s="196"/>
      <c r="I33" s="188"/>
      <c r="J33" s="154">
        <f t="shared" si="0"/>
        <v>0</v>
      </c>
      <c r="K33" s="186"/>
      <c r="L33" s="187"/>
      <c r="M33" s="188"/>
      <c r="N33" s="154">
        <f t="shared" si="4"/>
        <v>0</v>
      </c>
      <c r="O33" s="186"/>
      <c r="P33" s="187"/>
      <c r="Q33" s="188"/>
      <c r="R33" s="154">
        <f t="shared" si="5"/>
        <v>0</v>
      </c>
      <c r="S33" s="218"/>
      <c r="T33" s="189"/>
      <c r="U33" s="188"/>
      <c r="V33" s="157"/>
      <c r="W33" s="188">
        <f t="shared" si="3"/>
        <v>0</v>
      </c>
    </row>
    <row r="34" spans="1:23" ht="39.5" hidden="1" customHeight="1" x14ac:dyDescent="0.45">
      <c r="A34" s="212" t="s">
        <v>11</v>
      </c>
      <c r="B34" s="220"/>
      <c r="C34" s="220"/>
      <c r="D34" s="213"/>
      <c r="E34" s="155"/>
      <c r="F34" s="164"/>
      <c r="G34" s="153"/>
      <c r="H34" s="196"/>
      <c r="I34" s="188"/>
      <c r="J34" s="154">
        <f t="shared" si="0"/>
        <v>0</v>
      </c>
      <c r="K34" s="186"/>
      <c r="L34" s="187"/>
      <c r="M34" s="188"/>
      <c r="N34" s="154">
        <f t="shared" si="4"/>
        <v>0</v>
      </c>
      <c r="O34" s="186"/>
      <c r="P34" s="187"/>
      <c r="Q34" s="188"/>
      <c r="R34" s="154">
        <f t="shared" si="5"/>
        <v>0</v>
      </c>
      <c r="S34" s="218"/>
      <c r="T34" s="189"/>
      <c r="U34" s="188"/>
      <c r="V34" s="157"/>
      <c r="W34" s="188">
        <f t="shared" si="3"/>
        <v>0</v>
      </c>
    </row>
    <row r="35" spans="1:23" ht="39.5" hidden="1" customHeight="1" x14ac:dyDescent="0.45">
      <c r="A35" s="212" t="s">
        <v>11</v>
      </c>
      <c r="B35" s="220"/>
      <c r="C35" s="220"/>
      <c r="D35" s="213"/>
      <c r="E35" s="155"/>
      <c r="F35" s="164"/>
      <c r="G35" s="153"/>
      <c r="H35" s="196"/>
      <c r="I35" s="188"/>
      <c r="J35" s="154">
        <f t="shared" si="0"/>
        <v>0</v>
      </c>
      <c r="K35" s="186"/>
      <c r="L35" s="187"/>
      <c r="M35" s="188"/>
      <c r="N35" s="154">
        <f t="shared" si="4"/>
        <v>0</v>
      </c>
      <c r="O35" s="186"/>
      <c r="P35" s="187"/>
      <c r="Q35" s="188"/>
      <c r="R35" s="154">
        <f t="shared" si="5"/>
        <v>0</v>
      </c>
      <c r="S35" s="218"/>
      <c r="T35" s="189"/>
      <c r="U35" s="188"/>
      <c r="V35" s="157"/>
      <c r="W35" s="188">
        <f t="shared" si="3"/>
        <v>0</v>
      </c>
    </row>
    <row r="36" spans="1:23" ht="39.5" hidden="1" customHeight="1" x14ac:dyDescent="0.45">
      <c r="A36" s="212" t="s">
        <v>11</v>
      </c>
      <c r="B36" s="220"/>
      <c r="C36" s="220"/>
      <c r="D36" s="213"/>
      <c r="E36" s="155"/>
      <c r="F36" s="164"/>
      <c r="G36" s="153"/>
      <c r="H36" s="196"/>
      <c r="I36" s="188"/>
      <c r="J36" s="154">
        <f t="shared" si="0"/>
        <v>0</v>
      </c>
      <c r="K36" s="186"/>
      <c r="L36" s="187"/>
      <c r="M36" s="188"/>
      <c r="N36" s="154">
        <f t="shared" si="4"/>
        <v>0</v>
      </c>
      <c r="O36" s="186"/>
      <c r="P36" s="187"/>
      <c r="Q36" s="188"/>
      <c r="R36" s="154">
        <f t="shared" si="5"/>
        <v>0</v>
      </c>
      <c r="S36" s="218"/>
      <c r="T36" s="189"/>
      <c r="U36" s="188"/>
      <c r="V36" s="157"/>
      <c r="W36" s="188">
        <f t="shared" si="3"/>
        <v>0</v>
      </c>
    </row>
    <row r="37" spans="1:23" ht="39.5" hidden="1" customHeight="1" x14ac:dyDescent="0.45">
      <c r="A37" s="212" t="s">
        <v>11</v>
      </c>
      <c r="B37" s="220"/>
      <c r="C37" s="220"/>
      <c r="D37" s="213"/>
      <c r="E37" s="155"/>
      <c r="F37" s="164"/>
      <c r="G37" s="153"/>
      <c r="H37" s="196"/>
      <c r="I37" s="188"/>
      <c r="J37" s="154">
        <f t="shared" si="0"/>
        <v>0</v>
      </c>
      <c r="K37" s="186"/>
      <c r="L37" s="187"/>
      <c r="M37" s="188"/>
      <c r="N37" s="154">
        <f t="shared" si="4"/>
        <v>0</v>
      </c>
      <c r="O37" s="186"/>
      <c r="P37" s="187"/>
      <c r="Q37" s="188"/>
      <c r="R37" s="154">
        <f t="shared" si="5"/>
        <v>0</v>
      </c>
      <c r="S37" s="218"/>
      <c r="T37" s="189"/>
      <c r="U37" s="188"/>
      <c r="V37" s="157"/>
      <c r="W37" s="188">
        <f t="shared" si="3"/>
        <v>0</v>
      </c>
    </row>
    <row r="38" spans="1:23" ht="39.5" hidden="1" customHeight="1" x14ac:dyDescent="0.45">
      <c r="A38" s="212" t="s">
        <v>11</v>
      </c>
      <c r="B38" s="220"/>
      <c r="C38" s="220"/>
      <c r="D38" s="213"/>
      <c r="E38" s="155"/>
      <c r="F38" s="164"/>
      <c r="G38" s="153"/>
      <c r="H38" s="196"/>
      <c r="I38" s="188"/>
      <c r="J38" s="154">
        <f t="shared" si="0"/>
        <v>0</v>
      </c>
      <c r="K38" s="186"/>
      <c r="L38" s="187"/>
      <c r="M38" s="188"/>
      <c r="N38" s="154">
        <f t="shared" si="4"/>
        <v>0</v>
      </c>
      <c r="O38" s="186"/>
      <c r="P38" s="187"/>
      <c r="Q38" s="188"/>
      <c r="R38" s="154">
        <f t="shared" si="5"/>
        <v>0</v>
      </c>
      <c r="S38" s="218"/>
      <c r="T38" s="189"/>
      <c r="U38" s="188"/>
      <c r="V38" s="157"/>
      <c r="W38" s="188">
        <f t="shared" si="3"/>
        <v>0</v>
      </c>
    </row>
    <row r="39" spans="1:23" ht="39.5" hidden="1" customHeight="1" x14ac:dyDescent="0.45">
      <c r="A39" s="212" t="s">
        <v>11</v>
      </c>
      <c r="B39" s="220"/>
      <c r="C39" s="220"/>
      <c r="D39" s="213"/>
      <c r="E39" s="155"/>
      <c r="F39" s="164"/>
      <c r="G39" s="153"/>
      <c r="H39" s="196"/>
      <c r="I39" s="188"/>
      <c r="J39" s="154">
        <f t="shared" si="0"/>
        <v>0</v>
      </c>
      <c r="K39" s="186"/>
      <c r="L39" s="187"/>
      <c r="M39" s="188"/>
      <c r="N39" s="154">
        <f t="shared" si="4"/>
        <v>0</v>
      </c>
      <c r="O39" s="186"/>
      <c r="P39" s="187"/>
      <c r="Q39" s="188"/>
      <c r="R39" s="154">
        <f t="shared" si="5"/>
        <v>0</v>
      </c>
      <c r="S39" s="218"/>
      <c r="T39" s="189"/>
      <c r="U39" s="188"/>
      <c r="V39" s="157"/>
      <c r="W39" s="188">
        <f t="shared" si="3"/>
        <v>0</v>
      </c>
    </row>
    <row r="40" spans="1:23" ht="39.5" hidden="1" customHeight="1" x14ac:dyDescent="0.45">
      <c r="A40" s="212" t="s">
        <v>11</v>
      </c>
      <c r="B40" s="220"/>
      <c r="C40" s="220"/>
      <c r="D40" s="213"/>
      <c r="E40" s="155"/>
      <c r="F40" s="164"/>
      <c r="G40" s="153"/>
      <c r="H40" s="196"/>
      <c r="I40" s="188"/>
      <c r="J40" s="154">
        <f t="shared" si="0"/>
        <v>0</v>
      </c>
      <c r="K40" s="186"/>
      <c r="L40" s="187"/>
      <c r="M40" s="188"/>
      <c r="N40" s="154">
        <f t="shared" si="4"/>
        <v>0</v>
      </c>
      <c r="O40" s="186"/>
      <c r="P40" s="187"/>
      <c r="Q40" s="188"/>
      <c r="R40" s="154">
        <f t="shared" si="5"/>
        <v>0</v>
      </c>
      <c r="S40" s="218"/>
      <c r="T40" s="189"/>
      <c r="U40" s="188"/>
      <c r="V40" s="157"/>
      <c r="W40" s="188">
        <f t="shared" si="3"/>
        <v>0</v>
      </c>
    </row>
    <row r="41" spans="1:23" ht="39.5" hidden="1" customHeight="1" x14ac:dyDescent="0.45">
      <c r="A41" s="212" t="s">
        <v>11</v>
      </c>
      <c r="B41" s="220"/>
      <c r="C41" s="220"/>
      <c r="D41" s="213"/>
      <c r="E41" s="155"/>
      <c r="F41" s="164"/>
      <c r="G41" s="153"/>
      <c r="H41" s="196"/>
      <c r="I41" s="188"/>
      <c r="J41" s="154">
        <f t="shared" si="0"/>
        <v>0</v>
      </c>
      <c r="K41" s="186"/>
      <c r="L41" s="187"/>
      <c r="M41" s="188"/>
      <c r="N41" s="154">
        <f t="shared" si="4"/>
        <v>0</v>
      </c>
      <c r="O41" s="186"/>
      <c r="P41" s="187"/>
      <c r="Q41" s="188"/>
      <c r="R41" s="154">
        <f t="shared" si="5"/>
        <v>0</v>
      </c>
      <c r="S41" s="218"/>
      <c r="T41" s="189"/>
      <c r="U41" s="188"/>
      <c r="V41" s="157"/>
      <c r="W41" s="188">
        <f t="shared" si="3"/>
        <v>0</v>
      </c>
    </row>
    <row r="42" spans="1:23" ht="39.5" hidden="1" customHeight="1" x14ac:dyDescent="0.45">
      <c r="A42" s="212" t="s">
        <v>11</v>
      </c>
      <c r="B42" s="220"/>
      <c r="C42" s="220"/>
      <c r="D42" s="213"/>
      <c r="E42" s="155"/>
      <c r="F42" s="164"/>
      <c r="G42" s="153"/>
      <c r="H42" s="196"/>
      <c r="I42" s="188"/>
      <c r="J42" s="154">
        <f t="shared" si="0"/>
        <v>0</v>
      </c>
      <c r="K42" s="186"/>
      <c r="L42" s="187"/>
      <c r="M42" s="188"/>
      <c r="N42" s="154">
        <f t="shared" si="4"/>
        <v>0</v>
      </c>
      <c r="O42" s="186"/>
      <c r="P42" s="187"/>
      <c r="Q42" s="188"/>
      <c r="R42" s="154">
        <f t="shared" si="5"/>
        <v>0</v>
      </c>
      <c r="S42" s="218"/>
      <c r="T42" s="189"/>
      <c r="U42" s="188"/>
      <c r="V42" s="157"/>
      <c r="W42" s="188">
        <f t="shared" si="3"/>
        <v>0</v>
      </c>
    </row>
    <row r="43" spans="1:23" ht="39.5" hidden="1" customHeight="1" x14ac:dyDescent="0.45">
      <c r="A43" s="212" t="s">
        <v>11</v>
      </c>
      <c r="B43" s="220"/>
      <c r="C43" s="220"/>
      <c r="D43" s="213"/>
      <c r="E43" s="155"/>
      <c r="F43" s="164"/>
      <c r="G43" s="153"/>
      <c r="H43" s="196"/>
      <c r="I43" s="188"/>
      <c r="J43" s="154">
        <f t="shared" si="0"/>
        <v>0</v>
      </c>
      <c r="K43" s="186"/>
      <c r="L43" s="187"/>
      <c r="M43" s="188"/>
      <c r="N43" s="154">
        <f t="shared" si="4"/>
        <v>0</v>
      </c>
      <c r="O43" s="186"/>
      <c r="P43" s="187"/>
      <c r="Q43" s="188"/>
      <c r="R43" s="154">
        <f t="shared" si="5"/>
        <v>0</v>
      </c>
      <c r="S43" s="218"/>
      <c r="T43" s="189"/>
      <c r="U43" s="188"/>
      <c r="V43" s="157"/>
      <c r="W43" s="188">
        <f t="shared" si="3"/>
        <v>0</v>
      </c>
    </row>
    <row r="44" spans="1:23" ht="39.5" hidden="1" customHeight="1" x14ac:dyDescent="0.45">
      <c r="A44" s="212" t="s">
        <v>11</v>
      </c>
      <c r="B44" s="220"/>
      <c r="C44" s="220"/>
      <c r="D44" s="213"/>
      <c r="E44" s="155"/>
      <c r="F44" s="164"/>
      <c r="G44" s="153"/>
      <c r="H44" s="196"/>
      <c r="I44" s="188"/>
      <c r="J44" s="154">
        <f t="shared" si="0"/>
        <v>0</v>
      </c>
      <c r="K44" s="186"/>
      <c r="L44" s="187"/>
      <c r="M44" s="188"/>
      <c r="N44" s="154">
        <f t="shared" si="4"/>
        <v>0</v>
      </c>
      <c r="O44" s="186"/>
      <c r="P44" s="187"/>
      <c r="Q44" s="188"/>
      <c r="R44" s="154">
        <f t="shared" si="5"/>
        <v>0</v>
      </c>
      <c r="S44" s="218"/>
      <c r="T44" s="189"/>
      <c r="U44" s="188"/>
      <c r="V44" s="157"/>
      <c r="W44" s="188">
        <f t="shared" si="3"/>
        <v>0</v>
      </c>
    </row>
    <row r="45" spans="1:23" ht="39.5" hidden="1" customHeight="1" x14ac:dyDescent="0.45">
      <c r="A45" s="212" t="s">
        <v>11</v>
      </c>
      <c r="B45" s="220"/>
      <c r="C45" s="220"/>
      <c r="D45" s="213"/>
      <c r="E45" s="155"/>
      <c r="F45" s="164"/>
      <c r="G45" s="153"/>
      <c r="H45" s="196"/>
      <c r="I45" s="188"/>
      <c r="J45" s="154">
        <f t="shared" si="0"/>
        <v>0</v>
      </c>
      <c r="K45" s="186"/>
      <c r="L45" s="187"/>
      <c r="M45" s="188"/>
      <c r="N45" s="154">
        <f t="shared" si="4"/>
        <v>0</v>
      </c>
      <c r="O45" s="186"/>
      <c r="P45" s="187"/>
      <c r="Q45" s="188"/>
      <c r="R45" s="154">
        <f t="shared" si="5"/>
        <v>0</v>
      </c>
      <c r="S45" s="218"/>
      <c r="T45" s="189"/>
      <c r="U45" s="188"/>
      <c r="V45" s="157"/>
      <c r="W45" s="188">
        <f t="shared" si="3"/>
        <v>0</v>
      </c>
    </row>
    <row r="46" spans="1:23" ht="39.5" hidden="1" customHeight="1" x14ac:dyDescent="0.45">
      <c r="A46" s="221" t="s">
        <v>11</v>
      </c>
      <c r="B46" s="222"/>
      <c r="C46" s="222"/>
      <c r="D46" s="223"/>
      <c r="E46" s="167"/>
      <c r="F46" s="168"/>
      <c r="G46" s="145"/>
      <c r="H46" s="170"/>
      <c r="I46" s="203"/>
      <c r="J46" s="154">
        <f t="shared" si="0"/>
        <v>0</v>
      </c>
      <c r="K46" s="204"/>
      <c r="L46" s="205"/>
      <c r="M46" s="203"/>
      <c r="N46" s="154">
        <f t="shared" si="4"/>
        <v>0</v>
      </c>
      <c r="O46" s="204"/>
      <c r="P46" s="205"/>
      <c r="Q46" s="203"/>
      <c r="R46" s="154">
        <f t="shared" si="5"/>
        <v>0</v>
      </c>
      <c r="S46" s="224"/>
      <c r="T46" s="206"/>
      <c r="U46" s="203"/>
      <c r="V46" s="148"/>
      <c r="W46" s="188">
        <f t="shared" si="3"/>
        <v>0</v>
      </c>
    </row>
    <row r="47" spans="1:23" x14ac:dyDescent="0.45">
      <c r="A47" s="145"/>
      <c r="B47" s="170"/>
      <c r="C47" s="170"/>
      <c r="D47" s="169"/>
      <c r="E47" s="170"/>
      <c r="F47" s="168"/>
      <c r="G47" s="145"/>
      <c r="H47" s="170"/>
      <c r="I47" s="203"/>
      <c r="J47" s="207"/>
      <c r="K47" s="204"/>
      <c r="L47" s="205"/>
      <c r="M47" s="203"/>
      <c r="N47" s="207"/>
      <c r="O47" s="204"/>
      <c r="P47" s="205"/>
      <c r="Q47" s="203"/>
      <c r="R47" s="207"/>
      <c r="S47" s="224"/>
      <c r="T47" s="206"/>
      <c r="U47" s="203"/>
      <c r="V47" s="148"/>
      <c r="W47" s="208">
        <f>SUM(W28:W46)</f>
        <v>0</v>
      </c>
    </row>
    <row r="48" spans="1:23" x14ac:dyDescent="0.45">
      <c r="W48" s="154">
        <f>W47+W27</f>
        <v>0</v>
      </c>
    </row>
    <row r="49" spans="5:11" x14ac:dyDescent="0.45">
      <c r="E49" s="137" t="s">
        <v>15</v>
      </c>
      <c r="K49" s="137" t="s">
        <v>16</v>
      </c>
    </row>
  </sheetData>
  <mergeCells count="4">
    <mergeCell ref="G6:I6"/>
    <mergeCell ref="K6:M6"/>
    <mergeCell ref="O6:Q6"/>
    <mergeCell ref="B3:C3"/>
  </mergeCells>
  <pageMargins left="0.23622047244094491" right="0.23622047244094491" top="0.74803149606299213" bottom="0.74803149606299213" header="0.31496062992125984" footer="0.31496062992125984"/>
  <pageSetup paperSize="9" scale="60" orientation="landscape" copies="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56CE-45D5-4D88-B683-A2EF658C1A99}">
  <sheetPr>
    <pageSetUpPr fitToPage="1"/>
  </sheetPr>
  <dimension ref="A2:W49"/>
  <sheetViews>
    <sheetView workbookViewId="0">
      <selection activeCell="B4" sqref="B4"/>
    </sheetView>
  </sheetViews>
  <sheetFormatPr baseColWidth="10" defaultRowHeight="14.25" x14ac:dyDescent="0.45"/>
  <cols>
    <col min="1" max="2" width="11.796875" customWidth="1"/>
    <col min="3" max="3" width="27" customWidth="1"/>
    <col min="10" max="10" width="10.796875" hidden="1" customWidth="1"/>
    <col min="14" max="14" width="10.796875" hidden="1" customWidth="1"/>
    <col min="18" max="18" width="10.796875" hidden="1" customWidth="1"/>
    <col min="20" max="20" width="0" hidden="1" customWidth="1"/>
    <col min="22" max="22" width="34.796875" customWidth="1"/>
  </cols>
  <sheetData>
    <row r="2" spans="1:23" ht="28.5" x14ac:dyDescent="0.45">
      <c r="A2" s="51" t="s">
        <v>21</v>
      </c>
      <c r="B2" t="s">
        <v>31</v>
      </c>
    </row>
    <row r="3" spans="1:23" x14ac:dyDescent="0.45">
      <c r="A3" t="s">
        <v>14</v>
      </c>
      <c r="D3" s="21"/>
      <c r="E3" s="20"/>
    </row>
    <row r="4" spans="1:23" x14ac:dyDescent="0.45">
      <c r="A4" t="s">
        <v>13</v>
      </c>
      <c r="D4" s="21"/>
      <c r="E4" s="20"/>
    </row>
    <row r="6" spans="1:23" x14ac:dyDescent="0.45">
      <c r="A6" s="7"/>
      <c r="B6" s="9"/>
      <c r="C6" s="9"/>
      <c r="D6" s="9"/>
      <c r="E6" s="9"/>
      <c r="F6" s="10"/>
      <c r="G6" s="489" t="s">
        <v>2</v>
      </c>
      <c r="H6" s="490"/>
      <c r="I6" s="491"/>
      <c r="J6" s="1"/>
      <c r="K6" s="489" t="s">
        <v>6</v>
      </c>
      <c r="L6" s="490"/>
      <c r="M6" s="491"/>
      <c r="N6" s="1"/>
      <c r="O6" s="489" t="s">
        <v>7</v>
      </c>
      <c r="P6" s="490"/>
      <c r="Q6" s="491"/>
      <c r="R6" s="1"/>
      <c r="S6" s="13" t="s">
        <v>11</v>
      </c>
      <c r="T6" s="12"/>
      <c r="U6" s="10"/>
      <c r="V6" s="7"/>
      <c r="W6" s="5"/>
    </row>
    <row r="7" spans="1:23" ht="42.75" x14ac:dyDescent="0.45">
      <c r="A7" s="8" t="s">
        <v>28</v>
      </c>
      <c r="B7" s="3" t="s">
        <v>29</v>
      </c>
      <c r="C7" s="3" t="s">
        <v>30</v>
      </c>
      <c r="D7" s="3" t="s">
        <v>0</v>
      </c>
      <c r="E7" s="18" t="s">
        <v>1</v>
      </c>
      <c r="F7" s="4" t="s">
        <v>3</v>
      </c>
      <c r="G7" s="2" t="s">
        <v>3</v>
      </c>
      <c r="H7" s="18" t="s">
        <v>4</v>
      </c>
      <c r="I7" s="4" t="s">
        <v>5</v>
      </c>
      <c r="J7" s="3" t="s">
        <v>19</v>
      </c>
      <c r="K7" s="2" t="s">
        <v>3</v>
      </c>
      <c r="L7" s="18" t="s">
        <v>4</v>
      </c>
      <c r="M7" s="4" t="s">
        <v>9</v>
      </c>
      <c r="N7" s="3" t="s">
        <v>19</v>
      </c>
      <c r="O7" s="2" t="s">
        <v>3</v>
      </c>
      <c r="P7" s="18" t="s">
        <v>4</v>
      </c>
      <c r="Q7" s="4" t="s">
        <v>10</v>
      </c>
      <c r="R7" s="3" t="s">
        <v>19</v>
      </c>
      <c r="S7" s="2" t="s">
        <v>4</v>
      </c>
      <c r="T7" s="3"/>
      <c r="U7" s="4" t="s">
        <v>17</v>
      </c>
      <c r="V7" s="8" t="s">
        <v>12</v>
      </c>
      <c r="W7" s="6" t="s">
        <v>20</v>
      </c>
    </row>
    <row r="8" spans="1:23" ht="40.049999999999997" customHeight="1" x14ac:dyDescent="0.45">
      <c r="A8" s="14" t="s">
        <v>8</v>
      </c>
      <c r="D8" s="35"/>
      <c r="E8" s="36"/>
      <c r="F8" s="40"/>
      <c r="G8" s="26"/>
      <c r="H8" s="27"/>
      <c r="I8" s="44"/>
      <c r="J8" s="35">
        <f>I8-E8</f>
        <v>0</v>
      </c>
      <c r="K8" s="26"/>
      <c r="L8" s="27"/>
      <c r="M8" s="44"/>
      <c r="N8" s="35">
        <f>M8-I8</f>
        <v>0</v>
      </c>
      <c r="O8" s="26"/>
      <c r="P8" s="27"/>
      <c r="Q8" s="44"/>
      <c r="R8" s="35">
        <f>Q8-M8</f>
        <v>0</v>
      </c>
      <c r="S8" s="26"/>
      <c r="T8" s="32" t="str">
        <f>IF(F8+G8-H8+K8-L8+O8-P8=S8,"OK",F8+G8-H8+K8-L8+O8-P8-S8)</f>
        <v>OK</v>
      </c>
      <c r="U8" s="44"/>
      <c r="V8" s="14"/>
      <c r="W8" s="44">
        <f>U8-E8</f>
        <v>0</v>
      </c>
    </row>
    <row r="9" spans="1:23" ht="40.049999999999997" customHeight="1" x14ac:dyDescent="0.45">
      <c r="A9" s="14" t="s">
        <v>8</v>
      </c>
      <c r="D9" s="35"/>
      <c r="E9" s="36"/>
      <c r="F9" s="40"/>
      <c r="G9" s="26"/>
      <c r="H9" s="27"/>
      <c r="I9" s="44"/>
      <c r="J9" s="35">
        <f t="shared" ref="J9:J46" si="0">I9-E9</f>
        <v>0</v>
      </c>
      <c r="K9" s="26"/>
      <c r="L9" s="27"/>
      <c r="M9" s="44"/>
      <c r="N9" s="35">
        <f t="shared" ref="N9:N26" si="1">M9-I9</f>
        <v>0</v>
      </c>
      <c r="O9" s="26"/>
      <c r="P9" s="27"/>
      <c r="Q9" s="44"/>
      <c r="R9" s="35">
        <f t="shared" ref="R9:R26" si="2">Q9-M9</f>
        <v>0</v>
      </c>
      <c r="S9" s="26"/>
      <c r="T9" s="32"/>
      <c r="U9" s="44"/>
      <c r="V9" s="14"/>
      <c r="W9" s="44">
        <f t="shared" ref="W9:W46" si="3">U9-E9</f>
        <v>0</v>
      </c>
    </row>
    <row r="10" spans="1:23" ht="40.049999999999997" customHeight="1" x14ac:dyDescent="0.45">
      <c r="A10" s="14" t="s">
        <v>8</v>
      </c>
      <c r="D10" s="35"/>
      <c r="E10" s="36"/>
      <c r="F10" s="40"/>
      <c r="G10" s="26"/>
      <c r="H10" s="27"/>
      <c r="I10" s="44"/>
      <c r="J10" s="35">
        <f t="shared" si="0"/>
        <v>0</v>
      </c>
      <c r="K10" s="26"/>
      <c r="L10" s="27"/>
      <c r="M10" s="44"/>
      <c r="N10" s="35">
        <f t="shared" si="1"/>
        <v>0</v>
      </c>
      <c r="O10" s="26"/>
      <c r="P10" s="27"/>
      <c r="Q10" s="44"/>
      <c r="R10" s="35">
        <f t="shared" si="2"/>
        <v>0</v>
      </c>
      <c r="S10" s="26"/>
      <c r="T10" s="32"/>
      <c r="U10" s="44"/>
      <c r="V10" s="14"/>
      <c r="W10" s="44">
        <f t="shared" si="3"/>
        <v>0</v>
      </c>
    </row>
    <row r="11" spans="1:23" ht="40.049999999999997" customHeight="1" x14ac:dyDescent="0.45">
      <c r="A11" s="14" t="s">
        <v>8</v>
      </c>
      <c r="D11" s="35"/>
      <c r="E11" s="36"/>
      <c r="F11" s="40"/>
      <c r="G11" s="26"/>
      <c r="H11" s="27"/>
      <c r="I11" s="44"/>
      <c r="J11" s="35">
        <f t="shared" si="0"/>
        <v>0</v>
      </c>
      <c r="K11" s="26"/>
      <c r="L11" s="27"/>
      <c r="M11" s="44"/>
      <c r="N11" s="35">
        <f t="shared" si="1"/>
        <v>0</v>
      </c>
      <c r="O11" s="26"/>
      <c r="P11" s="27"/>
      <c r="Q11" s="44"/>
      <c r="R11" s="35">
        <f t="shared" si="2"/>
        <v>0</v>
      </c>
      <c r="S11" s="26"/>
      <c r="T11" s="32"/>
      <c r="U11" s="44"/>
      <c r="V11" s="14"/>
      <c r="W11" s="44">
        <f t="shared" si="3"/>
        <v>0</v>
      </c>
    </row>
    <row r="12" spans="1:23" ht="40.049999999999997" customHeight="1" x14ac:dyDescent="0.45">
      <c r="A12" s="14" t="s">
        <v>8</v>
      </c>
      <c r="D12" s="35"/>
      <c r="E12" s="36"/>
      <c r="F12" s="40"/>
      <c r="G12" s="26"/>
      <c r="H12" s="27"/>
      <c r="I12" s="44"/>
      <c r="J12" s="35">
        <f t="shared" si="0"/>
        <v>0</v>
      </c>
      <c r="K12" s="26"/>
      <c r="L12" s="27"/>
      <c r="M12" s="44"/>
      <c r="N12" s="35">
        <f t="shared" si="1"/>
        <v>0</v>
      </c>
      <c r="O12" s="26"/>
      <c r="P12" s="27"/>
      <c r="Q12" s="44"/>
      <c r="R12" s="35">
        <f t="shared" si="2"/>
        <v>0</v>
      </c>
      <c r="S12" s="26"/>
      <c r="T12" s="32"/>
      <c r="U12" s="44"/>
      <c r="V12" s="14"/>
      <c r="W12" s="44">
        <f t="shared" si="3"/>
        <v>0</v>
      </c>
    </row>
    <row r="13" spans="1:23" ht="40.049999999999997" customHeight="1" x14ac:dyDescent="0.45">
      <c r="A13" s="14" t="s">
        <v>8</v>
      </c>
      <c r="D13" s="35"/>
      <c r="E13" s="36"/>
      <c r="F13" s="40"/>
      <c r="G13" s="26"/>
      <c r="H13" s="27"/>
      <c r="I13" s="44"/>
      <c r="J13" s="35">
        <f t="shared" si="0"/>
        <v>0</v>
      </c>
      <c r="K13" s="26"/>
      <c r="L13" s="27"/>
      <c r="M13" s="44"/>
      <c r="N13" s="35">
        <f t="shared" si="1"/>
        <v>0</v>
      </c>
      <c r="O13" s="26"/>
      <c r="P13" s="27"/>
      <c r="Q13" s="44"/>
      <c r="R13" s="35">
        <f t="shared" si="2"/>
        <v>0</v>
      </c>
      <c r="S13" s="26"/>
      <c r="T13" s="32"/>
      <c r="U13" s="44"/>
      <c r="V13" s="14"/>
      <c r="W13" s="44">
        <f t="shared" si="3"/>
        <v>0</v>
      </c>
    </row>
    <row r="14" spans="1:23" ht="40.049999999999997" customHeight="1" x14ac:dyDescent="0.45">
      <c r="A14" s="14" t="s">
        <v>8</v>
      </c>
      <c r="D14" s="35"/>
      <c r="E14" s="36"/>
      <c r="F14" s="40"/>
      <c r="G14" s="26"/>
      <c r="H14" s="27"/>
      <c r="I14" s="44"/>
      <c r="J14" s="35">
        <f t="shared" si="0"/>
        <v>0</v>
      </c>
      <c r="K14" s="26"/>
      <c r="L14" s="27"/>
      <c r="M14" s="44"/>
      <c r="N14" s="35">
        <f t="shared" si="1"/>
        <v>0</v>
      </c>
      <c r="O14" s="26"/>
      <c r="P14" s="27"/>
      <c r="Q14" s="44"/>
      <c r="R14" s="35">
        <f t="shared" si="2"/>
        <v>0</v>
      </c>
      <c r="S14" s="26"/>
      <c r="T14" s="32"/>
      <c r="U14" s="44"/>
      <c r="V14" s="14"/>
      <c r="W14" s="44">
        <f t="shared" si="3"/>
        <v>0</v>
      </c>
    </row>
    <row r="15" spans="1:23" ht="40.049999999999997" customHeight="1" x14ac:dyDescent="0.45">
      <c r="A15" s="14" t="s">
        <v>8</v>
      </c>
      <c r="D15" s="35"/>
      <c r="E15" s="36"/>
      <c r="F15" s="40"/>
      <c r="G15" s="26"/>
      <c r="H15" s="27"/>
      <c r="I15" s="44"/>
      <c r="J15" s="35">
        <f t="shared" si="0"/>
        <v>0</v>
      </c>
      <c r="K15" s="26"/>
      <c r="L15" s="27"/>
      <c r="M15" s="44"/>
      <c r="N15" s="35">
        <f t="shared" si="1"/>
        <v>0</v>
      </c>
      <c r="O15" s="26"/>
      <c r="P15" s="27"/>
      <c r="Q15" s="44"/>
      <c r="R15" s="35">
        <f t="shared" si="2"/>
        <v>0</v>
      </c>
      <c r="S15" s="26"/>
      <c r="T15" s="32"/>
      <c r="U15" s="44"/>
      <c r="V15" s="14"/>
      <c r="W15" s="44">
        <f t="shared" si="3"/>
        <v>0</v>
      </c>
    </row>
    <row r="16" spans="1:23" ht="40.049999999999997" customHeight="1" x14ac:dyDescent="0.45">
      <c r="A16" s="14" t="s">
        <v>8</v>
      </c>
      <c r="D16" s="35"/>
      <c r="E16" s="36"/>
      <c r="F16" s="40"/>
      <c r="G16" s="26"/>
      <c r="H16" s="27"/>
      <c r="I16" s="44"/>
      <c r="J16" s="35">
        <f t="shared" si="0"/>
        <v>0</v>
      </c>
      <c r="K16" s="26"/>
      <c r="L16" s="27"/>
      <c r="M16" s="44"/>
      <c r="N16" s="35">
        <f t="shared" si="1"/>
        <v>0</v>
      </c>
      <c r="O16" s="26"/>
      <c r="P16" s="27"/>
      <c r="Q16" s="44"/>
      <c r="R16" s="35">
        <f t="shared" si="2"/>
        <v>0</v>
      </c>
      <c r="S16" s="26"/>
      <c r="T16" s="32"/>
      <c r="U16" s="44"/>
      <c r="V16" s="14"/>
      <c r="W16" s="44">
        <f t="shared" si="3"/>
        <v>0</v>
      </c>
    </row>
    <row r="17" spans="1:23" ht="40.049999999999997" customHeight="1" x14ac:dyDescent="0.45">
      <c r="A17" s="14" t="s">
        <v>8</v>
      </c>
      <c r="D17" s="35"/>
      <c r="E17" s="36"/>
      <c r="F17" s="40"/>
      <c r="G17" s="26"/>
      <c r="H17" s="27"/>
      <c r="I17" s="44"/>
      <c r="J17" s="35">
        <f t="shared" si="0"/>
        <v>0</v>
      </c>
      <c r="K17" s="26"/>
      <c r="L17" s="27"/>
      <c r="M17" s="44"/>
      <c r="N17" s="35">
        <f t="shared" si="1"/>
        <v>0</v>
      </c>
      <c r="O17" s="26"/>
      <c r="P17" s="27"/>
      <c r="Q17" s="44"/>
      <c r="R17" s="35">
        <f t="shared" si="2"/>
        <v>0</v>
      </c>
      <c r="S17" s="26"/>
      <c r="T17" s="32"/>
      <c r="U17" s="44"/>
      <c r="V17" s="14"/>
      <c r="W17" s="44">
        <f t="shared" si="3"/>
        <v>0</v>
      </c>
    </row>
    <row r="18" spans="1:23" ht="40.049999999999997" customHeight="1" x14ac:dyDescent="0.45">
      <c r="A18" s="14" t="s">
        <v>8</v>
      </c>
      <c r="D18" s="35"/>
      <c r="E18" s="36"/>
      <c r="F18" s="40"/>
      <c r="G18" s="26"/>
      <c r="H18" s="27"/>
      <c r="I18" s="44"/>
      <c r="J18" s="35">
        <f t="shared" si="0"/>
        <v>0</v>
      </c>
      <c r="K18" s="26"/>
      <c r="L18" s="27"/>
      <c r="M18" s="44"/>
      <c r="N18" s="35">
        <f t="shared" si="1"/>
        <v>0</v>
      </c>
      <c r="O18" s="26"/>
      <c r="P18" s="27"/>
      <c r="Q18" s="44"/>
      <c r="R18" s="35">
        <f t="shared" si="2"/>
        <v>0</v>
      </c>
      <c r="S18" s="26"/>
      <c r="T18" s="32"/>
      <c r="U18" s="44"/>
      <c r="V18" s="14"/>
      <c r="W18" s="44">
        <f t="shared" si="3"/>
        <v>0</v>
      </c>
    </row>
    <row r="19" spans="1:23" ht="40.049999999999997" customHeight="1" x14ac:dyDescent="0.45">
      <c r="A19" s="14" t="s">
        <v>8</v>
      </c>
      <c r="D19" s="35"/>
      <c r="E19" s="36"/>
      <c r="F19" s="40"/>
      <c r="G19" s="26"/>
      <c r="H19" s="27"/>
      <c r="I19" s="44"/>
      <c r="J19" s="35">
        <f t="shared" si="0"/>
        <v>0</v>
      </c>
      <c r="K19" s="26"/>
      <c r="L19" s="27"/>
      <c r="M19" s="44"/>
      <c r="N19" s="35">
        <f t="shared" si="1"/>
        <v>0</v>
      </c>
      <c r="O19" s="26"/>
      <c r="P19" s="27"/>
      <c r="Q19" s="44"/>
      <c r="R19" s="35">
        <f t="shared" si="2"/>
        <v>0</v>
      </c>
      <c r="S19" s="26"/>
      <c r="T19" s="32"/>
      <c r="U19" s="44"/>
      <c r="V19" s="14"/>
      <c r="W19" s="44">
        <f t="shared" si="3"/>
        <v>0</v>
      </c>
    </row>
    <row r="20" spans="1:23" ht="40.049999999999997" customHeight="1" x14ac:dyDescent="0.45">
      <c r="A20" s="14" t="s">
        <v>8</v>
      </c>
      <c r="D20" s="35"/>
      <c r="E20" s="36"/>
      <c r="F20" s="40"/>
      <c r="G20" s="26"/>
      <c r="H20" s="27"/>
      <c r="I20" s="44"/>
      <c r="J20" s="35">
        <f t="shared" si="0"/>
        <v>0</v>
      </c>
      <c r="K20" s="26"/>
      <c r="L20" s="27"/>
      <c r="M20" s="44"/>
      <c r="N20" s="35">
        <f t="shared" si="1"/>
        <v>0</v>
      </c>
      <c r="O20" s="26"/>
      <c r="P20" s="27"/>
      <c r="Q20" s="44"/>
      <c r="R20" s="35">
        <f t="shared" si="2"/>
        <v>0</v>
      </c>
      <c r="S20" s="26"/>
      <c r="T20" s="32"/>
      <c r="U20" s="44"/>
      <c r="V20" s="14"/>
      <c r="W20" s="44">
        <f t="shared" si="3"/>
        <v>0</v>
      </c>
    </row>
    <row r="21" spans="1:23" ht="40.049999999999997" customHeight="1" x14ac:dyDescent="0.45">
      <c r="A21" s="14" t="s">
        <v>8</v>
      </c>
      <c r="D21" s="35"/>
      <c r="E21" s="36"/>
      <c r="F21" s="40"/>
      <c r="G21" s="26"/>
      <c r="H21" s="27"/>
      <c r="I21" s="44"/>
      <c r="J21" s="35">
        <f t="shared" si="0"/>
        <v>0</v>
      </c>
      <c r="K21" s="26"/>
      <c r="L21" s="27"/>
      <c r="M21" s="44"/>
      <c r="N21" s="35">
        <f t="shared" si="1"/>
        <v>0</v>
      </c>
      <c r="O21" s="26"/>
      <c r="P21" s="27"/>
      <c r="Q21" s="44"/>
      <c r="R21" s="35">
        <f t="shared" si="2"/>
        <v>0</v>
      </c>
      <c r="S21" s="26"/>
      <c r="T21" s="32"/>
      <c r="U21" s="44"/>
      <c r="V21" s="14"/>
      <c r="W21" s="44">
        <f t="shared" si="3"/>
        <v>0</v>
      </c>
    </row>
    <row r="22" spans="1:23" ht="40.049999999999997" customHeight="1" x14ac:dyDescent="0.45">
      <c r="A22" s="14" t="s">
        <v>8</v>
      </c>
      <c r="D22" s="35"/>
      <c r="E22" s="36"/>
      <c r="F22" s="40"/>
      <c r="G22" s="26"/>
      <c r="H22" s="27"/>
      <c r="I22" s="44"/>
      <c r="J22" s="35">
        <f t="shared" si="0"/>
        <v>0</v>
      </c>
      <c r="K22" s="26"/>
      <c r="L22" s="27"/>
      <c r="M22" s="44"/>
      <c r="N22" s="35">
        <f t="shared" si="1"/>
        <v>0</v>
      </c>
      <c r="O22" s="26"/>
      <c r="P22" s="27"/>
      <c r="Q22" s="44"/>
      <c r="R22" s="35">
        <f t="shared" si="2"/>
        <v>0</v>
      </c>
      <c r="S22" s="26"/>
      <c r="T22" s="32"/>
      <c r="U22" s="44"/>
      <c r="V22" s="14"/>
      <c r="W22" s="44">
        <f t="shared" si="3"/>
        <v>0</v>
      </c>
    </row>
    <row r="23" spans="1:23" ht="40.049999999999997" customHeight="1" x14ac:dyDescent="0.45">
      <c r="A23" s="14" t="s">
        <v>8</v>
      </c>
      <c r="D23" s="35"/>
      <c r="E23" s="36"/>
      <c r="F23" s="40"/>
      <c r="G23" s="26"/>
      <c r="H23" s="27"/>
      <c r="I23" s="44"/>
      <c r="J23" s="35">
        <f t="shared" si="0"/>
        <v>0</v>
      </c>
      <c r="K23" s="26"/>
      <c r="L23" s="27"/>
      <c r="M23" s="44"/>
      <c r="N23" s="35">
        <f t="shared" si="1"/>
        <v>0</v>
      </c>
      <c r="O23" s="26"/>
      <c r="P23" s="27"/>
      <c r="Q23" s="44"/>
      <c r="R23" s="35">
        <f t="shared" si="2"/>
        <v>0</v>
      </c>
      <c r="S23" s="26"/>
      <c r="T23" s="32"/>
      <c r="U23" s="44"/>
      <c r="V23" s="14"/>
      <c r="W23" s="44">
        <f t="shared" si="3"/>
        <v>0</v>
      </c>
    </row>
    <row r="24" spans="1:23" ht="40.049999999999997" customHeight="1" x14ac:dyDescent="0.45">
      <c r="A24" s="14" t="s">
        <v>8</v>
      </c>
      <c r="D24" s="35"/>
      <c r="E24" s="36"/>
      <c r="F24" s="40"/>
      <c r="G24" s="26"/>
      <c r="H24" s="27"/>
      <c r="I24" s="44"/>
      <c r="J24" s="35">
        <f t="shared" si="0"/>
        <v>0</v>
      </c>
      <c r="K24" s="26"/>
      <c r="L24" s="27"/>
      <c r="M24" s="44"/>
      <c r="N24" s="35">
        <f t="shared" si="1"/>
        <v>0</v>
      </c>
      <c r="O24" s="26"/>
      <c r="P24" s="27"/>
      <c r="Q24" s="44"/>
      <c r="R24" s="35">
        <f t="shared" si="2"/>
        <v>0</v>
      </c>
      <c r="S24" s="26"/>
      <c r="T24" s="32"/>
      <c r="U24" s="44"/>
      <c r="V24" s="14"/>
      <c r="W24" s="44">
        <f t="shared" si="3"/>
        <v>0</v>
      </c>
    </row>
    <row r="25" spans="1:23" ht="40.049999999999997" customHeight="1" x14ac:dyDescent="0.45">
      <c r="A25" s="14" t="s">
        <v>8</v>
      </c>
      <c r="D25" s="35"/>
      <c r="E25" s="36"/>
      <c r="F25" s="40"/>
      <c r="G25" s="26"/>
      <c r="H25" s="27"/>
      <c r="I25" s="44"/>
      <c r="J25" s="35">
        <f t="shared" si="0"/>
        <v>0</v>
      </c>
      <c r="K25" s="26"/>
      <c r="L25" s="27"/>
      <c r="M25" s="44"/>
      <c r="N25" s="35">
        <f t="shared" si="1"/>
        <v>0</v>
      </c>
      <c r="O25" s="26"/>
      <c r="P25" s="27"/>
      <c r="Q25" s="44"/>
      <c r="R25" s="35">
        <f t="shared" si="2"/>
        <v>0</v>
      </c>
      <c r="S25" s="26"/>
      <c r="T25" s="32"/>
      <c r="U25" s="44"/>
      <c r="V25" s="14"/>
      <c r="W25" s="44">
        <f t="shared" si="3"/>
        <v>0</v>
      </c>
    </row>
    <row r="26" spans="1:23" ht="40.049999999999997" customHeight="1" x14ac:dyDescent="0.45">
      <c r="A26" s="14" t="s">
        <v>8</v>
      </c>
      <c r="D26" s="35"/>
      <c r="E26" s="36"/>
      <c r="F26" s="40"/>
      <c r="G26" s="26"/>
      <c r="H26" s="27"/>
      <c r="I26" s="44"/>
      <c r="J26" s="35">
        <f t="shared" si="0"/>
        <v>0</v>
      </c>
      <c r="K26" s="26"/>
      <c r="L26" s="27"/>
      <c r="M26" s="44"/>
      <c r="N26" s="35">
        <f t="shared" si="1"/>
        <v>0</v>
      </c>
      <c r="O26" s="26"/>
      <c r="P26" s="27"/>
      <c r="Q26" s="44"/>
      <c r="R26" s="35">
        <f t="shared" si="2"/>
        <v>0</v>
      </c>
      <c r="S26" s="26"/>
      <c r="T26" s="32"/>
      <c r="U26" s="44"/>
      <c r="V26" s="14"/>
      <c r="W26" s="44">
        <f t="shared" si="3"/>
        <v>0</v>
      </c>
    </row>
    <row r="27" spans="1:23" ht="29.55" customHeight="1" x14ac:dyDescent="0.45">
      <c r="A27" s="16"/>
      <c r="B27" s="17"/>
      <c r="C27" s="17"/>
      <c r="D27" s="17"/>
      <c r="E27" s="39"/>
      <c r="F27" s="41"/>
      <c r="G27" s="16"/>
      <c r="H27" s="43"/>
      <c r="I27" s="45"/>
      <c r="J27" s="48"/>
      <c r="K27" s="28"/>
      <c r="L27" s="29"/>
      <c r="M27" s="45"/>
      <c r="N27" s="17"/>
      <c r="O27" s="28"/>
      <c r="P27" s="29"/>
      <c r="Q27" s="45"/>
      <c r="R27" s="17"/>
      <c r="S27" s="28" t="s">
        <v>8</v>
      </c>
      <c r="T27" s="33"/>
      <c r="U27" s="45"/>
      <c r="V27" s="16"/>
      <c r="W27" s="45">
        <f>SUM(W8:W26)</f>
        <v>0</v>
      </c>
    </row>
    <row r="28" spans="1:23" ht="39.5" customHeight="1" x14ac:dyDescent="0.45">
      <c r="A28" s="22" t="s">
        <v>11</v>
      </c>
      <c r="B28" s="49"/>
      <c r="C28" s="49"/>
      <c r="D28" s="35">
        <v>0.625</v>
      </c>
      <c r="E28" s="36"/>
      <c r="F28" s="24"/>
      <c r="G28" s="14"/>
      <c r="H28" s="25"/>
      <c r="I28" s="44"/>
      <c r="J28" s="35">
        <f t="shared" si="0"/>
        <v>0</v>
      </c>
      <c r="K28" s="26"/>
      <c r="L28" s="27"/>
      <c r="M28" s="44"/>
      <c r="N28" s="35">
        <f t="shared" ref="N28:N46" si="4">M28-I28</f>
        <v>0</v>
      </c>
      <c r="O28" s="26"/>
      <c r="P28" s="27"/>
      <c r="Q28" s="44"/>
      <c r="R28" s="35">
        <f t="shared" ref="R28:R46" si="5">Q28-M28</f>
        <v>0</v>
      </c>
      <c r="S28" s="26"/>
      <c r="T28" s="32"/>
      <c r="U28" s="44"/>
      <c r="V28" s="14"/>
      <c r="W28" s="44">
        <f t="shared" si="3"/>
        <v>0</v>
      </c>
    </row>
    <row r="29" spans="1:23" ht="39.5" customHeight="1" x14ac:dyDescent="0.45">
      <c r="A29" s="22" t="s">
        <v>11</v>
      </c>
      <c r="B29" s="49"/>
      <c r="C29" s="49"/>
      <c r="D29" s="35">
        <v>0.63194444444444442</v>
      </c>
      <c r="E29" s="36"/>
      <c r="F29" s="24"/>
      <c r="G29" s="14"/>
      <c r="H29" s="25"/>
      <c r="I29" s="44"/>
      <c r="J29" s="35">
        <f t="shared" si="0"/>
        <v>0</v>
      </c>
      <c r="K29" s="26"/>
      <c r="L29" s="27"/>
      <c r="M29" s="44"/>
      <c r="N29" s="35">
        <f t="shared" si="4"/>
        <v>0</v>
      </c>
      <c r="O29" s="26"/>
      <c r="P29" s="27"/>
      <c r="Q29" s="44"/>
      <c r="R29" s="35">
        <f t="shared" si="5"/>
        <v>0</v>
      </c>
      <c r="S29" s="26"/>
      <c r="T29" s="32"/>
      <c r="U29" s="44"/>
      <c r="V29" s="14"/>
      <c r="W29" s="44">
        <f t="shared" si="3"/>
        <v>0</v>
      </c>
    </row>
    <row r="30" spans="1:23" ht="39.5" customHeight="1" x14ac:dyDescent="0.45">
      <c r="A30" s="22" t="s">
        <v>11</v>
      </c>
      <c r="B30" s="49"/>
      <c r="C30" s="49"/>
      <c r="D30" s="35">
        <v>0.63888888888888895</v>
      </c>
      <c r="E30" s="36"/>
      <c r="F30" s="24"/>
      <c r="G30" s="14"/>
      <c r="H30" s="25"/>
      <c r="I30" s="44"/>
      <c r="J30" s="35">
        <f t="shared" si="0"/>
        <v>0</v>
      </c>
      <c r="K30" s="26"/>
      <c r="L30" s="27"/>
      <c r="M30" s="44"/>
      <c r="N30" s="35">
        <f t="shared" si="4"/>
        <v>0</v>
      </c>
      <c r="O30" s="26"/>
      <c r="P30" s="27"/>
      <c r="Q30" s="44"/>
      <c r="R30" s="35">
        <f t="shared" si="5"/>
        <v>0</v>
      </c>
      <c r="S30" s="26"/>
      <c r="T30" s="32"/>
      <c r="U30" s="44"/>
      <c r="V30" s="14"/>
      <c r="W30" s="44">
        <f t="shared" si="3"/>
        <v>0</v>
      </c>
    </row>
    <row r="31" spans="1:23" ht="39.5" customHeight="1" x14ac:dyDescent="0.45">
      <c r="A31" s="22" t="s">
        <v>11</v>
      </c>
      <c r="B31" s="49"/>
      <c r="C31" s="49"/>
      <c r="D31" s="35">
        <v>0.64583333333333304</v>
      </c>
      <c r="E31" s="36"/>
      <c r="F31" s="24"/>
      <c r="G31" s="14"/>
      <c r="H31" s="25"/>
      <c r="I31" s="44"/>
      <c r="J31" s="35">
        <f t="shared" si="0"/>
        <v>0</v>
      </c>
      <c r="K31" s="26"/>
      <c r="L31" s="27"/>
      <c r="M31" s="44"/>
      <c r="N31" s="35">
        <f t="shared" si="4"/>
        <v>0</v>
      </c>
      <c r="O31" s="26"/>
      <c r="P31" s="27"/>
      <c r="Q31" s="44"/>
      <c r="R31" s="35">
        <f t="shared" si="5"/>
        <v>0</v>
      </c>
      <c r="S31" s="26"/>
      <c r="T31" s="32"/>
      <c r="U31" s="44"/>
      <c r="V31" s="14"/>
      <c r="W31" s="44">
        <f t="shared" si="3"/>
        <v>0</v>
      </c>
    </row>
    <row r="32" spans="1:23" ht="39.5" customHeight="1" x14ac:dyDescent="0.45">
      <c r="A32" s="22" t="s">
        <v>11</v>
      </c>
      <c r="B32" s="49"/>
      <c r="C32" s="49"/>
      <c r="D32" s="35">
        <v>0.65277777777777801</v>
      </c>
      <c r="E32" s="36"/>
      <c r="F32" s="24"/>
      <c r="G32" s="14"/>
      <c r="H32" s="25"/>
      <c r="I32" s="44"/>
      <c r="J32" s="35">
        <f t="shared" si="0"/>
        <v>0</v>
      </c>
      <c r="K32" s="26"/>
      <c r="L32" s="27"/>
      <c r="M32" s="44"/>
      <c r="N32" s="35">
        <f t="shared" si="4"/>
        <v>0</v>
      </c>
      <c r="O32" s="26"/>
      <c r="P32" s="27"/>
      <c r="Q32" s="44"/>
      <c r="R32" s="35">
        <f t="shared" si="5"/>
        <v>0</v>
      </c>
      <c r="S32" s="26"/>
      <c r="T32" s="32"/>
      <c r="U32" s="44"/>
      <c r="V32" s="14"/>
      <c r="W32" s="44">
        <f t="shared" si="3"/>
        <v>0</v>
      </c>
    </row>
    <row r="33" spans="1:23" ht="39.5" customHeight="1" x14ac:dyDescent="0.45">
      <c r="A33" s="22" t="s">
        <v>11</v>
      </c>
      <c r="B33" s="49"/>
      <c r="C33" s="49"/>
      <c r="D33" s="35">
        <v>0.65972222222222199</v>
      </c>
      <c r="E33" s="36"/>
      <c r="F33" s="24"/>
      <c r="G33" s="14"/>
      <c r="H33" s="25"/>
      <c r="I33" s="44"/>
      <c r="J33" s="35">
        <f t="shared" si="0"/>
        <v>0</v>
      </c>
      <c r="K33" s="26"/>
      <c r="L33" s="27"/>
      <c r="M33" s="44"/>
      <c r="N33" s="35">
        <f t="shared" si="4"/>
        <v>0</v>
      </c>
      <c r="O33" s="26"/>
      <c r="P33" s="27"/>
      <c r="Q33" s="44"/>
      <c r="R33" s="35">
        <f t="shared" si="5"/>
        <v>0</v>
      </c>
      <c r="S33" s="26"/>
      <c r="T33" s="32"/>
      <c r="U33" s="44"/>
      <c r="V33" s="14"/>
      <c r="W33" s="44">
        <f t="shared" si="3"/>
        <v>0</v>
      </c>
    </row>
    <row r="34" spans="1:23" ht="39.5" customHeight="1" x14ac:dyDescent="0.45">
      <c r="A34" s="22" t="s">
        <v>11</v>
      </c>
      <c r="B34" s="49"/>
      <c r="C34" s="49"/>
      <c r="D34" s="35">
        <v>0.66666666666666696</v>
      </c>
      <c r="E34" s="36"/>
      <c r="F34" s="24"/>
      <c r="G34" s="14"/>
      <c r="H34" s="25"/>
      <c r="I34" s="44"/>
      <c r="J34" s="35">
        <f t="shared" si="0"/>
        <v>0</v>
      </c>
      <c r="K34" s="26"/>
      <c r="L34" s="27"/>
      <c r="M34" s="44"/>
      <c r="N34" s="35">
        <f t="shared" si="4"/>
        <v>0</v>
      </c>
      <c r="O34" s="26"/>
      <c r="P34" s="27"/>
      <c r="Q34" s="44"/>
      <c r="R34" s="35">
        <f t="shared" si="5"/>
        <v>0</v>
      </c>
      <c r="S34" s="26"/>
      <c r="T34" s="32"/>
      <c r="U34" s="44"/>
      <c r="V34" s="14"/>
      <c r="W34" s="44">
        <f t="shared" si="3"/>
        <v>0</v>
      </c>
    </row>
    <row r="35" spans="1:23" ht="39.5" customHeight="1" x14ac:dyDescent="0.45">
      <c r="A35" s="22" t="s">
        <v>11</v>
      </c>
      <c r="B35" s="49"/>
      <c r="C35" s="49"/>
      <c r="D35" s="35">
        <v>0.67361111111111105</v>
      </c>
      <c r="E35" s="36"/>
      <c r="F35" s="24"/>
      <c r="G35" s="14"/>
      <c r="H35" s="25"/>
      <c r="I35" s="44"/>
      <c r="J35" s="35">
        <f t="shared" si="0"/>
        <v>0</v>
      </c>
      <c r="K35" s="26"/>
      <c r="L35" s="27"/>
      <c r="M35" s="44"/>
      <c r="N35" s="35">
        <f t="shared" si="4"/>
        <v>0</v>
      </c>
      <c r="O35" s="26"/>
      <c r="P35" s="27"/>
      <c r="Q35" s="44"/>
      <c r="R35" s="35">
        <f t="shared" si="5"/>
        <v>0</v>
      </c>
      <c r="S35" s="26"/>
      <c r="T35" s="32"/>
      <c r="U35" s="44"/>
      <c r="V35" s="14"/>
      <c r="W35" s="44">
        <f t="shared" si="3"/>
        <v>0</v>
      </c>
    </row>
    <row r="36" spans="1:23" ht="39.5" customHeight="1" x14ac:dyDescent="0.45">
      <c r="A36" s="22" t="s">
        <v>11</v>
      </c>
      <c r="B36" s="49"/>
      <c r="C36" s="49"/>
      <c r="D36" s="35">
        <v>0.68055555555555503</v>
      </c>
      <c r="E36" s="36"/>
      <c r="F36" s="24"/>
      <c r="G36" s="14"/>
      <c r="H36" s="25"/>
      <c r="I36" s="44"/>
      <c r="J36" s="35">
        <f t="shared" si="0"/>
        <v>0</v>
      </c>
      <c r="K36" s="26"/>
      <c r="L36" s="27"/>
      <c r="M36" s="44"/>
      <c r="N36" s="35">
        <f t="shared" si="4"/>
        <v>0</v>
      </c>
      <c r="O36" s="26"/>
      <c r="P36" s="27"/>
      <c r="Q36" s="44"/>
      <c r="R36" s="35">
        <f t="shared" si="5"/>
        <v>0</v>
      </c>
      <c r="S36" s="26"/>
      <c r="T36" s="32"/>
      <c r="U36" s="44"/>
      <c r="V36" s="14"/>
      <c r="W36" s="44">
        <f t="shared" si="3"/>
        <v>0</v>
      </c>
    </row>
    <row r="37" spans="1:23" ht="39.5" customHeight="1" x14ac:dyDescent="0.45">
      <c r="A37" s="22" t="s">
        <v>11</v>
      </c>
      <c r="B37" s="49"/>
      <c r="C37" s="49"/>
      <c r="D37" s="35">
        <v>0.6875</v>
      </c>
      <c r="E37" s="36"/>
      <c r="F37" s="24"/>
      <c r="G37" s="14"/>
      <c r="H37" s="25"/>
      <c r="I37" s="44"/>
      <c r="J37" s="35">
        <f t="shared" si="0"/>
        <v>0</v>
      </c>
      <c r="K37" s="26"/>
      <c r="L37" s="27"/>
      <c r="M37" s="44"/>
      <c r="N37" s="35">
        <f t="shared" si="4"/>
        <v>0</v>
      </c>
      <c r="O37" s="26"/>
      <c r="P37" s="27"/>
      <c r="Q37" s="44"/>
      <c r="R37" s="35">
        <f t="shared" si="5"/>
        <v>0</v>
      </c>
      <c r="S37" s="26"/>
      <c r="T37" s="32"/>
      <c r="U37" s="44"/>
      <c r="V37" s="14"/>
      <c r="W37" s="44">
        <f t="shared" si="3"/>
        <v>0</v>
      </c>
    </row>
    <row r="38" spans="1:23" ht="39.5" customHeight="1" x14ac:dyDescent="0.45">
      <c r="A38" s="22" t="s">
        <v>11</v>
      </c>
      <c r="B38" s="49"/>
      <c r="C38" s="49"/>
      <c r="D38" s="35">
        <v>0.69444444444444398</v>
      </c>
      <c r="E38" s="36"/>
      <c r="F38" s="24"/>
      <c r="G38" s="14"/>
      <c r="H38" s="25"/>
      <c r="I38" s="44"/>
      <c r="J38" s="35">
        <f t="shared" si="0"/>
        <v>0</v>
      </c>
      <c r="K38" s="26"/>
      <c r="L38" s="27"/>
      <c r="M38" s="44"/>
      <c r="N38" s="35">
        <f t="shared" si="4"/>
        <v>0</v>
      </c>
      <c r="O38" s="26"/>
      <c r="P38" s="27"/>
      <c r="Q38" s="44"/>
      <c r="R38" s="35">
        <f t="shared" si="5"/>
        <v>0</v>
      </c>
      <c r="S38" s="26"/>
      <c r="T38" s="32"/>
      <c r="U38" s="44"/>
      <c r="V38" s="14"/>
      <c r="W38" s="44">
        <f t="shared" si="3"/>
        <v>0</v>
      </c>
    </row>
    <row r="39" spans="1:23" ht="39.5" customHeight="1" x14ac:dyDescent="0.45">
      <c r="A39" s="22" t="s">
        <v>11</v>
      </c>
      <c r="B39" s="49"/>
      <c r="C39" s="49"/>
      <c r="D39" s="35">
        <v>0.70138888888888895</v>
      </c>
      <c r="E39" s="36"/>
      <c r="F39" s="24"/>
      <c r="G39" s="14"/>
      <c r="H39" s="25"/>
      <c r="I39" s="44"/>
      <c r="J39" s="35">
        <f t="shared" si="0"/>
        <v>0</v>
      </c>
      <c r="K39" s="26"/>
      <c r="L39" s="27"/>
      <c r="M39" s="44"/>
      <c r="N39" s="35">
        <f t="shared" si="4"/>
        <v>0</v>
      </c>
      <c r="O39" s="26"/>
      <c r="P39" s="27"/>
      <c r="Q39" s="44"/>
      <c r="R39" s="35">
        <f t="shared" si="5"/>
        <v>0</v>
      </c>
      <c r="S39" s="26"/>
      <c r="T39" s="32"/>
      <c r="U39" s="44"/>
      <c r="V39" s="14"/>
      <c r="W39" s="44">
        <f t="shared" si="3"/>
        <v>0</v>
      </c>
    </row>
    <row r="40" spans="1:23" ht="39.5" customHeight="1" x14ac:dyDescent="0.45">
      <c r="A40" s="22" t="s">
        <v>11</v>
      </c>
      <c r="B40" s="49"/>
      <c r="C40" s="49"/>
      <c r="D40" s="35">
        <v>0.70833333333333304</v>
      </c>
      <c r="E40" s="36"/>
      <c r="F40" s="24"/>
      <c r="G40" s="14"/>
      <c r="H40" s="25"/>
      <c r="I40" s="44"/>
      <c r="J40" s="35">
        <f t="shared" si="0"/>
        <v>0</v>
      </c>
      <c r="K40" s="26"/>
      <c r="L40" s="27"/>
      <c r="M40" s="44"/>
      <c r="N40" s="35">
        <f t="shared" si="4"/>
        <v>0</v>
      </c>
      <c r="O40" s="26"/>
      <c r="P40" s="27"/>
      <c r="Q40" s="44"/>
      <c r="R40" s="35">
        <f t="shared" si="5"/>
        <v>0</v>
      </c>
      <c r="S40" s="26"/>
      <c r="T40" s="32"/>
      <c r="U40" s="44"/>
      <c r="V40" s="14"/>
      <c r="W40" s="44">
        <f t="shared" si="3"/>
        <v>0</v>
      </c>
    </row>
    <row r="41" spans="1:23" ht="39.5" customHeight="1" x14ac:dyDescent="0.45">
      <c r="A41" s="22" t="s">
        <v>11</v>
      </c>
      <c r="B41" s="49"/>
      <c r="C41" s="49"/>
      <c r="D41" s="35">
        <v>0.71527777777777701</v>
      </c>
      <c r="E41" s="36"/>
      <c r="F41" s="24"/>
      <c r="G41" s="14"/>
      <c r="H41" s="25"/>
      <c r="I41" s="44"/>
      <c r="J41" s="35">
        <f t="shared" si="0"/>
        <v>0</v>
      </c>
      <c r="K41" s="26"/>
      <c r="L41" s="27"/>
      <c r="M41" s="44"/>
      <c r="N41" s="35">
        <f t="shared" si="4"/>
        <v>0</v>
      </c>
      <c r="O41" s="26"/>
      <c r="P41" s="27"/>
      <c r="Q41" s="44"/>
      <c r="R41" s="35">
        <f t="shared" si="5"/>
        <v>0</v>
      </c>
      <c r="S41" s="26"/>
      <c r="T41" s="32"/>
      <c r="U41" s="44"/>
      <c r="V41" s="14"/>
      <c r="W41" s="44">
        <f t="shared" si="3"/>
        <v>0</v>
      </c>
    </row>
    <row r="42" spans="1:23" ht="39.5" customHeight="1" x14ac:dyDescent="0.45">
      <c r="A42" s="22" t="s">
        <v>11</v>
      </c>
      <c r="B42" s="49"/>
      <c r="C42" s="49"/>
      <c r="D42" s="35">
        <v>0.72222222222222199</v>
      </c>
      <c r="E42" s="36"/>
      <c r="F42" s="24"/>
      <c r="G42" s="14"/>
      <c r="H42" s="25"/>
      <c r="I42" s="44"/>
      <c r="J42" s="35">
        <f t="shared" si="0"/>
        <v>0</v>
      </c>
      <c r="K42" s="26"/>
      <c r="L42" s="27"/>
      <c r="M42" s="44"/>
      <c r="N42" s="35">
        <f t="shared" si="4"/>
        <v>0</v>
      </c>
      <c r="O42" s="26"/>
      <c r="P42" s="27"/>
      <c r="Q42" s="44"/>
      <c r="R42" s="35">
        <f t="shared" si="5"/>
        <v>0</v>
      </c>
      <c r="S42" s="26"/>
      <c r="T42" s="32"/>
      <c r="U42" s="44"/>
      <c r="V42" s="14"/>
      <c r="W42" s="44">
        <f t="shared" si="3"/>
        <v>0</v>
      </c>
    </row>
    <row r="43" spans="1:23" ht="39.5" customHeight="1" x14ac:dyDescent="0.45">
      <c r="A43" s="22" t="s">
        <v>11</v>
      </c>
      <c r="B43" s="49"/>
      <c r="C43" s="49"/>
      <c r="D43" s="35">
        <v>0.72916666666666596</v>
      </c>
      <c r="E43" s="36"/>
      <c r="F43" s="24"/>
      <c r="G43" s="14"/>
      <c r="H43" s="25"/>
      <c r="I43" s="44"/>
      <c r="J43" s="35">
        <f t="shared" si="0"/>
        <v>0</v>
      </c>
      <c r="K43" s="26"/>
      <c r="L43" s="27"/>
      <c r="M43" s="44"/>
      <c r="N43" s="35">
        <f t="shared" si="4"/>
        <v>0</v>
      </c>
      <c r="O43" s="26"/>
      <c r="P43" s="27"/>
      <c r="Q43" s="44"/>
      <c r="R43" s="35">
        <f t="shared" si="5"/>
        <v>0</v>
      </c>
      <c r="S43" s="26"/>
      <c r="T43" s="32"/>
      <c r="U43" s="44"/>
      <c r="V43" s="14"/>
      <c r="W43" s="44">
        <f t="shared" si="3"/>
        <v>0</v>
      </c>
    </row>
    <row r="44" spans="1:23" ht="39.5" customHeight="1" x14ac:dyDescent="0.45">
      <c r="A44" s="22" t="s">
        <v>11</v>
      </c>
      <c r="B44" s="49"/>
      <c r="C44" s="49"/>
      <c r="D44" s="35">
        <v>0.73611111111111105</v>
      </c>
      <c r="E44" s="36"/>
      <c r="F44" s="24"/>
      <c r="G44" s="14"/>
      <c r="H44" s="25"/>
      <c r="I44" s="44"/>
      <c r="J44" s="35">
        <f t="shared" si="0"/>
        <v>0</v>
      </c>
      <c r="K44" s="26"/>
      <c r="L44" s="27"/>
      <c r="M44" s="44"/>
      <c r="N44" s="35">
        <f t="shared" si="4"/>
        <v>0</v>
      </c>
      <c r="O44" s="26"/>
      <c r="P44" s="27"/>
      <c r="Q44" s="44"/>
      <c r="R44" s="35">
        <f t="shared" si="5"/>
        <v>0</v>
      </c>
      <c r="S44" s="26"/>
      <c r="T44" s="32"/>
      <c r="U44" s="44"/>
      <c r="V44" s="14"/>
      <c r="W44" s="44">
        <f t="shared" si="3"/>
        <v>0</v>
      </c>
    </row>
    <row r="45" spans="1:23" ht="39.5" customHeight="1" x14ac:dyDescent="0.45">
      <c r="A45" s="22" t="s">
        <v>11</v>
      </c>
      <c r="B45" s="49"/>
      <c r="C45" s="49"/>
      <c r="D45" s="35">
        <v>0.74305555555555503</v>
      </c>
      <c r="E45" s="36"/>
      <c r="F45" s="24"/>
      <c r="G45" s="14"/>
      <c r="H45" s="25"/>
      <c r="I45" s="44"/>
      <c r="J45" s="35">
        <f t="shared" si="0"/>
        <v>0</v>
      </c>
      <c r="K45" s="26"/>
      <c r="L45" s="27"/>
      <c r="M45" s="44"/>
      <c r="N45" s="35">
        <f t="shared" si="4"/>
        <v>0</v>
      </c>
      <c r="O45" s="26"/>
      <c r="P45" s="27"/>
      <c r="Q45" s="44"/>
      <c r="R45" s="35">
        <f t="shared" si="5"/>
        <v>0</v>
      </c>
      <c r="S45" s="26"/>
      <c r="T45" s="32"/>
      <c r="U45" s="44"/>
      <c r="V45" s="14"/>
      <c r="W45" s="44">
        <f t="shared" si="3"/>
        <v>0</v>
      </c>
    </row>
    <row r="46" spans="1:23" ht="39.5" customHeight="1" x14ac:dyDescent="0.45">
      <c r="A46" s="23" t="s">
        <v>11</v>
      </c>
      <c r="B46" s="50"/>
      <c r="C46" s="50"/>
      <c r="D46" s="37">
        <v>0.75</v>
      </c>
      <c r="E46" s="38"/>
      <c r="F46" s="42"/>
      <c r="G46" s="8"/>
      <c r="H46" s="19"/>
      <c r="I46" s="46"/>
      <c r="J46" s="35">
        <f t="shared" si="0"/>
        <v>0</v>
      </c>
      <c r="K46" s="30"/>
      <c r="L46" s="31"/>
      <c r="M46" s="46"/>
      <c r="N46" s="35">
        <f t="shared" si="4"/>
        <v>0</v>
      </c>
      <c r="O46" s="30"/>
      <c r="P46" s="31"/>
      <c r="Q46" s="46"/>
      <c r="R46" s="35">
        <f t="shared" si="5"/>
        <v>0</v>
      </c>
      <c r="S46" s="30"/>
      <c r="T46" s="34"/>
      <c r="U46" s="46"/>
      <c r="V46" s="8"/>
      <c r="W46" s="44">
        <f t="shared" si="3"/>
        <v>0</v>
      </c>
    </row>
    <row r="47" spans="1:23" x14ac:dyDescent="0.45">
      <c r="A47" s="8"/>
      <c r="B47" s="11"/>
      <c r="C47" s="11"/>
      <c r="D47" s="15"/>
      <c r="E47" s="19"/>
      <c r="F47" s="42"/>
      <c r="G47" s="8"/>
      <c r="H47" s="19"/>
      <c r="I47" s="46"/>
      <c r="J47" s="11"/>
      <c r="K47" s="30"/>
      <c r="L47" s="31"/>
      <c r="M47" s="46"/>
      <c r="N47" s="11"/>
      <c r="O47" s="30"/>
      <c r="P47" s="31"/>
      <c r="Q47" s="46"/>
      <c r="R47" s="11"/>
      <c r="S47" s="30"/>
      <c r="T47" s="34"/>
      <c r="U47" s="46"/>
      <c r="V47" s="8"/>
      <c r="W47" s="47">
        <f>SUM(W28:W46)</f>
        <v>0</v>
      </c>
    </row>
    <row r="48" spans="1:23" x14ac:dyDescent="0.45">
      <c r="W48" s="35">
        <f>W47+W27</f>
        <v>0</v>
      </c>
    </row>
    <row r="49" spans="5:11" x14ac:dyDescent="0.45">
      <c r="E49" t="s">
        <v>15</v>
      </c>
      <c r="K49" t="s">
        <v>16</v>
      </c>
    </row>
  </sheetData>
  <mergeCells count="3">
    <mergeCell ref="G6:I6"/>
    <mergeCell ref="K6:M6"/>
    <mergeCell ref="O6:Q6"/>
  </mergeCells>
  <pageMargins left="0.25" right="0.25" top="0.75" bottom="0.75" header="0.3" footer="0.3"/>
  <pageSetup paperSize="9" scale="26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A6D3-E9C7-43A6-A90D-599F5B4F2BD2}">
  <sheetPr>
    <pageSetUpPr fitToPage="1"/>
  </sheetPr>
  <dimension ref="A3:AA48"/>
  <sheetViews>
    <sheetView workbookViewId="0">
      <selection activeCell="Y7" sqref="Y7:AA7"/>
    </sheetView>
  </sheetViews>
  <sheetFormatPr baseColWidth="10" defaultRowHeight="14.25" x14ac:dyDescent="0.45"/>
  <cols>
    <col min="4" max="4" width="11.796875" customWidth="1"/>
    <col min="10" max="11" width="0" hidden="1" customWidth="1"/>
    <col min="14" max="15" width="0" hidden="1" customWidth="1"/>
    <col min="18" max="19" width="0" hidden="1" customWidth="1"/>
    <col min="21" max="21" width="10.796875" customWidth="1"/>
    <col min="23" max="23" width="34.796875" customWidth="1"/>
  </cols>
  <sheetData>
    <row r="3" spans="1:27" x14ac:dyDescent="0.45">
      <c r="D3" t="s">
        <v>14</v>
      </c>
    </row>
    <row r="4" spans="1:27" x14ac:dyDescent="0.45">
      <c r="D4" t="s">
        <v>13</v>
      </c>
    </row>
    <row r="6" spans="1:27" x14ac:dyDescent="0.45">
      <c r="D6" s="7"/>
      <c r="E6" s="9"/>
      <c r="F6" s="9"/>
      <c r="G6" s="10"/>
      <c r="H6" s="489" t="s">
        <v>2</v>
      </c>
      <c r="I6" s="490"/>
      <c r="J6" s="491"/>
      <c r="K6" s="1"/>
      <c r="L6" s="489" t="s">
        <v>6</v>
      </c>
      <c r="M6" s="490"/>
      <c r="N6" s="491"/>
      <c r="O6" s="1"/>
      <c r="P6" s="489" t="s">
        <v>7</v>
      </c>
      <c r="Q6" s="490"/>
      <c r="R6" s="491"/>
      <c r="S6" s="1"/>
      <c r="T6" s="13" t="s">
        <v>11</v>
      </c>
      <c r="U6" s="12"/>
      <c r="V6" s="10"/>
      <c r="W6" s="7"/>
      <c r="X6" s="5"/>
    </row>
    <row r="7" spans="1:27" ht="42.75" x14ac:dyDescent="0.45">
      <c r="A7" t="s">
        <v>14</v>
      </c>
      <c r="B7" t="s">
        <v>21</v>
      </c>
      <c r="C7" t="s">
        <v>13</v>
      </c>
      <c r="D7" s="8"/>
      <c r="E7" s="3" t="s">
        <v>0</v>
      </c>
      <c r="F7" s="18" t="s">
        <v>1</v>
      </c>
      <c r="G7" s="4" t="s">
        <v>23</v>
      </c>
      <c r="H7" s="2" t="s">
        <v>22</v>
      </c>
      <c r="I7" s="18" t="s">
        <v>23</v>
      </c>
      <c r="J7" s="4" t="s">
        <v>5</v>
      </c>
      <c r="K7" s="3" t="s">
        <v>19</v>
      </c>
      <c r="L7" s="2" t="s">
        <v>22</v>
      </c>
      <c r="M7" s="18" t="s">
        <v>23</v>
      </c>
      <c r="N7" s="4" t="s">
        <v>9</v>
      </c>
      <c r="O7" s="3" t="s">
        <v>19</v>
      </c>
      <c r="P7" s="2" t="s">
        <v>22</v>
      </c>
      <c r="Q7" s="18" t="s">
        <v>23</v>
      </c>
      <c r="R7" s="4" t="s">
        <v>10</v>
      </c>
      <c r="S7" s="3" t="s">
        <v>19</v>
      </c>
      <c r="T7" s="2" t="s">
        <v>22</v>
      </c>
      <c r="U7" s="3"/>
      <c r="V7" s="4" t="s">
        <v>17</v>
      </c>
      <c r="W7" s="8" t="s">
        <v>12</v>
      </c>
      <c r="X7" s="6" t="s">
        <v>20</v>
      </c>
      <c r="Y7" s="51" t="s">
        <v>38</v>
      </c>
      <c r="Z7" s="51" t="s">
        <v>39</v>
      </c>
      <c r="AA7" s="51" t="s">
        <v>40</v>
      </c>
    </row>
    <row r="8" spans="1:27" ht="29.55" customHeight="1" x14ac:dyDescent="0.45">
      <c r="D8" s="14" t="s">
        <v>8</v>
      </c>
      <c r="E8" s="35">
        <v>0.20833333333333334</v>
      </c>
      <c r="F8" s="54" t="e">
        <f>AVERAGE('Feuille saisie'!E12,'C2'!C8,'C3'!C8,'C4'!C8,'C5'!C8,'C6'!C8,'C7'!C8,'C8'!C8,'C9'!C8,'C10'!C8,'C11'!C8,'C12'!C8,'C13'!C8,'C14'!C8,'C15'!C8,'C16'!C8)</f>
        <v>#DIV/0!</v>
      </c>
      <c r="G8" s="55">
        <f>'Feuille saisie'!H12+'C2'!D8+'C3'!D8+'C4'!D8+'C5'!D8+'C6'!D8+'C7'!D8+'C8'!D8+'C9'!D8+'C10'!D8+'C11'!D8+'C12'!D8+'C13'!D8+'C14'!D8+'C15'!D8+'C16'!D8</f>
        <v>0</v>
      </c>
      <c r="H8" s="56">
        <f>'Feuille saisie'!I12+'C2'!E8+'C3'!E8+'C4'!E8+'C5'!E8+'C6'!E8+'C7'!E8+'C8'!E8+'C9'!E8+'C10'!E8+'C11'!E8+'C12'!E8+'C13'!E8+'C14'!E8+'C15'!E8+'C16'!E8</f>
        <v>0</v>
      </c>
      <c r="I8" s="55">
        <f>'Feuille saisie'!J12+'C2'!F8+'C3'!F8+'C4'!F8+'C5'!F8+'C6'!F8+'C7'!F8+'C8'!F8+'C9'!F8+'C10'!F8+'C11'!F8+'C12'!F8+'C13'!F8+'C14'!F8+'C15'!F8+'C16'!F8</f>
        <v>0</v>
      </c>
      <c r="J8" s="57">
        <v>0.21458333333333332</v>
      </c>
      <c r="K8" s="58" t="e">
        <f>J8-F8</f>
        <v>#DIV/0!</v>
      </c>
      <c r="L8" s="56" t="e">
        <f>'Feuille saisie'!#REF!+'C2'!I8+'C3'!I8+'C4'!I8+'C5'!I8+'C6'!I8+'C7'!I8+'C8'!I8+'C9'!I8+'C10'!I8+'C11'!I8+'C12'!I8+'C13'!I8+'C14'!I8+'C15'!I8+'C16'!I8</f>
        <v>#REF!</v>
      </c>
      <c r="M8" s="55" t="e">
        <f>'Feuille saisie'!#REF!+'C2'!J8+'C3'!J8+'C4'!J8+'C5'!J8+'C6'!J8+'C7'!J8+'C8'!J8+'C9'!J8+'C10'!J8+'C11'!J8+'C12'!J8+'C13'!J8+'C14'!J8+'C15'!J8+'C16'!J8</f>
        <v>#REF!</v>
      </c>
      <c r="N8" s="57">
        <v>0.21805555555555556</v>
      </c>
      <c r="O8" s="58">
        <f>N8-J8</f>
        <v>3.4722222222222376E-3</v>
      </c>
      <c r="P8" s="56" t="e">
        <f>'Feuille saisie'!#REF!+'C2'!M8+'C3'!M8+'C4'!M8+'C5'!M8+'C6'!M8+'C7'!M8+'C8'!M8+'C9'!M8+'C10'!M8+'C11'!M8+'C12'!M8+'C13'!M8+'C14'!M8+'C15'!M8+'C16'!M8</f>
        <v>#REF!</v>
      </c>
      <c r="Q8" s="55" t="e">
        <f>'Feuille saisie'!#REF!+'C2'!N8+'C3'!N8+'C4'!N8+'C5'!N8+'C6'!N8+'C7'!N8+'C8'!N8+'C9'!N8+'C10'!N8+'C11'!N8+'C12'!N8+'C13'!N8+'C14'!N8+'C15'!N8+'C16'!N8</f>
        <v>#REF!</v>
      </c>
      <c r="R8" s="57">
        <v>0.22013888888888888</v>
      </c>
      <c r="S8" s="58">
        <f>R8-N8</f>
        <v>2.0833333333333259E-3</v>
      </c>
      <c r="T8" s="59">
        <f>'Feuille saisie'!K12+'C2'!Q8+'C3'!Q8+'C4'!Q8+'C5'!Q8+'C6'!Q8+'C7'!Q8+'C8'!Q8+'C9'!Q8+'C10'!Q8+'C11'!Q8+'C12'!Q8+'C13'!Q8+'C14'!Q8+'C15'!Q8+'C16'!Q8</f>
        <v>0</v>
      </c>
      <c r="U8" s="60" t="e">
        <f>IF(G8+H8-I8+L8-M8+P8-Q8=T8,"OK",G8+H8-I8+L8-M8+P8-Q8-T8)</f>
        <v>#REF!</v>
      </c>
      <c r="V8" s="52" t="e">
        <f>AVERAGE('Feuille saisie'!L12,'C2'!S8,'C3'!S8,'C4'!S8,'C5'!S8,'C6'!S8,'C7'!S8,'C8'!S8,'C9'!S8,'C10'!S8,'C11'!S8,'C12'!S8,'C13'!S8,'C14'!S8,'C17'!S8)</f>
        <v>#DIV/0!</v>
      </c>
      <c r="W8" s="14"/>
      <c r="X8" s="44" t="e">
        <f>V8-F8</f>
        <v>#DIV/0!</v>
      </c>
      <c r="Y8" s="53" t="e">
        <f>AVERAGE(G8,G8-H8+I8,G8-H8+I8-L8+M8,G8-H8+I8-L8+M8-P8+Q8)</f>
        <v>#REF!</v>
      </c>
    </row>
    <row r="9" spans="1:27" ht="29.55" customHeight="1" x14ac:dyDescent="0.45">
      <c r="D9" s="14" t="s">
        <v>8</v>
      </c>
      <c r="E9" s="35">
        <v>0.21527777777777779</v>
      </c>
      <c r="F9" s="36"/>
      <c r="G9" s="40"/>
      <c r="H9" s="26"/>
      <c r="I9" s="27"/>
      <c r="J9" s="44"/>
      <c r="L9" s="26"/>
      <c r="M9" s="27"/>
      <c r="N9" s="44"/>
      <c r="P9" s="26"/>
      <c r="Q9" s="27"/>
      <c r="R9" s="44"/>
      <c r="T9" s="26"/>
      <c r="U9" s="32"/>
      <c r="V9" s="44"/>
      <c r="W9" s="14"/>
      <c r="X9" s="44">
        <f t="shared" ref="X9:X46" si="0">V9-F9</f>
        <v>0</v>
      </c>
    </row>
    <row r="10" spans="1:27" ht="29.55" customHeight="1" x14ac:dyDescent="0.45">
      <c r="D10" s="14" t="s">
        <v>8</v>
      </c>
      <c r="E10" s="35">
        <v>0.22222222222222199</v>
      </c>
      <c r="F10" s="36"/>
      <c r="G10" s="40"/>
      <c r="H10" s="26"/>
      <c r="I10" s="27"/>
      <c r="J10" s="44"/>
      <c r="L10" s="26"/>
      <c r="M10" s="27"/>
      <c r="N10" s="44"/>
      <c r="P10" s="26"/>
      <c r="Q10" s="27"/>
      <c r="R10" s="44"/>
      <c r="T10" s="26"/>
      <c r="U10" s="32"/>
      <c r="V10" s="44"/>
      <c r="W10" s="14"/>
      <c r="X10" s="44">
        <f t="shared" si="0"/>
        <v>0</v>
      </c>
    </row>
    <row r="11" spans="1:27" ht="29.55" customHeight="1" x14ac:dyDescent="0.45">
      <c r="D11" s="14" t="s">
        <v>8</v>
      </c>
      <c r="E11" s="35">
        <v>0.22916666666666699</v>
      </c>
      <c r="F11" s="36"/>
      <c r="G11" s="40"/>
      <c r="H11" s="26"/>
      <c r="I11" s="27"/>
      <c r="J11" s="44"/>
      <c r="L11" s="26"/>
      <c r="M11" s="27"/>
      <c r="N11" s="44"/>
      <c r="P11" s="26"/>
      <c r="Q11" s="27"/>
      <c r="R11" s="44"/>
      <c r="T11" s="26"/>
      <c r="U11" s="32"/>
      <c r="V11" s="44"/>
      <c r="W11" s="14"/>
      <c r="X11" s="44">
        <f t="shared" si="0"/>
        <v>0</v>
      </c>
    </row>
    <row r="12" spans="1:27" ht="29.55" customHeight="1" x14ac:dyDescent="0.45">
      <c r="D12" s="14" t="s">
        <v>8</v>
      </c>
      <c r="E12" s="35">
        <v>0.23611111111111099</v>
      </c>
      <c r="F12" s="36"/>
      <c r="G12" s="40"/>
      <c r="H12" s="26"/>
      <c r="I12" s="27"/>
      <c r="J12" s="44"/>
      <c r="L12" s="26"/>
      <c r="M12" s="27"/>
      <c r="N12" s="44"/>
      <c r="P12" s="26"/>
      <c r="Q12" s="27"/>
      <c r="R12" s="44"/>
      <c r="T12" s="26"/>
      <c r="U12" s="32"/>
      <c r="V12" s="44"/>
      <c r="W12" s="14"/>
      <c r="X12" s="44">
        <f t="shared" si="0"/>
        <v>0</v>
      </c>
    </row>
    <row r="13" spans="1:27" ht="29.55" customHeight="1" x14ac:dyDescent="0.45">
      <c r="D13" s="14" t="s">
        <v>8</v>
      </c>
      <c r="E13" s="35">
        <v>0.243055555555556</v>
      </c>
      <c r="F13" s="36"/>
      <c r="G13" s="40"/>
      <c r="H13" s="26"/>
      <c r="I13" s="27"/>
      <c r="J13" s="44"/>
      <c r="L13" s="26"/>
      <c r="M13" s="27"/>
      <c r="N13" s="44"/>
      <c r="P13" s="26"/>
      <c r="Q13" s="27"/>
      <c r="R13" s="44"/>
      <c r="T13" s="26"/>
      <c r="U13" s="32"/>
      <c r="V13" s="44"/>
      <c r="W13" s="14"/>
      <c r="X13" s="44">
        <f t="shared" si="0"/>
        <v>0</v>
      </c>
    </row>
    <row r="14" spans="1:27" ht="29.55" customHeight="1" x14ac:dyDescent="0.45">
      <c r="D14" s="14" t="s">
        <v>8</v>
      </c>
      <c r="E14" s="35">
        <v>0.25</v>
      </c>
      <c r="F14" s="36"/>
      <c r="G14" s="40"/>
      <c r="H14" s="26"/>
      <c r="I14" s="27"/>
      <c r="J14" s="44"/>
      <c r="L14" s="26"/>
      <c r="M14" s="27"/>
      <c r="N14" s="44"/>
      <c r="P14" s="26"/>
      <c r="Q14" s="27"/>
      <c r="R14" s="44"/>
      <c r="T14" s="26"/>
      <c r="U14" s="32"/>
      <c r="V14" s="44"/>
      <c r="W14" s="14"/>
      <c r="X14" s="44">
        <f t="shared" si="0"/>
        <v>0</v>
      </c>
    </row>
    <row r="15" spans="1:27" ht="29.55" customHeight="1" x14ac:dyDescent="0.45">
      <c r="D15" s="14" t="s">
        <v>8</v>
      </c>
      <c r="E15" s="35">
        <v>0.25694444444444398</v>
      </c>
      <c r="F15" s="36"/>
      <c r="G15" s="40"/>
      <c r="H15" s="26"/>
      <c r="I15" s="27"/>
      <c r="J15" s="44"/>
      <c r="L15" s="26"/>
      <c r="M15" s="27"/>
      <c r="N15" s="44"/>
      <c r="P15" s="26"/>
      <c r="Q15" s="27"/>
      <c r="R15" s="44"/>
      <c r="T15" s="26"/>
      <c r="U15" s="32"/>
      <c r="V15" s="44"/>
      <c r="W15" s="14"/>
      <c r="X15" s="44">
        <f t="shared" si="0"/>
        <v>0</v>
      </c>
    </row>
    <row r="16" spans="1:27" ht="29.55" customHeight="1" x14ac:dyDescent="0.45">
      <c r="D16" s="14" t="s">
        <v>8</v>
      </c>
      <c r="E16" s="35">
        <v>0.26388888888888901</v>
      </c>
      <c r="F16" s="36"/>
      <c r="G16" s="40"/>
      <c r="H16" s="26"/>
      <c r="I16" s="27"/>
      <c r="J16" s="44"/>
      <c r="L16" s="26"/>
      <c r="M16" s="27"/>
      <c r="N16" s="44"/>
      <c r="P16" s="26"/>
      <c r="Q16" s="27"/>
      <c r="R16" s="44"/>
      <c r="T16" s="26"/>
      <c r="U16" s="32"/>
      <c r="V16" s="44"/>
      <c r="W16" s="14"/>
      <c r="X16" s="44">
        <f t="shared" si="0"/>
        <v>0</v>
      </c>
    </row>
    <row r="17" spans="4:24" ht="29.55" customHeight="1" x14ac:dyDescent="0.45">
      <c r="D17" s="14" t="s">
        <v>8</v>
      </c>
      <c r="E17" s="35">
        <v>0.27083333333333298</v>
      </c>
      <c r="F17" s="36"/>
      <c r="G17" s="40"/>
      <c r="H17" s="26"/>
      <c r="I17" s="27"/>
      <c r="J17" s="44"/>
      <c r="L17" s="26"/>
      <c r="M17" s="27"/>
      <c r="N17" s="44"/>
      <c r="P17" s="26"/>
      <c r="Q17" s="27"/>
      <c r="R17" s="44"/>
      <c r="T17" s="26"/>
      <c r="U17" s="32"/>
      <c r="V17" s="44"/>
      <c r="W17" s="14"/>
      <c r="X17" s="44">
        <f t="shared" si="0"/>
        <v>0</v>
      </c>
    </row>
    <row r="18" spans="4:24" ht="29.55" customHeight="1" x14ac:dyDescent="0.45">
      <c r="D18" s="14" t="s">
        <v>8</v>
      </c>
      <c r="E18" s="35">
        <v>0.27777777777777801</v>
      </c>
      <c r="F18" s="36"/>
      <c r="G18" s="40"/>
      <c r="H18" s="26"/>
      <c r="I18" s="27"/>
      <c r="J18" s="44"/>
      <c r="L18" s="26"/>
      <c r="M18" s="27"/>
      <c r="N18" s="44"/>
      <c r="P18" s="26"/>
      <c r="Q18" s="27"/>
      <c r="R18" s="44"/>
      <c r="T18" s="26"/>
      <c r="U18" s="32"/>
      <c r="V18" s="44"/>
      <c r="W18" s="14"/>
      <c r="X18" s="44">
        <f t="shared" si="0"/>
        <v>0</v>
      </c>
    </row>
    <row r="19" spans="4:24" ht="29.55" customHeight="1" x14ac:dyDescent="0.45">
      <c r="D19" s="14" t="s">
        <v>8</v>
      </c>
      <c r="E19" s="35">
        <v>0.28472222222222199</v>
      </c>
      <c r="F19" s="36"/>
      <c r="G19" s="40"/>
      <c r="H19" s="26"/>
      <c r="I19" s="27"/>
      <c r="J19" s="44"/>
      <c r="L19" s="26"/>
      <c r="M19" s="27"/>
      <c r="N19" s="44"/>
      <c r="P19" s="26"/>
      <c r="Q19" s="27"/>
      <c r="R19" s="44"/>
      <c r="T19" s="26"/>
      <c r="U19" s="32"/>
      <c r="V19" s="44"/>
      <c r="W19" s="14"/>
      <c r="X19" s="44">
        <f t="shared" si="0"/>
        <v>0</v>
      </c>
    </row>
    <row r="20" spans="4:24" ht="29.55" customHeight="1" x14ac:dyDescent="0.45">
      <c r="D20" s="14" t="s">
        <v>8</v>
      </c>
      <c r="E20" s="35">
        <v>0.29166666666666702</v>
      </c>
      <c r="F20" s="36"/>
      <c r="G20" s="40"/>
      <c r="H20" s="26"/>
      <c r="I20" s="27"/>
      <c r="J20" s="44"/>
      <c r="L20" s="26"/>
      <c r="M20" s="27"/>
      <c r="N20" s="44"/>
      <c r="P20" s="26"/>
      <c r="Q20" s="27"/>
      <c r="R20" s="44"/>
      <c r="T20" s="26"/>
      <c r="U20" s="32"/>
      <c r="V20" s="44"/>
      <c r="W20" s="14"/>
      <c r="X20" s="44">
        <f t="shared" si="0"/>
        <v>0</v>
      </c>
    </row>
    <row r="21" spans="4:24" ht="29.55" customHeight="1" x14ac:dyDescent="0.45">
      <c r="D21" s="14" t="s">
        <v>8</v>
      </c>
      <c r="E21" s="35">
        <v>0.29861111111111099</v>
      </c>
      <c r="F21" s="36"/>
      <c r="G21" s="40"/>
      <c r="H21" s="26"/>
      <c r="I21" s="27"/>
      <c r="J21" s="44"/>
      <c r="L21" s="26"/>
      <c r="M21" s="27"/>
      <c r="N21" s="44"/>
      <c r="P21" s="26"/>
      <c r="Q21" s="27"/>
      <c r="R21" s="44"/>
      <c r="T21" s="26"/>
      <c r="U21" s="32"/>
      <c r="V21" s="44"/>
      <c r="W21" s="14"/>
      <c r="X21" s="44">
        <f t="shared" si="0"/>
        <v>0</v>
      </c>
    </row>
    <row r="22" spans="4:24" ht="29.55" customHeight="1" x14ac:dyDescent="0.45">
      <c r="D22" s="14" t="s">
        <v>8</v>
      </c>
      <c r="E22" s="35">
        <v>0.30555555555555602</v>
      </c>
      <c r="F22" s="36"/>
      <c r="G22" s="40"/>
      <c r="H22" s="26"/>
      <c r="I22" s="27"/>
      <c r="J22" s="44"/>
      <c r="L22" s="26"/>
      <c r="M22" s="27"/>
      <c r="N22" s="44"/>
      <c r="P22" s="26"/>
      <c r="Q22" s="27"/>
      <c r="R22" s="44"/>
      <c r="T22" s="26"/>
      <c r="U22" s="32"/>
      <c r="V22" s="44"/>
      <c r="W22" s="14"/>
      <c r="X22" s="44">
        <f t="shared" si="0"/>
        <v>0</v>
      </c>
    </row>
    <row r="23" spans="4:24" ht="29.55" customHeight="1" x14ac:dyDescent="0.45">
      <c r="D23" s="14" t="s">
        <v>8</v>
      </c>
      <c r="E23" s="35">
        <v>0.3125</v>
      </c>
      <c r="F23" s="36"/>
      <c r="G23" s="40"/>
      <c r="H23" s="26"/>
      <c r="I23" s="27"/>
      <c r="J23" s="44"/>
      <c r="L23" s="26"/>
      <c r="M23" s="27"/>
      <c r="N23" s="44"/>
      <c r="P23" s="26"/>
      <c r="Q23" s="27"/>
      <c r="R23" s="44"/>
      <c r="T23" s="26"/>
      <c r="U23" s="32"/>
      <c r="V23" s="44"/>
      <c r="W23" s="14"/>
      <c r="X23" s="44">
        <f t="shared" si="0"/>
        <v>0</v>
      </c>
    </row>
    <row r="24" spans="4:24" ht="29.55" customHeight="1" x14ac:dyDescent="0.45">
      <c r="D24" s="14" t="s">
        <v>8</v>
      </c>
      <c r="E24" s="35">
        <v>0.31944444444444398</v>
      </c>
      <c r="F24" s="36"/>
      <c r="G24" s="40"/>
      <c r="H24" s="26"/>
      <c r="I24" s="27"/>
      <c r="J24" s="44"/>
      <c r="L24" s="26"/>
      <c r="M24" s="27"/>
      <c r="N24" s="44"/>
      <c r="P24" s="26"/>
      <c r="Q24" s="27"/>
      <c r="R24" s="44"/>
      <c r="T24" s="26"/>
      <c r="U24" s="32"/>
      <c r="V24" s="44"/>
      <c r="W24" s="14"/>
      <c r="X24" s="44">
        <f t="shared" si="0"/>
        <v>0</v>
      </c>
    </row>
    <row r="25" spans="4:24" ht="29.55" customHeight="1" x14ac:dyDescent="0.45">
      <c r="D25" s="14" t="s">
        <v>8</v>
      </c>
      <c r="E25" s="35">
        <v>0.32638888888888901</v>
      </c>
      <c r="F25" s="36"/>
      <c r="G25" s="40"/>
      <c r="H25" s="26"/>
      <c r="I25" s="27"/>
      <c r="J25" s="44"/>
      <c r="L25" s="26"/>
      <c r="M25" s="27"/>
      <c r="N25" s="44"/>
      <c r="P25" s="26"/>
      <c r="Q25" s="27"/>
      <c r="R25" s="44"/>
      <c r="T25" s="26"/>
      <c r="U25" s="32"/>
      <c r="V25" s="44"/>
      <c r="W25" s="14"/>
      <c r="X25" s="44">
        <f t="shared" si="0"/>
        <v>0</v>
      </c>
    </row>
    <row r="26" spans="4:24" ht="29.55" customHeight="1" x14ac:dyDescent="0.45">
      <c r="D26" s="14" t="s">
        <v>8</v>
      </c>
      <c r="E26" s="35">
        <v>0.33333333333333298</v>
      </c>
      <c r="F26" s="36"/>
      <c r="G26" s="40"/>
      <c r="H26" s="26"/>
      <c r="I26" s="27"/>
      <c r="J26" s="44"/>
      <c r="L26" s="26"/>
      <c r="M26" s="27"/>
      <c r="N26" s="44"/>
      <c r="P26" s="26"/>
      <c r="Q26" s="27"/>
      <c r="R26" s="44"/>
      <c r="T26" s="26"/>
      <c r="U26" s="32"/>
      <c r="V26" s="44"/>
      <c r="W26" s="14"/>
      <c r="X26" s="44">
        <f t="shared" si="0"/>
        <v>0</v>
      </c>
    </row>
    <row r="27" spans="4:24" ht="29.55" customHeight="1" x14ac:dyDescent="0.45">
      <c r="D27" s="16"/>
      <c r="E27" s="17"/>
      <c r="F27" s="39"/>
      <c r="G27" s="41"/>
      <c r="H27" s="16"/>
      <c r="I27" s="43"/>
      <c r="J27" s="45"/>
      <c r="K27" s="17"/>
      <c r="L27" s="28"/>
      <c r="M27" s="29"/>
      <c r="N27" s="45"/>
      <c r="O27" s="17"/>
      <c r="P27" s="28"/>
      <c r="Q27" s="29"/>
      <c r="R27" s="45"/>
      <c r="S27" s="17"/>
      <c r="T27" s="28" t="s">
        <v>8</v>
      </c>
      <c r="U27" s="33"/>
      <c r="V27" s="45"/>
      <c r="W27" s="16"/>
      <c r="X27" s="45" t="e">
        <f>SUM(X8:X26)</f>
        <v>#DIV/0!</v>
      </c>
    </row>
    <row r="28" spans="4:24" ht="29.55" customHeight="1" x14ac:dyDescent="0.45">
      <c r="D28" s="22" t="s">
        <v>11</v>
      </c>
      <c r="E28" s="35">
        <v>0.625</v>
      </c>
      <c r="F28" s="36"/>
      <c r="G28" s="24"/>
      <c r="H28" s="14"/>
      <c r="I28" s="25"/>
      <c r="J28" s="44"/>
      <c r="L28" s="26"/>
      <c r="M28" s="27"/>
      <c r="N28" s="44"/>
      <c r="P28" s="26"/>
      <c r="Q28" s="27"/>
      <c r="R28" s="44"/>
      <c r="T28" s="26"/>
      <c r="U28" s="32"/>
      <c r="V28" s="44"/>
      <c r="W28" s="14"/>
      <c r="X28" s="44">
        <f t="shared" si="0"/>
        <v>0</v>
      </c>
    </row>
    <row r="29" spans="4:24" ht="29.55" customHeight="1" x14ac:dyDescent="0.45">
      <c r="D29" s="22" t="s">
        <v>11</v>
      </c>
      <c r="E29" s="35">
        <v>0.63194444444444442</v>
      </c>
      <c r="F29" s="36"/>
      <c r="G29" s="24"/>
      <c r="H29" s="14"/>
      <c r="I29" s="25"/>
      <c r="J29" s="44"/>
      <c r="L29" s="26"/>
      <c r="M29" s="27"/>
      <c r="N29" s="44"/>
      <c r="P29" s="26"/>
      <c r="Q29" s="27"/>
      <c r="R29" s="44"/>
      <c r="T29" s="26"/>
      <c r="U29" s="32"/>
      <c r="V29" s="44"/>
      <c r="W29" s="14"/>
      <c r="X29" s="44">
        <f t="shared" si="0"/>
        <v>0</v>
      </c>
    </row>
    <row r="30" spans="4:24" ht="29.55" customHeight="1" x14ac:dyDescent="0.45">
      <c r="D30" s="22" t="s">
        <v>11</v>
      </c>
      <c r="E30" s="35">
        <v>0.63888888888888895</v>
      </c>
      <c r="F30" s="36"/>
      <c r="G30" s="24"/>
      <c r="H30" s="14"/>
      <c r="I30" s="25"/>
      <c r="J30" s="44"/>
      <c r="L30" s="26"/>
      <c r="M30" s="27"/>
      <c r="N30" s="44"/>
      <c r="P30" s="26"/>
      <c r="Q30" s="27"/>
      <c r="R30" s="44"/>
      <c r="T30" s="26"/>
      <c r="U30" s="32"/>
      <c r="V30" s="44"/>
      <c r="W30" s="14"/>
      <c r="X30" s="44">
        <f t="shared" si="0"/>
        <v>0</v>
      </c>
    </row>
    <row r="31" spans="4:24" ht="29.55" customHeight="1" x14ac:dyDescent="0.45">
      <c r="D31" s="22" t="s">
        <v>11</v>
      </c>
      <c r="E31" s="35">
        <v>0.64583333333333304</v>
      </c>
      <c r="F31" s="36"/>
      <c r="G31" s="24"/>
      <c r="H31" s="14"/>
      <c r="I31" s="25"/>
      <c r="J31" s="44"/>
      <c r="L31" s="26"/>
      <c r="M31" s="27"/>
      <c r="N31" s="44"/>
      <c r="P31" s="26"/>
      <c r="Q31" s="27"/>
      <c r="R31" s="44"/>
      <c r="T31" s="26"/>
      <c r="U31" s="32"/>
      <c r="V31" s="44"/>
      <c r="W31" s="14"/>
      <c r="X31" s="44">
        <f t="shared" si="0"/>
        <v>0</v>
      </c>
    </row>
    <row r="32" spans="4:24" ht="29.55" customHeight="1" x14ac:dyDescent="0.45">
      <c r="D32" s="22" t="s">
        <v>11</v>
      </c>
      <c r="E32" s="35">
        <v>0.65277777777777801</v>
      </c>
      <c r="F32" s="36"/>
      <c r="G32" s="24"/>
      <c r="H32" s="14"/>
      <c r="I32" s="25"/>
      <c r="J32" s="44"/>
      <c r="L32" s="26"/>
      <c r="M32" s="27"/>
      <c r="N32" s="44"/>
      <c r="P32" s="26"/>
      <c r="Q32" s="27"/>
      <c r="R32" s="44"/>
      <c r="T32" s="26"/>
      <c r="U32" s="32"/>
      <c r="V32" s="44"/>
      <c r="W32" s="14"/>
      <c r="X32" s="44">
        <f t="shared" si="0"/>
        <v>0</v>
      </c>
    </row>
    <row r="33" spans="4:24" ht="29.55" customHeight="1" x14ac:dyDescent="0.45">
      <c r="D33" s="22" t="s">
        <v>11</v>
      </c>
      <c r="E33" s="35">
        <v>0.65972222222222199</v>
      </c>
      <c r="F33" s="36"/>
      <c r="G33" s="24"/>
      <c r="H33" s="14"/>
      <c r="I33" s="25"/>
      <c r="J33" s="44"/>
      <c r="L33" s="26"/>
      <c r="M33" s="27"/>
      <c r="N33" s="44"/>
      <c r="P33" s="26"/>
      <c r="Q33" s="27"/>
      <c r="R33" s="44"/>
      <c r="T33" s="26"/>
      <c r="U33" s="32"/>
      <c r="V33" s="44"/>
      <c r="W33" s="14"/>
      <c r="X33" s="44">
        <f t="shared" si="0"/>
        <v>0</v>
      </c>
    </row>
    <row r="34" spans="4:24" ht="29.55" customHeight="1" x14ac:dyDescent="0.45">
      <c r="D34" s="22" t="s">
        <v>11</v>
      </c>
      <c r="E34" s="35">
        <v>0.66666666666666696</v>
      </c>
      <c r="F34" s="36"/>
      <c r="G34" s="24"/>
      <c r="H34" s="14"/>
      <c r="I34" s="25"/>
      <c r="J34" s="44"/>
      <c r="L34" s="26"/>
      <c r="M34" s="27"/>
      <c r="N34" s="44"/>
      <c r="P34" s="26"/>
      <c r="Q34" s="27"/>
      <c r="R34" s="44"/>
      <c r="T34" s="26"/>
      <c r="U34" s="32"/>
      <c r="V34" s="44"/>
      <c r="W34" s="14"/>
      <c r="X34" s="44">
        <f t="shared" si="0"/>
        <v>0</v>
      </c>
    </row>
    <row r="35" spans="4:24" ht="29.55" customHeight="1" x14ac:dyDescent="0.45">
      <c r="D35" s="22" t="s">
        <v>11</v>
      </c>
      <c r="E35" s="35">
        <v>0.67361111111111105</v>
      </c>
      <c r="F35" s="36"/>
      <c r="G35" s="24"/>
      <c r="H35" s="14"/>
      <c r="I35" s="25"/>
      <c r="J35" s="44"/>
      <c r="L35" s="26"/>
      <c r="M35" s="27"/>
      <c r="N35" s="44"/>
      <c r="P35" s="26"/>
      <c r="Q35" s="27"/>
      <c r="R35" s="44"/>
      <c r="T35" s="26"/>
      <c r="U35" s="32"/>
      <c r="V35" s="44"/>
      <c r="W35" s="14"/>
      <c r="X35" s="44">
        <f t="shared" si="0"/>
        <v>0</v>
      </c>
    </row>
    <row r="36" spans="4:24" ht="29.55" customHeight="1" x14ac:dyDescent="0.45">
      <c r="D36" s="22" t="s">
        <v>11</v>
      </c>
      <c r="E36" s="35">
        <v>0.68055555555555503</v>
      </c>
      <c r="F36" s="36"/>
      <c r="G36" s="24"/>
      <c r="H36" s="14"/>
      <c r="I36" s="25"/>
      <c r="J36" s="44"/>
      <c r="L36" s="26"/>
      <c r="M36" s="27"/>
      <c r="N36" s="44"/>
      <c r="P36" s="26"/>
      <c r="Q36" s="27"/>
      <c r="R36" s="44"/>
      <c r="T36" s="26"/>
      <c r="U36" s="32"/>
      <c r="V36" s="44"/>
      <c r="W36" s="14"/>
      <c r="X36" s="44">
        <f t="shared" si="0"/>
        <v>0</v>
      </c>
    </row>
    <row r="37" spans="4:24" ht="29.55" customHeight="1" x14ac:dyDescent="0.45">
      <c r="D37" s="22" t="s">
        <v>11</v>
      </c>
      <c r="E37" s="35">
        <v>0.6875</v>
      </c>
      <c r="F37" s="36"/>
      <c r="G37" s="24"/>
      <c r="H37" s="14"/>
      <c r="I37" s="25"/>
      <c r="J37" s="44"/>
      <c r="L37" s="26"/>
      <c r="M37" s="27"/>
      <c r="N37" s="44"/>
      <c r="P37" s="26"/>
      <c r="Q37" s="27"/>
      <c r="R37" s="44"/>
      <c r="T37" s="26"/>
      <c r="U37" s="32"/>
      <c r="V37" s="44"/>
      <c r="W37" s="14"/>
      <c r="X37" s="44">
        <f t="shared" si="0"/>
        <v>0</v>
      </c>
    </row>
    <row r="38" spans="4:24" ht="29.55" customHeight="1" x14ac:dyDescent="0.45">
      <c r="D38" s="22" t="s">
        <v>11</v>
      </c>
      <c r="E38" s="35">
        <v>0.69444444444444398</v>
      </c>
      <c r="F38" s="36"/>
      <c r="G38" s="24"/>
      <c r="H38" s="14"/>
      <c r="I38" s="25"/>
      <c r="J38" s="44"/>
      <c r="L38" s="26"/>
      <c r="M38" s="27"/>
      <c r="N38" s="44"/>
      <c r="P38" s="26"/>
      <c r="Q38" s="27"/>
      <c r="R38" s="44"/>
      <c r="T38" s="26"/>
      <c r="U38" s="32"/>
      <c r="V38" s="44"/>
      <c r="W38" s="14"/>
      <c r="X38" s="44">
        <f t="shared" si="0"/>
        <v>0</v>
      </c>
    </row>
    <row r="39" spans="4:24" ht="29.55" customHeight="1" x14ac:dyDescent="0.45">
      <c r="D39" s="22" t="s">
        <v>11</v>
      </c>
      <c r="E39" s="35">
        <v>0.70138888888888895</v>
      </c>
      <c r="F39" s="36"/>
      <c r="G39" s="24"/>
      <c r="H39" s="14"/>
      <c r="I39" s="25"/>
      <c r="J39" s="44"/>
      <c r="L39" s="26"/>
      <c r="M39" s="27"/>
      <c r="N39" s="44"/>
      <c r="P39" s="26"/>
      <c r="Q39" s="27"/>
      <c r="R39" s="44"/>
      <c r="T39" s="26"/>
      <c r="U39" s="32"/>
      <c r="V39" s="44"/>
      <c r="W39" s="14"/>
      <c r="X39" s="44">
        <f t="shared" si="0"/>
        <v>0</v>
      </c>
    </row>
    <row r="40" spans="4:24" ht="29.55" customHeight="1" x14ac:dyDescent="0.45">
      <c r="D40" s="22" t="s">
        <v>11</v>
      </c>
      <c r="E40" s="35">
        <v>0.70833333333333304</v>
      </c>
      <c r="F40" s="36"/>
      <c r="G40" s="24"/>
      <c r="H40" s="14"/>
      <c r="I40" s="25"/>
      <c r="J40" s="44"/>
      <c r="L40" s="26"/>
      <c r="M40" s="27"/>
      <c r="N40" s="44"/>
      <c r="P40" s="26"/>
      <c r="Q40" s="27"/>
      <c r="R40" s="44"/>
      <c r="T40" s="26"/>
      <c r="U40" s="32"/>
      <c r="V40" s="44"/>
      <c r="W40" s="14"/>
      <c r="X40" s="44">
        <f t="shared" si="0"/>
        <v>0</v>
      </c>
    </row>
    <row r="41" spans="4:24" ht="29.55" customHeight="1" x14ac:dyDescent="0.45">
      <c r="D41" s="22" t="s">
        <v>11</v>
      </c>
      <c r="E41" s="35">
        <v>0.71527777777777701</v>
      </c>
      <c r="F41" s="36"/>
      <c r="G41" s="24"/>
      <c r="H41" s="14"/>
      <c r="I41" s="25"/>
      <c r="J41" s="44"/>
      <c r="L41" s="26"/>
      <c r="M41" s="27"/>
      <c r="N41" s="44"/>
      <c r="P41" s="26"/>
      <c r="Q41" s="27"/>
      <c r="R41" s="44"/>
      <c r="T41" s="26"/>
      <c r="U41" s="32"/>
      <c r="V41" s="44"/>
      <c r="W41" s="14"/>
      <c r="X41" s="44">
        <f t="shared" si="0"/>
        <v>0</v>
      </c>
    </row>
    <row r="42" spans="4:24" ht="29.55" customHeight="1" x14ac:dyDescent="0.45">
      <c r="D42" s="22" t="s">
        <v>11</v>
      </c>
      <c r="E42" s="35">
        <v>0.72222222222222199</v>
      </c>
      <c r="F42" s="36"/>
      <c r="G42" s="24"/>
      <c r="H42" s="14"/>
      <c r="I42" s="25"/>
      <c r="J42" s="44"/>
      <c r="L42" s="26"/>
      <c r="M42" s="27"/>
      <c r="N42" s="44"/>
      <c r="P42" s="26"/>
      <c r="Q42" s="27"/>
      <c r="R42" s="44"/>
      <c r="T42" s="26"/>
      <c r="U42" s="32"/>
      <c r="V42" s="44"/>
      <c r="W42" s="14"/>
      <c r="X42" s="44">
        <f t="shared" si="0"/>
        <v>0</v>
      </c>
    </row>
    <row r="43" spans="4:24" ht="29.55" customHeight="1" x14ac:dyDescent="0.45">
      <c r="D43" s="22" t="s">
        <v>11</v>
      </c>
      <c r="E43" s="35">
        <v>0.72916666666666596</v>
      </c>
      <c r="F43" s="36"/>
      <c r="G43" s="24"/>
      <c r="H43" s="14"/>
      <c r="I43" s="25"/>
      <c r="J43" s="44"/>
      <c r="L43" s="26"/>
      <c r="M43" s="27"/>
      <c r="N43" s="44"/>
      <c r="P43" s="26"/>
      <c r="Q43" s="27"/>
      <c r="R43" s="44"/>
      <c r="T43" s="26"/>
      <c r="U43" s="32"/>
      <c r="V43" s="44"/>
      <c r="W43" s="14"/>
      <c r="X43" s="44">
        <f t="shared" si="0"/>
        <v>0</v>
      </c>
    </row>
    <row r="44" spans="4:24" ht="29.55" customHeight="1" x14ac:dyDescent="0.45">
      <c r="D44" s="22" t="s">
        <v>11</v>
      </c>
      <c r="E44" s="35">
        <v>0.73611111111111105</v>
      </c>
      <c r="F44" s="36"/>
      <c r="G44" s="24"/>
      <c r="H44" s="14"/>
      <c r="I44" s="25"/>
      <c r="J44" s="44"/>
      <c r="L44" s="26"/>
      <c r="M44" s="27"/>
      <c r="N44" s="44"/>
      <c r="P44" s="26"/>
      <c r="Q44" s="27"/>
      <c r="R44" s="44"/>
      <c r="T44" s="26"/>
      <c r="U44" s="32"/>
      <c r="V44" s="44"/>
      <c r="W44" s="14"/>
      <c r="X44" s="44">
        <f t="shared" si="0"/>
        <v>0</v>
      </c>
    </row>
    <row r="45" spans="4:24" ht="29.55" customHeight="1" x14ac:dyDescent="0.45">
      <c r="D45" s="22" t="s">
        <v>11</v>
      </c>
      <c r="E45" s="35">
        <v>0.74305555555555503</v>
      </c>
      <c r="F45" s="36"/>
      <c r="G45" s="24"/>
      <c r="H45" s="14"/>
      <c r="I45" s="25"/>
      <c r="J45" s="44"/>
      <c r="L45" s="26"/>
      <c r="M45" s="27"/>
      <c r="N45" s="44"/>
      <c r="P45" s="26"/>
      <c r="Q45" s="27"/>
      <c r="R45" s="44"/>
      <c r="T45" s="26"/>
      <c r="U45" s="32"/>
      <c r="V45" s="44"/>
      <c r="W45" s="14"/>
      <c r="X45" s="44">
        <f t="shared" si="0"/>
        <v>0</v>
      </c>
    </row>
    <row r="46" spans="4:24" ht="29.55" customHeight="1" x14ac:dyDescent="0.45">
      <c r="D46" s="23" t="s">
        <v>11</v>
      </c>
      <c r="E46" s="37">
        <v>0.75</v>
      </c>
      <c r="F46" s="38"/>
      <c r="G46" s="42"/>
      <c r="H46" s="8"/>
      <c r="I46" s="19"/>
      <c r="J46" s="46"/>
      <c r="K46" s="11"/>
      <c r="L46" s="30"/>
      <c r="M46" s="31"/>
      <c r="N46" s="46"/>
      <c r="O46" s="11"/>
      <c r="P46" s="30"/>
      <c r="Q46" s="31"/>
      <c r="R46" s="46"/>
      <c r="S46" s="11"/>
      <c r="T46" s="30"/>
      <c r="U46" s="34"/>
      <c r="V46" s="46"/>
      <c r="W46" s="8"/>
      <c r="X46" s="44">
        <f t="shared" si="0"/>
        <v>0</v>
      </c>
    </row>
    <row r="47" spans="4:24" x14ac:dyDescent="0.45">
      <c r="D47" s="8"/>
      <c r="E47" s="15"/>
      <c r="F47" s="19"/>
      <c r="G47" s="42"/>
      <c r="H47" s="8"/>
      <c r="I47" s="19"/>
      <c r="J47" s="46"/>
      <c r="K47" s="11"/>
      <c r="L47" s="30"/>
      <c r="M47" s="31"/>
      <c r="N47" s="46"/>
      <c r="O47" s="11"/>
      <c r="P47" s="30"/>
      <c r="Q47" s="31"/>
      <c r="R47" s="46"/>
      <c r="S47" s="11"/>
      <c r="T47" s="30"/>
      <c r="U47" s="34"/>
      <c r="V47" s="46"/>
      <c r="W47" s="8"/>
      <c r="X47" s="47">
        <f>SUM(X28:X46)</f>
        <v>0</v>
      </c>
    </row>
    <row r="48" spans="4:24" x14ac:dyDescent="0.45">
      <c r="X48" s="35" t="e">
        <f>X47+X27</f>
        <v>#DIV/0!</v>
      </c>
    </row>
  </sheetData>
  <dataConsolidate/>
  <mergeCells count="3">
    <mergeCell ref="H6:J6"/>
    <mergeCell ref="L6:N6"/>
    <mergeCell ref="P6:R6"/>
  </mergeCells>
  <pageMargins left="0.25" right="0.25" top="0.75" bottom="0.75" header="0.3" footer="0.3"/>
  <pageSetup paperSize="9" scale="35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4678a9-aa17-467a-a163-7105ec2f5b04">
      <Terms xmlns="http://schemas.microsoft.com/office/infopath/2007/PartnerControls"/>
    </lcf76f155ced4ddcb4097134ff3c332f>
    <TaxCatchAll xmlns="926e6444-804a-4211-aabc-07442d9bd4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F7C721E8649448CBED49272F5FFB6" ma:contentTypeVersion="14" ma:contentTypeDescription="Crée un document." ma:contentTypeScope="" ma:versionID="20969467d44f3b5b2a1b3726c11f7699">
  <xsd:schema xmlns:xsd="http://www.w3.org/2001/XMLSchema" xmlns:xs="http://www.w3.org/2001/XMLSchema" xmlns:p="http://schemas.microsoft.com/office/2006/metadata/properties" xmlns:ns2="926e6444-804a-4211-aabc-07442d9bd4eb" xmlns:ns3="a04678a9-aa17-467a-a163-7105ec2f5b04" targetNamespace="http://schemas.microsoft.com/office/2006/metadata/properties" ma:root="true" ma:fieldsID="1ba0324337a4d244981cef1ecf7dcfe9" ns2:_="" ns3:_="">
    <xsd:import namespace="926e6444-804a-4211-aabc-07442d9bd4eb"/>
    <xsd:import namespace="a04678a9-aa17-467a-a163-7105ec2f5b0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e6444-804a-4211-aabc-07442d9bd4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7349517-fc68-4529-a999-ffd6a2a84572}" ma:internalName="TaxCatchAll" ma:showField="CatchAllData" ma:web="926e6444-804a-4211-aabc-07442d9bd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678a9-aa17-467a-a163-7105ec2f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ab35b5-d7e3-4eb1-886f-412adf8200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492902-4AAC-441B-823A-66476402920E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a04678a9-aa17-467a-a163-7105ec2f5b04"/>
    <ds:schemaRef ds:uri="http://www.w3.org/XML/1998/namespace"/>
    <ds:schemaRef ds:uri="926e6444-804a-4211-aabc-07442d9bd4eb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9E97C2-CCA2-4A5E-8FC6-2BB25E3D20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e6444-804a-4211-aabc-07442d9bd4eb"/>
    <ds:schemaRef ds:uri="a04678a9-aa17-467a-a163-7105ec2f5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F82E22-0DA7-471F-86B5-4301B37B08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34</vt:i4>
      </vt:variant>
      <vt:variant>
        <vt:lpstr>Plages nommées</vt:lpstr>
      </vt:variant>
      <vt:variant>
        <vt:i4>19</vt:i4>
      </vt:variant>
    </vt:vector>
  </HeadingPairs>
  <TitlesOfParts>
    <vt:vector size="53" baseType="lpstr">
      <vt:lpstr>Feuil1</vt:lpstr>
      <vt:lpstr>REUNION DU 28.04</vt:lpstr>
      <vt:lpstr>Feuille saisie</vt:lpstr>
      <vt:lpstr>Feuille saisie samedi</vt:lpstr>
      <vt:lpstr>Feuille saisie dimanche 1</vt:lpstr>
      <vt:lpstr>Feuille saisie dimanche 2</vt:lpstr>
      <vt:lpstr>coordinateur matin</vt:lpstr>
      <vt:lpstr>coordinateur samedi</vt:lpstr>
      <vt:lpstr>coordinateur dimanche1</vt:lpstr>
      <vt:lpstr>coordinateur dimanche2</vt:lpstr>
      <vt:lpstr>Liste chauffeur</vt:lpstr>
      <vt:lpstr>Horaire</vt:lpstr>
      <vt:lpstr>Horaire samedi</vt:lpstr>
      <vt:lpstr>Horaire dimanche1</vt:lpstr>
      <vt:lpstr>Horaire dimanche2</vt:lpstr>
      <vt:lpstr>Organisation L4</vt:lpstr>
      <vt:lpstr>Recap par chauffeur-L4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C17</vt:lpstr>
      <vt:lpstr>Statistiques</vt:lpstr>
      <vt:lpstr>'C16'!Impression_des_titres</vt:lpstr>
      <vt:lpstr>'coordinateur dimanche1'!Impression_des_titres</vt:lpstr>
      <vt:lpstr>'coordinateur dimanche2'!Impression_des_titres</vt:lpstr>
      <vt:lpstr>'coordinateur matin'!Impression_des_titres</vt:lpstr>
      <vt:lpstr>'coordinateur samedi'!Impression_des_titres</vt:lpstr>
      <vt:lpstr>Horaire!Impression_des_titres</vt:lpstr>
      <vt:lpstr>'Horaire dimanche1'!Impression_des_titres</vt:lpstr>
      <vt:lpstr>'Horaire dimanche2'!Impression_des_titres</vt:lpstr>
      <vt:lpstr>'Horaire samedi'!Impression_des_titres</vt:lpstr>
      <vt:lpstr>'Organisation L4'!Impression_des_titres</vt:lpstr>
      <vt:lpstr>'coordinateur dimanche1'!Zone_d_impression</vt:lpstr>
      <vt:lpstr>'coordinateur dimanche2'!Zone_d_impression</vt:lpstr>
      <vt:lpstr>'coordinateur matin'!Zone_d_impression</vt:lpstr>
      <vt:lpstr>'coordinateur samedi'!Zone_d_impression</vt:lpstr>
      <vt:lpstr>'Feuille saisie'!Zone_d_impression</vt:lpstr>
      <vt:lpstr>'Feuille saisie dimanche 1'!Zone_d_impression</vt:lpstr>
      <vt:lpstr>'Feuille saisie dimanche 2'!Zone_d_impression</vt:lpstr>
      <vt:lpstr>'Feuille saisie samedi'!Zone_d_impression</vt:lpstr>
      <vt:lpstr>'REUNION DU 28.04'!Zone_d_impression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Chaudet</dc:creator>
  <cp:lastModifiedBy>DAF</cp:lastModifiedBy>
  <cp:lastPrinted>2026-04-22T06:33:04Z</cp:lastPrinted>
  <dcterms:created xsi:type="dcterms:W3CDTF">2024-04-09T11:31:59Z</dcterms:created>
  <dcterms:modified xsi:type="dcterms:W3CDTF">2026-05-01T06:54:48Z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0x010100528F7C721E8649448CBED49272F5FFB6</vt:lpwstr>
  </property>
</Properties>
</file>