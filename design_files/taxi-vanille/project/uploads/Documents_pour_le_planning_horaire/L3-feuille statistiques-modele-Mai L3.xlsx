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ivanille.sharepoint.com/sites/GPE-TAXIVANILLE/GPETAXIVANILLE/PROD/DIRECTION/@ CARIBUS N°2 CADEMA/FEUILLES DE POINTAGE/"/>
    </mc:Choice>
  </mc:AlternateContent>
  <xr:revisionPtr revIDLastSave="5" documentId="8_{E7AD0C87-5A76-426F-B8E5-56E744480C22}" xr6:coauthVersionLast="47" xr6:coauthVersionMax="47" xr10:uidLastSave="{FEA68B3D-F5DB-46B0-8E89-29C24A453059}"/>
  <bookViews>
    <workbookView xWindow="-98" yWindow="-98" windowWidth="21795" windowHeight="13695" firstSheet="2" activeTab="3" xr2:uid="{057DDB89-791E-439E-948E-E02B055A9F9A}"/>
  </bookViews>
  <sheets>
    <sheet name="Feuil1" sheetId="1" state="hidden" r:id="rId1"/>
    <sheet name="REUNION DU 28.04" sheetId="29" state="hidden" r:id="rId2"/>
    <sheet name="PLANNING GENERAL" sheetId="40" r:id="rId3"/>
    <sheet name="Feuille saisie" sheetId="7" r:id="rId4"/>
    <sheet name="Feuille saisie samedi" sheetId="34" r:id="rId5"/>
    <sheet name="Feuille saisie dimanche 1" sheetId="38" r:id="rId6"/>
    <sheet name="Feuille saisie dimanche 2" sheetId="39" r:id="rId7"/>
    <sheet name="coordinateur matin" sheetId="15" r:id="rId8"/>
    <sheet name="coordinateur après-midi" sheetId="42" r:id="rId9"/>
    <sheet name="coordinateur samedi" sheetId="41" r:id="rId10"/>
    <sheet name="coordinateur dimanche 1" sheetId="43" r:id="rId11"/>
    <sheet name="coordinateur dimanche 2" sheetId="44" r:id="rId12"/>
    <sheet name="Liste chauffeur" sheetId="17" r:id="rId13"/>
    <sheet name="Horaire" sheetId="28" r:id="rId14"/>
    <sheet name="Horaire samedi" sheetId="35" r:id="rId15"/>
    <sheet name="Horaire dimanche 1" sheetId="36" r:id="rId16"/>
    <sheet name="Horaire dimanche 2" sheetId="37" r:id="rId17"/>
    <sheet name="C2" sheetId="8" state="hidden" r:id="rId18"/>
    <sheet name="C3" sheetId="9" state="hidden" r:id="rId19"/>
    <sheet name="C4" sheetId="10" state="hidden" r:id="rId20"/>
    <sheet name="C5" sheetId="11" state="hidden" r:id="rId21"/>
    <sheet name="C6" sheetId="12" state="hidden" r:id="rId22"/>
    <sheet name="C7" sheetId="13" state="hidden" r:id="rId23"/>
    <sheet name="C8" sheetId="14" state="hidden" r:id="rId24"/>
    <sheet name="C9" sheetId="18" state="hidden" r:id="rId25"/>
    <sheet name="C10" sheetId="19" state="hidden" r:id="rId26"/>
    <sheet name="C11" sheetId="20" state="hidden" r:id="rId27"/>
    <sheet name="C12" sheetId="21" state="hidden" r:id="rId28"/>
    <sheet name="C13" sheetId="22" state="hidden" r:id="rId29"/>
    <sheet name="C14" sheetId="23" state="hidden" r:id="rId30"/>
    <sheet name="C15" sheetId="25" state="hidden" r:id="rId31"/>
    <sheet name="C16" sheetId="24" state="hidden" r:id="rId32"/>
    <sheet name="C17" sheetId="16" state="hidden" r:id="rId33"/>
    <sheet name="Statistiques" sheetId="6" state="hidden" r:id="rId34"/>
  </sheets>
  <definedNames>
    <definedName name="_xlnm._FilterDatabase" localSheetId="8" hidden="1">'coordinateur après-midi'!$A$2:$H$157</definedName>
    <definedName name="_xlnm._FilterDatabase" localSheetId="10" hidden="1">'coordinateur dimanche 1'!$A$2:$H$46</definedName>
    <definedName name="_xlnm._FilterDatabase" localSheetId="11" hidden="1">'coordinateur dimanche 2'!$A$2:$H$46</definedName>
    <definedName name="_xlnm._FilterDatabase" localSheetId="7" hidden="1">'coordinateur matin'!$A$2:$H$157</definedName>
    <definedName name="_xlnm._FilterDatabase" localSheetId="9" hidden="1">'coordinateur samedi'!$A$2:$H$91</definedName>
    <definedName name="_xlnm._FilterDatabase" localSheetId="3" hidden="1">'Feuille saisie'!$A$7:$AB$170</definedName>
    <definedName name="_xlnm._FilterDatabase" localSheetId="5" hidden="1">'Feuille saisie dimanche 1'!$A$7:$AB$58</definedName>
    <definedName name="_xlnm._FilterDatabase" localSheetId="6" hidden="1">'Feuille saisie dimanche 2'!$A$7:$AB$58</definedName>
    <definedName name="_xlnm._FilterDatabase" localSheetId="4" hidden="1">'Feuille saisie samedi'!$A$7:$AB$103</definedName>
    <definedName name="_xlnm._FilterDatabase" localSheetId="13" hidden="1">Horaire!$A$7:$K$163</definedName>
    <definedName name="_xlnm._FilterDatabase" localSheetId="15" hidden="1">'Horaire dimanche 1'!$A$7:$K$52</definedName>
    <definedName name="_xlnm._FilterDatabase" localSheetId="16" hidden="1">'Horaire dimanche 2'!$A$7:$K$52</definedName>
    <definedName name="_xlnm._FilterDatabase" localSheetId="14" hidden="1">'Horaire samedi'!$A$7:$K$97</definedName>
    <definedName name="_xlnm._FilterDatabase" localSheetId="2" hidden="1">'PLANNING GENERAL'!$B$3:$R$39</definedName>
    <definedName name="_xlnm._FilterDatabase" localSheetId="1" hidden="1">'REUNION DU 28.04'!$K$1:$AW$14</definedName>
    <definedName name="_xlnm.Print_Titles" localSheetId="31">'C16'!$2:$7</definedName>
    <definedName name="_xlnm.Print_Titles" localSheetId="8">'coordinateur après-midi'!$2:$2</definedName>
    <definedName name="_xlnm.Print_Titles" localSheetId="10">'coordinateur dimanche 1'!$2:$2</definedName>
    <definedName name="_xlnm.Print_Titles" localSheetId="11">'coordinateur dimanche 2'!$2:$2</definedName>
    <definedName name="_xlnm.Print_Titles" localSheetId="7">'coordinateur matin'!$2:$2</definedName>
    <definedName name="_xlnm.Print_Titles" localSheetId="9">'coordinateur samedi'!$2:$2</definedName>
    <definedName name="_xlnm.Print_Titles" localSheetId="13">Horaire!$1:$7</definedName>
    <definedName name="_xlnm.Print_Titles" localSheetId="15">'Horaire dimanche 1'!$1:$7</definedName>
    <definedName name="_xlnm.Print_Titles" localSheetId="16">'Horaire dimanche 2'!$1:$7</definedName>
    <definedName name="_xlnm.Print_Titles" localSheetId="14">'Horaire samedi'!$1:$7</definedName>
    <definedName name="_xlnm.Print_Area" localSheetId="8">'coordinateur après-midi'!$A$1:$H$63</definedName>
    <definedName name="_xlnm.Print_Area" localSheetId="10">'coordinateur dimanche 1'!$A$1:$I$46</definedName>
    <definedName name="_xlnm.Print_Area" localSheetId="11">'coordinateur dimanche 2'!$A$1:$I$46</definedName>
    <definedName name="_xlnm.Print_Area" localSheetId="7">'coordinateur matin'!$A$1:$H$63</definedName>
    <definedName name="_xlnm.Print_Area" localSheetId="9">'coordinateur samedi'!$A$1:$I$52</definedName>
    <definedName name="_xlnm.Print_Area" localSheetId="3">'Feuille saisie'!$A$2:$X$172</definedName>
    <definedName name="_xlnm.Print_Area" localSheetId="5">'Feuille saisie dimanche 1'!$A$2:$X$60</definedName>
    <definedName name="_xlnm.Print_Area" localSheetId="6">'Feuille saisie dimanche 2'!$A$2:$X$60</definedName>
    <definedName name="_xlnm.Print_Area" localSheetId="4">'Feuille saisie samedi'!$A$2:$X$105</definedName>
    <definedName name="_xlnm.Print_Area" localSheetId="2">'PLANNING GENERAL'!$B$3:$E$39</definedName>
    <definedName name="_xlnm.Print_Area" localSheetId="1">'REUNION DU 28.04'!$H$1:$AR$14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35" l="1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7" i="35"/>
  <c r="C97" i="34"/>
  <c r="D97" i="34" s="1"/>
  <c r="B97" i="34"/>
  <c r="C94" i="34"/>
  <c r="D94" i="34" s="1"/>
  <c r="B94" i="34"/>
  <c r="C91" i="34"/>
  <c r="D91" i="34" s="1"/>
  <c r="B91" i="34"/>
  <c r="C88" i="34"/>
  <c r="D88" i="34" s="1"/>
  <c r="B88" i="34"/>
  <c r="C85" i="34"/>
  <c r="D85" i="34" s="1"/>
  <c r="B85" i="34"/>
  <c r="C82" i="34"/>
  <c r="D82" i="34" s="1"/>
  <c r="B82" i="34"/>
  <c r="C79" i="34"/>
  <c r="D79" i="34" s="1"/>
  <c r="B79" i="34"/>
  <c r="C76" i="34"/>
  <c r="D76" i="34" s="1"/>
  <c r="B76" i="34"/>
  <c r="C73" i="34"/>
  <c r="D73" i="34" s="1"/>
  <c r="B73" i="34"/>
  <c r="C70" i="34"/>
  <c r="D70" i="34" s="1"/>
  <c r="B70" i="34"/>
  <c r="C67" i="34"/>
  <c r="D67" i="34" s="1"/>
  <c r="B67" i="34"/>
  <c r="C64" i="34"/>
  <c r="D64" i="34" s="1"/>
  <c r="B64" i="34"/>
  <c r="C61" i="34"/>
  <c r="D61" i="34" s="1"/>
  <c r="B61" i="34"/>
  <c r="C58" i="34"/>
  <c r="D58" i="34" s="1"/>
  <c r="F86" i="39" l="1"/>
  <c r="E86" i="39"/>
  <c r="C86" i="39"/>
  <c r="D86" i="39" s="1"/>
  <c r="F85" i="39"/>
  <c r="E85" i="39"/>
  <c r="C85" i="39"/>
  <c r="D85" i="39" s="1"/>
  <c r="F84" i="39"/>
  <c r="E84" i="39"/>
  <c r="D84" i="39"/>
  <c r="C84" i="39"/>
  <c r="F83" i="39"/>
  <c r="E83" i="39"/>
  <c r="C83" i="39"/>
  <c r="D83" i="39" s="1"/>
  <c r="F82" i="39"/>
  <c r="E82" i="39"/>
  <c r="C82" i="39"/>
  <c r="D82" i="39" s="1"/>
  <c r="F81" i="39"/>
  <c r="E81" i="39"/>
  <c r="C81" i="39"/>
  <c r="D81" i="39" s="1"/>
  <c r="F80" i="39"/>
  <c r="E80" i="39"/>
  <c r="C80" i="39"/>
  <c r="D80" i="39" s="1"/>
  <c r="F79" i="39"/>
  <c r="E79" i="39"/>
  <c r="C79" i="39"/>
  <c r="D79" i="39" s="1"/>
  <c r="F78" i="39"/>
  <c r="E78" i="39"/>
  <c r="C78" i="39"/>
  <c r="D78" i="39" s="1"/>
  <c r="F77" i="39"/>
  <c r="E77" i="39"/>
  <c r="C77" i="39"/>
  <c r="D77" i="39" s="1"/>
  <c r="F76" i="39"/>
  <c r="E76" i="39"/>
  <c r="C76" i="39"/>
  <c r="D76" i="39" s="1"/>
  <c r="F75" i="39"/>
  <c r="E75" i="39"/>
  <c r="C75" i="39"/>
  <c r="D75" i="39" s="1"/>
  <c r="F74" i="39"/>
  <c r="E74" i="39"/>
  <c r="C74" i="39"/>
  <c r="D74" i="39" s="1"/>
  <c r="F73" i="39"/>
  <c r="E73" i="39"/>
  <c r="C73" i="39"/>
  <c r="D73" i="39" s="1"/>
  <c r="F72" i="39"/>
  <c r="E72" i="39"/>
  <c r="C72" i="39"/>
  <c r="D72" i="39" s="1"/>
  <c r="F71" i="39"/>
  <c r="E71" i="39"/>
  <c r="C71" i="39"/>
  <c r="D71" i="39" s="1"/>
  <c r="F70" i="39"/>
  <c r="E70" i="39"/>
  <c r="C70" i="39"/>
  <c r="D70" i="39" s="1"/>
  <c r="F69" i="39"/>
  <c r="E69" i="39"/>
  <c r="C69" i="39"/>
  <c r="D69" i="39" s="1"/>
  <c r="F68" i="39"/>
  <c r="E68" i="39"/>
  <c r="C68" i="39"/>
  <c r="D68" i="39" s="1"/>
  <c r="F67" i="39"/>
  <c r="E67" i="39"/>
  <c r="C67" i="39"/>
  <c r="D67" i="39" s="1"/>
  <c r="F66" i="39"/>
  <c r="E66" i="39"/>
  <c r="C66" i="39"/>
  <c r="D66" i="39" s="1"/>
  <c r="F65" i="39"/>
  <c r="E65" i="39"/>
  <c r="C65" i="39"/>
  <c r="D65" i="39" s="1"/>
  <c r="F64" i="39"/>
  <c r="F87" i="39" s="1"/>
  <c r="E64" i="39"/>
  <c r="E87" i="39" s="1"/>
  <c r="C64" i="39"/>
  <c r="D64" i="39" s="1"/>
  <c r="Y25" i="39"/>
  <c r="Y12" i="38"/>
  <c r="Y11" i="38"/>
  <c r="Y10" i="38"/>
  <c r="Y9" i="38"/>
  <c r="Y8" i="38"/>
  <c r="Y11" i="39"/>
  <c r="Y10" i="39"/>
  <c r="Y9" i="39"/>
  <c r="Y8" i="39"/>
  <c r="Y54" i="39"/>
  <c r="AA53" i="39"/>
  <c r="AA54" i="39" s="1"/>
  <c r="AB54" i="39" s="1"/>
  <c r="Z53" i="39"/>
  <c r="Z54" i="39" s="1"/>
  <c r="Y53" i="39"/>
  <c r="G53" i="39"/>
  <c r="G54" i="39" s="1"/>
  <c r="F53" i="39"/>
  <c r="F54" i="39" s="1"/>
  <c r="AA25" i="39"/>
  <c r="AB25" i="39" s="1"/>
  <c r="Z25" i="39"/>
  <c r="G25" i="39"/>
  <c r="F25" i="39"/>
  <c r="F86" i="38"/>
  <c r="E86" i="38"/>
  <c r="C86" i="38"/>
  <c r="D86" i="38" s="1"/>
  <c r="F85" i="38"/>
  <c r="E85" i="38"/>
  <c r="C85" i="38"/>
  <c r="D85" i="38" s="1"/>
  <c r="F84" i="38"/>
  <c r="E84" i="38"/>
  <c r="D84" i="38"/>
  <c r="C84" i="38"/>
  <c r="F83" i="38"/>
  <c r="E83" i="38"/>
  <c r="C83" i="38"/>
  <c r="D83" i="38" s="1"/>
  <c r="F82" i="38"/>
  <c r="E82" i="38"/>
  <c r="C82" i="38"/>
  <c r="D82" i="38" s="1"/>
  <c r="F81" i="38"/>
  <c r="E81" i="38"/>
  <c r="C81" i="38"/>
  <c r="D81" i="38" s="1"/>
  <c r="F80" i="38"/>
  <c r="E80" i="38"/>
  <c r="C80" i="38"/>
  <c r="D80" i="38" s="1"/>
  <c r="F79" i="38"/>
  <c r="E79" i="38"/>
  <c r="C79" i="38"/>
  <c r="D79" i="38" s="1"/>
  <c r="F78" i="38"/>
  <c r="E78" i="38"/>
  <c r="C78" i="38"/>
  <c r="D78" i="38" s="1"/>
  <c r="F77" i="38"/>
  <c r="E77" i="38"/>
  <c r="C77" i="38"/>
  <c r="D77" i="38" s="1"/>
  <c r="F76" i="38"/>
  <c r="E76" i="38"/>
  <c r="C76" i="38"/>
  <c r="D76" i="38" s="1"/>
  <c r="F75" i="38"/>
  <c r="E75" i="38"/>
  <c r="C75" i="38"/>
  <c r="D75" i="38" s="1"/>
  <c r="F74" i="38"/>
  <c r="E74" i="38"/>
  <c r="C74" i="38"/>
  <c r="D74" i="38" s="1"/>
  <c r="F73" i="38"/>
  <c r="E73" i="38"/>
  <c r="C73" i="38"/>
  <c r="D73" i="38" s="1"/>
  <c r="F72" i="38"/>
  <c r="E72" i="38"/>
  <c r="C72" i="38"/>
  <c r="D72" i="38" s="1"/>
  <c r="F71" i="38"/>
  <c r="E71" i="38"/>
  <c r="C71" i="38"/>
  <c r="D71" i="38" s="1"/>
  <c r="F70" i="38"/>
  <c r="E70" i="38"/>
  <c r="C70" i="38"/>
  <c r="D70" i="38" s="1"/>
  <c r="F69" i="38"/>
  <c r="E69" i="38"/>
  <c r="C69" i="38"/>
  <c r="D69" i="38" s="1"/>
  <c r="F68" i="38"/>
  <c r="E68" i="38"/>
  <c r="C68" i="38"/>
  <c r="D68" i="38" s="1"/>
  <c r="F67" i="38"/>
  <c r="E67" i="38"/>
  <c r="E87" i="38" s="1"/>
  <c r="C67" i="38"/>
  <c r="D67" i="38" s="1"/>
  <c r="F66" i="38"/>
  <c r="F87" i="38" s="1"/>
  <c r="E66" i="38"/>
  <c r="C66" i="38"/>
  <c r="D66" i="38" s="1"/>
  <c r="F65" i="38"/>
  <c r="E65" i="38"/>
  <c r="C65" i="38"/>
  <c r="D65" i="38" s="1"/>
  <c r="F64" i="38"/>
  <c r="E64" i="38"/>
  <c r="D64" i="38"/>
  <c r="C64" i="38"/>
  <c r="G53" i="38"/>
  <c r="G25" i="38"/>
  <c r="G54" i="38" s="1"/>
  <c r="E131" i="34"/>
  <c r="E130" i="34"/>
  <c r="E129" i="34"/>
  <c r="E128" i="34"/>
  <c r="F127" i="34"/>
  <c r="E127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G44" i="34"/>
  <c r="F116" i="34" s="1"/>
  <c r="AC44" i="34"/>
  <c r="C177" i="7"/>
  <c r="D177" i="7" s="1"/>
  <c r="E177" i="7"/>
  <c r="C178" i="7"/>
  <c r="D178" i="7" s="1"/>
  <c r="E178" i="7"/>
  <c r="C179" i="7"/>
  <c r="D179" i="7" s="1"/>
  <c r="E179" i="7"/>
  <c r="C180" i="7"/>
  <c r="D180" i="7" s="1"/>
  <c r="E180" i="7"/>
  <c r="C181" i="7"/>
  <c r="D181" i="7" s="1"/>
  <c r="E181" i="7"/>
  <c r="C182" i="7"/>
  <c r="D182" i="7" s="1"/>
  <c r="E182" i="7"/>
  <c r="C183" i="7"/>
  <c r="D183" i="7" s="1"/>
  <c r="E183" i="7"/>
  <c r="C184" i="7"/>
  <c r="D184" i="7" s="1"/>
  <c r="E184" i="7"/>
  <c r="C185" i="7"/>
  <c r="D185" i="7" s="1"/>
  <c r="E185" i="7"/>
  <c r="C186" i="7"/>
  <c r="D186" i="7" s="1"/>
  <c r="E186" i="7"/>
  <c r="C187" i="7"/>
  <c r="D187" i="7" s="1"/>
  <c r="E187" i="7"/>
  <c r="C188" i="7"/>
  <c r="D188" i="7" s="1"/>
  <c r="E188" i="7"/>
  <c r="C189" i="7"/>
  <c r="D189" i="7" s="1"/>
  <c r="E189" i="7"/>
  <c r="C190" i="7"/>
  <c r="D190" i="7" s="1"/>
  <c r="E190" i="7"/>
  <c r="C191" i="7"/>
  <c r="D191" i="7" s="1"/>
  <c r="E191" i="7"/>
  <c r="C192" i="7"/>
  <c r="D192" i="7" s="1"/>
  <c r="E192" i="7"/>
  <c r="C193" i="7"/>
  <c r="D193" i="7" s="1"/>
  <c r="E193" i="7"/>
  <c r="C194" i="7"/>
  <c r="D194" i="7" s="1"/>
  <c r="E194" i="7"/>
  <c r="C195" i="7"/>
  <c r="D195" i="7" s="1"/>
  <c r="E195" i="7"/>
  <c r="C196" i="7"/>
  <c r="D196" i="7" s="1"/>
  <c r="E196" i="7"/>
  <c r="C197" i="7"/>
  <c r="D197" i="7" s="1"/>
  <c r="E197" i="7"/>
  <c r="C198" i="7"/>
  <c r="D198" i="7" s="1"/>
  <c r="E198" i="7"/>
  <c r="E176" i="7"/>
  <c r="C176" i="7"/>
  <c r="D176" i="7" s="1"/>
  <c r="Y164" i="7"/>
  <c r="G164" i="7"/>
  <c r="G93" i="7"/>
  <c r="F186" i="7" s="1"/>
  <c r="F179" i="7" l="1"/>
  <c r="F177" i="7"/>
  <c r="F125" i="34"/>
  <c r="F114" i="34"/>
  <c r="F126" i="34"/>
  <c r="F115" i="34"/>
  <c r="F128" i="34"/>
  <c r="F119" i="34"/>
  <c r="F109" i="34"/>
  <c r="F120" i="34"/>
  <c r="F130" i="34"/>
  <c r="F131" i="34"/>
  <c r="F111" i="34"/>
  <c r="F123" i="34"/>
  <c r="F110" i="34"/>
  <c r="F122" i="34"/>
  <c r="F112" i="34"/>
  <c r="F118" i="34"/>
  <c r="F113" i="34"/>
  <c r="F129" i="34"/>
  <c r="G98" i="34"/>
  <c r="G99" i="34" s="1"/>
  <c r="E132" i="34"/>
  <c r="F117" i="34"/>
  <c r="F124" i="34"/>
  <c r="F121" i="34"/>
  <c r="F178" i="7"/>
  <c r="F194" i="7"/>
  <c r="F190" i="7"/>
  <c r="E199" i="7"/>
  <c r="F189" i="7"/>
  <c r="F193" i="7"/>
  <c r="F195" i="7"/>
  <c r="F188" i="7"/>
  <c r="D199" i="7"/>
  <c r="F191" i="7"/>
  <c r="F176" i="7"/>
  <c r="F192" i="7"/>
  <c r="F197" i="7"/>
  <c r="F198" i="7"/>
  <c r="F182" i="7"/>
  <c r="F183" i="7"/>
  <c r="F184" i="7"/>
  <c r="F180" i="7"/>
  <c r="F196" i="7"/>
  <c r="F181" i="7"/>
  <c r="F185" i="7"/>
  <c r="G165" i="7"/>
  <c r="F187" i="7"/>
  <c r="D87" i="39"/>
  <c r="E88" i="39" s="1"/>
  <c r="F88" i="39" s="1"/>
  <c r="C87" i="39"/>
  <c r="AB53" i="39"/>
  <c r="F132" i="34" l="1"/>
  <c r="F199" i="7"/>
  <c r="E1" i="44" a="1"/>
  <c r="E1" i="44" s="1"/>
  <c r="E1" i="43" a="1"/>
  <c r="E1" i="43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B4" i="34" l="1"/>
  <c r="A4" i="44"/>
  <c r="B4" i="44"/>
  <c r="C4" i="44"/>
  <c r="D4" i="44" s="1"/>
  <c r="A5" i="44"/>
  <c r="B5" i="44"/>
  <c r="C5" i="44"/>
  <c r="D5" i="44" s="1"/>
  <c r="A6" i="44"/>
  <c r="B6" i="44"/>
  <c r="C6" i="44"/>
  <c r="D6" i="44" s="1"/>
  <c r="A7" i="44"/>
  <c r="B7" i="44"/>
  <c r="C7" i="44"/>
  <c r="A8" i="44"/>
  <c r="B8" i="44"/>
  <c r="C8" i="44"/>
  <c r="A9" i="44"/>
  <c r="B9" i="44"/>
  <c r="C9" i="44"/>
  <c r="D9" i="44" s="1"/>
  <c r="A10" i="44"/>
  <c r="B10" i="44"/>
  <c r="C10" i="44"/>
  <c r="A11" i="44"/>
  <c r="B11" i="44"/>
  <c r="C11" i="44"/>
  <c r="A12" i="44"/>
  <c r="B12" i="44"/>
  <c r="C12" i="44"/>
  <c r="D12" i="44" s="1"/>
  <c r="A13" i="44"/>
  <c r="B13" i="44"/>
  <c r="C13" i="44"/>
  <c r="D13" i="44" s="1"/>
  <c r="A14" i="44"/>
  <c r="B14" i="44"/>
  <c r="C14" i="44"/>
  <c r="D14" i="44" s="1"/>
  <c r="A15" i="44"/>
  <c r="B15" i="44"/>
  <c r="C15" i="44"/>
  <c r="A16" i="44"/>
  <c r="B16" i="44"/>
  <c r="C16" i="44"/>
  <c r="A17" i="44"/>
  <c r="B17" i="44"/>
  <c r="C17" i="44"/>
  <c r="D17" i="44" s="1"/>
  <c r="A18" i="44"/>
  <c r="B18" i="44"/>
  <c r="C18" i="44"/>
  <c r="D18" i="44" s="1"/>
  <c r="A19" i="44"/>
  <c r="B19" i="44"/>
  <c r="C19" i="44"/>
  <c r="A20" i="44"/>
  <c r="B20" i="44"/>
  <c r="C20" i="44"/>
  <c r="A21" i="44"/>
  <c r="B21" i="44"/>
  <c r="C21" i="44"/>
  <c r="D21" i="44" s="1"/>
  <c r="A22" i="44"/>
  <c r="B22" i="44"/>
  <c r="C22" i="44"/>
  <c r="D22" i="44" s="1"/>
  <c r="A23" i="44"/>
  <c r="B23" i="44"/>
  <c r="C23" i="44"/>
  <c r="A24" i="44"/>
  <c r="B24" i="44"/>
  <c r="C24" i="44"/>
  <c r="D24" i="44" s="1"/>
  <c r="A25" i="44"/>
  <c r="B25" i="44"/>
  <c r="C25" i="44"/>
  <c r="A26" i="44"/>
  <c r="B26" i="44"/>
  <c r="C26" i="44"/>
  <c r="D26" i="44" s="1"/>
  <c r="A27" i="44"/>
  <c r="B27" i="44"/>
  <c r="C27" i="44"/>
  <c r="A28" i="44"/>
  <c r="B28" i="44"/>
  <c r="C28" i="44"/>
  <c r="D28" i="44" s="1"/>
  <c r="A29" i="44"/>
  <c r="B29" i="44"/>
  <c r="C29" i="44"/>
  <c r="A30" i="44"/>
  <c r="B30" i="44"/>
  <c r="C30" i="44"/>
  <c r="A31" i="44"/>
  <c r="B31" i="44"/>
  <c r="C31" i="44"/>
  <c r="A32" i="44"/>
  <c r="B32" i="44"/>
  <c r="C32" i="44"/>
  <c r="A33" i="44"/>
  <c r="B33" i="44"/>
  <c r="C33" i="44"/>
  <c r="D33" i="44" s="1"/>
  <c r="A34" i="44"/>
  <c r="B34" i="44"/>
  <c r="C34" i="44"/>
  <c r="A35" i="44"/>
  <c r="B35" i="44"/>
  <c r="C35" i="44"/>
  <c r="D35" i="44" s="1"/>
  <c r="A36" i="44"/>
  <c r="B36" i="44"/>
  <c r="C36" i="44"/>
  <c r="A37" i="44"/>
  <c r="B37" i="44"/>
  <c r="C37" i="44"/>
  <c r="D37" i="44" s="1"/>
  <c r="A38" i="44"/>
  <c r="B38" i="44"/>
  <c r="C38" i="44"/>
  <c r="D38" i="44" s="1"/>
  <c r="A39" i="44"/>
  <c r="B39" i="44"/>
  <c r="C39" i="44"/>
  <c r="D39" i="44" s="1"/>
  <c r="A40" i="44"/>
  <c r="B40" i="44"/>
  <c r="C40" i="44"/>
  <c r="D40" i="44" s="1"/>
  <c r="A41" i="44"/>
  <c r="B41" i="44"/>
  <c r="C41" i="44"/>
  <c r="A42" i="44"/>
  <c r="B42" i="44"/>
  <c r="C42" i="44"/>
  <c r="A43" i="44"/>
  <c r="B43" i="44"/>
  <c r="C43" i="44"/>
  <c r="D43" i="44" s="1"/>
  <c r="A44" i="44"/>
  <c r="B44" i="44"/>
  <c r="C44" i="44"/>
  <c r="D44" i="44" s="1"/>
  <c r="A45" i="44"/>
  <c r="B45" i="44"/>
  <c r="C45" i="44"/>
  <c r="A46" i="44"/>
  <c r="B46" i="44"/>
  <c r="C46" i="44"/>
  <c r="C3" i="44"/>
  <c r="B3" i="44"/>
  <c r="A3" i="44"/>
  <c r="F46" i="44"/>
  <c r="D46" i="44"/>
  <c r="F45" i="44"/>
  <c r="D45" i="44"/>
  <c r="F44" i="44"/>
  <c r="F43" i="44"/>
  <c r="F42" i="44"/>
  <c r="D42" i="44"/>
  <c r="F41" i="44"/>
  <c r="D41" i="44"/>
  <c r="F40" i="44"/>
  <c r="F39" i="44"/>
  <c r="F38" i="44"/>
  <c r="F37" i="44"/>
  <c r="F36" i="44"/>
  <c r="D36" i="44"/>
  <c r="F35" i="44"/>
  <c r="F34" i="44"/>
  <c r="D34" i="44"/>
  <c r="F33" i="44"/>
  <c r="F32" i="44"/>
  <c r="D32" i="44"/>
  <c r="F31" i="44"/>
  <c r="D31" i="44"/>
  <c r="F30" i="44"/>
  <c r="D30" i="44"/>
  <c r="F29" i="44"/>
  <c r="D29" i="44"/>
  <c r="F28" i="44"/>
  <c r="D27" i="44"/>
  <c r="F26" i="44"/>
  <c r="F25" i="44"/>
  <c r="D25" i="44"/>
  <c r="F24" i="44"/>
  <c r="F23" i="44"/>
  <c r="D23" i="44"/>
  <c r="F22" i="44"/>
  <c r="F21" i="44"/>
  <c r="D20" i="44"/>
  <c r="F19" i="44"/>
  <c r="D19" i="44"/>
  <c r="F18" i="44"/>
  <c r="F17" i="44"/>
  <c r="F16" i="44"/>
  <c r="D16" i="44"/>
  <c r="F15" i="44"/>
  <c r="D15" i="44"/>
  <c r="F14" i="44"/>
  <c r="F12" i="44"/>
  <c r="F11" i="44"/>
  <c r="D11" i="44"/>
  <c r="F10" i="44"/>
  <c r="D10" i="44"/>
  <c r="F9" i="44"/>
  <c r="F8" i="44"/>
  <c r="D8" i="44"/>
  <c r="F7" i="44"/>
  <c r="D7" i="44"/>
  <c r="D3" i="44"/>
  <c r="A4" i="43"/>
  <c r="B4" i="43"/>
  <c r="C4" i="43"/>
  <c r="D4" i="43" s="1"/>
  <c r="A5" i="43"/>
  <c r="B5" i="43"/>
  <c r="C5" i="43"/>
  <c r="A6" i="43"/>
  <c r="B6" i="43"/>
  <c r="C6" i="43"/>
  <c r="D6" i="43" s="1"/>
  <c r="A7" i="43"/>
  <c r="B7" i="43"/>
  <c r="C7" i="43"/>
  <c r="A8" i="43"/>
  <c r="B8" i="43"/>
  <c r="C8" i="43"/>
  <c r="D8" i="43" s="1"/>
  <c r="A9" i="43"/>
  <c r="B9" i="43"/>
  <c r="C9" i="43"/>
  <c r="A10" i="43"/>
  <c r="B10" i="43"/>
  <c r="C10" i="43"/>
  <c r="A11" i="43"/>
  <c r="B11" i="43"/>
  <c r="C11" i="43"/>
  <c r="D11" i="43" s="1"/>
  <c r="A12" i="43"/>
  <c r="B12" i="43"/>
  <c r="C12" i="43"/>
  <c r="D12" i="43" s="1"/>
  <c r="A13" i="43"/>
  <c r="B13" i="43"/>
  <c r="C13" i="43"/>
  <c r="D13" i="43" s="1"/>
  <c r="A14" i="43"/>
  <c r="B14" i="43"/>
  <c r="C14" i="43"/>
  <c r="A15" i="43"/>
  <c r="B15" i="43"/>
  <c r="C15" i="43"/>
  <c r="A16" i="43"/>
  <c r="B16" i="43"/>
  <c r="C16" i="43"/>
  <c r="D16" i="43" s="1"/>
  <c r="A17" i="43"/>
  <c r="B17" i="43"/>
  <c r="C17" i="43"/>
  <c r="D17" i="43" s="1"/>
  <c r="A18" i="43"/>
  <c r="B18" i="43"/>
  <c r="C18" i="43"/>
  <c r="A19" i="43"/>
  <c r="B19" i="43"/>
  <c r="C19" i="43"/>
  <c r="D19" i="43" s="1"/>
  <c r="A20" i="43"/>
  <c r="B20" i="43"/>
  <c r="C20" i="43"/>
  <c r="A21" i="43"/>
  <c r="B21" i="43"/>
  <c r="C21" i="43"/>
  <c r="A22" i="43"/>
  <c r="B22" i="43"/>
  <c r="C22" i="43"/>
  <c r="D22" i="43" s="1"/>
  <c r="A23" i="43"/>
  <c r="B23" i="43"/>
  <c r="C23" i="43"/>
  <c r="A24" i="43"/>
  <c r="B24" i="43"/>
  <c r="C24" i="43"/>
  <c r="D24" i="43" s="1"/>
  <c r="A25" i="43"/>
  <c r="B25" i="43"/>
  <c r="C25" i="43"/>
  <c r="D25" i="43" s="1"/>
  <c r="A26" i="43"/>
  <c r="B26" i="43"/>
  <c r="C26" i="43"/>
  <c r="D26" i="43" s="1"/>
  <c r="A27" i="43"/>
  <c r="B27" i="43"/>
  <c r="C27" i="43"/>
  <c r="D27" i="43" s="1"/>
  <c r="A28" i="43"/>
  <c r="B28" i="43"/>
  <c r="C28" i="43"/>
  <c r="D28" i="43" s="1"/>
  <c r="A29" i="43"/>
  <c r="B29" i="43"/>
  <c r="C29" i="43"/>
  <c r="D29" i="43" s="1"/>
  <c r="A30" i="43"/>
  <c r="B30" i="43"/>
  <c r="C30" i="43"/>
  <c r="A31" i="43"/>
  <c r="B31" i="43"/>
  <c r="C31" i="43"/>
  <c r="A32" i="43"/>
  <c r="B32" i="43"/>
  <c r="C32" i="43"/>
  <c r="A33" i="43"/>
  <c r="B33" i="43"/>
  <c r="C33" i="43"/>
  <c r="D33" i="43" s="1"/>
  <c r="A34" i="43"/>
  <c r="B34" i="43"/>
  <c r="C34" i="43"/>
  <c r="A35" i="43"/>
  <c r="B35" i="43"/>
  <c r="C35" i="43"/>
  <c r="D35" i="43" s="1"/>
  <c r="A36" i="43"/>
  <c r="B36" i="43"/>
  <c r="C36" i="43"/>
  <c r="D36" i="43" s="1"/>
  <c r="A37" i="43"/>
  <c r="B37" i="43"/>
  <c r="C37" i="43"/>
  <c r="D37" i="43" s="1"/>
  <c r="A38" i="43"/>
  <c r="B38" i="43"/>
  <c r="C38" i="43"/>
  <c r="D38" i="43" s="1"/>
  <c r="A39" i="43"/>
  <c r="B39" i="43"/>
  <c r="C39" i="43"/>
  <c r="A40" i="43"/>
  <c r="B40" i="43"/>
  <c r="C40" i="43"/>
  <c r="D40" i="43" s="1"/>
  <c r="A41" i="43"/>
  <c r="B41" i="43"/>
  <c r="C41" i="43"/>
  <c r="D41" i="43" s="1"/>
  <c r="A42" i="43"/>
  <c r="B42" i="43"/>
  <c r="C42" i="43"/>
  <c r="D42" i="43" s="1"/>
  <c r="A43" i="43"/>
  <c r="B43" i="43"/>
  <c r="C43" i="43"/>
  <c r="D43" i="43" s="1"/>
  <c r="A44" i="43"/>
  <c r="B44" i="43"/>
  <c r="C44" i="43"/>
  <c r="D44" i="43" s="1"/>
  <c r="A45" i="43"/>
  <c r="B45" i="43"/>
  <c r="C45" i="43"/>
  <c r="D45" i="43" s="1"/>
  <c r="A46" i="43"/>
  <c r="B46" i="43"/>
  <c r="C46" i="43"/>
  <c r="C3" i="43"/>
  <c r="B3" i="43"/>
  <c r="A3" i="43"/>
  <c r="F46" i="43"/>
  <c r="D46" i="43"/>
  <c r="F45" i="43"/>
  <c r="F44" i="43"/>
  <c r="F43" i="43"/>
  <c r="F42" i="43"/>
  <c r="F41" i="43"/>
  <c r="F40" i="43"/>
  <c r="F39" i="43"/>
  <c r="D39" i="43"/>
  <c r="F38" i="43"/>
  <c r="F37" i="43"/>
  <c r="F36" i="43"/>
  <c r="F35" i="43"/>
  <c r="F34" i="43"/>
  <c r="D34" i="43"/>
  <c r="F33" i="43"/>
  <c r="F32" i="43"/>
  <c r="D32" i="43"/>
  <c r="F31" i="43"/>
  <c r="D31" i="43"/>
  <c r="F30" i="43"/>
  <c r="D30" i="43"/>
  <c r="F29" i="43"/>
  <c r="F28" i="43"/>
  <c r="F26" i="43"/>
  <c r="F25" i="43"/>
  <c r="F24" i="43"/>
  <c r="F23" i="43"/>
  <c r="D23" i="43"/>
  <c r="F22" i="43"/>
  <c r="F21" i="43"/>
  <c r="D21" i="43"/>
  <c r="D20" i="43"/>
  <c r="F19" i="43"/>
  <c r="F18" i="43"/>
  <c r="D18" i="43"/>
  <c r="F17" i="43"/>
  <c r="F16" i="43"/>
  <c r="F15" i="43"/>
  <c r="D15" i="43"/>
  <c r="F14" i="43"/>
  <c r="D14" i="43"/>
  <c r="F12" i="43"/>
  <c r="F11" i="43"/>
  <c r="F10" i="43"/>
  <c r="D10" i="43"/>
  <c r="F9" i="43"/>
  <c r="D9" i="43"/>
  <c r="F8" i="43"/>
  <c r="F7" i="43"/>
  <c r="D7" i="43"/>
  <c r="D5" i="43"/>
  <c r="D3" i="43"/>
  <c r="D157" i="42"/>
  <c r="C157" i="42"/>
  <c r="B157" i="42"/>
  <c r="A157" i="42"/>
  <c r="C156" i="42"/>
  <c r="D156" i="42" s="1"/>
  <c r="B156" i="42"/>
  <c r="A156" i="42"/>
  <c r="C155" i="42"/>
  <c r="D155" i="42" s="1"/>
  <c r="B155" i="42"/>
  <c r="A155" i="42"/>
  <c r="C154" i="42"/>
  <c r="D154" i="42" s="1"/>
  <c r="B154" i="42"/>
  <c r="A154" i="42"/>
  <c r="D153" i="42"/>
  <c r="C153" i="42"/>
  <c r="B153" i="42"/>
  <c r="A153" i="42"/>
  <c r="C152" i="42"/>
  <c r="D152" i="42" s="1"/>
  <c r="B152" i="42"/>
  <c r="A152" i="42"/>
  <c r="C151" i="42"/>
  <c r="D151" i="42" s="1"/>
  <c r="B151" i="42"/>
  <c r="A151" i="42"/>
  <c r="C150" i="42"/>
  <c r="D150" i="42" s="1"/>
  <c r="B150" i="42"/>
  <c r="A150" i="42"/>
  <c r="D149" i="42"/>
  <c r="C149" i="42"/>
  <c r="B149" i="42"/>
  <c r="A149" i="42"/>
  <c r="C148" i="42"/>
  <c r="D148" i="42" s="1"/>
  <c r="B148" i="42"/>
  <c r="A148" i="42"/>
  <c r="C147" i="42"/>
  <c r="D147" i="42" s="1"/>
  <c r="B147" i="42"/>
  <c r="A147" i="42"/>
  <c r="C146" i="42"/>
  <c r="D146" i="42" s="1"/>
  <c r="B146" i="42"/>
  <c r="A146" i="42"/>
  <c r="D145" i="42"/>
  <c r="C145" i="42"/>
  <c r="B145" i="42"/>
  <c r="A145" i="42"/>
  <c r="C144" i="42"/>
  <c r="D144" i="42" s="1"/>
  <c r="B144" i="42"/>
  <c r="A144" i="42"/>
  <c r="C143" i="42"/>
  <c r="D143" i="42" s="1"/>
  <c r="B143" i="42"/>
  <c r="A143" i="42"/>
  <c r="C142" i="42"/>
  <c r="D142" i="42" s="1"/>
  <c r="B142" i="42"/>
  <c r="A142" i="42"/>
  <c r="D141" i="42"/>
  <c r="C141" i="42"/>
  <c r="B141" i="42"/>
  <c r="A141" i="42"/>
  <c r="C140" i="42"/>
  <c r="D140" i="42" s="1"/>
  <c r="B140" i="42"/>
  <c r="A140" i="42"/>
  <c r="C139" i="42"/>
  <c r="D139" i="42" s="1"/>
  <c r="B139" i="42"/>
  <c r="A139" i="42"/>
  <c r="C138" i="42"/>
  <c r="D138" i="42" s="1"/>
  <c r="B138" i="42"/>
  <c r="A138" i="42"/>
  <c r="D137" i="42"/>
  <c r="C137" i="42"/>
  <c r="B137" i="42"/>
  <c r="A137" i="42"/>
  <c r="C136" i="42"/>
  <c r="D136" i="42" s="1"/>
  <c r="B136" i="42"/>
  <c r="A136" i="42"/>
  <c r="C135" i="42"/>
  <c r="D135" i="42" s="1"/>
  <c r="B135" i="42"/>
  <c r="A135" i="42"/>
  <c r="C134" i="42"/>
  <c r="D134" i="42" s="1"/>
  <c r="B134" i="42"/>
  <c r="A134" i="42"/>
  <c r="D133" i="42"/>
  <c r="C133" i="42"/>
  <c r="B133" i="42"/>
  <c r="A133" i="42"/>
  <c r="C132" i="42"/>
  <c r="D132" i="42" s="1"/>
  <c r="B132" i="42"/>
  <c r="A132" i="42"/>
  <c r="C131" i="42"/>
  <c r="D131" i="42" s="1"/>
  <c r="B131" i="42"/>
  <c r="A131" i="42"/>
  <c r="C130" i="42"/>
  <c r="D130" i="42" s="1"/>
  <c r="B130" i="42"/>
  <c r="A130" i="42"/>
  <c r="D129" i="42"/>
  <c r="C129" i="42"/>
  <c r="B129" i="42"/>
  <c r="A129" i="42"/>
  <c r="C128" i="42"/>
  <c r="D128" i="42" s="1"/>
  <c r="B128" i="42"/>
  <c r="A128" i="42"/>
  <c r="C127" i="42"/>
  <c r="D127" i="42" s="1"/>
  <c r="B127" i="42"/>
  <c r="A127" i="42"/>
  <c r="C126" i="42"/>
  <c r="D126" i="42" s="1"/>
  <c r="B126" i="42"/>
  <c r="A126" i="42"/>
  <c r="D125" i="42"/>
  <c r="C125" i="42"/>
  <c r="B125" i="42"/>
  <c r="A125" i="42"/>
  <c r="C124" i="42"/>
  <c r="D124" i="42" s="1"/>
  <c r="B124" i="42"/>
  <c r="A124" i="42"/>
  <c r="C123" i="42"/>
  <c r="D123" i="42" s="1"/>
  <c r="B123" i="42"/>
  <c r="A123" i="42"/>
  <c r="C122" i="42"/>
  <c r="D122" i="42" s="1"/>
  <c r="B122" i="42"/>
  <c r="A122" i="42"/>
  <c r="D121" i="42"/>
  <c r="C121" i="42"/>
  <c r="B121" i="42"/>
  <c r="A121" i="42"/>
  <c r="C120" i="42"/>
  <c r="D120" i="42" s="1"/>
  <c r="B120" i="42"/>
  <c r="A120" i="42"/>
  <c r="C119" i="42"/>
  <c r="D119" i="42" s="1"/>
  <c r="B119" i="42"/>
  <c r="A119" i="42"/>
  <c r="C118" i="42"/>
  <c r="D118" i="42" s="1"/>
  <c r="B118" i="42"/>
  <c r="A118" i="42"/>
  <c r="D117" i="42"/>
  <c r="C117" i="42"/>
  <c r="B117" i="42"/>
  <c r="A117" i="42"/>
  <c r="C116" i="42"/>
  <c r="D116" i="42" s="1"/>
  <c r="B116" i="42"/>
  <c r="A116" i="42"/>
  <c r="C115" i="42"/>
  <c r="D115" i="42" s="1"/>
  <c r="B115" i="42"/>
  <c r="A115" i="42"/>
  <c r="C114" i="42"/>
  <c r="D114" i="42" s="1"/>
  <c r="B114" i="42"/>
  <c r="A114" i="42"/>
  <c r="D113" i="42"/>
  <c r="C113" i="42"/>
  <c r="B113" i="42"/>
  <c r="A113" i="42"/>
  <c r="C112" i="42"/>
  <c r="D112" i="42" s="1"/>
  <c r="B112" i="42"/>
  <c r="A112" i="42"/>
  <c r="C111" i="42"/>
  <c r="D111" i="42" s="1"/>
  <c r="B111" i="42"/>
  <c r="A111" i="42"/>
  <c r="C110" i="42"/>
  <c r="D110" i="42" s="1"/>
  <c r="B110" i="42"/>
  <c r="A110" i="42"/>
  <c r="D109" i="42"/>
  <c r="C109" i="42"/>
  <c r="B109" i="42"/>
  <c r="A109" i="42"/>
  <c r="C108" i="42"/>
  <c r="D108" i="42" s="1"/>
  <c r="B108" i="42"/>
  <c r="A108" i="42"/>
  <c r="C107" i="42"/>
  <c r="D107" i="42" s="1"/>
  <c r="B107" i="42"/>
  <c r="A107" i="42"/>
  <c r="C106" i="42"/>
  <c r="D106" i="42" s="1"/>
  <c r="B106" i="42"/>
  <c r="A106" i="42"/>
  <c r="D105" i="42"/>
  <c r="C105" i="42"/>
  <c r="B105" i="42"/>
  <c r="A105" i="42"/>
  <c r="C104" i="42"/>
  <c r="D104" i="42" s="1"/>
  <c r="B104" i="42"/>
  <c r="A104" i="42"/>
  <c r="C103" i="42"/>
  <c r="D103" i="42" s="1"/>
  <c r="B103" i="42"/>
  <c r="A103" i="42"/>
  <c r="C102" i="42"/>
  <c r="D102" i="42" s="1"/>
  <c r="B102" i="42"/>
  <c r="A102" i="42"/>
  <c r="D101" i="42"/>
  <c r="C101" i="42"/>
  <c r="B101" i="42"/>
  <c r="A101" i="42"/>
  <c r="C100" i="42"/>
  <c r="D100" i="42" s="1"/>
  <c r="B100" i="42"/>
  <c r="A100" i="42"/>
  <c r="C99" i="42"/>
  <c r="D99" i="42" s="1"/>
  <c r="B99" i="42"/>
  <c r="A99" i="42"/>
  <c r="C98" i="42"/>
  <c r="D98" i="42" s="1"/>
  <c r="B98" i="42"/>
  <c r="A98" i="42"/>
  <c r="D97" i="42"/>
  <c r="C97" i="42"/>
  <c r="B97" i="42"/>
  <c r="A97" i="42"/>
  <c r="C96" i="42"/>
  <c r="D96" i="42" s="1"/>
  <c r="B96" i="42"/>
  <c r="A96" i="42"/>
  <c r="C95" i="42"/>
  <c r="D95" i="42" s="1"/>
  <c r="B95" i="42"/>
  <c r="A95" i="42"/>
  <c r="D94" i="42"/>
  <c r="C94" i="42"/>
  <c r="B94" i="42"/>
  <c r="A94" i="42"/>
  <c r="D93" i="42"/>
  <c r="C93" i="42"/>
  <c r="B93" i="42"/>
  <c r="A93" i="42"/>
  <c r="C92" i="42"/>
  <c r="D92" i="42" s="1"/>
  <c r="B92" i="42"/>
  <c r="A92" i="42"/>
  <c r="C91" i="42"/>
  <c r="D91" i="42" s="1"/>
  <c r="B91" i="42"/>
  <c r="A91" i="42"/>
  <c r="D90" i="42"/>
  <c r="C90" i="42"/>
  <c r="B90" i="42"/>
  <c r="A90" i="42"/>
  <c r="D89" i="42"/>
  <c r="C89" i="42"/>
  <c r="B89" i="42"/>
  <c r="A89" i="42"/>
  <c r="C88" i="42"/>
  <c r="D88" i="42" s="1"/>
  <c r="B88" i="42"/>
  <c r="A88" i="42"/>
  <c r="C87" i="42"/>
  <c r="D87" i="42" s="1"/>
  <c r="B87" i="42"/>
  <c r="A87" i="42"/>
  <c r="C86" i="42"/>
  <c r="D86" i="42" s="1"/>
  <c r="B86" i="42"/>
  <c r="A86" i="42"/>
  <c r="D85" i="42"/>
  <c r="C85" i="42"/>
  <c r="B85" i="42"/>
  <c r="A85" i="42"/>
  <c r="C84" i="42"/>
  <c r="D84" i="42" s="1"/>
  <c r="B84" i="42"/>
  <c r="A84" i="42"/>
  <c r="C83" i="42"/>
  <c r="D83" i="42" s="1"/>
  <c r="B83" i="42"/>
  <c r="A83" i="42"/>
  <c r="C82" i="42"/>
  <c r="D82" i="42" s="1"/>
  <c r="B82" i="42"/>
  <c r="A82" i="42"/>
  <c r="D81" i="42"/>
  <c r="C81" i="42"/>
  <c r="B81" i="42"/>
  <c r="A81" i="42"/>
  <c r="C80" i="42"/>
  <c r="D80" i="42" s="1"/>
  <c r="B80" i="42"/>
  <c r="A80" i="42"/>
  <c r="C79" i="42"/>
  <c r="D79" i="42" s="1"/>
  <c r="B79" i="42"/>
  <c r="A79" i="42"/>
  <c r="C78" i="42"/>
  <c r="D78" i="42" s="1"/>
  <c r="B78" i="42"/>
  <c r="A78" i="42"/>
  <c r="D77" i="42"/>
  <c r="C77" i="42"/>
  <c r="B77" i="42"/>
  <c r="A77" i="42"/>
  <c r="C76" i="42"/>
  <c r="D76" i="42" s="1"/>
  <c r="B76" i="42"/>
  <c r="A76" i="42"/>
  <c r="C75" i="42"/>
  <c r="D75" i="42" s="1"/>
  <c r="B75" i="42"/>
  <c r="A75" i="42"/>
  <c r="C74" i="42"/>
  <c r="D74" i="42" s="1"/>
  <c r="B74" i="42"/>
  <c r="A74" i="42"/>
  <c r="D73" i="42"/>
  <c r="C73" i="42"/>
  <c r="B73" i="42"/>
  <c r="A73" i="42"/>
  <c r="C72" i="42"/>
  <c r="D72" i="42" s="1"/>
  <c r="B72" i="42"/>
  <c r="A72" i="42"/>
  <c r="C71" i="42"/>
  <c r="D71" i="42" s="1"/>
  <c r="B71" i="42"/>
  <c r="A71" i="42"/>
  <c r="C70" i="42"/>
  <c r="D70" i="42" s="1"/>
  <c r="B70" i="42"/>
  <c r="A70" i="42"/>
  <c r="D69" i="42"/>
  <c r="C69" i="42"/>
  <c r="B69" i="42"/>
  <c r="A69" i="42"/>
  <c r="C68" i="42"/>
  <c r="D68" i="42" s="1"/>
  <c r="B68" i="42"/>
  <c r="A68" i="42"/>
  <c r="C67" i="42"/>
  <c r="D67" i="42" s="1"/>
  <c r="B67" i="42"/>
  <c r="A67" i="42"/>
  <c r="C66" i="42"/>
  <c r="D66" i="42" s="1"/>
  <c r="B66" i="42"/>
  <c r="A66" i="42"/>
  <c r="D65" i="42"/>
  <c r="C65" i="42"/>
  <c r="B65" i="42"/>
  <c r="A65" i="42"/>
  <c r="C64" i="42"/>
  <c r="D64" i="42" s="1"/>
  <c r="B64" i="42"/>
  <c r="A64" i="42"/>
  <c r="C63" i="42"/>
  <c r="D63" i="42" s="1"/>
  <c r="B63" i="42"/>
  <c r="A63" i="42"/>
  <c r="D62" i="42"/>
  <c r="C62" i="42"/>
  <c r="B62" i="42"/>
  <c r="A62" i="42"/>
  <c r="D61" i="42"/>
  <c r="C61" i="42"/>
  <c r="B61" i="42"/>
  <c r="A61" i="42"/>
  <c r="C60" i="42"/>
  <c r="D60" i="42" s="1"/>
  <c r="B60" i="42"/>
  <c r="A60" i="42"/>
  <c r="C59" i="42"/>
  <c r="D59" i="42" s="1"/>
  <c r="B59" i="42"/>
  <c r="A59" i="42"/>
  <c r="D58" i="42"/>
  <c r="C58" i="42"/>
  <c r="B58" i="42"/>
  <c r="A58" i="42"/>
  <c r="D57" i="42"/>
  <c r="C57" i="42"/>
  <c r="B57" i="42"/>
  <c r="A57" i="42"/>
  <c r="C56" i="42"/>
  <c r="D56" i="42" s="1"/>
  <c r="B56" i="42"/>
  <c r="A56" i="42"/>
  <c r="C55" i="42"/>
  <c r="D55" i="42" s="1"/>
  <c r="B55" i="42"/>
  <c r="A55" i="42"/>
  <c r="C54" i="42"/>
  <c r="D54" i="42" s="1"/>
  <c r="B54" i="42"/>
  <c r="A54" i="42"/>
  <c r="D53" i="42"/>
  <c r="C53" i="42"/>
  <c r="B53" i="42"/>
  <c r="A53" i="42"/>
  <c r="C52" i="42"/>
  <c r="D52" i="42" s="1"/>
  <c r="B52" i="42"/>
  <c r="A52" i="42"/>
  <c r="C51" i="42"/>
  <c r="D51" i="42" s="1"/>
  <c r="B51" i="42"/>
  <c r="A51" i="42"/>
  <c r="F50" i="42"/>
  <c r="C50" i="42"/>
  <c r="D50" i="42" s="1"/>
  <c r="B50" i="42"/>
  <c r="A50" i="42"/>
  <c r="F49" i="42"/>
  <c r="C49" i="42"/>
  <c r="D49" i="42" s="1"/>
  <c r="B49" i="42"/>
  <c r="A49" i="42"/>
  <c r="F48" i="42"/>
  <c r="C48" i="42"/>
  <c r="D48" i="42" s="1"/>
  <c r="B48" i="42"/>
  <c r="A48" i="42"/>
  <c r="F47" i="42"/>
  <c r="C47" i="42"/>
  <c r="D47" i="42" s="1"/>
  <c r="B47" i="42"/>
  <c r="A47" i="42"/>
  <c r="F46" i="42"/>
  <c r="D46" i="42"/>
  <c r="C46" i="42"/>
  <c r="B46" i="42"/>
  <c r="A46" i="42"/>
  <c r="F45" i="42"/>
  <c r="C45" i="42"/>
  <c r="D45" i="42" s="1"/>
  <c r="B45" i="42"/>
  <c r="A45" i="42"/>
  <c r="F44" i="42"/>
  <c r="C44" i="42"/>
  <c r="D44" i="42" s="1"/>
  <c r="B44" i="42"/>
  <c r="A44" i="42"/>
  <c r="F43" i="42"/>
  <c r="D43" i="42"/>
  <c r="C43" i="42"/>
  <c r="B43" i="42"/>
  <c r="A43" i="42"/>
  <c r="F42" i="42"/>
  <c r="C42" i="42"/>
  <c r="D42" i="42" s="1"/>
  <c r="B42" i="42"/>
  <c r="A42" i="42"/>
  <c r="F41" i="42"/>
  <c r="C41" i="42"/>
  <c r="D41" i="42" s="1"/>
  <c r="B41" i="42"/>
  <c r="A41" i="42"/>
  <c r="F40" i="42"/>
  <c r="D40" i="42"/>
  <c r="C40" i="42"/>
  <c r="B40" i="42"/>
  <c r="A40" i="42"/>
  <c r="F39" i="42"/>
  <c r="C39" i="42"/>
  <c r="D39" i="42" s="1"/>
  <c r="B39" i="42"/>
  <c r="A39" i="42"/>
  <c r="F38" i="42"/>
  <c r="C38" i="42"/>
  <c r="D38" i="42" s="1"/>
  <c r="B38" i="42"/>
  <c r="A38" i="42"/>
  <c r="F37" i="42"/>
  <c r="C37" i="42"/>
  <c r="D37" i="42" s="1"/>
  <c r="B37" i="42"/>
  <c r="A37" i="42"/>
  <c r="F36" i="42"/>
  <c r="C36" i="42"/>
  <c r="D36" i="42" s="1"/>
  <c r="B36" i="42"/>
  <c r="A36" i="42"/>
  <c r="F35" i="42"/>
  <c r="C35" i="42"/>
  <c r="D35" i="42" s="1"/>
  <c r="B35" i="42"/>
  <c r="A35" i="42"/>
  <c r="F34" i="42"/>
  <c r="C34" i="42"/>
  <c r="D34" i="42" s="1"/>
  <c r="B34" i="42"/>
  <c r="A34" i="42"/>
  <c r="F33" i="42"/>
  <c r="C33" i="42"/>
  <c r="D33" i="42" s="1"/>
  <c r="B33" i="42"/>
  <c r="A33" i="42"/>
  <c r="F32" i="42"/>
  <c r="C32" i="42"/>
  <c r="D32" i="42" s="1"/>
  <c r="B32" i="42"/>
  <c r="A32" i="42"/>
  <c r="F31" i="42"/>
  <c r="D31" i="42"/>
  <c r="C31" i="42"/>
  <c r="B31" i="42"/>
  <c r="A31" i="42"/>
  <c r="F30" i="42"/>
  <c r="C30" i="42"/>
  <c r="D30" i="42" s="1"/>
  <c r="B30" i="42"/>
  <c r="A30" i="42"/>
  <c r="F29" i="42"/>
  <c r="C29" i="42"/>
  <c r="D29" i="42" s="1"/>
  <c r="B29" i="42"/>
  <c r="A29" i="42"/>
  <c r="F28" i="42"/>
  <c r="C28" i="42"/>
  <c r="D28" i="42" s="1"/>
  <c r="B28" i="42"/>
  <c r="A28" i="42"/>
  <c r="D27" i="42"/>
  <c r="C27" i="42"/>
  <c r="B27" i="42"/>
  <c r="A27" i="42"/>
  <c r="F26" i="42"/>
  <c r="C26" i="42"/>
  <c r="D26" i="42" s="1"/>
  <c r="B26" i="42"/>
  <c r="A26" i="42"/>
  <c r="F25" i="42"/>
  <c r="C25" i="42"/>
  <c r="D25" i="42" s="1"/>
  <c r="B25" i="42"/>
  <c r="A25" i="42"/>
  <c r="F24" i="42"/>
  <c r="C24" i="42"/>
  <c r="D24" i="42" s="1"/>
  <c r="B24" i="42"/>
  <c r="A24" i="42"/>
  <c r="F23" i="42"/>
  <c r="C23" i="42"/>
  <c r="D23" i="42" s="1"/>
  <c r="B23" i="42"/>
  <c r="A23" i="42"/>
  <c r="F22" i="42"/>
  <c r="C22" i="42"/>
  <c r="D22" i="42" s="1"/>
  <c r="B22" i="42"/>
  <c r="A22" i="42"/>
  <c r="F21" i="42"/>
  <c r="C21" i="42"/>
  <c r="D21" i="42" s="1"/>
  <c r="B21" i="42"/>
  <c r="A21" i="42"/>
  <c r="C20" i="42"/>
  <c r="D20" i="42" s="1"/>
  <c r="B20" i="42"/>
  <c r="A20" i="42"/>
  <c r="F19" i="42"/>
  <c r="C19" i="42"/>
  <c r="D19" i="42" s="1"/>
  <c r="B19" i="42"/>
  <c r="A19" i="42"/>
  <c r="F18" i="42"/>
  <c r="C18" i="42"/>
  <c r="D18" i="42" s="1"/>
  <c r="B18" i="42"/>
  <c r="A18" i="42"/>
  <c r="F17" i="42"/>
  <c r="D17" i="42"/>
  <c r="C17" i="42"/>
  <c r="B17" i="42"/>
  <c r="A17" i="42"/>
  <c r="F16" i="42"/>
  <c r="C16" i="42"/>
  <c r="D16" i="42" s="1"/>
  <c r="B16" i="42"/>
  <c r="A16" i="42"/>
  <c r="F15" i="42"/>
  <c r="C15" i="42"/>
  <c r="D15" i="42" s="1"/>
  <c r="B15" i="42"/>
  <c r="A15" i="42"/>
  <c r="F14" i="42"/>
  <c r="D14" i="42"/>
  <c r="C14" i="42"/>
  <c r="B14" i="42"/>
  <c r="A14" i="42"/>
  <c r="C13" i="42"/>
  <c r="D13" i="42" s="1"/>
  <c r="B13" i="42"/>
  <c r="A13" i="42"/>
  <c r="F12" i="42"/>
  <c r="C12" i="42"/>
  <c r="D12" i="42" s="1"/>
  <c r="B12" i="42"/>
  <c r="A12" i="42"/>
  <c r="F11" i="42"/>
  <c r="C11" i="42"/>
  <c r="D11" i="42" s="1"/>
  <c r="B11" i="42"/>
  <c r="A11" i="42"/>
  <c r="F10" i="42"/>
  <c r="C10" i="42"/>
  <c r="D10" i="42" s="1"/>
  <c r="B10" i="42"/>
  <c r="A10" i="42"/>
  <c r="F9" i="42"/>
  <c r="C9" i="42"/>
  <c r="D9" i="42" s="1"/>
  <c r="B9" i="42"/>
  <c r="A9" i="42"/>
  <c r="F8" i="42"/>
  <c r="D8" i="42"/>
  <c r="C8" i="42"/>
  <c r="B8" i="42"/>
  <c r="A8" i="42"/>
  <c r="F7" i="42"/>
  <c r="C7" i="42"/>
  <c r="D7" i="42" s="1"/>
  <c r="B7" i="42"/>
  <c r="A7" i="42"/>
  <c r="C6" i="42"/>
  <c r="D6" i="42" s="1"/>
  <c r="B6" i="42"/>
  <c r="A6" i="42"/>
  <c r="C5" i="42"/>
  <c r="D5" i="42" s="1"/>
  <c r="B5" i="42"/>
  <c r="A5" i="42"/>
  <c r="C4" i="42"/>
  <c r="D4" i="42" s="1"/>
  <c r="B4" i="42"/>
  <c r="A4" i="42"/>
  <c r="C3" i="42"/>
  <c r="D3" i="42" s="1"/>
  <c r="B3" i="42"/>
  <c r="A3" i="42"/>
  <c r="D46" i="41"/>
  <c r="D43" i="41"/>
  <c r="D40" i="41"/>
  <c r="D39" i="41"/>
  <c r="D14" i="41"/>
  <c r="D8" i="41"/>
  <c r="D7" i="41"/>
  <c r="A91" i="41"/>
  <c r="B91" i="41"/>
  <c r="C91" i="41"/>
  <c r="D91" i="41" s="1"/>
  <c r="A90" i="41"/>
  <c r="B90" i="41"/>
  <c r="C90" i="41"/>
  <c r="D90" i="41" s="1"/>
  <c r="A89" i="41"/>
  <c r="B89" i="41"/>
  <c r="C89" i="41"/>
  <c r="D89" i="41" s="1"/>
  <c r="A4" i="41"/>
  <c r="B4" i="41"/>
  <c r="C4" i="41"/>
  <c r="D4" i="41" s="1"/>
  <c r="A5" i="41"/>
  <c r="B5" i="41"/>
  <c r="C5" i="41"/>
  <c r="D5" i="41" s="1"/>
  <c r="A6" i="41"/>
  <c r="B6" i="41"/>
  <c r="C6" i="41"/>
  <c r="D6" i="41" s="1"/>
  <c r="A7" i="41"/>
  <c r="B7" i="41"/>
  <c r="C7" i="41"/>
  <c r="A8" i="41"/>
  <c r="B8" i="41"/>
  <c r="C8" i="41"/>
  <c r="A9" i="41"/>
  <c r="B9" i="41"/>
  <c r="C9" i="41"/>
  <c r="D9" i="41" s="1"/>
  <c r="A10" i="41"/>
  <c r="B10" i="41"/>
  <c r="C10" i="41"/>
  <c r="D10" i="41" s="1"/>
  <c r="A11" i="41"/>
  <c r="B11" i="41"/>
  <c r="C11" i="41"/>
  <c r="D11" i="41" s="1"/>
  <c r="A12" i="41"/>
  <c r="B12" i="41"/>
  <c r="C12" i="41"/>
  <c r="D12" i="41" s="1"/>
  <c r="A13" i="41"/>
  <c r="B13" i="41"/>
  <c r="C13" i="41"/>
  <c r="D13" i="41" s="1"/>
  <c r="A14" i="41"/>
  <c r="B14" i="41"/>
  <c r="C14" i="41"/>
  <c r="A15" i="41"/>
  <c r="B15" i="41"/>
  <c r="C15" i="41"/>
  <c r="D15" i="41" s="1"/>
  <c r="A16" i="41"/>
  <c r="B16" i="41"/>
  <c r="C16" i="41"/>
  <c r="D16" i="41" s="1"/>
  <c r="A17" i="41"/>
  <c r="B17" i="41"/>
  <c r="C17" i="41"/>
  <c r="D17" i="41" s="1"/>
  <c r="A18" i="41"/>
  <c r="B18" i="41"/>
  <c r="C18" i="41"/>
  <c r="D18" i="41" s="1"/>
  <c r="A19" i="41"/>
  <c r="B19" i="41"/>
  <c r="C19" i="41"/>
  <c r="D19" i="41" s="1"/>
  <c r="A20" i="41"/>
  <c r="B20" i="41"/>
  <c r="C20" i="41"/>
  <c r="D20" i="41" s="1"/>
  <c r="A21" i="41"/>
  <c r="B21" i="41"/>
  <c r="C21" i="41"/>
  <c r="D21" i="41" s="1"/>
  <c r="A22" i="41"/>
  <c r="B22" i="41"/>
  <c r="C22" i="41"/>
  <c r="D22" i="41" s="1"/>
  <c r="A23" i="41"/>
  <c r="B23" i="41"/>
  <c r="C23" i="41"/>
  <c r="D23" i="41" s="1"/>
  <c r="A24" i="41"/>
  <c r="B24" i="41"/>
  <c r="C24" i="41"/>
  <c r="D24" i="41" s="1"/>
  <c r="A25" i="41"/>
  <c r="B25" i="41"/>
  <c r="C25" i="41"/>
  <c r="D25" i="41" s="1"/>
  <c r="A26" i="41"/>
  <c r="B26" i="41"/>
  <c r="C26" i="41"/>
  <c r="D26" i="41" s="1"/>
  <c r="A27" i="41"/>
  <c r="B27" i="41"/>
  <c r="C27" i="41"/>
  <c r="D27" i="41" s="1"/>
  <c r="A28" i="41"/>
  <c r="B28" i="41"/>
  <c r="C28" i="41"/>
  <c r="D28" i="41" s="1"/>
  <c r="A29" i="41"/>
  <c r="B29" i="41"/>
  <c r="C29" i="41"/>
  <c r="D29" i="41" s="1"/>
  <c r="A30" i="41"/>
  <c r="B30" i="41"/>
  <c r="C30" i="41"/>
  <c r="D30" i="41" s="1"/>
  <c r="A31" i="41"/>
  <c r="B31" i="41"/>
  <c r="C31" i="41"/>
  <c r="D31" i="41" s="1"/>
  <c r="A32" i="41"/>
  <c r="B32" i="41"/>
  <c r="C32" i="41"/>
  <c r="D32" i="41" s="1"/>
  <c r="A33" i="41"/>
  <c r="B33" i="41"/>
  <c r="C33" i="41"/>
  <c r="D33" i="41" s="1"/>
  <c r="A34" i="41"/>
  <c r="B34" i="41"/>
  <c r="C34" i="41"/>
  <c r="D34" i="41" s="1"/>
  <c r="A35" i="41"/>
  <c r="B35" i="41"/>
  <c r="C35" i="41"/>
  <c r="D35" i="41" s="1"/>
  <c r="A36" i="41"/>
  <c r="B36" i="41"/>
  <c r="C36" i="41"/>
  <c r="D36" i="41" s="1"/>
  <c r="A37" i="41"/>
  <c r="B37" i="41"/>
  <c r="C37" i="41"/>
  <c r="D37" i="41" s="1"/>
  <c r="A38" i="41"/>
  <c r="B38" i="41"/>
  <c r="C38" i="41"/>
  <c r="D38" i="41" s="1"/>
  <c r="A39" i="41"/>
  <c r="B39" i="41"/>
  <c r="C39" i="41"/>
  <c r="A40" i="41"/>
  <c r="B40" i="41"/>
  <c r="C40" i="41"/>
  <c r="A41" i="41"/>
  <c r="B41" i="41"/>
  <c r="C41" i="41"/>
  <c r="D41" i="41" s="1"/>
  <c r="A42" i="41"/>
  <c r="B42" i="41"/>
  <c r="C42" i="41"/>
  <c r="D42" i="41" s="1"/>
  <c r="A43" i="41"/>
  <c r="B43" i="41"/>
  <c r="C43" i="41"/>
  <c r="A44" i="41"/>
  <c r="B44" i="41"/>
  <c r="C44" i="41"/>
  <c r="D44" i="41" s="1"/>
  <c r="A45" i="41"/>
  <c r="B45" i="41"/>
  <c r="C45" i="41"/>
  <c r="D45" i="41" s="1"/>
  <c r="A46" i="41"/>
  <c r="B46" i="41"/>
  <c r="C46" i="41"/>
  <c r="A47" i="41"/>
  <c r="B47" i="41"/>
  <c r="C47" i="41"/>
  <c r="D47" i="41" s="1"/>
  <c r="A48" i="41"/>
  <c r="B48" i="41"/>
  <c r="C48" i="41"/>
  <c r="D48" i="41" s="1"/>
  <c r="A49" i="41"/>
  <c r="B49" i="41"/>
  <c r="C49" i="41"/>
  <c r="D49" i="41" s="1"/>
  <c r="A50" i="41"/>
  <c r="B50" i="41"/>
  <c r="C50" i="41"/>
  <c r="D50" i="41" s="1"/>
  <c r="A51" i="41"/>
  <c r="B51" i="41"/>
  <c r="C51" i="41"/>
  <c r="D51" i="41" s="1"/>
  <c r="A52" i="41"/>
  <c r="B52" i="41"/>
  <c r="C52" i="41"/>
  <c r="D52" i="41" s="1"/>
  <c r="A53" i="41"/>
  <c r="B53" i="41"/>
  <c r="C53" i="41"/>
  <c r="D53" i="41" s="1"/>
  <c r="A54" i="41"/>
  <c r="B54" i="41"/>
  <c r="C54" i="41"/>
  <c r="D54" i="41" s="1"/>
  <c r="A55" i="41"/>
  <c r="B55" i="41"/>
  <c r="C55" i="41"/>
  <c r="D55" i="41" s="1"/>
  <c r="A56" i="41"/>
  <c r="B56" i="41"/>
  <c r="C56" i="41"/>
  <c r="D56" i="41" s="1"/>
  <c r="A57" i="41"/>
  <c r="B57" i="41"/>
  <c r="C57" i="41"/>
  <c r="D57" i="41" s="1"/>
  <c r="A58" i="41"/>
  <c r="B58" i="41"/>
  <c r="C58" i="41"/>
  <c r="D58" i="41" s="1"/>
  <c r="A59" i="41"/>
  <c r="B59" i="41"/>
  <c r="C59" i="41"/>
  <c r="D59" i="41" s="1"/>
  <c r="A60" i="41"/>
  <c r="B60" i="41"/>
  <c r="C60" i="41"/>
  <c r="D60" i="41" s="1"/>
  <c r="A61" i="41"/>
  <c r="B61" i="41"/>
  <c r="C61" i="41"/>
  <c r="D61" i="41" s="1"/>
  <c r="A62" i="41"/>
  <c r="B62" i="41"/>
  <c r="C62" i="41"/>
  <c r="D62" i="41" s="1"/>
  <c r="A63" i="41"/>
  <c r="B63" i="41"/>
  <c r="C63" i="41"/>
  <c r="D63" i="41" s="1"/>
  <c r="A64" i="41"/>
  <c r="B64" i="41"/>
  <c r="C64" i="41"/>
  <c r="D64" i="41" s="1"/>
  <c r="A65" i="41"/>
  <c r="B65" i="41"/>
  <c r="C65" i="41"/>
  <c r="D65" i="41" s="1"/>
  <c r="A66" i="41"/>
  <c r="B66" i="41"/>
  <c r="C66" i="41"/>
  <c r="D66" i="41" s="1"/>
  <c r="A67" i="41"/>
  <c r="B67" i="41"/>
  <c r="C67" i="41"/>
  <c r="D67" i="41" s="1"/>
  <c r="A68" i="41"/>
  <c r="B68" i="41"/>
  <c r="C68" i="41"/>
  <c r="D68" i="41" s="1"/>
  <c r="A69" i="41"/>
  <c r="B69" i="41"/>
  <c r="C69" i="41"/>
  <c r="D69" i="41" s="1"/>
  <c r="A70" i="41"/>
  <c r="B70" i="41"/>
  <c r="C70" i="41"/>
  <c r="D70" i="41" s="1"/>
  <c r="A71" i="41"/>
  <c r="B71" i="41"/>
  <c r="C71" i="41"/>
  <c r="D71" i="41" s="1"/>
  <c r="A72" i="41"/>
  <c r="B72" i="41"/>
  <c r="C72" i="41"/>
  <c r="D72" i="41" s="1"/>
  <c r="A73" i="41"/>
  <c r="B73" i="41"/>
  <c r="C73" i="41"/>
  <c r="D73" i="41" s="1"/>
  <c r="A74" i="41"/>
  <c r="B74" i="41"/>
  <c r="C74" i="41"/>
  <c r="D74" i="41" s="1"/>
  <c r="A75" i="41"/>
  <c r="B75" i="41"/>
  <c r="C75" i="41"/>
  <c r="D75" i="41" s="1"/>
  <c r="A76" i="41"/>
  <c r="B76" i="41"/>
  <c r="C76" i="41"/>
  <c r="D76" i="41" s="1"/>
  <c r="A77" i="41"/>
  <c r="B77" i="41"/>
  <c r="C77" i="41"/>
  <c r="D77" i="41" s="1"/>
  <c r="A78" i="41"/>
  <c r="B78" i="41"/>
  <c r="C78" i="41"/>
  <c r="D78" i="41" s="1"/>
  <c r="A79" i="41"/>
  <c r="B79" i="41"/>
  <c r="C79" i="41"/>
  <c r="D79" i="41" s="1"/>
  <c r="A80" i="41"/>
  <c r="B80" i="41"/>
  <c r="C80" i="41"/>
  <c r="D80" i="41" s="1"/>
  <c r="A81" i="41"/>
  <c r="B81" i="41"/>
  <c r="C81" i="41"/>
  <c r="D81" i="41" s="1"/>
  <c r="A82" i="41"/>
  <c r="B82" i="41"/>
  <c r="C82" i="41"/>
  <c r="D82" i="41" s="1"/>
  <c r="A83" i="41"/>
  <c r="B83" i="41"/>
  <c r="C83" i="41"/>
  <c r="D83" i="41" s="1"/>
  <c r="A84" i="41"/>
  <c r="B84" i="41"/>
  <c r="C84" i="41"/>
  <c r="D84" i="41" s="1"/>
  <c r="A85" i="41"/>
  <c r="B85" i="41"/>
  <c r="C85" i="41"/>
  <c r="D85" i="41" s="1"/>
  <c r="A86" i="41"/>
  <c r="B86" i="41"/>
  <c r="C86" i="41"/>
  <c r="D86" i="41" s="1"/>
  <c r="A87" i="41"/>
  <c r="B87" i="41"/>
  <c r="C87" i="41"/>
  <c r="D87" i="41" s="1"/>
  <c r="A88" i="41"/>
  <c r="B88" i="41"/>
  <c r="C88" i="41"/>
  <c r="D88" i="41" s="1"/>
  <c r="C3" i="41"/>
  <c r="D3" i="41" s="1"/>
  <c r="B3" i="41"/>
  <c r="A3" i="41"/>
  <c r="F50" i="41"/>
  <c r="F49" i="41"/>
  <c r="F48" i="41"/>
  <c r="F47" i="41"/>
  <c r="F46" i="41"/>
  <c r="F45" i="41"/>
  <c r="F44" i="41"/>
  <c r="F43" i="41"/>
  <c r="F42" i="41"/>
  <c r="F41" i="41"/>
  <c r="F40" i="41"/>
  <c r="F39" i="41"/>
  <c r="F38" i="41"/>
  <c r="F37" i="41"/>
  <c r="F36" i="41"/>
  <c r="F35" i="41"/>
  <c r="F34" i="41"/>
  <c r="F33" i="41"/>
  <c r="F32" i="41"/>
  <c r="F31" i="41"/>
  <c r="F30" i="41"/>
  <c r="F29" i="41"/>
  <c r="F28" i="41"/>
  <c r="F26" i="41"/>
  <c r="F25" i="41"/>
  <c r="F24" i="41"/>
  <c r="F23" i="41"/>
  <c r="F22" i="41"/>
  <c r="F21" i="41"/>
  <c r="F19" i="41"/>
  <c r="F18" i="41"/>
  <c r="F17" i="41"/>
  <c r="F16" i="41"/>
  <c r="F15" i="41"/>
  <c r="F14" i="41"/>
  <c r="F12" i="41"/>
  <c r="F11" i="41"/>
  <c r="F10" i="41"/>
  <c r="F9" i="41"/>
  <c r="F8" i="41"/>
  <c r="F7" i="41"/>
  <c r="A62" i="15"/>
  <c r="A58" i="15"/>
  <c r="A54" i="15"/>
  <c r="A50" i="15"/>
  <c r="A46" i="15"/>
  <c r="A42" i="15"/>
  <c r="A38" i="15"/>
  <c r="A34" i="15"/>
  <c r="A30" i="15"/>
  <c r="A26" i="15"/>
  <c r="A22" i="15"/>
  <c r="A18" i="15"/>
  <c r="A53" i="15"/>
  <c r="B53" i="15"/>
  <c r="C53" i="15"/>
  <c r="B54" i="15"/>
  <c r="C54" i="15"/>
  <c r="A55" i="15"/>
  <c r="B55" i="15"/>
  <c r="C55" i="15"/>
  <c r="A56" i="15"/>
  <c r="B56" i="15"/>
  <c r="C56" i="15"/>
  <c r="A57" i="15"/>
  <c r="B57" i="15"/>
  <c r="C57" i="15"/>
  <c r="B58" i="15"/>
  <c r="C58" i="15"/>
  <c r="A59" i="15"/>
  <c r="B59" i="15"/>
  <c r="C59" i="15"/>
  <c r="A60" i="15"/>
  <c r="B60" i="15"/>
  <c r="C60" i="15"/>
  <c r="A61" i="15"/>
  <c r="B61" i="15"/>
  <c r="C61" i="15"/>
  <c r="B62" i="15"/>
  <c r="C62" i="15"/>
  <c r="A63" i="15"/>
  <c r="B63" i="15"/>
  <c r="C63" i="15"/>
  <c r="A64" i="15"/>
  <c r="B64" i="15"/>
  <c r="C64" i="15"/>
  <c r="A65" i="15"/>
  <c r="B65" i="15"/>
  <c r="C65" i="15"/>
  <c r="A66" i="15"/>
  <c r="B66" i="15"/>
  <c r="C66" i="15"/>
  <c r="A67" i="15"/>
  <c r="B67" i="15"/>
  <c r="C67" i="15"/>
  <c r="A68" i="15"/>
  <c r="B68" i="15"/>
  <c r="C68" i="15"/>
  <c r="A69" i="15"/>
  <c r="B69" i="15"/>
  <c r="C69" i="15"/>
  <c r="A70" i="15"/>
  <c r="B70" i="15"/>
  <c r="C70" i="15"/>
  <c r="A71" i="15"/>
  <c r="B71" i="15"/>
  <c r="C71" i="15"/>
  <c r="A72" i="15"/>
  <c r="B72" i="15"/>
  <c r="C72" i="15"/>
  <c r="A73" i="15"/>
  <c r="B73" i="15"/>
  <c r="C73" i="15"/>
  <c r="A74" i="15"/>
  <c r="B74" i="15"/>
  <c r="C74" i="15"/>
  <c r="A75" i="15"/>
  <c r="B75" i="15"/>
  <c r="C75" i="15"/>
  <c r="A76" i="15"/>
  <c r="B76" i="15"/>
  <c r="C76" i="15"/>
  <c r="A77" i="15"/>
  <c r="B77" i="15"/>
  <c r="C77" i="15"/>
  <c r="A78" i="15"/>
  <c r="B78" i="15"/>
  <c r="C78" i="15"/>
  <c r="A79" i="15"/>
  <c r="B79" i="15"/>
  <c r="C79" i="15"/>
  <c r="A80" i="15"/>
  <c r="B80" i="15"/>
  <c r="C80" i="15"/>
  <c r="A81" i="15"/>
  <c r="B81" i="15"/>
  <c r="C81" i="15"/>
  <c r="A82" i="15"/>
  <c r="B82" i="15"/>
  <c r="C82" i="15"/>
  <c r="A83" i="15"/>
  <c r="B83" i="15"/>
  <c r="C83" i="15"/>
  <c r="A84" i="15"/>
  <c r="B84" i="15"/>
  <c r="C84" i="15"/>
  <c r="A85" i="15"/>
  <c r="B85" i="15"/>
  <c r="C85" i="15"/>
  <c r="A86" i="15"/>
  <c r="B86" i="15"/>
  <c r="C86" i="15"/>
  <c r="A87" i="15"/>
  <c r="B87" i="15"/>
  <c r="C87" i="15"/>
  <c r="A88" i="15"/>
  <c r="B88" i="15"/>
  <c r="C88" i="15"/>
  <c r="A89" i="15"/>
  <c r="B89" i="15"/>
  <c r="C89" i="15"/>
  <c r="A90" i="15"/>
  <c r="B90" i="15"/>
  <c r="C90" i="15"/>
  <c r="A91" i="15"/>
  <c r="B91" i="15"/>
  <c r="C91" i="15"/>
  <c r="A92" i="15"/>
  <c r="B92" i="15"/>
  <c r="C92" i="15"/>
  <c r="A93" i="15"/>
  <c r="B93" i="15"/>
  <c r="C93" i="15"/>
  <c r="A94" i="15"/>
  <c r="B94" i="15"/>
  <c r="C94" i="15"/>
  <c r="A95" i="15"/>
  <c r="B95" i="15"/>
  <c r="C95" i="15"/>
  <c r="A96" i="15"/>
  <c r="B96" i="15"/>
  <c r="C96" i="15"/>
  <c r="A97" i="15"/>
  <c r="B97" i="15"/>
  <c r="C97" i="15"/>
  <c r="A98" i="15"/>
  <c r="B98" i="15"/>
  <c r="C98" i="15"/>
  <c r="A99" i="15"/>
  <c r="B99" i="15"/>
  <c r="C99" i="15"/>
  <c r="A100" i="15"/>
  <c r="B100" i="15"/>
  <c r="C100" i="15"/>
  <c r="A101" i="15"/>
  <c r="B101" i="15"/>
  <c r="C101" i="15"/>
  <c r="A102" i="15"/>
  <c r="B102" i="15"/>
  <c r="C102" i="15"/>
  <c r="A103" i="15"/>
  <c r="B103" i="15"/>
  <c r="C103" i="15"/>
  <c r="A104" i="15"/>
  <c r="B104" i="15"/>
  <c r="C104" i="15"/>
  <c r="A105" i="15"/>
  <c r="B105" i="15"/>
  <c r="C105" i="15"/>
  <c r="A106" i="15"/>
  <c r="B106" i="15"/>
  <c r="C106" i="15"/>
  <c r="A107" i="15"/>
  <c r="B107" i="15"/>
  <c r="C107" i="15"/>
  <c r="A108" i="15"/>
  <c r="B108" i="15"/>
  <c r="C108" i="15"/>
  <c r="A109" i="15"/>
  <c r="B109" i="15"/>
  <c r="C109" i="15"/>
  <c r="A110" i="15"/>
  <c r="B110" i="15"/>
  <c r="C110" i="15"/>
  <c r="A111" i="15"/>
  <c r="B111" i="15"/>
  <c r="C111" i="15"/>
  <c r="A112" i="15"/>
  <c r="B112" i="15"/>
  <c r="C112" i="15"/>
  <c r="A113" i="15"/>
  <c r="B113" i="15"/>
  <c r="C113" i="15"/>
  <c r="A114" i="15"/>
  <c r="B114" i="15"/>
  <c r="C114" i="15"/>
  <c r="A115" i="15"/>
  <c r="B115" i="15"/>
  <c r="C115" i="15"/>
  <c r="A116" i="15"/>
  <c r="B116" i="15"/>
  <c r="C116" i="15"/>
  <c r="A117" i="15"/>
  <c r="B117" i="15"/>
  <c r="C117" i="15"/>
  <c r="A118" i="15"/>
  <c r="B118" i="15"/>
  <c r="C118" i="15"/>
  <c r="A119" i="15"/>
  <c r="B119" i="15"/>
  <c r="C119" i="15"/>
  <c r="A120" i="15"/>
  <c r="B120" i="15"/>
  <c r="C120" i="15"/>
  <c r="A121" i="15"/>
  <c r="B121" i="15"/>
  <c r="C121" i="15"/>
  <c r="A122" i="15"/>
  <c r="B122" i="15"/>
  <c r="C122" i="15"/>
  <c r="A123" i="15"/>
  <c r="B123" i="15"/>
  <c r="C123" i="15"/>
  <c r="A124" i="15"/>
  <c r="B124" i="15"/>
  <c r="C124" i="15"/>
  <c r="A125" i="15"/>
  <c r="B125" i="15"/>
  <c r="C125" i="15"/>
  <c r="A126" i="15"/>
  <c r="B126" i="15"/>
  <c r="C126" i="15"/>
  <c r="A127" i="15"/>
  <c r="B127" i="15"/>
  <c r="C127" i="15"/>
  <c r="A128" i="15"/>
  <c r="B128" i="15"/>
  <c r="C128" i="15"/>
  <c r="A129" i="15"/>
  <c r="B129" i="15"/>
  <c r="C129" i="15"/>
  <c r="A130" i="15"/>
  <c r="B130" i="15"/>
  <c r="C130" i="15"/>
  <c r="A131" i="15"/>
  <c r="B131" i="15"/>
  <c r="C131" i="15"/>
  <c r="A132" i="15"/>
  <c r="B132" i="15"/>
  <c r="C132" i="15"/>
  <c r="A133" i="15"/>
  <c r="B133" i="15"/>
  <c r="C133" i="15"/>
  <c r="A134" i="15"/>
  <c r="B134" i="15"/>
  <c r="C134" i="15"/>
  <c r="A135" i="15"/>
  <c r="B135" i="15"/>
  <c r="C135" i="15"/>
  <c r="A136" i="15"/>
  <c r="B136" i="15"/>
  <c r="C136" i="15"/>
  <c r="A137" i="15"/>
  <c r="B137" i="15"/>
  <c r="C137" i="15"/>
  <c r="A138" i="15"/>
  <c r="B138" i="15"/>
  <c r="C138" i="15"/>
  <c r="A139" i="15"/>
  <c r="B139" i="15"/>
  <c r="C139" i="15"/>
  <c r="A140" i="15"/>
  <c r="B140" i="15"/>
  <c r="C140" i="15"/>
  <c r="A141" i="15"/>
  <c r="B141" i="15"/>
  <c r="C141" i="15"/>
  <c r="A142" i="15"/>
  <c r="B142" i="15"/>
  <c r="C142" i="15"/>
  <c r="A143" i="15"/>
  <c r="B143" i="15"/>
  <c r="C143" i="15"/>
  <c r="A144" i="15"/>
  <c r="B144" i="15"/>
  <c r="C144" i="15"/>
  <c r="A145" i="15"/>
  <c r="B145" i="15"/>
  <c r="C145" i="15"/>
  <c r="A146" i="15"/>
  <c r="B146" i="15"/>
  <c r="C146" i="15"/>
  <c r="A147" i="15"/>
  <c r="B147" i="15"/>
  <c r="C147" i="15"/>
  <c r="A148" i="15"/>
  <c r="B148" i="15"/>
  <c r="C148" i="15"/>
  <c r="A149" i="15"/>
  <c r="B149" i="15"/>
  <c r="C149" i="15"/>
  <c r="A150" i="15"/>
  <c r="B150" i="15"/>
  <c r="C150" i="15"/>
  <c r="A151" i="15"/>
  <c r="B151" i="15"/>
  <c r="C151" i="15"/>
  <c r="A152" i="15"/>
  <c r="B152" i="15"/>
  <c r="C152" i="15"/>
  <c r="A153" i="15"/>
  <c r="B153" i="15"/>
  <c r="C153" i="15"/>
  <c r="A154" i="15"/>
  <c r="B154" i="15"/>
  <c r="C154" i="15"/>
  <c r="A155" i="15"/>
  <c r="B155" i="15"/>
  <c r="C155" i="15"/>
  <c r="A156" i="15"/>
  <c r="B156" i="15"/>
  <c r="C156" i="15"/>
  <c r="A157" i="15"/>
  <c r="B157" i="15"/>
  <c r="C157" i="15"/>
  <c r="A52" i="15"/>
  <c r="B52" i="15"/>
  <c r="C52" i="15"/>
  <c r="A4" i="15"/>
  <c r="B4" i="15"/>
  <c r="C4" i="15"/>
  <c r="A5" i="15"/>
  <c r="B5" i="15"/>
  <c r="C5" i="15"/>
  <c r="A6" i="15"/>
  <c r="B6" i="15"/>
  <c r="C6" i="15"/>
  <c r="A7" i="15"/>
  <c r="B7" i="15"/>
  <c r="C7" i="15"/>
  <c r="A8" i="15"/>
  <c r="B8" i="15"/>
  <c r="C8" i="15"/>
  <c r="A9" i="15"/>
  <c r="B9" i="15"/>
  <c r="C9" i="15"/>
  <c r="A10" i="15"/>
  <c r="B10" i="15"/>
  <c r="C10" i="15"/>
  <c r="A11" i="15"/>
  <c r="B11" i="15"/>
  <c r="C11" i="15"/>
  <c r="A12" i="15"/>
  <c r="B12" i="15"/>
  <c r="C12" i="15"/>
  <c r="A13" i="15"/>
  <c r="B13" i="15"/>
  <c r="C13" i="15"/>
  <c r="A14" i="15"/>
  <c r="B14" i="15"/>
  <c r="C14" i="15"/>
  <c r="A15" i="15"/>
  <c r="B15" i="15"/>
  <c r="C15" i="15"/>
  <c r="A16" i="15"/>
  <c r="B16" i="15"/>
  <c r="C16" i="15"/>
  <c r="A17" i="15"/>
  <c r="B17" i="15"/>
  <c r="C17" i="15"/>
  <c r="B18" i="15"/>
  <c r="C18" i="15"/>
  <c r="A19" i="15"/>
  <c r="B19" i="15"/>
  <c r="C19" i="15"/>
  <c r="A20" i="15"/>
  <c r="B20" i="15"/>
  <c r="C20" i="15"/>
  <c r="A21" i="15"/>
  <c r="B21" i="15"/>
  <c r="C21" i="15"/>
  <c r="B22" i="15"/>
  <c r="C22" i="15"/>
  <c r="A23" i="15"/>
  <c r="B23" i="15"/>
  <c r="C23" i="15"/>
  <c r="A24" i="15"/>
  <c r="B24" i="15"/>
  <c r="C24" i="15"/>
  <c r="A25" i="15"/>
  <c r="B25" i="15"/>
  <c r="C25" i="15"/>
  <c r="B26" i="15"/>
  <c r="C26" i="15"/>
  <c r="A27" i="15"/>
  <c r="B27" i="15"/>
  <c r="C27" i="15"/>
  <c r="A28" i="15"/>
  <c r="B28" i="15"/>
  <c r="C28" i="15"/>
  <c r="A29" i="15"/>
  <c r="B29" i="15"/>
  <c r="C29" i="15"/>
  <c r="B30" i="15"/>
  <c r="C30" i="15"/>
  <c r="A31" i="15"/>
  <c r="B31" i="15"/>
  <c r="C31" i="15"/>
  <c r="A32" i="15"/>
  <c r="B32" i="15"/>
  <c r="C32" i="15"/>
  <c r="A33" i="15"/>
  <c r="B33" i="15"/>
  <c r="C33" i="15"/>
  <c r="B34" i="15"/>
  <c r="C34" i="15"/>
  <c r="A35" i="15"/>
  <c r="B35" i="15"/>
  <c r="C35" i="15"/>
  <c r="A36" i="15"/>
  <c r="B36" i="15"/>
  <c r="C36" i="15"/>
  <c r="A37" i="15"/>
  <c r="B37" i="15"/>
  <c r="C37" i="15"/>
  <c r="B38" i="15"/>
  <c r="C38" i="15"/>
  <c r="A39" i="15"/>
  <c r="B39" i="15"/>
  <c r="C39" i="15"/>
  <c r="A40" i="15"/>
  <c r="B40" i="15"/>
  <c r="C40" i="15"/>
  <c r="A41" i="15"/>
  <c r="B41" i="15"/>
  <c r="C41" i="15"/>
  <c r="B42" i="15"/>
  <c r="C42" i="15"/>
  <c r="A43" i="15"/>
  <c r="B43" i="15"/>
  <c r="C43" i="15"/>
  <c r="A44" i="15"/>
  <c r="B44" i="15"/>
  <c r="C44" i="15"/>
  <c r="A45" i="15"/>
  <c r="B45" i="15"/>
  <c r="C45" i="15"/>
  <c r="B46" i="15"/>
  <c r="C46" i="15"/>
  <c r="A47" i="15"/>
  <c r="B47" i="15"/>
  <c r="C47" i="15"/>
  <c r="A48" i="15"/>
  <c r="B48" i="15"/>
  <c r="C48" i="15"/>
  <c r="A49" i="15"/>
  <c r="B49" i="15"/>
  <c r="C49" i="15"/>
  <c r="B50" i="15"/>
  <c r="C50" i="15"/>
  <c r="A51" i="15"/>
  <c r="B51" i="15"/>
  <c r="C51" i="15"/>
  <c r="A3" i="15"/>
  <c r="D117" i="7"/>
  <c r="D106" i="7"/>
  <c r="D73" i="7"/>
  <c r="D62" i="7"/>
  <c r="D52" i="7"/>
  <c r="D41" i="7"/>
  <c r="D40" i="7"/>
  <c r="B4" i="7"/>
  <c r="A51" i="39"/>
  <c r="B51" i="39"/>
  <c r="C51" i="39"/>
  <c r="D51" i="39" s="1"/>
  <c r="F51" i="39"/>
  <c r="Y51" i="39" s="1"/>
  <c r="Z51" i="39"/>
  <c r="A51" i="38"/>
  <c r="B51" i="38"/>
  <c r="C51" i="38"/>
  <c r="D51" i="38" s="1"/>
  <c r="F51" i="38"/>
  <c r="Y51" i="38"/>
  <c r="Z51" i="38"/>
  <c r="AA51" i="38"/>
  <c r="AB51" i="38" s="1"/>
  <c r="D50" i="37"/>
  <c r="D50" i="36"/>
  <c r="C52" i="39"/>
  <c r="D52" i="39" s="1"/>
  <c r="B52" i="39"/>
  <c r="A52" i="39"/>
  <c r="C50" i="39"/>
  <c r="B50" i="39"/>
  <c r="A50" i="39"/>
  <c r="C49" i="39"/>
  <c r="B49" i="39"/>
  <c r="A49" i="39"/>
  <c r="C48" i="39"/>
  <c r="D48" i="39" s="1"/>
  <c r="B48" i="39"/>
  <c r="A48" i="39"/>
  <c r="C47" i="39"/>
  <c r="D47" i="39" s="1"/>
  <c r="B47" i="39"/>
  <c r="A47" i="39"/>
  <c r="C46" i="39"/>
  <c r="D46" i="39" s="1"/>
  <c r="B46" i="39"/>
  <c r="A46" i="39"/>
  <c r="C45" i="39"/>
  <c r="D45" i="39" s="1"/>
  <c r="B45" i="39"/>
  <c r="A45" i="39"/>
  <c r="C44" i="39"/>
  <c r="D44" i="39" s="1"/>
  <c r="B44" i="39"/>
  <c r="A44" i="39"/>
  <c r="C43" i="39"/>
  <c r="D43" i="39" s="1"/>
  <c r="B43" i="39"/>
  <c r="A43" i="39"/>
  <c r="C42" i="39"/>
  <c r="B42" i="39"/>
  <c r="A42" i="39"/>
  <c r="C41" i="39"/>
  <c r="D41" i="39" s="1"/>
  <c r="B41" i="39"/>
  <c r="A41" i="39"/>
  <c r="C40" i="39"/>
  <c r="D40" i="39" s="1"/>
  <c r="B40" i="39"/>
  <c r="A40" i="39"/>
  <c r="C39" i="39"/>
  <c r="D39" i="39" s="1"/>
  <c r="B39" i="39"/>
  <c r="A39" i="39"/>
  <c r="C38" i="39"/>
  <c r="D38" i="39" s="1"/>
  <c r="B38" i="39"/>
  <c r="A38" i="39"/>
  <c r="C37" i="39"/>
  <c r="D37" i="39" s="1"/>
  <c r="B37" i="39"/>
  <c r="A37" i="39"/>
  <c r="C36" i="39"/>
  <c r="D36" i="39" s="1"/>
  <c r="B36" i="39"/>
  <c r="A36" i="39"/>
  <c r="C35" i="39"/>
  <c r="D35" i="39" s="1"/>
  <c r="B35" i="39"/>
  <c r="A35" i="39"/>
  <c r="C34" i="39"/>
  <c r="D34" i="39" s="1"/>
  <c r="B34" i="39"/>
  <c r="A34" i="39"/>
  <c r="C33" i="39"/>
  <c r="D33" i="39" s="1"/>
  <c r="B33" i="39"/>
  <c r="A33" i="39"/>
  <c r="C32" i="39"/>
  <c r="D32" i="39" s="1"/>
  <c r="B32" i="39"/>
  <c r="A32" i="39"/>
  <c r="C31" i="39"/>
  <c r="D31" i="39" s="1"/>
  <c r="B31" i="39"/>
  <c r="A31" i="39"/>
  <c r="C30" i="39"/>
  <c r="D30" i="39" s="1"/>
  <c r="B30" i="39"/>
  <c r="A30" i="39"/>
  <c r="C29" i="39"/>
  <c r="D29" i="39" s="1"/>
  <c r="B29" i="39"/>
  <c r="A29" i="39"/>
  <c r="C28" i="39"/>
  <c r="D28" i="39" s="1"/>
  <c r="B28" i="39"/>
  <c r="A28" i="39"/>
  <c r="C27" i="39"/>
  <c r="D27" i="39" s="1"/>
  <c r="B27" i="39"/>
  <c r="A27" i="39"/>
  <c r="C26" i="39"/>
  <c r="D26" i="39" s="1"/>
  <c r="B26" i="39"/>
  <c r="A26" i="39"/>
  <c r="C24" i="39"/>
  <c r="D24" i="39" s="1"/>
  <c r="B24" i="39"/>
  <c r="A24" i="39"/>
  <c r="C23" i="39"/>
  <c r="D23" i="39" s="1"/>
  <c r="B23" i="39"/>
  <c r="A23" i="39"/>
  <c r="C22" i="39"/>
  <c r="B22" i="39"/>
  <c r="A22" i="39"/>
  <c r="C21" i="39"/>
  <c r="D21" i="39" s="1"/>
  <c r="B21" i="39"/>
  <c r="A21" i="39"/>
  <c r="C20" i="39"/>
  <c r="D20" i="39" s="1"/>
  <c r="B20" i="39"/>
  <c r="A20" i="39"/>
  <c r="C19" i="39"/>
  <c r="D19" i="39" s="1"/>
  <c r="B19" i="39"/>
  <c r="A19" i="39"/>
  <c r="C18" i="39"/>
  <c r="D18" i="39" s="1"/>
  <c r="B18" i="39"/>
  <c r="A18" i="39"/>
  <c r="C17" i="39"/>
  <c r="D17" i="39" s="1"/>
  <c r="B17" i="39"/>
  <c r="A17" i="39"/>
  <c r="C16" i="39"/>
  <c r="D16" i="39" s="1"/>
  <c r="B16" i="39"/>
  <c r="A16" i="39"/>
  <c r="C15" i="39"/>
  <c r="D15" i="39" s="1"/>
  <c r="B15" i="39"/>
  <c r="A15" i="39"/>
  <c r="C14" i="39"/>
  <c r="D14" i="39" s="1"/>
  <c r="B14" i="39"/>
  <c r="A14" i="39"/>
  <c r="C13" i="39"/>
  <c r="B13" i="39"/>
  <c r="A13" i="39"/>
  <c r="C12" i="39"/>
  <c r="D12" i="39" s="1"/>
  <c r="B12" i="39"/>
  <c r="A12" i="39"/>
  <c r="C11" i="39"/>
  <c r="D11" i="39" s="1"/>
  <c r="B11" i="39"/>
  <c r="A11" i="39"/>
  <c r="C10" i="39"/>
  <c r="D10" i="39" s="1"/>
  <c r="B10" i="39"/>
  <c r="A10" i="39"/>
  <c r="C9" i="39"/>
  <c r="B9" i="39"/>
  <c r="A9" i="39"/>
  <c r="C8" i="39"/>
  <c r="D8" i="39" s="1"/>
  <c r="B8" i="39"/>
  <c r="A8" i="39"/>
  <c r="P58" i="39"/>
  <c r="O58" i="39"/>
  <c r="P57" i="39"/>
  <c r="O57" i="39"/>
  <c r="Z52" i="39"/>
  <c r="F52" i="39"/>
  <c r="Y52" i="39" s="1"/>
  <c r="Z50" i="39"/>
  <c r="F50" i="39"/>
  <c r="Y50" i="39" s="1"/>
  <c r="D50" i="39"/>
  <c r="Z49" i="39"/>
  <c r="F49" i="39"/>
  <c r="Y49" i="39" s="1"/>
  <c r="D49" i="39"/>
  <c r="Z48" i="39"/>
  <c r="L48" i="39"/>
  <c r="F48" i="39"/>
  <c r="Y48" i="39" s="1"/>
  <c r="Z47" i="39"/>
  <c r="V47" i="39"/>
  <c r="L47" i="39"/>
  <c r="F47" i="39"/>
  <c r="AA47" i="39" s="1"/>
  <c r="AB47" i="39" s="1"/>
  <c r="Z46" i="39"/>
  <c r="V46" i="39"/>
  <c r="L46" i="39"/>
  <c r="F46" i="39"/>
  <c r="AA46" i="39" s="1"/>
  <c r="AB46" i="39" s="1"/>
  <c r="Z45" i="39"/>
  <c r="V45" i="39"/>
  <c r="L45" i="39"/>
  <c r="F45" i="39"/>
  <c r="AA45" i="39" s="1"/>
  <c r="AB45" i="39" s="1"/>
  <c r="Z44" i="39"/>
  <c r="V44" i="39"/>
  <c r="L44" i="39"/>
  <c r="F44" i="39"/>
  <c r="AA44" i="39" s="1"/>
  <c r="AB44" i="39" s="1"/>
  <c r="Z43" i="39"/>
  <c r="V43" i="39"/>
  <c r="L43" i="39"/>
  <c r="F43" i="39"/>
  <c r="AA43" i="39" s="1"/>
  <c r="AB43" i="39" s="1"/>
  <c r="Z42" i="39"/>
  <c r="V42" i="39"/>
  <c r="L42" i="39"/>
  <c r="F42" i="39"/>
  <c r="AA42" i="39" s="1"/>
  <c r="AB42" i="39" s="1"/>
  <c r="D42" i="39"/>
  <c r="Z41" i="39"/>
  <c r="V41" i="39"/>
  <c r="L41" i="39"/>
  <c r="F41" i="39"/>
  <c r="AA41" i="39" s="1"/>
  <c r="AB41" i="39" s="1"/>
  <c r="Z40" i="39"/>
  <c r="V40" i="39"/>
  <c r="L40" i="39"/>
  <c r="F40" i="39"/>
  <c r="AA40" i="39" s="1"/>
  <c r="AB40" i="39" s="1"/>
  <c r="Z39" i="39"/>
  <c r="V39" i="39"/>
  <c r="L39" i="39"/>
  <c r="F39" i="39"/>
  <c r="AA39" i="39" s="1"/>
  <c r="AB39" i="39" s="1"/>
  <c r="Z38" i="39"/>
  <c r="V38" i="39"/>
  <c r="L38" i="39"/>
  <c r="F38" i="39"/>
  <c r="Y38" i="39" s="1"/>
  <c r="Z37" i="39"/>
  <c r="V37" i="39"/>
  <c r="L37" i="39"/>
  <c r="F37" i="39"/>
  <c r="Y37" i="39" s="1"/>
  <c r="Z36" i="39"/>
  <c r="V36" i="39"/>
  <c r="L36" i="39"/>
  <c r="F36" i="39"/>
  <c r="AA36" i="39" s="1"/>
  <c r="AB36" i="39" s="1"/>
  <c r="Z35" i="39"/>
  <c r="V35" i="39"/>
  <c r="L35" i="39"/>
  <c r="F35" i="39"/>
  <c r="Y35" i="39" s="1"/>
  <c r="Z34" i="39"/>
  <c r="V34" i="39"/>
  <c r="T34" i="39"/>
  <c r="P34" i="39"/>
  <c r="L34" i="39"/>
  <c r="F34" i="39"/>
  <c r="Y34" i="39" s="1"/>
  <c r="Z33" i="39"/>
  <c r="F33" i="39"/>
  <c r="AA33" i="39" s="1"/>
  <c r="AB33" i="39" s="1"/>
  <c r="Z32" i="39"/>
  <c r="V32" i="39"/>
  <c r="T32" i="39"/>
  <c r="P32" i="39"/>
  <c r="L32" i="39"/>
  <c r="F32" i="39"/>
  <c r="Y32" i="39" s="1"/>
  <c r="Z31" i="39"/>
  <c r="V31" i="39"/>
  <c r="T31" i="39"/>
  <c r="P31" i="39"/>
  <c r="L31" i="39"/>
  <c r="F31" i="39"/>
  <c r="AA31" i="39" s="1"/>
  <c r="AB31" i="39" s="1"/>
  <c r="Z30" i="39"/>
  <c r="V30" i="39"/>
  <c r="T30" i="39"/>
  <c r="P30" i="39"/>
  <c r="L30" i="39"/>
  <c r="F30" i="39"/>
  <c r="Y30" i="39" s="1"/>
  <c r="Z29" i="39"/>
  <c r="V29" i="39"/>
  <c r="T29" i="39"/>
  <c r="P29" i="39"/>
  <c r="L29" i="39"/>
  <c r="F29" i="39"/>
  <c r="AA29" i="39" s="1"/>
  <c r="AB29" i="39" s="1"/>
  <c r="Z28" i="39"/>
  <c r="V28" i="39"/>
  <c r="T28" i="39"/>
  <c r="P28" i="39"/>
  <c r="L28" i="39"/>
  <c r="F28" i="39"/>
  <c r="AA28" i="39" s="1"/>
  <c r="AB28" i="39" s="1"/>
  <c r="Z27" i="39"/>
  <c r="V27" i="39"/>
  <c r="T27" i="39"/>
  <c r="P27" i="39"/>
  <c r="L27" i="39"/>
  <c r="F27" i="39"/>
  <c r="Y27" i="39" s="1"/>
  <c r="Z26" i="39"/>
  <c r="F26" i="39"/>
  <c r="AA26" i="39" s="1"/>
  <c r="AB26" i="39" s="1"/>
  <c r="Z24" i="39"/>
  <c r="V24" i="39"/>
  <c r="T24" i="39"/>
  <c r="P24" i="39"/>
  <c r="L24" i="39"/>
  <c r="F24" i="39"/>
  <c r="Y24" i="39" s="1"/>
  <c r="Z23" i="39"/>
  <c r="V23" i="39"/>
  <c r="T23" i="39"/>
  <c r="P23" i="39"/>
  <c r="L23" i="39"/>
  <c r="F23" i="39"/>
  <c r="AA23" i="39" s="1"/>
  <c r="AB23" i="39" s="1"/>
  <c r="Z22" i="39"/>
  <c r="V22" i="39"/>
  <c r="T22" i="39"/>
  <c r="P22" i="39"/>
  <c r="L22" i="39"/>
  <c r="F22" i="39"/>
  <c r="AA22" i="39" s="1"/>
  <c r="AB22" i="39" s="1"/>
  <c r="D22" i="39"/>
  <c r="Z21" i="39"/>
  <c r="V21" i="39"/>
  <c r="T21" i="39"/>
  <c r="P21" i="39"/>
  <c r="L21" i="39"/>
  <c r="F21" i="39"/>
  <c r="AA21" i="39" s="1"/>
  <c r="AB21" i="39" s="1"/>
  <c r="Z20" i="39"/>
  <c r="V20" i="39"/>
  <c r="T20" i="39"/>
  <c r="P20" i="39"/>
  <c r="L20" i="39"/>
  <c r="F20" i="39"/>
  <c r="Y20" i="39" s="1"/>
  <c r="Z19" i="39"/>
  <c r="V19" i="39"/>
  <c r="T19" i="39"/>
  <c r="P19" i="39"/>
  <c r="L19" i="39"/>
  <c r="F19" i="39"/>
  <c r="AA19" i="39" s="1"/>
  <c r="AB19" i="39" s="1"/>
  <c r="Z18" i="39"/>
  <c r="F18" i="39"/>
  <c r="AA18" i="39" s="1"/>
  <c r="AB18" i="39" s="1"/>
  <c r="Z17" i="39"/>
  <c r="V17" i="39"/>
  <c r="T17" i="39"/>
  <c r="P17" i="39"/>
  <c r="L17" i="39"/>
  <c r="F17" i="39"/>
  <c r="AA17" i="39" s="1"/>
  <c r="AB17" i="39" s="1"/>
  <c r="Z16" i="39"/>
  <c r="V16" i="39"/>
  <c r="T16" i="39"/>
  <c r="P16" i="39"/>
  <c r="L16" i="39"/>
  <c r="F16" i="39"/>
  <c r="Y16" i="39" s="1"/>
  <c r="Z15" i="39"/>
  <c r="T15" i="39"/>
  <c r="P15" i="39"/>
  <c r="L15" i="39"/>
  <c r="F15" i="39"/>
  <c r="Y15" i="39" s="1"/>
  <c r="Z14" i="39"/>
  <c r="T14" i="39"/>
  <c r="P14" i="39"/>
  <c r="L14" i="39"/>
  <c r="F14" i="39"/>
  <c r="Y14" i="39" s="1"/>
  <c r="Z13" i="39"/>
  <c r="T13" i="39"/>
  <c r="P13" i="39"/>
  <c r="L13" i="39"/>
  <c r="F13" i="39"/>
  <c r="AA13" i="39" s="1"/>
  <c r="AB13" i="39" s="1"/>
  <c r="Z12" i="39"/>
  <c r="V12" i="39"/>
  <c r="T12" i="39"/>
  <c r="P12" i="39"/>
  <c r="L12" i="39"/>
  <c r="F12" i="39"/>
  <c r="Y12" i="39" s="1"/>
  <c r="Z11" i="39"/>
  <c r="F11" i="39"/>
  <c r="AA11" i="39" s="1"/>
  <c r="AB11" i="39" s="1"/>
  <c r="Z10" i="39"/>
  <c r="F10" i="39"/>
  <c r="AA10" i="39" s="1"/>
  <c r="AB10" i="39" s="1"/>
  <c r="Z9" i="39"/>
  <c r="F9" i="39"/>
  <c r="Z8" i="39"/>
  <c r="F8" i="39"/>
  <c r="AA8" i="39" s="1"/>
  <c r="B4" i="39"/>
  <c r="C52" i="38"/>
  <c r="D52" i="38" s="1"/>
  <c r="B52" i="38"/>
  <c r="A52" i="38"/>
  <c r="C50" i="38"/>
  <c r="D50" i="38" s="1"/>
  <c r="B50" i="38"/>
  <c r="A50" i="38"/>
  <c r="C49" i="38"/>
  <c r="D49" i="38" s="1"/>
  <c r="B49" i="38"/>
  <c r="A49" i="38"/>
  <c r="C48" i="38"/>
  <c r="D48" i="38" s="1"/>
  <c r="B48" i="38"/>
  <c r="A48" i="38"/>
  <c r="C47" i="38"/>
  <c r="D47" i="38" s="1"/>
  <c r="B47" i="38"/>
  <c r="A47" i="38"/>
  <c r="C46" i="38"/>
  <c r="D46" i="38" s="1"/>
  <c r="B46" i="38"/>
  <c r="A46" i="38"/>
  <c r="C45" i="38"/>
  <c r="D45" i="38" s="1"/>
  <c r="B45" i="38"/>
  <c r="A45" i="38"/>
  <c r="C44" i="38"/>
  <c r="D44" i="38" s="1"/>
  <c r="B44" i="38"/>
  <c r="A44" i="38"/>
  <c r="C43" i="38"/>
  <c r="D43" i="38" s="1"/>
  <c r="B43" i="38"/>
  <c r="A43" i="38"/>
  <c r="C42" i="38"/>
  <c r="D42" i="38" s="1"/>
  <c r="B42" i="38"/>
  <c r="A42" i="38"/>
  <c r="C41" i="38"/>
  <c r="D41" i="38" s="1"/>
  <c r="B41" i="38"/>
  <c r="A41" i="38"/>
  <c r="C40" i="38"/>
  <c r="D40" i="38" s="1"/>
  <c r="B40" i="38"/>
  <c r="A40" i="38"/>
  <c r="C39" i="38"/>
  <c r="D39" i="38" s="1"/>
  <c r="B39" i="38"/>
  <c r="A39" i="38"/>
  <c r="C38" i="38"/>
  <c r="D38" i="38" s="1"/>
  <c r="B38" i="38"/>
  <c r="A38" i="38"/>
  <c r="C37" i="38"/>
  <c r="D37" i="38" s="1"/>
  <c r="B37" i="38"/>
  <c r="A37" i="38"/>
  <c r="C36" i="38"/>
  <c r="D36" i="38" s="1"/>
  <c r="B36" i="38"/>
  <c r="A36" i="38"/>
  <c r="C35" i="38"/>
  <c r="D35" i="38" s="1"/>
  <c r="B35" i="38"/>
  <c r="A35" i="38"/>
  <c r="C34" i="38"/>
  <c r="D34" i="38" s="1"/>
  <c r="B34" i="38"/>
  <c r="A34" i="38"/>
  <c r="C33" i="38"/>
  <c r="D33" i="38" s="1"/>
  <c r="B33" i="38"/>
  <c r="A33" i="38"/>
  <c r="C32" i="38"/>
  <c r="D32" i="38" s="1"/>
  <c r="B32" i="38"/>
  <c r="A32" i="38"/>
  <c r="C31" i="38"/>
  <c r="D31" i="38" s="1"/>
  <c r="B31" i="38"/>
  <c r="A31" i="38"/>
  <c r="C30" i="38"/>
  <c r="D30" i="38" s="1"/>
  <c r="B30" i="38"/>
  <c r="A30" i="38"/>
  <c r="C29" i="38"/>
  <c r="D29" i="38" s="1"/>
  <c r="B29" i="38"/>
  <c r="A29" i="38"/>
  <c r="C28" i="38"/>
  <c r="D28" i="38" s="1"/>
  <c r="B28" i="38"/>
  <c r="A28" i="38"/>
  <c r="C27" i="38"/>
  <c r="D27" i="38" s="1"/>
  <c r="B27" i="38"/>
  <c r="A27" i="38"/>
  <c r="C26" i="38"/>
  <c r="D26" i="38" s="1"/>
  <c r="B26" i="38"/>
  <c r="A26" i="38"/>
  <c r="C24" i="38"/>
  <c r="D24" i="38" s="1"/>
  <c r="B24" i="38"/>
  <c r="A24" i="38"/>
  <c r="C23" i="38"/>
  <c r="B23" i="38"/>
  <c r="A23" i="38"/>
  <c r="C22" i="38"/>
  <c r="D22" i="38" s="1"/>
  <c r="B22" i="38"/>
  <c r="A22" i="38"/>
  <c r="C21" i="38"/>
  <c r="D21" i="38" s="1"/>
  <c r="B21" i="38"/>
  <c r="A21" i="38"/>
  <c r="C20" i="38"/>
  <c r="D20" i="38" s="1"/>
  <c r="B20" i="38"/>
  <c r="A20" i="38"/>
  <c r="C19" i="38"/>
  <c r="D19" i="38" s="1"/>
  <c r="B19" i="38"/>
  <c r="A19" i="38"/>
  <c r="C18" i="38"/>
  <c r="D18" i="38" s="1"/>
  <c r="B18" i="38"/>
  <c r="A18" i="38"/>
  <c r="C17" i="38"/>
  <c r="B17" i="38"/>
  <c r="A17" i="38"/>
  <c r="C16" i="38"/>
  <c r="D16" i="38" s="1"/>
  <c r="B16" i="38"/>
  <c r="A16" i="38"/>
  <c r="C15" i="38"/>
  <c r="D15" i="38" s="1"/>
  <c r="B15" i="38"/>
  <c r="A15" i="38"/>
  <c r="C14" i="38"/>
  <c r="D14" i="38" s="1"/>
  <c r="B14" i="38"/>
  <c r="A14" i="38"/>
  <c r="C13" i="38"/>
  <c r="B13" i="38"/>
  <c r="A13" i="38"/>
  <c r="C12" i="38"/>
  <c r="D12" i="38" s="1"/>
  <c r="B12" i="38"/>
  <c r="A12" i="38"/>
  <c r="C11" i="38"/>
  <c r="D11" i="38" s="1"/>
  <c r="B11" i="38"/>
  <c r="A11" i="38"/>
  <c r="C10" i="38"/>
  <c r="D10" i="38" s="1"/>
  <c r="B10" i="38"/>
  <c r="A10" i="38"/>
  <c r="C9" i="38"/>
  <c r="D9" i="38" s="1"/>
  <c r="B9" i="38"/>
  <c r="A9" i="38"/>
  <c r="C8" i="38"/>
  <c r="D8" i="38" s="1"/>
  <c r="B8" i="38"/>
  <c r="A8" i="38"/>
  <c r="P58" i="38"/>
  <c r="O58" i="38"/>
  <c r="P57" i="38"/>
  <c r="O57" i="38"/>
  <c r="Z52" i="38"/>
  <c r="F52" i="38"/>
  <c r="AA52" i="38" s="1"/>
  <c r="AB52" i="38" s="1"/>
  <c r="Z50" i="38"/>
  <c r="F50" i="38"/>
  <c r="Y50" i="38" s="1"/>
  <c r="Z49" i="38"/>
  <c r="F49" i="38"/>
  <c r="AA49" i="38" s="1"/>
  <c r="AB49" i="38" s="1"/>
  <c r="Z48" i="38"/>
  <c r="L48" i="38"/>
  <c r="F48" i="38"/>
  <c r="Z47" i="38"/>
  <c r="V47" i="38"/>
  <c r="L47" i="38"/>
  <c r="F47" i="38"/>
  <c r="Z46" i="38"/>
  <c r="V46" i="38"/>
  <c r="L46" i="38"/>
  <c r="F46" i="38"/>
  <c r="AA46" i="38" s="1"/>
  <c r="AB46" i="38" s="1"/>
  <c r="Z45" i="38"/>
  <c r="V45" i="38"/>
  <c r="L45" i="38"/>
  <c r="F45" i="38"/>
  <c r="AA45" i="38" s="1"/>
  <c r="AB45" i="38" s="1"/>
  <c r="Z44" i="38"/>
  <c r="V44" i="38"/>
  <c r="L44" i="38"/>
  <c r="F44" i="38"/>
  <c r="AA44" i="38" s="1"/>
  <c r="AB44" i="38" s="1"/>
  <c r="Z43" i="38"/>
  <c r="V43" i="38"/>
  <c r="L43" i="38"/>
  <c r="F43" i="38"/>
  <c r="AA43" i="38" s="1"/>
  <c r="AB43" i="38" s="1"/>
  <c r="Z42" i="38"/>
  <c r="V42" i="38"/>
  <c r="L42" i="38"/>
  <c r="F42" i="38"/>
  <c r="Y42" i="38" s="1"/>
  <c r="Z41" i="38"/>
  <c r="V41" i="38"/>
  <c r="L41" i="38"/>
  <c r="F41" i="38"/>
  <c r="AA41" i="38" s="1"/>
  <c r="AB41" i="38" s="1"/>
  <c r="Z40" i="38"/>
  <c r="V40" i="38"/>
  <c r="L40" i="38"/>
  <c r="F40" i="38"/>
  <c r="AA40" i="38" s="1"/>
  <c r="AB40" i="38" s="1"/>
  <c r="Z39" i="38"/>
  <c r="V39" i="38"/>
  <c r="L39" i="38"/>
  <c r="F39" i="38"/>
  <c r="Y39" i="38" s="1"/>
  <c r="Z38" i="38"/>
  <c r="V38" i="38"/>
  <c r="L38" i="38"/>
  <c r="F38" i="38"/>
  <c r="AA38" i="38" s="1"/>
  <c r="AB38" i="38" s="1"/>
  <c r="Z37" i="38"/>
  <c r="V37" i="38"/>
  <c r="L37" i="38"/>
  <c r="F37" i="38"/>
  <c r="Y37" i="38" s="1"/>
  <c r="Z36" i="38"/>
  <c r="V36" i="38"/>
  <c r="L36" i="38"/>
  <c r="F36" i="38"/>
  <c r="AA36" i="38" s="1"/>
  <c r="AB36" i="38" s="1"/>
  <c r="Z35" i="38"/>
  <c r="V35" i="38"/>
  <c r="L35" i="38"/>
  <c r="F35" i="38"/>
  <c r="Y35" i="38" s="1"/>
  <c r="Z34" i="38"/>
  <c r="V34" i="38"/>
  <c r="T34" i="38"/>
  <c r="P34" i="38"/>
  <c r="L34" i="38"/>
  <c r="F34" i="38"/>
  <c r="AA34" i="38" s="1"/>
  <c r="AB34" i="38" s="1"/>
  <c r="Z33" i="38"/>
  <c r="F33" i="38"/>
  <c r="AA33" i="38" s="1"/>
  <c r="AB33" i="38" s="1"/>
  <c r="Z32" i="38"/>
  <c r="V32" i="38"/>
  <c r="T32" i="38"/>
  <c r="P32" i="38"/>
  <c r="L32" i="38"/>
  <c r="F32" i="38"/>
  <c r="Y32" i="38" s="1"/>
  <c r="Z31" i="38"/>
  <c r="V31" i="38"/>
  <c r="T31" i="38"/>
  <c r="P31" i="38"/>
  <c r="L31" i="38"/>
  <c r="F31" i="38"/>
  <c r="AA31" i="38" s="1"/>
  <c r="AB31" i="38" s="1"/>
  <c r="Z30" i="38"/>
  <c r="V30" i="38"/>
  <c r="T30" i="38"/>
  <c r="P30" i="38"/>
  <c r="L30" i="38"/>
  <c r="F30" i="38"/>
  <c r="Z29" i="38"/>
  <c r="V29" i="38"/>
  <c r="T29" i="38"/>
  <c r="P29" i="38"/>
  <c r="L29" i="38"/>
  <c r="F29" i="38"/>
  <c r="AA29" i="38" s="1"/>
  <c r="AB29" i="38" s="1"/>
  <c r="Z28" i="38"/>
  <c r="V28" i="38"/>
  <c r="T28" i="38"/>
  <c r="P28" i="38"/>
  <c r="L28" i="38"/>
  <c r="F28" i="38"/>
  <c r="AA28" i="38" s="1"/>
  <c r="AB28" i="38" s="1"/>
  <c r="Z27" i="38"/>
  <c r="V27" i="38"/>
  <c r="T27" i="38"/>
  <c r="P27" i="38"/>
  <c r="L27" i="38"/>
  <c r="F27" i="38"/>
  <c r="AA27" i="38" s="1"/>
  <c r="AB27" i="38" s="1"/>
  <c r="Z26" i="38"/>
  <c r="F26" i="38"/>
  <c r="Z24" i="38"/>
  <c r="V24" i="38"/>
  <c r="T24" i="38"/>
  <c r="P24" i="38"/>
  <c r="L24" i="38"/>
  <c r="F24" i="38"/>
  <c r="Y24" i="38" s="1"/>
  <c r="Z23" i="38"/>
  <c r="V23" i="38"/>
  <c r="T23" i="38"/>
  <c r="P23" i="38"/>
  <c r="L23" i="38"/>
  <c r="F23" i="38"/>
  <c r="Y23" i="38" s="1"/>
  <c r="D23" i="38"/>
  <c r="Z22" i="38"/>
  <c r="V22" i="38"/>
  <c r="T22" i="38"/>
  <c r="P22" i="38"/>
  <c r="L22" i="38"/>
  <c r="F22" i="38"/>
  <c r="Y22" i="38" s="1"/>
  <c r="Z21" i="38"/>
  <c r="V21" i="38"/>
  <c r="T21" i="38"/>
  <c r="P21" i="38"/>
  <c r="L21" i="38"/>
  <c r="F21" i="38"/>
  <c r="AA21" i="38" s="1"/>
  <c r="AB21" i="38" s="1"/>
  <c r="Z20" i="38"/>
  <c r="V20" i="38"/>
  <c r="T20" i="38"/>
  <c r="P20" i="38"/>
  <c r="L20" i="38"/>
  <c r="F20" i="38"/>
  <c r="Z19" i="38"/>
  <c r="V19" i="38"/>
  <c r="T19" i="38"/>
  <c r="P19" i="38"/>
  <c r="L19" i="38"/>
  <c r="F19" i="38"/>
  <c r="AA19" i="38" s="1"/>
  <c r="AB19" i="38" s="1"/>
  <c r="Z18" i="38"/>
  <c r="F18" i="38"/>
  <c r="AA18" i="38" s="1"/>
  <c r="AB18" i="38" s="1"/>
  <c r="Z17" i="38"/>
  <c r="V17" i="38"/>
  <c r="T17" i="38"/>
  <c r="P17" i="38"/>
  <c r="L17" i="38"/>
  <c r="F17" i="38"/>
  <c r="AA17" i="38" s="1"/>
  <c r="AB17" i="38" s="1"/>
  <c r="D17" i="38"/>
  <c r="Z16" i="38"/>
  <c r="V16" i="38"/>
  <c r="T16" i="38"/>
  <c r="P16" i="38"/>
  <c r="L16" i="38"/>
  <c r="F16" i="38"/>
  <c r="Z15" i="38"/>
  <c r="T15" i="38"/>
  <c r="P15" i="38"/>
  <c r="L15" i="38"/>
  <c r="F15" i="38"/>
  <c r="Y15" i="38" s="1"/>
  <c r="Z14" i="38"/>
  <c r="T14" i="38"/>
  <c r="P14" i="38"/>
  <c r="L14" i="38"/>
  <c r="F14" i="38"/>
  <c r="Y14" i="38" s="1"/>
  <c r="Z13" i="38"/>
  <c r="T13" i="38"/>
  <c r="P13" i="38"/>
  <c r="L13" i="38"/>
  <c r="F13" i="38"/>
  <c r="AA13" i="38" s="1"/>
  <c r="AB13" i="38" s="1"/>
  <c r="Z12" i="38"/>
  <c r="V12" i="38"/>
  <c r="T12" i="38"/>
  <c r="P12" i="38"/>
  <c r="L12" i="38"/>
  <c r="F12" i="38"/>
  <c r="Z11" i="38"/>
  <c r="F11" i="38"/>
  <c r="AA11" i="38" s="1"/>
  <c r="AB11" i="38" s="1"/>
  <c r="Z10" i="38"/>
  <c r="F10" i="38"/>
  <c r="AA10" i="38" s="1"/>
  <c r="AB10" i="38" s="1"/>
  <c r="Z9" i="38"/>
  <c r="F9" i="38"/>
  <c r="AA9" i="38" s="1"/>
  <c r="AB9" i="38" s="1"/>
  <c r="Z8" i="38"/>
  <c r="F8" i="38"/>
  <c r="B4" i="38"/>
  <c r="D51" i="37"/>
  <c r="D49" i="37"/>
  <c r="F48" i="37"/>
  <c r="D48" i="37"/>
  <c r="F47" i="37"/>
  <c r="D47" i="37"/>
  <c r="F46" i="37"/>
  <c r="D46" i="37"/>
  <c r="F45" i="37"/>
  <c r="D45" i="37"/>
  <c r="F44" i="37"/>
  <c r="D44" i="37"/>
  <c r="F43" i="37"/>
  <c r="D43" i="37"/>
  <c r="F42" i="37"/>
  <c r="D42" i="37"/>
  <c r="F41" i="37"/>
  <c r="D41" i="37"/>
  <c r="F40" i="37"/>
  <c r="D40" i="37"/>
  <c r="F39" i="37"/>
  <c r="D39" i="37"/>
  <c r="F38" i="37"/>
  <c r="D38" i="37"/>
  <c r="F37" i="37"/>
  <c r="D37" i="37"/>
  <c r="F36" i="37"/>
  <c r="D36" i="37"/>
  <c r="F35" i="37"/>
  <c r="D35" i="37"/>
  <c r="F34" i="37"/>
  <c r="D34" i="37"/>
  <c r="F33" i="37"/>
  <c r="D33" i="37"/>
  <c r="F32" i="37"/>
  <c r="D32" i="37"/>
  <c r="F31" i="37"/>
  <c r="D31" i="37"/>
  <c r="D30" i="37"/>
  <c r="F29" i="37"/>
  <c r="D29" i="37"/>
  <c r="D28" i="37"/>
  <c r="F27" i="37"/>
  <c r="D27" i="37"/>
  <c r="F26" i="37"/>
  <c r="D26" i="37"/>
  <c r="F25" i="37"/>
  <c r="D25" i="37"/>
  <c r="F24" i="37"/>
  <c r="D24" i="37"/>
  <c r="F23" i="37"/>
  <c r="D23" i="37"/>
  <c r="F22" i="37"/>
  <c r="D22" i="37"/>
  <c r="F21" i="37"/>
  <c r="D21" i="37"/>
  <c r="F20" i="37"/>
  <c r="D20" i="37"/>
  <c r="F19" i="37"/>
  <c r="D19" i="37"/>
  <c r="F18" i="37"/>
  <c r="D18" i="37"/>
  <c r="F17" i="37"/>
  <c r="D17" i="37"/>
  <c r="F16" i="37"/>
  <c r="D16" i="37"/>
  <c r="F15" i="37"/>
  <c r="D15" i="37"/>
  <c r="F14" i="37"/>
  <c r="D14" i="37"/>
  <c r="F13" i="37"/>
  <c r="D13" i="37"/>
  <c r="F12" i="37"/>
  <c r="D12" i="37"/>
  <c r="F11" i="37"/>
  <c r="D11" i="37"/>
  <c r="F10" i="37"/>
  <c r="D10" i="37"/>
  <c r="F9" i="37"/>
  <c r="D9" i="37"/>
  <c r="F8" i="37"/>
  <c r="D8" i="37"/>
  <c r="F27" i="36"/>
  <c r="F26" i="36"/>
  <c r="F23" i="36"/>
  <c r="F22" i="36"/>
  <c r="F19" i="36"/>
  <c r="F18" i="36"/>
  <c r="F15" i="36"/>
  <c r="F14" i="36"/>
  <c r="F11" i="36"/>
  <c r="F10" i="36"/>
  <c r="F48" i="36"/>
  <c r="F45" i="36"/>
  <c r="F44" i="36"/>
  <c r="F41" i="36"/>
  <c r="F40" i="36"/>
  <c r="F37" i="36"/>
  <c r="F36" i="36"/>
  <c r="F33" i="36"/>
  <c r="F32" i="36"/>
  <c r="F29" i="36"/>
  <c r="F47" i="36"/>
  <c r="F46" i="36"/>
  <c r="F43" i="36"/>
  <c r="F42" i="36"/>
  <c r="F39" i="36"/>
  <c r="F38" i="36"/>
  <c r="F35" i="36"/>
  <c r="F34" i="36"/>
  <c r="F31" i="36"/>
  <c r="F25" i="36"/>
  <c r="F24" i="36"/>
  <c r="F21" i="36"/>
  <c r="F20" i="36"/>
  <c r="F17" i="36"/>
  <c r="F16" i="36"/>
  <c r="F13" i="36"/>
  <c r="F12" i="36"/>
  <c r="F9" i="36"/>
  <c r="F8" i="36"/>
  <c r="D51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A97" i="34"/>
  <c r="A95" i="34"/>
  <c r="B95" i="34"/>
  <c r="C95" i="34"/>
  <c r="D95" i="34" s="1"/>
  <c r="A96" i="34"/>
  <c r="B96" i="34"/>
  <c r="C96" i="34"/>
  <c r="D96" i="34" s="1"/>
  <c r="A93" i="34"/>
  <c r="B93" i="34"/>
  <c r="C93" i="34"/>
  <c r="D93" i="34" s="1"/>
  <c r="A94" i="34"/>
  <c r="C92" i="34"/>
  <c r="D92" i="34" s="1"/>
  <c r="B92" i="34"/>
  <c r="A92" i="34"/>
  <c r="A91" i="34"/>
  <c r="C90" i="34"/>
  <c r="D90" i="34" s="1"/>
  <c r="B90" i="34"/>
  <c r="A90" i="34"/>
  <c r="C89" i="34"/>
  <c r="D89" i="34" s="1"/>
  <c r="B89" i="34"/>
  <c r="A89" i="34"/>
  <c r="A88" i="34"/>
  <c r="C87" i="34"/>
  <c r="D87" i="34" s="1"/>
  <c r="B87" i="34"/>
  <c r="A87" i="34"/>
  <c r="C86" i="34"/>
  <c r="D86" i="34" s="1"/>
  <c r="B86" i="34"/>
  <c r="A86" i="34"/>
  <c r="A85" i="34"/>
  <c r="C84" i="34"/>
  <c r="D84" i="34" s="1"/>
  <c r="B84" i="34"/>
  <c r="A84" i="34"/>
  <c r="C83" i="34"/>
  <c r="D83" i="34" s="1"/>
  <c r="B83" i="34"/>
  <c r="A83" i="34"/>
  <c r="A82" i="34"/>
  <c r="C81" i="34"/>
  <c r="D81" i="34" s="1"/>
  <c r="B81" i="34"/>
  <c r="A81" i="34"/>
  <c r="C80" i="34"/>
  <c r="D80" i="34" s="1"/>
  <c r="B80" i="34"/>
  <c r="A80" i="34"/>
  <c r="A79" i="34"/>
  <c r="C78" i="34"/>
  <c r="D78" i="34" s="1"/>
  <c r="B78" i="34"/>
  <c r="A78" i="34"/>
  <c r="C77" i="34"/>
  <c r="D77" i="34" s="1"/>
  <c r="B77" i="34"/>
  <c r="A77" i="34"/>
  <c r="A76" i="34"/>
  <c r="C75" i="34"/>
  <c r="D75" i="34" s="1"/>
  <c r="B75" i="34"/>
  <c r="A75" i="34"/>
  <c r="C74" i="34"/>
  <c r="D74" i="34" s="1"/>
  <c r="B74" i="34"/>
  <c r="A74" i="34"/>
  <c r="A73" i="34"/>
  <c r="C72" i="34"/>
  <c r="D72" i="34" s="1"/>
  <c r="B72" i="34"/>
  <c r="A72" i="34"/>
  <c r="C71" i="34"/>
  <c r="D71" i="34" s="1"/>
  <c r="B71" i="34"/>
  <c r="A71" i="34"/>
  <c r="A70" i="34"/>
  <c r="C69" i="34"/>
  <c r="D69" i="34" s="1"/>
  <c r="B69" i="34"/>
  <c r="A69" i="34"/>
  <c r="C68" i="34"/>
  <c r="D68" i="34" s="1"/>
  <c r="B68" i="34"/>
  <c r="A68" i="34"/>
  <c r="A67" i="34"/>
  <c r="C66" i="34"/>
  <c r="D66" i="34" s="1"/>
  <c r="B66" i="34"/>
  <c r="A66" i="34"/>
  <c r="C65" i="34"/>
  <c r="D65" i="34" s="1"/>
  <c r="B65" i="34"/>
  <c r="A65" i="34"/>
  <c r="A64" i="34"/>
  <c r="C63" i="34"/>
  <c r="D63" i="34" s="1"/>
  <c r="B63" i="34"/>
  <c r="A63" i="34"/>
  <c r="C62" i="34"/>
  <c r="D62" i="34" s="1"/>
  <c r="B62" i="34"/>
  <c r="A62" i="34"/>
  <c r="A61" i="34"/>
  <c r="C60" i="34"/>
  <c r="D60" i="34" s="1"/>
  <c r="B60" i="34"/>
  <c r="A60" i="34"/>
  <c r="C59" i="34"/>
  <c r="D59" i="34" s="1"/>
  <c r="B59" i="34"/>
  <c r="A59" i="34"/>
  <c r="B58" i="34"/>
  <c r="A58" i="34"/>
  <c r="C57" i="34"/>
  <c r="D57" i="34" s="1"/>
  <c r="B57" i="34"/>
  <c r="A57" i="34"/>
  <c r="C56" i="34"/>
  <c r="D56" i="34" s="1"/>
  <c r="B56" i="34"/>
  <c r="A56" i="34"/>
  <c r="C55" i="34"/>
  <c r="B55" i="34"/>
  <c r="A55" i="34"/>
  <c r="C54" i="34"/>
  <c r="B54" i="34"/>
  <c r="A54" i="34"/>
  <c r="C53" i="34"/>
  <c r="D53" i="34" s="1"/>
  <c r="B53" i="34"/>
  <c r="A53" i="34"/>
  <c r="C52" i="34"/>
  <c r="D52" i="34" s="1"/>
  <c r="B52" i="34"/>
  <c r="A52" i="34"/>
  <c r="C51" i="34"/>
  <c r="D51" i="34" s="1"/>
  <c r="B51" i="34"/>
  <c r="A51" i="34"/>
  <c r="C50" i="34"/>
  <c r="D50" i="34" s="1"/>
  <c r="B50" i="34"/>
  <c r="A50" i="34"/>
  <c r="C49" i="34"/>
  <c r="D49" i="34" s="1"/>
  <c r="B49" i="34"/>
  <c r="A49" i="34"/>
  <c r="C48" i="34"/>
  <c r="D48" i="34" s="1"/>
  <c r="B48" i="34"/>
  <c r="A48" i="34"/>
  <c r="C47" i="34"/>
  <c r="D47" i="34" s="1"/>
  <c r="B47" i="34"/>
  <c r="A47" i="34"/>
  <c r="C46" i="34"/>
  <c r="D46" i="34" s="1"/>
  <c r="B46" i="34"/>
  <c r="A46" i="34"/>
  <c r="C45" i="34"/>
  <c r="D45" i="34" s="1"/>
  <c r="B45" i="34"/>
  <c r="A45" i="34"/>
  <c r="C43" i="34"/>
  <c r="D43" i="34" s="1"/>
  <c r="B43" i="34"/>
  <c r="A43" i="34"/>
  <c r="C42" i="34"/>
  <c r="D42" i="34" s="1"/>
  <c r="B42" i="34"/>
  <c r="A42" i="34"/>
  <c r="C41" i="34"/>
  <c r="D41" i="34" s="1"/>
  <c r="B41" i="34"/>
  <c r="A41" i="34"/>
  <c r="C40" i="34"/>
  <c r="D40" i="34" s="1"/>
  <c r="B40" i="34"/>
  <c r="A40" i="34"/>
  <c r="C39" i="34"/>
  <c r="D39" i="34" s="1"/>
  <c r="B39" i="34"/>
  <c r="A39" i="34"/>
  <c r="C38" i="34"/>
  <c r="D38" i="34" s="1"/>
  <c r="B38" i="34"/>
  <c r="A38" i="34"/>
  <c r="C37" i="34"/>
  <c r="B37" i="34"/>
  <c r="A37" i="34"/>
  <c r="C36" i="34"/>
  <c r="D36" i="34" s="1"/>
  <c r="B36" i="34"/>
  <c r="A36" i="34"/>
  <c r="C35" i="34"/>
  <c r="D35" i="34" s="1"/>
  <c r="B35" i="34"/>
  <c r="A35" i="34"/>
  <c r="C34" i="34"/>
  <c r="D34" i="34" s="1"/>
  <c r="B34" i="34"/>
  <c r="A34" i="34"/>
  <c r="C33" i="34"/>
  <c r="D33" i="34" s="1"/>
  <c r="B33" i="34"/>
  <c r="A33" i="34"/>
  <c r="C32" i="34"/>
  <c r="B32" i="34"/>
  <c r="A32" i="34"/>
  <c r="C31" i="34"/>
  <c r="D31" i="34" s="1"/>
  <c r="B31" i="34"/>
  <c r="A31" i="34"/>
  <c r="C30" i="34"/>
  <c r="D30" i="34" s="1"/>
  <c r="B30" i="34"/>
  <c r="A30" i="34"/>
  <c r="C29" i="34"/>
  <c r="D29" i="34" s="1"/>
  <c r="B29" i="34"/>
  <c r="A29" i="34"/>
  <c r="C28" i="34"/>
  <c r="D28" i="34" s="1"/>
  <c r="B28" i="34"/>
  <c r="A28" i="34"/>
  <c r="C27" i="34"/>
  <c r="D27" i="34" s="1"/>
  <c r="B27" i="34"/>
  <c r="A27" i="34"/>
  <c r="C26" i="34"/>
  <c r="D26" i="34" s="1"/>
  <c r="B26" i="34"/>
  <c r="A26" i="34"/>
  <c r="C25" i="34"/>
  <c r="D25" i="34" s="1"/>
  <c r="B25" i="34"/>
  <c r="A25" i="34"/>
  <c r="C24" i="34"/>
  <c r="D24" i="34" s="1"/>
  <c r="B24" i="34"/>
  <c r="A24" i="34"/>
  <c r="C23" i="34"/>
  <c r="D23" i="34" s="1"/>
  <c r="B23" i="34"/>
  <c r="A23" i="34"/>
  <c r="C22" i="34"/>
  <c r="D22" i="34" s="1"/>
  <c r="B22" i="34"/>
  <c r="A22" i="34"/>
  <c r="C21" i="34"/>
  <c r="B21" i="34"/>
  <c r="A21" i="34"/>
  <c r="C20" i="34"/>
  <c r="D20" i="34" s="1"/>
  <c r="B20" i="34"/>
  <c r="A20" i="34"/>
  <c r="C19" i="34"/>
  <c r="D19" i="34" s="1"/>
  <c r="B19" i="34"/>
  <c r="A19" i="34"/>
  <c r="C18" i="34"/>
  <c r="D18" i="34" s="1"/>
  <c r="B18" i="34"/>
  <c r="A18" i="34"/>
  <c r="C17" i="34"/>
  <c r="D17" i="34" s="1"/>
  <c r="B17" i="34"/>
  <c r="A17" i="34"/>
  <c r="C16" i="34"/>
  <c r="D16" i="34" s="1"/>
  <c r="B16" i="34"/>
  <c r="A16" i="34"/>
  <c r="C15" i="34"/>
  <c r="D15" i="34" s="1"/>
  <c r="B15" i="34"/>
  <c r="A15" i="34"/>
  <c r="C14" i="34"/>
  <c r="D14" i="34" s="1"/>
  <c r="B14" i="34"/>
  <c r="A14" i="34"/>
  <c r="C13" i="34"/>
  <c r="D13" i="34" s="1"/>
  <c r="B13" i="34"/>
  <c r="A13" i="34"/>
  <c r="C12" i="34"/>
  <c r="D12" i="34" s="1"/>
  <c r="B12" i="34"/>
  <c r="A12" i="34"/>
  <c r="C11" i="34"/>
  <c r="D11" i="34" s="1"/>
  <c r="B11" i="34"/>
  <c r="A11" i="34"/>
  <c r="C10" i="34"/>
  <c r="D10" i="34" s="1"/>
  <c r="B10" i="34"/>
  <c r="A10" i="34"/>
  <c r="C9" i="34"/>
  <c r="D9" i="34" s="1"/>
  <c r="B9" i="34"/>
  <c r="A9" i="34"/>
  <c r="C8" i="34"/>
  <c r="D8" i="34" s="1"/>
  <c r="B8" i="34"/>
  <c r="A8" i="34"/>
  <c r="F91" i="35"/>
  <c r="F88" i="35"/>
  <c r="F85" i="35"/>
  <c r="F82" i="35"/>
  <c r="F79" i="35"/>
  <c r="F76" i="35"/>
  <c r="F73" i="35"/>
  <c r="F70" i="35"/>
  <c r="F67" i="35"/>
  <c r="F64" i="35"/>
  <c r="F61" i="35"/>
  <c r="F58" i="35"/>
  <c r="F55" i="35"/>
  <c r="F53" i="35"/>
  <c r="F50" i="35"/>
  <c r="F47" i="35"/>
  <c r="F44" i="35"/>
  <c r="F41" i="35"/>
  <c r="F38" i="35"/>
  <c r="F35" i="35"/>
  <c r="F32" i="35"/>
  <c r="F29" i="35"/>
  <c r="F26" i="35"/>
  <c r="F23" i="35"/>
  <c r="F20" i="35"/>
  <c r="F17" i="35"/>
  <c r="F14" i="35"/>
  <c r="F11" i="35"/>
  <c r="F92" i="35"/>
  <c r="F89" i="35"/>
  <c r="F86" i="35"/>
  <c r="F83" i="35"/>
  <c r="F80" i="35"/>
  <c r="F77" i="35"/>
  <c r="F74" i="35"/>
  <c r="F71" i="35"/>
  <c r="F68" i="35"/>
  <c r="F65" i="35"/>
  <c r="F62" i="35"/>
  <c r="F59" i="35"/>
  <c r="F93" i="35"/>
  <c r="F90" i="35"/>
  <c r="F87" i="35"/>
  <c r="F84" i="35"/>
  <c r="F81" i="35"/>
  <c r="F78" i="35"/>
  <c r="F75" i="35"/>
  <c r="F72" i="35"/>
  <c r="F69" i="35"/>
  <c r="F66" i="35"/>
  <c r="F63" i="35"/>
  <c r="F60" i="35"/>
  <c r="F57" i="35"/>
  <c r="F51" i="35"/>
  <c r="F48" i="35"/>
  <c r="F45" i="35"/>
  <c r="F42" i="35"/>
  <c r="F39" i="35"/>
  <c r="F36" i="35"/>
  <c r="F33" i="35"/>
  <c r="F30" i="35"/>
  <c r="F27" i="35"/>
  <c r="F24" i="35"/>
  <c r="F21" i="35"/>
  <c r="F18" i="35"/>
  <c r="F15" i="35"/>
  <c r="F12" i="35"/>
  <c r="F9" i="35"/>
  <c r="F49" i="35"/>
  <c r="F46" i="35"/>
  <c r="F43" i="35"/>
  <c r="F40" i="35"/>
  <c r="F37" i="35"/>
  <c r="F34" i="35"/>
  <c r="F31" i="35"/>
  <c r="F28" i="35"/>
  <c r="F25" i="35"/>
  <c r="F22" i="35"/>
  <c r="F19" i="35"/>
  <c r="F16" i="35"/>
  <c r="F13" i="35"/>
  <c r="F10" i="35"/>
  <c r="F8" i="35"/>
  <c r="D59" i="35"/>
  <c r="D58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P103" i="34"/>
  <c r="O103" i="34"/>
  <c r="P102" i="34"/>
  <c r="O102" i="34"/>
  <c r="Z97" i="34"/>
  <c r="F97" i="34"/>
  <c r="AA97" i="34" s="1"/>
  <c r="AB97" i="34" s="1"/>
  <c r="Z96" i="34"/>
  <c r="F96" i="34"/>
  <c r="AA96" i="34" s="1"/>
  <c r="AB96" i="34" s="1"/>
  <c r="Z95" i="34"/>
  <c r="F95" i="34"/>
  <c r="AA95" i="34" s="1"/>
  <c r="AB95" i="34" s="1"/>
  <c r="Z94" i="34"/>
  <c r="F94" i="34"/>
  <c r="AA94" i="34" s="1"/>
  <c r="AB94" i="34" s="1"/>
  <c r="Z93" i="34"/>
  <c r="F93" i="34"/>
  <c r="AA93" i="34" s="1"/>
  <c r="AB93" i="34" s="1"/>
  <c r="Z92" i="34"/>
  <c r="F92" i="34"/>
  <c r="AA92" i="34" s="1"/>
  <c r="AB92" i="34" s="1"/>
  <c r="Z91" i="34"/>
  <c r="F91" i="34"/>
  <c r="AA91" i="34" s="1"/>
  <c r="AB91" i="34" s="1"/>
  <c r="Z90" i="34"/>
  <c r="F90" i="34"/>
  <c r="AA90" i="34" s="1"/>
  <c r="AB90" i="34" s="1"/>
  <c r="Z89" i="34"/>
  <c r="F89" i="34"/>
  <c r="AA89" i="34" s="1"/>
  <c r="AB89" i="34" s="1"/>
  <c r="Z88" i="34"/>
  <c r="F88" i="34"/>
  <c r="AA88" i="34" s="1"/>
  <c r="AB88" i="34" s="1"/>
  <c r="Z87" i="34"/>
  <c r="F87" i="34"/>
  <c r="AA87" i="34" s="1"/>
  <c r="AB87" i="34" s="1"/>
  <c r="Z86" i="34"/>
  <c r="F86" i="34"/>
  <c r="AA86" i="34" s="1"/>
  <c r="AB86" i="34" s="1"/>
  <c r="Z85" i="34"/>
  <c r="F85" i="34"/>
  <c r="AA85" i="34" s="1"/>
  <c r="AB85" i="34" s="1"/>
  <c r="Z84" i="34"/>
  <c r="F84" i="34"/>
  <c r="AA84" i="34" s="1"/>
  <c r="AB84" i="34" s="1"/>
  <c r="Z83" i="34"/>
  <c r="F83" i="34"/>
  <c r="AA83" i="34" s="1"/>
  <c r="AB83" i="34" s="1"/>
  <c r="Z82" i="34"/>
  <c r="F82" i="34"/>
  <c r="AA82" i="34" s="1"/>
  <c r="AB82" i="34" s="1"/>
  <c r="Z81" i="34"/>
  <c r="F81" i="34"/>
  <c r="AA81" i="34" s="1"/>
  <c r="AB81" i="34" s="1"/>
  <c r="Z80" i="34"/>
  <c r="F80" i="34"/>
  <c r="AA80" i="34" s="1"/>
  <c r="AB80" i="34" s="1"/>
  <c r="Z79" i="34"/>
  <c r="F79" i="34"/>
  <c r="AA79" i="34" s="1"/>
  <c r="AB79" i="34" s="1"/>
  <c r="Z78" i="34"/>
  <c r="F78" i="34"/>
  <c r="AA78" i="34" s="1"/>
  <c r="AB78" i="34" s="1"/>
  <c r="Z77" i="34"/>
  <c r="F77" i="34"/>
  <c r="AA77" i="34" s="1"/>
  <c r="AB77" i="34" s="1"/>
  <c r="Z76" i="34"/>
  <c r="F76" i="34"/>
  <c r="AA76" i="34" s="1"/>
  <c r="AB76" i="34" s="1"/>
  <c r="Z75" i="34"/>
  <c r="F75" i="34"/>
  <c r="AA75" i="34" s="1"/>
  <c r="AB75" i="34" s="1"/>
  <c r="Z74" i="34"/>
  <c r="F74" i="34"/>
  <c r="AA74" i="34" s="1"/>
  <c r="AB74" i="34" s="1"/>
  <c r="Z73" i="34"/>
  <c r="F73" i="34"/>
  <c r="AA73" i="34" s="1"/>
  <c r="AB73" i="34" s="1"/>
  <c r="Z72" i="34"/>
  <c r="F72" i="34"/>
  <c r="AA72" i="34" s="1"/>
  <c r="AB72" i="34" s="1"/>
  <c r="Z71" i="34"/>
  <c r="F71" i="34"/>
  <c r="AA71" i="34" s="1"/>
  <c r="AB71" i="34" s="1"/>
  <c r="Z70" i="34"/>
  <c r="F70" i="34"/>
  <c r="AA70" i="34" s="1"/>
  <c r="AB70" i="34" s="1"/>
  <c r="Z69" i="34"/>
  <c r="F69" i="34"/>
  <c r="AA69" i="34" s="1"/>
  <c r="AB69" i="34" s="1"/>
  <c r="Z68" i="34"/>
  <c r="F68" i="34"/>
  <c r="AA68" i="34" s="1"/>
  <c r="AB68" i="34" s="1"/>
  <c r="Z67" i="34"/>
  <c r="F67" i="34"/>
  <c r="AA67" i="34" s="1"/>
  <c r="AB67" i="34" s="1"/>
  <c r="Z66" i="34"/>
  <c r="F66" i="34"/>
  <c r="AA66" i="34" s="1"/>
  <c r="AB66" i="34" s="1"/>
  <c r="Z65" i="34"/>
  <c r="F65" i="34"/>
  <c r="AA65" i="34" s="1"/>
  <c r="AB65" i="34" s="1"/>
  <c r="Z64" i="34"/>
  <c r="F64" i="34"/>
  <c r="AA64" i="34" s="1"/>
  <c r="AB64" i="34" s="1"/>
  <c r="Z63" i="34"/>
  <c r="F63" i="34"/>
  <c r="AA63" i="34" s="1"/>
  <c r="AB63" i="34" s="1"/>
  <c r="Z62" i="34"/>
  <c r="F62" i="34"/>
  <c r="AA62" i="34" s="1"/>
  <c r="AB62" i="34" s="1"/>
  <c r="Z61" i="34"/>
  <c r="F61" i="34"/>
  <c r="AA61" i="34" s="1"/>
  <c r="AB61" i="34" s="1"/>
  <c r="Z60" i="34"/>
  <c r="F60" i="34"/>
  <c r="AA60" i="34" s="1"/>
  <c r="AB60" i="34" s="1"/>
  <c r="Z59" i="34"/>
  <c r="F59" i="34"/>
  <c r="AA59" i="34" s="1"/>
  <c r="AB59" i="34" s="1"/>
  <c r="Z58" i="34"/>
  <c r="F58" i="34"/>
  <c r="AA58" i="34" s="1"/>
  <c r="AB58" i="34" s="1"/>
  <c r="Z57" i="34"/>
  <c r="F57" i="34"/>
  <c r="AA57" i="34" s="1"/>
  <c r="AB57" i="34" s="1"/>
  <c r="Z56" i="34"/>
  <c r="F56" i="34"/>
  <c r="Z55" i="34"/>
  <c r="F55" i="34"/>
  <c r="AA55" i="34" s="1"/>
  <c r="AB55" i="34" s="1"/>
  <c r="D55" i="34"/>
  <c r="Z54" i="34"/>
  <c r="F54" i="34"/>
  <c r="AA54" i="34" s="1"/>
  <c r="AB54" i="34" s="1"/>
  <c r="D54" i="34"/>
  <c r="Z53" i="34"/>
  <c r="F53" i="34"/>
  <c r="Y53" i="34" s="1"/>
  <c r="Z52" i="34"/>
  <c r="F52" i="34"/>
  <c r="Y52" i="34" s="1"/>
  <c r="Z51" i="34"/>
  <c r="F51" i="34"/>
  <c r="AA51" i="34" s="1"/>
  <c r="AB51" i="34" s="1"/>
  <c r="Z50" i="34"/>
  <c r="F50" i="34"/>
  <c r="Y50" i="34" s="1"/>
  <c r="Z49" i="34"/>
  <c r="F49" i="34"/>
  <c r="Z48" i="34"/>
  <c r="L48" i="34"/>
  <c r="F48" i="34"/>
  <c r="AA48" i="34" s="1"/>
  <c r="AB48" i="34" s="1"/>
  <c r="Z47" i="34"/>
  <c r="V47" i="34"/>
  <c r="L47" i="34"/>
  <c r="F47" i="34"/>
  <c r="Z46" i="34"/>
  <c r="V46" i="34"/>
  <c r="L46" i="34"/>
  <c r="F46" i="34"/>
  <c r="Z45" i="34"/>
  <c r="V45" i="34"/>
  <c r="L45" i="34"/>
  <c r="F45" i="34"/>
  <c r="AA45" i="34" s="1"/>
  <c r="Z43" i="34"/>
  <c r="V43" i="34"/>
  <c r="L43" i="34"/>
  <c r="F43" i="34"/>
  <c r="Z42" i="34"/>
  <c r="V42" i="34"/>
  <c r="L42" i="34"/>
  <c r="F42" i="34"/>
  <c r="Z41" i="34"/>
  <c r="V41" i="34"/>
  <c r="L41" i="34"/>
  <c r="F41" i="34"/>
  <c r="AA41" i="34" s="1"/>
  <c r="AB41" i="34" s="1"/>
  <c r="Z40" i="34"/>
  <c r="V40" i="34"/>
  <c r="L40" i="34"/>
  <c r="F40" i="34"/>
  <c r="Y40" i="34" s="1"/>
  <c r="Z39" i="34"/>
  <c r="V39" i="34"/>
  <c r="L39" i="34"/>
  <c r="F39" i="34"/>
  <c r="Z38" i="34"/>
  <c r="V38" i="34"/>
  <c r="L38" i="34"/>
  <c r="F38" i="34"/>
  <c r="AA38" i="34" s="1"/>
  <c r="AB38" i="34" s="1"/>
  <c r="Z37" i="34"/>
  <c r="V37" i="34"/>
  <c r="L37" i="34"/>
  <c r="F37" i="34"/>
  <c r="Y37" i="34" s="1"/>
  <c r="D37" i="34"/>
  <c r="Z36" i="34"/>
  <c r="V36" i="34"/>
  <c r="L36" i="34"/>
  <c r="F36" i="34"/>
  <c r="AA36" i="34" s="1"/>
  <c r="AB36" i="34" s="1"/>
  <c r="Z35" i="34"/>
  <c r="V35" i="34"/>
  <c r="L35" i="34"/>
  <c r="F35" i="34"/>
  <c r="AA35" i="34" s="1"/>
  <c r="AB35" i="34" s="1"/>
  <c r="Z34" i="34"/>
  <c r="V34" i="34"/>
  <c r="L34" i="34"/>
  <c r="F34" i="34"/>
  <c r="AA34" i="34" s="1"/>
  <c r="AB34" i="34" s="1"/>
  <c r="Z33" i="34"/>
  <c r="V33" i="34"/>
  <c r="T33" i="34"/>
  <c r="P33" i="34"/>
  <c r="L33" i="34"/>
  <c r="F33" i="34"/>
  <c r="AA33" i="34" s="1"/>
  <c r="AB33" i="34" s="1"/>
  <c r="Z32" i="34"/>
  <c r="F32" i="34"/>
  <c r="AA32" i="34" s="1"/>
  <c r="AB32" i="34" s="1"/>
  <c r="D32" i="34"/>
  <c r="Z31" i="34"/>
  <c r="V31" i="34"/>
  <c r="T31" i="34"/>
  <c r="P31" i="34"/>
  <c r="L31" i="34"/>
  <c r="F31" i="34"/>
  <c r="AA31" i="34" s="1"/>
  <c r="AB31" i="34" s="1"/>
  <c r="Z30" i="34"/>
  <c r="V30" i="34"/>
  <c r="T30" i="34"/>
  <c r="P30" i="34"/>
  <c r="L30" i="34"/>
  <c r="F30" i="34"/>
  <c r="AA30" i="34" s="1"/>
  <c r="AB30" i="34" s="1"/>
  <c r="Z29" i="34"/>
  <c r="V29" i="34"/>
  <c r="T29" i="34"/>
  <c r="P29" i="34"/>
  <c r="L29" i="34"/>
  <c r="F29" i="34"/>
  <c r="Z28" i="34"/>
  <c r="V28" i="34"/>
  <c r="T28" i="34"/>
  <c r="P28" i="34"/>
  <c r="L28" i="34"/>
  <c r="F28" i="34"/>
  <c r="Z27" i="34"/>
  <c r="V27" i="34"/>
  <c r="T27" i="34"/>
  <c r="P27" i="34"/>
  <c r="L27" i="34"/>
  <c r="F27" i="34"/>
  <c r="Y27" i="34" s="1"/>
  <c r="Z26" i="34"/>
  <c r="V26" i="34"/>
  <c r="T26" i="34"/>
  <c r="P26" i="34"/>
  <c r="L26" i="34"/>
  <c r="F26" i="34"/>
  <c r="AA26" i="34" s="1"/>
  <c r="AB26" i="34" s="1"/>
  <c r="Z25" i="34"/>
  <c r="F25" i="34"/>
  <c r="AA25" i="34" s="1"/>
  <c r="AB25" i="34" s="1"/>
  <c r="Z24" i="34"/>
  <c r="V24" i="34"/>
  <c r="T24" i="34"/>
  <c r="P24" i="34"/>
  <c r="L24" i="34"/>
  <c r="F24" i="34"/>
  <c r="Y24" i="34" s="1"/>
  <c r="Z23" i="34"/>
  <c r="V23" i="34"/>
  <c r="T23" i="34"/>
  <c r="P23" i="34"/>
  <c r="L23" i="34"/>
  <c r="F23" i="34"/>
  <c r="AA23" i="34" s="1"/>
  <c r="AB23" i="34" s="1"/>
  <c r="Z22" i="34"/>
  <c r="V22" i="34"/>
  <c r="T22" i="34"/>
  <c r="P22" i="34"/>
  <c r="L22" i="34"/>
  <c r="F22" i="34"/>
  <c r="AA22" i="34" s="1"/>
  <c r="AB22" i="34" s="1"/>
  <c r="Z21" i="34"/>
  <c r="V21" i="34"/>
  <c r="T21" i="34"/>
  <c r="P21" i="34"/>
  <c r="L21" i="34"/>
  <c r="F21" i="34"/>
  <c r="Y21" i="34" s="1"/>
  <c r="D21" i="34"/>
  <c r="Z20" i="34"/>
  <c r="V20" i="34"/>
  <c r="T20" i="34"/>
  <c r="P20" i="34"/>
  <c r="L20" i="34"/>
  <c r="F20" i="34"/>
  <c r="AA20" i="34" s="1"/>
  <c r="AB20" i="34" s="1"/>
  <c r="Z19" i="34"/>
  <c r="V19" i="34"/>
  <c r="T19" i="34"/>
  <c r="P19" i="34"/>
  <c r="L19" i="34"/>
  <c r="F19" i="34"/>
  <c r="Z18" i="34"/>
  <c r="F18" i="34"/>
  <c r="AA18" i="34" s="1"/>
  <c r="AB18" i="34" s="1"/>
  <c r="Z17" i="34"/>
  <c r="V17" i="34"/>
  <c r="T17" i="34"/>
  <c r="P17" i="34"/>
  <c r="L17" i="34"/>
  <c r="F17" i="34"/>
  <c r="AA17" i="34" s="1"/>
  <c r="AB17" i="34" s="1"/>
  <c r="Z16" i="34"/>
  <c r="V16" i="34"/>
  <c r="T16" i="34"/>
  <c r="P16" i="34"/>
  <c r="L16" i="34"/>
  <c r="F16" i="34"/>
  <c r="Z15" i="34"/>
  <c r="T15" i="34"/>
  <c r="P15" i="34"/>
  <c r="L15" i="34"/>
  <c r="F15" i="34"/>
  <c r="Y15" i="34" s="1"/>
  <c r="Z14" i="34"/>
  <c r="T14" i="34"/>
  <c r="P14" i="34"/>
  <c r="L14" i="34"/>
  <c r="F14" i="34"/>
  <c r="Y14" i="34" s="1"/>
  <c r="Z13" i="34"/>
  <c r="T13" i="34"/>
  <c r="P13" i="34"/>
  <c r="L13" i="34"/>
  <c r="F13" i="34"/>
  <c r="AA13" i="34" s="1"/>
  <c r="AB13" i="34" s="1"/>
  <c r="Z12" i="34"/>
  <c r="V12" i="34"/>
  <c r="T12" i="34"/>
  <c r="P12" i="34"/>
  <c r="L12" i="34"/>
  <c r="F12" i="34"/>
  <c r="AA12" i="34" s="1"/>
  <c r="AB12" i="34" s="1"/>
  <c r="Z11" i="34"/>
  <c r="F11" i="34"/>
  <c r="Z10" i="34"/>
  <c r="F10" i="34"/>
  <c r="Z9" i="34"/>
  <c r="F9" i="34"/>
  <c r="Z8" i="34"/>
  <c r="F8" i="34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F56" i="7"/>
  <c r="AA56" i="7" s="1"/>
  <c r="AB56" i="7" s="1"/>
  <c r="F57" i="7"/>
  <c r="AA57" i="7" s="1"/>
  <c r="AB57" i="7" s="1"/>
  <c r="F58" i="7"/>
  <c r="AA58" i="7" s="1"/>
  <c r="F59" i="7"/>
  <c r="AA59" i="7" s="1"/>
  <c r="AB59" i="7" s="1"/>
  <c r="F60" i="7"/>
  <c r="AA60" i="7" s="1"/>
  <c r="AB60" i="7" s="1"/>
  <c r="F61" i="7"/>
  <c r="AA61" i="7" s="1"/>
  <c r="AB61" i="7" s="1"/>
  <c r="F62" i="7"/>
  <c r="AA62" i="7" s="1"/>
  <c r="AB62" i="7" s="1"/>
  <c r="F63" i="7"/>
  <c r="AA63" i="7" s="1"/>
  <c r="AB63" i="7" s="1"/>
  <c r="F64" i="7"/>
  <c r="AA64" i="7" s="1"/>
  <c r="AB64" i="7" s="1"/>
  <c r="F65" i="7"/>
  <c r="AA65" i="7" s="1"/>
  <c r="AB65" i="7" s="1"/>
  <c r="F66" i="7"/>
  <c r="AA66" i="7" s="1"/>
  <c r="AB66" i="7" s="1"/>
  <c r="F67" i="7"/>
  <c r="AA67" i="7" s="1"/>
  <c r="AB67" i="7" s="1"/>
  <c r="F68" i="7"/>
  <c r="AA68" i="7" s="1"/>
  <c r="AB68" i="7" s="1"/>
  <c r="F69" i="7"/>
  <c r="AA69" i="7" s="1"/>
  <c r="AB69" i="7" s="1"/>
  <c r="F70" i="7"/>
  <c r="AA70" i="7" s="1"/>
  <c r="AB70" i="7" s="1"/>
  <c r="F71" i="7"/>
  <c r="AA71" i="7" s="1"/>
  <c r="AB71" i="7" s="1"/>
  <c r="F72" i="7"/>
  <c r="AA72" i="7" s="1"/>
  <c r="AB72" i="7" s="1"/>
  <c r="F73" i="7"/>
  <c r="AA73" i="7" s="1"/>
  <c r="AB73" i="7" s="1"/>
  <c r="F74" i="7"/>
  <c r="AA74" i="7" s="1"/>
  <c r="AB74" i="7" s="1"/>
  <c r="F75" i="7"/>
  <c r="AA75" i="7" s="1"/>
  <c r="AB75" i="7" s="1"/>
  <c r="F76" i="7"/>
  <c r="AA76" i="7" s="1"/>
  <c r="AB76" i="7" s="1"/>
  <c r="F77" i="7"/>
  <c r="AA77" i="7" s="1"/>
  <c r="AB77" i="7" s="1"/>
  <c r="F78" i="7"/>
  <c r="AA78" i="7" s="1"/>
  <c r="AB78" i="7" s="1"/>
  <c r="F79" i="7"/>
  <c r="AA79" i="7" s="1"/>
  <c r="AB79" i="7" s="1"/>
  <c r="F80" i="7"/>
  <c r="AA80" i="7" s="1"/>
  <c r="AB80" i="7" s="1"/>
  <c r="F81" i="7"/>
  <c r="AA81" i="7" s="1"/>
  <c r="AB81" i="7" s="1"/>
  <c r="F82" i="7"/>
  <c r="AA82" i="7" s="1"/>
  <c r="AB82" i="7" s="1"/>
  <c r="F83" i="7"/>
  <c r="AA83" i="7" s="1"/>
  <c r="AB83" i="7" s="1"/>
  <c r="F84" i="7"/>
  <c r="AA84" i="7" s="1"/>
  <c r="AB84" i="7" s="1"/>
  <c r="F85" i="7"/>
  <c r="AA85" i="7" s="1"/>
  <c r="AB85" i="7" s="1"/>
  <c r="F86" i="7"/>
  <c r="AA86" i="7" s="1"/>
  <c r="AB86" i="7" s="1"/>
  <c r="F87" i="7"/>
  <c r="AA87" i="7" s="1"/>
  <c r="AB87" i="7" s="1"/>
  <c r="F88" i="7"/>
  <c r="AA88" i="7" s="1"/>
  <c r="AB88" i="7" s="1"/>
  <c r="F89" i="7"/>
  <c r="AA89" i="7" s="1"/>
  <c r="AB89" i="7" s="1"/>
  <c r="F90" i="7"/>
  <c r="AA90" i="7" s="1"/>
  <c r="AB90" i="7" s="1"/>
  <c r="F91" i="7"/>
  <c r="AA91" i="7" s="1"/>
  <c r="AB91" i="7" s="1"/>
  <c r="F92" i="7"/>
  <c r="AA92" i="7" s="1"/>
  <c r="AB92" i="7" s="1"/>
  <c r="F94" i="7"/>
  <c r="F95" i="7"/>
  <c r="AA95" i="7" s="1"/>
  <c r="AB95" i="7" s="1"/>
  <c r="F96" i="7"/>
  <c r="AA96" i="7" s="1"/>
  <c r="AB96" i="7" s="1"/>
  <c r="F97" i="7"/>
  <c r="AA97" i="7" s="1"/>
  <c r="AB97" i="7" s="1"/>
  <c r="F98" i="7"/>
  <c r="AA98" i="7" s="1"/>
  <c r="AB98" i="7" s="1"/>
  <c r="F99" i="7"/>
  <c r="AA99" i="7" s="1"/>
  <c r="AB99" i="7" s="1"/>
  <c r="F100" i="7"/>
  <c r="AA100" i="7" s="1"/>
  <c r="AB100" i="7" s="1"/>
  <c r="F101" i="7"/>
  <c r="AA101" i="7" s="1"/>
  <c r="AB101" i="7" s="1"/>
  <c r="F102" i="7"/>
  <c r="AA102" i="7" s="1"/>
  <c r="AB102" i="7" s="1"/>
  <c r="F103" i="7"/>
  <c r="AA103" i="7" s="1"/>
  <c r="AB103" i="7" s="1"/>
  <c r="F104" i="7"/>
  <c r="AA104" i="7" s="1"/>
  <c r="AB104" i="7" s="1"/>
  <c r="F105" i="7"/>
  <c r="AA105" i="7" s="1"/>
  <c r="AB105" i="7" s="1"/>
  <c r="F106" i="7"/>
  <c r="AA106" i="7" s="1"/>
  <c r="AB106" i="7" s="1"/>
  <c r="F107" i="7"/>
  <c r="AA107" i="7" s="1"/>
  <c r="AB107" i="7" s="1"/>
  <c r="F108" i="7"/>
  <c r="AA108" i="7" s="1"/>
  <c r="AB108" i="7" s="1"/>
  <c r="F109" i="7"/>
  <c r="AA109" i="7" s="1"/>
  <c r="AB109" i="7" s="1"/>
  <c r="F110" i="7"/>
  <c r="AA110" i="7" s="1"/>
  <c r="AB110" i="7" s="1"/>
  <c r="F111" i="7"/>
  <c r="AA111" i="7" s="1"/>
  <c r="AB111" i="7" s="1"/>
  <c r="F112" i="7"/>
  <c r="AA112" i="7" s="1"/>
  <c r="AB112" i="7" s="1"/>
  <c r="F113" i="7"/>
  <c r="AA113" i="7" s="1"/>
  <c r="AB113" i="7" s="1"/>
  <c r="F114" i="7"/>
  <c r="AA114" i="7" s="1"/>
  <c r="AB114" i="7" s="1"/>
  <c r="F115" i="7"/>
  <c r="AA115" i="7" s="1"/>
  <c r="AB115" i="7" s="1"/>
  <c r="F116" i="7"/>
  <c r="AA116" i="7" s="1"/>
  <c r="AB116" i="7" s="1"/>
  <c r="F117" i="7"/>
  <c r="AA117" i="7" s="1"/>
  <c r="AB117" i="7" s="1"/>
  <c r="F118" i="7"/>
  <c r="AA118" i="7" s="1"/>
  <c r="AB118" i="7" s="1"/>
  <c r="F119" i="7"/>
  <c r="AA119" i="7" s="1"/>
  <c r="AB119" i="7" s="1"/>
  <c r="F120" i="7"/>
  <c r="AA120" i="7" s="1"/>
  <c r="AB120" i="7" s="1"/>
  <c r="F121" i="7"/>
  <c r="AA121" i="7" s="1"/>
  <c r="AB121" i="7" s="1"/>
  <c r="F122" i="7"/>
  <c r="AA122" i="7" s="1"/>
  <c r="AB122" i="7" s="1"/>
  <c r="F123" i="7"/>
  <c r="AA123" i="7" s="1"/>
  <c r="AB123" i="7" s="1"/>
  <c r="F124" i="7"/>
  <c r="AA124" i="7" s="1"/>
  <c r="AB124" i="7" s="1"/>
  <c r="F125" i="7"/>
  <c r="AA125" i="7" s="1"/>
  <c r="AB125" i="7" s="1"/>
  <c r="F126" i="7"/>
  <c r="AA126" i="7" s="1"/>
  <c r="AB126" i="7" s="1"/>
  <c r="F127" i="7"/>
  <c r="AA127" i="7" s="1"/>
  <c r="AB127" i="7" s="1"/>
  <c r="F128" i="7"/>
  <c r="AA128" i="7" s="1"/>
  <c r="AB128" i="7" s="1"/>
  <c r="F129" i="7"/>
  <c r="AA129" i="7" s="1"/>
  <c r="AB129" i="7" s="1"/>
  <c r="F130" i="7"/>
  <c r="AA130" i="7" s="1"/>
  <c r="AB130" i="7" s="1"/>
  <c r="F131" i="7"/>
  <c r="AA131" i="7" s="1"/>
  <c r="AB131" i="7" s="1"/>
  <c r="F132" i="7"/>
  <c r="AA132" i="7" s="1"/>
  <c r="AB132" i="7" s="1"/>
  <c r="F133" i="7"/>
  <c r="AA133" i="7" s="1"/>
  <c r="AB133" i="7" s="1"/>
  <c r="F134" i="7"/>
  <c r="AA134" i="7" s="1"/>
  <c r="AB134" i="7" s="1"/>
  <c r="F135" i="7"/>
  <c r="AA135" i="7" s="1"/>
  <c r="AB135" i="7" s="1"/>
  <c r="F136" i="7"/>
  <c r="AA136" i="7" s="1"/>
  <c r="AB136" i="7" s="1"/>
  <c r="F137" i="7"/>
  <c r="AA137" i="7" s="1"/>
  <c r="AB137" i="7" s="1"/>
  <c r="F138" i="7"/>
  <c r="AA138" i="7" s="1"/>
  <c r="AB138" i="7" s="1"/>
  <c r="F139" i="7"/>
  <c r="AA139" i="7" s="1"/>
  <c r="AB139" i="7" s="1"/>
  <c r="F140" i="7"/>
  <c r="AA140" i="7" s="1"/>
  <c r="AB140" i="7" s="1"/>
  <c r="F141" i="7"/>
  <c r="AA141" i="7" s="1"/>
  <c r="AB141" i="7" s="1"/>
  <c r="F142" i="7"/>
  <c r="AA142" i="7" s="1"/>
  <c r="AB142" i="7" s="1"/>
  <c r="F143" i="7"/>
  <c r="AA143" i="7" s="1"/>
  <c r="AB143" i="7" s="1"/>
  <c r="F144" i="7"/>
  <c r="AA144" i="7" s="1"/>
  <c r="AB144" i="7" s="1"/>
  <c r="F145" i="7"/>
  <c r="AA145" i="7" s="1"/>
  <c r="AB145" i="7" s="1"/>
  <c r="F146" i="7"/>
  <c r="AA146" i="7" s="1"/>
  <c r="AB146" i="7" s="1"/>
  <c r="F147" i="7"/>
  <c r="AA147" i="7" s="1"/>
  <c r="AB147" i="7" s="1"/>
  <c r="F148" i="7"/>
  <c r="AA148" i="7" s="1"/>
  <c r="AB148" i="7" s="1"/>
  <c r="F149" i="7"/>
  <c r="AA149" i="7" s="1"/>
  <c r="AB149" i="7" s="1"/>
  <c r="F150" i="7"/>
  <c r="AA150" i="7" s="1"/>
  <c r="AB150" i="7" s="1"/>
  <c r="F151" i="7"/>
  <c r="AA151" i="7" s="1"/>
  <c r="AB151" i="7" s="1"/>
  <c r="F152" i="7"/>
  <c r="AA152" i="7" s="1"/>
  <c r="AB152" i="7" s="1"/>
  <c r="F153" i="7"/>
  <c r="AA153" i="7" s="1"/>
  <c r="AB153" i="7" s="1"/>
  <c r="F154" i="7"/>
  <c r="AA154" i="7" s="1"/>
  <c r="AB154" i="7" s="1"/>
  <c r="F155" i="7"/>
  <c r="AA155" i="7" s="1"/>
  <c r="AB155" i="7" s="1"/>
  <c r="F156" i="7"/>
  <c r="AA156" i="7" s="1"/>
  <c r="AB156" i="7" s="1"/>
  <c r="F157" i="7"/>
  <c r="AA157" i="7" s="1"/>
  <c r="AB157" i="7" s="1"/>
  <c r="F158" i="7"/>
  <c r="AA158" i="7" s="1"/>
  <c r="AB158" i="7" s="1"/>
  <c r="F159" i="7"/>
  <c r="AA159" i="7" s="1"/>
  <c r="AB159" i="7" s="1"/>
  <c r="F160" i="7"/>
  <c r="AA160" i="7" s="1"/>
  <c r="AB160" i="7" s="1"/>
  <c r="F161" i="7"/>
  <c r="AA161" i="7" s="1"/>
  <c r="AB161" i="7" s="1"/>
  <c r="F162" i="7"/>
  <c r="AA162" i="7" s="1"/>
  <c r="AB162" i="7" s="1"/>
  <c r="F163" i="7"/>
  <c r="AA163" i="7" s="1"/>
  <c r="AB163" i="7" s="1"/>
  <c r="A162" i="7"/>
  <c r="B162" i="7"/>
  <c r="C162" i="7"/>
  <c r="D162" i="7" s="1"/>
  <c r="A163" i="7"/>
  <c r="B163" i="7"/>
  <c r="C163" i="7"/>
  <c r="D163" i="7" s="1"/>
  <c r="A110" i="7"/>
  <c r="B110" i="7"/>
  <c r="C110" i="7"/>
  <c r="D110" i="7" s="1"/>
  <c r="A111" i="7"/>
  <c r="B111" i="7"/>
  <c r="C111" i="7"/>
  <c r="D111" i="7" s="1"/>
  <c r="A112" i="7"/>
  <c r="B112" i="7"/>
  <c r="C112" i="7"/>
  <c r="D112" i="7" s="1"/>
  <c r="A113" i="7"/>
  <c r="B113" i="7"/>
  <c r="C113" i="7"/>
  <c r="D113" i="7" s="1"/>
  <c r="A114" i="7"/>
  <c r="B114" i="7"/>
  <c r="C114" i="7"/>
  <c r="D114" i="7" s="1"/>
  <c r="A115" i="7"/>
  <c r="B115" i="7"/>
  <c r="C115" i="7"/>
  <c r="D115" i="7" s="1"/>
  <c r="A116" i="7"/>
  <c r="B116" i="7"/>
  <c r="C116" i="7"/>
  <c r="D116" i="7" s="1"/>
  <c r="A117" i="7"/>
  <c r="B117" i="7"/>
  <c r="C117" i="7"/>
  <c r="A118" i="7"/>
  <c r="B118" i="7"/>
  <c r="C118" i="7"/>
  <c r="D118" i="7" s="1"/>
  <c r="A119" i="7"/>
  <c r="B119" i="7"/>
  <c r="C119" i="7"/>
  <c r="D119" i="7" s="1"/>
  <c r="A120" i="7"/>
  <c r="B120" i="7"/>
  <c r="C120" i="7"/>
  <c r="D120" i="7" s="1"/>
  <c r="A121" i="7"/>
  <c r="B121" i="7"/>
  <c r="C121" i="7"/>
  <c r="D121" i="7" s="1"/>
  <c r="A122" i="7"/>
  <c r="B122" i="7"/>
  <c r="C122" i="7"/>
  <c r="D122" i="7" s="1"/>
  <c r="A123" i="7"/>
  <c r="B123" i="7"/>
  <c r="C123" i="7"/>
  <c r="D123" i="7" s="1"/>
  <c r="A124" i="7"/>
  <c r="B124" i="7"/>
  <c r="C124" i="7"/>
  <c r="D124" i="7" s="1"/>
  <c r="A125" i="7"/>
  <c r="B125" i="7"/>
  <c r="C125" i="7"/>
  <c r="D125" i="7" s="1"/>
  <c r="A126" i="7"/>
  <c r="B126" i="7"/>
  <c r="C126" i="7"/>
  <c r="D126" i="7" s="1"/>
  <c r="A127" i="7"/>
  <c r="B127" i="7"/>
  <c r="C127" i="7"/>
  <c r="D127" i="7" s="1"/>
  <c r="A128" i="7"/>
  <c r="B128" i="7"/>
  <c r="C128" i="7"/>
  <c r="D128" i="7" s="1"/>
  <c r="A129" i="7"/>
  <c r="B129" i="7"/>
  <c r="C129" i="7"/>
  <c r="D129" i="7" s="1"/>
  <c r="A130" i="7"/>
  <c r="B130" i="7"/>
  <c r="C130" i="7"/>
  <c r="D130" i="7" s="1"/>
  <c r="A131" i="7"/>
  <c r="B131" i="7"/>
  <c r="C131" i="7"/>
  <c r="D131" i="7" s="1"/>
  <c r="A132" i="7"/>
  <c r="B132" i="7"/>
  <c r="C132" i="7"/>
  <c r="D132" i="7" s="1"/>
  <c r="A133" i="7"/>
  <c r="B133" i="7"/>
  <c r="C133" i="7"/>
  <c r="D133" i="7" s="1"/>
  <c r="A134" i="7"/>
  <c r="B134" i="7"/>
  <c r="C134" i="7"/>
  <c r="D134" i="7" s="1"/>
  <c r="A135" i="7"/>
  <c r="B135" i="7"/>
  <c r="C135" i="7"/>
  <c r="D135" i="7" s="1"/>
  <c r="A136" i="7"/>
  <c r="B136" i="7"/>
  <c r="C136" i="7"/>
  <c r="D136" i="7" s="1"/>
  <c r="A137" i="7"/>
  <c r="B137" i="7"/>
  <c r="C137" i="7"/>
  <c r="D137" i="7" s="1"/>
  <c r="A138" i="7"/>
  <c r="B138" i="7"/>
  <c r="C138" i="7"/>
  <c r="D138" i="7" s="1"/>
  <c r="A139" i="7"/>
  <c r="B139" i="7"/>
  <c r="C139" i="7"/>
  <c r="D139" i="7" s="1"/>
  <c r="A140" i="7"/>
  <c r="B140" i="7"/>
  <c r="C140" i="7"/>
  <c r="D140" i="7" s="1"/>
  <c r="A141" i="7"/>
  <c r="B141" i="7"/>
  <c r="C141" i="7"/>
  <c r="D141" i="7" s="1"/>
  <c r="A142" i="7"/>
  <c r="B142" i="7"/>
  <c r="C142" i="7"/>
  <c r="D142" i="7" s="1"/>
  <c r="A143" i="7"/>
  <c r="B143" i="7"/>
  <c r="C143" i="7"/>
  <c r="D143" i="7" s="1"/>
  <c r="A144" i="7"/>
  <c r="B144" i="7"/>
  <c r="C144" i="7"/>
  <c r="D144" i="7" s="1"/>
  <c r="A145" i="7"/>
  <c r="B145" i="7"/>
  <c r="C145" i="7"/>
  <c r="D145" i="7" s="1"/>
  <c r="A146" i="7"/>
  <c r="B146" i="7"/>
  <c r="C146" i="7"/>
  <c r="D146" i="7" s="1"/>
  <c r="A147" i="7"/>
  <c r="B147" i="7"/>
  <c r="C147" i="7"/>
  <c r="D147" i="7" s="1"/>
  <c r="A148" i="7"/>
  <c r="B148" i="7"/>
  <c r="C148" i="7"/>
  <c r="D148" i="7" s="1"/>
  <c r="A149" i="7"/>
  <c r="B149" i="7"/>
  <c r="C149" i="7"/>
  <c r="D149" i="7" s="1"/>
  <c r="A150" i="7"/>
  <c r="B150" i="7"/>
  <c r="C150" i="7"/>
  <c r="D150" i="7" s="1"/>
  <c r="A151" i="7"/>
  <c r="B151" i="7"/>
  <c r="C151" i="7"/>
  <c r="D151" i="7" s="1"/>
  <c r="A152" i="7"/>
  <c r="B152" i="7"/>
  <c r="C152" i="7"/>
  <c r="D152" i="7" s="1"/>
  <c r="A153" i="7"/>
  <c r="B153" i="7"/>
  <c r="C153" i="7"/>
  <c r="D153" i="7" s="1"/>
  <c r="A154" i="7"/>
  <c r="B154" i="7"/>
  <c r="C154" i="7"/>
  <c r="D154" i="7" s="1"/>
  <c r="A155" i="7"/>
  <c r="B155" i="7"/>
  <c r="C155" i="7"/>
  <c r="D155" i="7" s="1"/>
  <c r="A156" i="7"/>
  <c r="B156" i="7"/>
  <c r="C156" i="7"/>
  <c r="D156" i="7" s="1"/>
  <c r="A157" i="7"/>
  <c r="B157" i="7"/>
  <c r="C157" i="7"/>
  <c r="D157" i="7" s="1"/>
  <c r="A158" i="7"/>
  <c r="B158" i="7"/>
  <c r="C158" i="7"/>
  <c r="D158" i="7" s="1"/>
  <c r="A159" i="7"/>
  <c r="B159" i="7"/>
  <c r="C159" i="7"/>
  <c r="D159" i="7" s="1"/>
  <c r="A160" i="7"/>
  <c r="B160" i="7"/>
  <c r="C160" i="7"/>
  <c r="D160" i="7" s="1"/>
  <c r="A161" i="7"/>
  <c r="B161" i="7"/>
  <c r="C161" i="7"/>
  <c r="D161" i="7" s="1"/>
  <c r="A56" i="7"/>
  <c r="B56" i="7"/>
  <c r="C56" i="7"/>
  <c r="D56" i="7" s="1"/>
  <c r="A57" i="7"/>
  <c r="B57" i="7"/>
  <c r="C57" i="7"/>
  <c r="D57" i="7" s="1"/>
  <c r="A58" i="7"/>
  <c r="B58" i="7"/>
  <c r="C58" i="7"/>
  <c r="D58" i="7" s="1"/>
  <c r="B59" i="7"/>
  <c r="C59" i="7"/>
  <c r="D59" i="7" s="1"/>
  <c r="A60" i="7"/>
  <c r="B60" i="7"/>
  <c r="C60" i="7"/>
  <c r="D60" i="7" s="1"/>
  <c r="A61" i="7"/>
  <c r="B61" i="7"/>
  <c r="C61" i="7"/>
  <c r="D61" i="7" s="1"/>
  <c r="A62" i="7"/>
  <c r="B62" i="7"/>
  <c r="C62" i="7"/>
  <c r="B63" i="7"/>
  <c r="C63" i="7"/>
  <c r="D63" i="7" s="1"/>
  <c r="A64" i="7"/>
  <c r="B64" i="7"/>
  <c r="C64" i="7"/>
  <c r="D64" i="7" s="1"/>
  <c r="A65" i="7"/>
  <c r="B65" i="7"/>
  <c r="C65" i="7"/>
  <c r="D65" i="7" s="1"/>
  <c r="A66" i="7"/>
  <c r="B66" i="7"/>
  <c r="C66" i="7"/>
  <c r="D66" i="7" s="1"/>
  <c r="B67" i="7"/>
  <c r="C67" i="7"/>
  <c r="D67" i="7" s="1"/>
  <c r="A68" i="7"/>
  <c r="B68" i="7"/>
  <c r="C68" i="7"/>
  <c r="D68" i="7" s="1"/>
  <c r="A69" i="7"/>
  <c r="B69" i="7"/>
  <c r="C69" i="7"/>
  <c r="D69" i="7" s="1"/>
  <c r="A70" i="7"/>
  <c r="B70" i="7"/>
  <c r="C70" i="7"/>
  <c r="D70" i="7" s="1"/>
  <c r="A71" i="7"/>
  <c r="B71" i="7"/>
  <c r="C71" i="7"/>
  <c r="D71" i="7" s="1"/>
  <c r="A72" i="7"/>
  <c r="B72" i="7"/>
  <c r="C72" i="7"/>
  <c r="D72" i="7" s="1"/>
  <c r="A73" i="7"/>
  <c r="B73" i="7"/>
  <c r="C73" i="7"/>
  <c r="A74" i="7"/>
  <c r="B74" i="7"/>
  <c r="C74" i="7"/>
  <c r="D74" i="7" s="1"/>
  <c r="A75" i="7"/>
  <c r="B75" i="7"/>
  <c r="C75" i="7"/>
  <c r="D75" i="7" s="1"/>
  <c r="A76" i="7"/>
  <c r="B76" i="7"/>
  <c r="C76" i="7"/>
  <c r="D76" i="7" s="1"/>
  <c r="A77" i="7"/>
  <c r="B77" i="7"/>
  <c r="C77" i="7"/>
  <c r="D77" i="7" s="1"/>
  <c r="A78" i="7"/>
  <c r="B78" i="7"/>
  <c r="C78" i="7"/>
  <c r="D78" i="7" s="1"/>
  <c r="A79" i="7"/>
  <c r="B79" i="7"/>
  <c r="C79" i="7"/>
  <c r="D79" i="7" s="1"/>
  <c r="A80" i="7"/>
  <c r="B80" i="7"/>
  <c r="C80" i="7"/>
  <c r="D80" i="7" s="1"/>
  <c r="A81" i="7"/>
  <c r="B81" i="7"/>
  <c r="C81" i="7"/>
  <c r="D81" i="7" s="1"/>
  <c r="A82" i="7"/>
  <c r="B82" i="7"/>
  <c r="C82" i="7"/>
  <c r="D82" i="7" s="1"/>
  <c r="A83" i="7"/>
  <c r="B83" i="7"/>
  <c r="C83" i="7"/>
  <c r="D83" i="7" s="1"/>
  <c r="A84" i="7"/>
  <c r="B84" i="7"/>
  <c r="C84" i="7"/>
  <c r="D84" i="7" s="1"/>
  <c r="A85" i="7"/>
  <c r="B85" i="7"/>
  <c r="C85" i="7"/>
  <c r="D85" i="7" s="1"/>
  <c r="A86" i="7"/>
  <c r="B86" i="7"/>
  <c r="C86" i="7"/>
  <c r="D86" i="7" s="1"/>
  <c r="A87" i="7"/>
  <c r="B87" i="7"/>
  <c r="C87" i="7"/>
  <c r="D87" i="7" s="1"/>
  <c r="A88" i="7"/>
  <c r="B88" i="7"/>
  <c r="C88" i="7"/>
  <c r="D88" i="7" s="1"/>
  <c r="A89" i="7"/>
  <c r="B89" i="7"/>
  <c r="C89" i="7"/>
  <c r="D89" i="7" s="1"/>
  <c r="A90" i="7"/>
  <c r="B90" i="7"/>
  <c r="C90" i="7"/>
  <c r="D90" i="7" s="1"/>
  <c r="A91" i="7"/>
  <c r="B91" i="7"/>
  <c r="C91" i="7"/>
  <c r="D91" i="7" s="1"/>
  <c r="A92" i="7"/>
  <c r="B92" i="7"/>
  <c r="C92" i="7"/>
  <c r="D92" i="7" s="1"/>
  <c r="A94" i="7"/>
  <c r="B94" i="7"/>
  <c r="C94" i="7"/>
  <c r="D94" i="7" s="1"/>
  <c r="A95" i="7"/>
  <c r="B95" i="7"/>
  <c r="C95" i="7"/>
  <c r="D95" i="7" s="1"/>
  <c r="A96" i="7"/>
  <c r="B96" i="7"/>
  <c r="C96" i="7"/>
  <c r="D96" i="7" s="1"/>
  <c r="A97" i="7"/>
  <c r="B97" i="7"/>
  <c r="C97" i="7"/>
  <c r="D97" i="7" s="1"/>
  <c r="A98" i="7"/>
  <c r="B98" i="7"/>
  <c r="C98" i="7"/>
  <c r="D98" i="7" s="1"/>
  <c r="A99" i="7"/>
  <c r="B99" i="7"/>
  <c r="C99" i="7"/>
  <c r="D99" i="7" s="1"/>
  <c r="A100" i="7"/>
  <c r="B100" i="7"/>
  <c r="C100" i="7"/>
  <c r="D100" i="7" s="1"/>
  <c r="A101" i="7"/>
  <c r="B101" i="7"/>
  <c r="C101" i="7"/>
  <c r="D101" i="7" s="1"/>
  <c r="A102" i="7"/>
  <c r="B102" i="7"/>
  <c r="C102" i="7"/>
  <c r="D102" i="7" s="1"/>
  <c r="A103" i="7"/>
  <c r="B103" i="7"/>
  <c r="C103" i="7"/>
  <c r="D103" i="7" s="1"/>
  <c r="A104" i="7"/>
  <c r="B104" i="7"/>
  <c r="C104" i="7"/>
  <c r="D104" i="7" s="1"/>
  <c r="A105" i="7"/>
  <c r="B105" i="7"/>
  <c r="C105" i="7"/>
  <c r="D105" i="7" s="1"/>
  <c r="A106" i="7"/>
  <c r="B106" i="7"/>
  <c r="C106" i="7"/>
  <c r="A107" i="7"/>
  <c r="B107" i="7"/>
  <c r="C107" i="7"/>
  <c r="D107" i="7" s="1"/>
  <c r="A108" i="7"/>
  <c r="B108" i="7"/>
  <c r="C108" i="7"/>
  <c r="D108" i="7" s="1"/>
  <c r="A109" i="7"/>
  <c r="B109" i="7"/>
  <c r="C109" i="7"/>
  <c r="D109" i="7" s="1"/>
  <c r="C55" i="7"/>
  <c r="D55" i="7" s="1"/>
  <c r="B55" i="7"/>
  <c r="C54" i="7"/>
  <c r="D54" i="7" s="1"/>
  <c r="B54" i="7"/>
  <c r="A54" i="7"/>
  <c r="C53" i="7"/>
  <c r="D53" i="7" s="1"/>
  <c r="B53" i="7"/>
  <c r="A53" i="7"/>
  <c r="C52" i="7"/>
  <c r="B52" i="7"/>
  <c r="A52" i="7"/>
  <c r="C51" i="7"/>
  <c r="D51" i="7" s="1"/>
  <c r="B51" i="7"/>
  <c r="C50" i="7"/>
  <c r="D50" i="7" s="1"/>
  <c r="B50" i="7"/>
  <c r="A50" i="7"/>
  <c r="C49" i="7"/>
  <c r="D49" i="7" s="1"/>
  <c r="B49" i="7"/>
  <c r="A49" i="7"/>
  <c r="C48" i="7"/>
  <c r="D48" i="7" s="1"/>
  <c r="B48" i="7"/>
  <c r="A48" i="7"/>
  <c r="C47" i="7"/>
  <c r="D47" i="7" s="1"/>
  <c r="B47" i="7"/>
  <c r="C46" i="7"/>
  <c r="D46" i="7" s="1"/>
  <c r="B46" i="7"/>
  <c r="A46" i="7"/>
  <c r="C45" i="7"/>
  <c r="D45" i="7" s="1"/>
  <c r="B45" i="7"/>
  <c r="A45" i="7"/>
  <c r="C44" i="7"/>
  <c r="D44" i="7" s="1"/>
  <c r="B44" i="7"/>
  <c r="A44" i="7"/>
  <c r="C43" i="7"/>
  <c r="D43" i="7" s="1"/>
  <c r="B43" i="7"/>
  <c r="C42" i="7"/>
  <c r="D42" i="7" s="1"/>
  <c r="B42" i="7"/>
  <c r="A42" i="7"/>
  <c r="C41" i="7"/>
  <c r="B41" i="7"/>
  <c r="A41" i="7"/>
  <c r="C40" i="7"/>
  <c r="B40" i="7"/>
  <c r="A40" i="7"/>
  <c r="C39" i="7"/>
  <c r="D39" i="7" s="1"/>
  <c r="B39" i="7"/>
  <c r="C38" i="7"/>
  <c r="D38" i="7" s="1"/>
  <c r="B38" i="7"/>
  <c r="A38" i="7"/>
  <c r="C37" i="7"/>
  <c r="D37" i="7" s="1"/>
  <c r="B37" i="7"/>
  <c r="A37" i="7"/>
  <c r="C36" i="7"/>
  <c r="D36" i="7" s="1"/>
  <c r="B36" i="7"/>
  <c r="A36" i="7"/>
  <c r="C35" i="7"/>
  <c r="D35" i="7" s="1"/>
  <c r="B35" i="7"/>
  <c r="C34" i="7"/>
  <c r="D34" i="7" s="1"/>
  <c r="B34" i="7"/>
  <c r="A34" i="7"/>
  <c r="C33" i="7"/>
  <c r="D33" i="7" s="1"/>
  <c r="B33" i="7"/>
  <c r="A33" i="7"/>
  <c r="C32" i="7"/>
  <c r="D32" i="7" s="1"/>
  <c r="B32" i="7"/>
  <c r="A32" i="7"/>
  <c r="C31" i="7"/>
  <c r="D31" i="7" s="1"/>
  <c r="B31" i="7"/>
  <c r="C30" i="7"/>
  <c r="D30" i="7" s="1"/>
  <c r="B30" i="7"/>
  <c r="A30" i="7"/>
  <c r="C29" i="7"/>
  <c r="D29" i="7" s="1"/>
  <c r="B29" i="7"/>
  <c r="A29" i="7"/>
  <c r="C28" i="7"/>
  <c r="D28" i="7" s="1"/>
  <c r="B28" i="7"/>
  <c r="A28" i="7"/>
  <c r="C27" i="7"/>
  <c r="D27" i="7" s="1"/>
  <c r="B27" i="7"/>
  <c r="C26" i="7"/>
  <c r="D26" i="7" s="1"/>
  <c r="B26" i="7"/>
  <c r="A26" i="7"/>
  <c r="C25" i="7"/>
  <c r="D25" i="7" s="1"/>
  <c r="B25" i="7"/>
  <c r="A25" i="7"/>
  <c r="C24" i="7"/>
  <c r="D24" i="7" s="1"/>
  <c r="B24" i="7"/>
  <c r="A24" i="7"/>
  <c r="C23" i="7"/>
  <c r="D23" i="7" s="1"/>
  <c r="B23" i="7"/>
  <c r="C22" i="7"/>
  <c r="D22" i="7" s="1"/>
  <c r="B22" i="7"/>
  <c r="A22" i="7"/>
  <c r="C21" i="7"/>
  <c r="D21" i="7" s="1"/>
  <c r="B21" i="7"/>
  <c r="A21" i="7"/>
  <c r="C20" i="7"/>
  <c r="D20" i="7" s="1"/>
  <c r="B20" i="7"/>
  <c r="A20" i="7"/>
  <c r="C19" i="7"/>
  <c r="D19" i="7" s="1"/>
  <c r="B19" i="7"/>
  <c r="C18" i="7"/>
  <c r="D18" i="7" s="1"/>
  <c r="B18" i="7"/>
  <c r="A18" i="7"/>
  <c r="C17" i="7"/>
  <c r="D17" i="7" s="1"/>
  <c r="B17" i="7"/>
  <c r="A17" i="7"/>
  <c r="C16" i="7"/>
  <c r="D16" i="7" s="1"/>
  <c r="B16" i="7"/>
  <c r="A16" i="7"/>
  <c r="C15" i="7"/>
  <c r="D15" i="7" s="1"/>
  <c r="B15" i="7"/>
  <c r="A15" i="7"/>
  <c r="C14" i="7"/>
  <c r="D14" i="7" s="1"/>
  <c r="B14" i="7"/>
  <c r="A14" i="7"/>
  <c r="C13" i="7"/>
  <c r="D13" i="7" s="1"/>
  <c r="B13" i="7"/>
  <c r="A13" i="7"/>
  <c r="C12" i="7"/>
  <c r="D12" i="7" s="1"/>
  <c r="B12" i="7"/>
  <c r="A12" i="7"/>
  <c r="C11" i="7"/>
  <c r="D11" i="7" s="1"/>
  <c r="B11" i="7"/>
  <c r="A11" i="7"/>
  <c r="C10" i="7"/>
  <c r="D10" i="7" s="1"/>
  <c r="B10" i="7"/>
  <c r="A10" i="7"/>
  <c r="C9" i="7"/>
  <c r="D9" i="7" s="1"/>
  <c r="B9" i="7"/>
  <c r="A9" i="7"/>
  <c r="C8" i="7"/>
  <c r="D8" i="7" s="1"/>
  <c r="B8" i="7"/>
  <c r="A8" i="7"/>
  <c r="F48" i="28"/>
  <c r="F35" i="28"/>
  <c r="F24" i="28"/>
  <c r="F53" i="28"/>
  <c r="F42" i="28"/>
  <c r="F29" i="28"/>
  <c r="F18" i="28"/>
  <c r="F11" i="28"/>
  <c r="F45" i="28"/>
  <c r="F34" i="28"/>
  <c r="F21" i="28"/>
  <c r="F14" i="28"/>
  <c r="F9" i="28"/>
  <c r="F95" i="28"/>
  <c r="F92" i="28"/>
  <c r="F87" i="28"/>
  <c r="F84" i="28"/>
  <c r="F79" i="28"/>
  <c r="F76" i="28"/>
  <c r="F71" i="28"/>
  <c r="F68" i="28"/>
  <c r="F55" i="28"/>
  <c r="F44" i="28"/>
  <c r="F31" i="28"/>
  <c r="F20" i="28"/>
  <c r="F97" i="28"/>
  <c r="F94" i="28"/>
  <c r="F89" i="28"/>
  <c r="F86" i="28"/>
  <c r="F81" i="28"/>
  <c r="F78" i="28"/>
  <c r="F73" i="28"/>
  <c r="F70" i="28"/>
  <c r="F61" i="28"/>
  <c r="F50" i="28"/>
  <c r="F37" i="28"/>
  <c r="F26" i="28"/>
  <c r="F15" i="28"/>
  <c r="F159" i="28"/>
  <c r="F156" i="28"/>
  <c r="F151" i="28"/>
  <c r="F148" i="28"/>
  <c r="F143" i="28"/>
  <c r="F138" i="28"/>
  <c r="F131" i="28"/>
  <c r="F126" i="28"/>
  <c r="F119" i="28"/>
  <c r="F114" i="28"/>
  <c r="D162" i="28"/>
  <c r="D161" i="28"/>
  <c r="D160" i="28"/>
  <c r="D159" i="28"/>
  <c r="D158" i="28"/>
  <c r="D157" i="28"/>
  <c r="D156" i="28"/>
  <c r="D155" i="28"/>
  <c r="D154" i="28"/>
  <c r="D153" i="28"/>
  <c r="D152" i="28"/>
  <c r="D151" i="28"/>
  <c r="D150" i="28"/>
  <c r="D149" i="28"/>
  <c r="D148" i="28"/>
  <c r="D147" i="28"/>
  <c r="D146" i="28"/>
  <c r="D145" i="28"/>
  <c r="D144" i="28"/>
  <c r="D143" i="28"/>
  <c r="D142" i="28"/>
  <c r="D141" i="28"/>
  <c r="D140" i="28"/>
  <c r="D139" i="28"/>
  <c r="D138" i="28"/>
  <c r="D137" i="28"/>
  <c r="D136" i="28"/>
  <c r="D135" i="28"/>
  <c r="D134" i="28"/>
  <c r="D133" i="28"/>
  <c r="D132" i="28"/>
  <c r="D131" i="28"/>
  <c r="D130" i="28"/>
  <c r="D129" i="28"/>
  <c r="D128" i="28"/>
  <c r="D127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D113" i="28"/>
  <c r="D112" i="28"/>
  <c r="D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F157" i="28"/>
  <c r="F154" i="28"/>
  <c r="F149" i="28"/>
  <c r="F146" i="28"/>
  <c r="F139" i="28"/>
  <c r="F134" i="28"/>
  <c r="F127" i="28"/>
  <c r="F122" i="28"/>
  <c r="F115" i="28"/>
  <c r="F110" i="28"/>
  <c r="F105" i="28"/>
  <c r="F155" i="28"/>
  <c r="F152" i="28"/>
  <c r="F147" i="28"/>
  <c r="F144" i="28"/>
  <c r="F51" i="28"/>
  <c r="F40" i="28"/>
  <c r="F27" i="28"/>
  <c r="F153" i="28"/>
  <c r="F150" i="28"/>
  <c r="F145" i="28"/>
  <c r="F140" i="28"/>
  <c r="F133" i="28"/>
  <c r="F128" i="28"/>
  <c r="F121" i="28"/>
  <c r="F116" i="28"/>
  <c r="F109" i="28"/>
  <c r="F52" i="28"/>
  <c r="F39" i="28"/>
  <c r="F28" i="28"/>
  <c r="F132" i="28"/>
  <c r="F125" i="28"/>
  <c r="F120" i="28"/>
  <c r="F113" i="28"/>
  <c r="F47" i="28"/>
  <c r="F36" i="28"/>
  <c r="F23" i="28"/>
  <c r="F16" i="28"/>
  <c r="F10" i="28"/>
  <c r="F99" i="28"/>
  <c r="F96" i="28"/>
  <c r="F91" i="28"/>
  <c r="F88" i="28"/>
  <c r="F83" i="28"/>
  <c r="F80" i="28"/>
  <c r="F75" i="28"/>
  <c r="F72" i="28"/>
  <c r="F67" i="28"/>
  <c r="F56" i="28"/>
  <c r="F43" i="28"/>
  <c r="F32" i="28"/>
  <c r="F19" i="28"/>
  <c r="F136" i="28"/>
  <c r="F129" i="28"/>
  <c r="F124" i="28"/>
  <c r="F117" i="28"/>
  <c r="F112" i="28"/>
  <c r="F107" i="28"/>
  <c r="F46" i="28"/>
  <c r="F33" i="28"/>
  <c r="F22" i="28"/>
  <c r="F13" i="28"/>
  <c r="F101" i="28"/>
  <c r="F98" i="28"/>
  <c r="F93" i="28"/>
  <c r="F90" i="28"/>
  <c r="F85" i="28"/>
  <c r="F82" i="28"/>
  <c r="F77" i="28"/>
  <c r="F74" i="28"/>
  <c r="F69" i="28"/>
  <c r="F62" i="28"/>
  <c r="F49" i="28"/>
  <c r="F38" i="28"/>
  <c r="F25" i="28"/>
  <c r="F135" i="28"/>
  <c r="F130" i="28"/>
  <c r="F123" i="28"/>
  <c r="F118" i="28"/>
  <c r="F111" i="28"/>
  <c r="F108" i="28"/>
  <c r="F103" i="28"/>
  <c r="F54" i="28"/>
  <c r="F41" i="28"/>
  <c r="F30" i="28"/>
  <c r="F17" i="28"/>
  <c r="F12" i="28"/>
  <c r="F8" i="28"/>
  <c r="D8" i="28"/>
  <c r="C128" i="34" l="1"/>
  <c r="D128" i="34" s="1"/>
  <c r="C122" i="34"/>
  <c r="D122" i="34" s="1"/>
  <c r="C125" i="34"/>
  <c r="D125" i="34" s="1"/>
  <c r="C115" i="34"/>
  <c r="D115" i="34" s="1"/>
  <c r="C127" i="34"/>
  <c r="D127" i="34" s="1"/>
  <c r="C119" i="34"/>
  <c r="D119" i="34" s="1"/>
  <c r="C121" i="34"/>
  <c r="D121" i="34" s="1"/>
  <c r="C109" i="34"/>
  <c r="D109" i="34" s="1"/>
  <c r="C130" i="34"/>
  <c r="D130" i="34" s="1"/>
  <c r="C114" i="34"/>
  <c r="D114" i="34" s="1"/>
  <c r="C131" i="34"/>
  <c r="D131" i="34" s="1"/>
  <c r="C124" i="34"/>
  <c r="D124" i="34" s="1"/>
  <c r="C120" i="34"/>
  <c r="D120" i="34" s="1"/>
  <c r="C113" i="34"/>
  <c r="D113" i="34" s="1"/>
  <c r="C112" i="34"/>
  <c r="D112" i="34" s="1"/>
  <c r="C111" i="34"/>
  <c r="D111" i="34" s="1"/>
  <c r="C126" i="34"/>
  <c r="D126" i="34" s="1"/>
  <c r="C118" i="34"/>
  <c r="D118" i="34" s="1"/>
  <c r="C117" i="34"/>
  <c r="D117" i="34" s="1"/>
  <c r="C116" i="34"/>
  <c r="D116" i="34" s="1"/>
  <c r="C110" i="34"/>
  <c r="D110" i="34" s="1"/>
  <c r="C129" i="34"/>
  <c r="D129" i="34" s="1"/>
  <c r="C123" i="34"/>
  <c r="D123" i="34" s="1"/>
  <c r="Y8" i="34"/>
  <c r="F44" i="34"/>
  <c r="F99" i="34" s="1"/>
  <c r="AA26" i="38"/>
  <c r="F53" i="38"/>
  <c r="Z53" i="38"/>
  <c r="Z25" i="38"/>
  <c r="Z54" i="38" s="1"/>
  <c r="AA8" i="38"/>
  <c r="F25" i="38"/>
  <c r="F54" i="38" s="1"/>
  <c r="Z98" i="34"/>
  <c r="AB45" i="34"/>
  <c r="AA9" i="34"/>
  <c r="AB9" i="34" s="1"/>
  <c r="Y9" i="34"/>
  <c r="AA10" i="34"/>
  <c r="AB10" i="34" s="1"/>
  <c r="Y10" i="34"/>
  <c r="AA11" i="34"/>
  <c r="AB11" i="34" s="1"/>
  <c r="Y11" i="34"/>
  <c r="Z44" i="34"/>
  <c r="AA94" i="7"/>
  <c r="F164" i="7"/>
  <c r="Z164" i="7"/>
  <c r="AA30" i="39"/>
  <c r="AB30" i="39" s="1"/>
  <c r="Y19" i="39"/>
  <c r="AA16" i="39"/>
  <c r="AB16" i="39" s="1"/>
  <c r="AA24" i="39"/>
  <c r="AB24" i="39" s="1"/>
  <c r="AA49" i="39"/>
  <c r="AB49" i="39" s="1"/>
  <c r="Y23" i="34"/>
  <c r="AA50" i="34"/>
  <c r="AB50" i="34" s="1"/>
  <c r="AA27" i="34"/>
  <c r="AB27" i="34" s="1"/>
  <c r="Y26" i="34"/>
  <c r="AA21" i="34"/>
  <c r="AB21" i="34" s="1"/>
  <c r="AA52" i="34"/>
  <c r="AB52" i="34" s="1"/>
  <c r="Y34" i="34"/>
  <c r="AA37" i="34"/>
  <c r="AB37" i="34" s="1"/>
  <c r="Y41" i="34"/>
  <c r="Y13" i="34"/>
  <c r="Y48" i="34"/>
  <c r="AA14" i="34"/>
  <c r="AB14" i="34" s="1"/>
  <c r="Y45" i="34"/>
  <c r="AA24" i="34"/>
  <c r="AB24" i="34" s="1"/>
  <c r="Y54" i="34"/>
  <c r="Y38" i="34"/>
  <c r="AA51" i="39"/>
  <c r="AB51" i="39" s="1"/>
  <c r="Y46" i="39"/>
  <c r="Y43" i="39"/>
  <c r="Y40" i="39"/>
  <c r="AA12" i="39"/>
  <c r="AB12" i="39" s="1"/>
  <c r="AA15" i="39"/>
  <c r="AB15" i="39" s="1"/>
  <c r="AA37" i="39"/>
  <c r="AB37" i="39" s="1"/>
  <c r="Y29" i="39"/>
  <c r="AA20" i="39"/>
  <c r="AB20" i="39" s="1"/>
  <c r="AA34" i="39"/>
  <c r="AB34" i="39" s="1"/>
  <c r="Y44" i="38"/>
  <c r="Y41" i="38"/>
  <c r="Y38" i="38"/>
  <c r="AA35" i="38"/>
  <c r="AB35" i="38" s="1"/>
  <c r="AA23" i="38"/>
  <c r="AB23" i="38" s="1"/>
  <c r="Y21" i="38"/>
  <c r="Y28" i="38"/>
  <c r="AB58" i="7"/>
  <c r="D13" i="39"/>
  <c r="AB8" i="39"/>
  <c r="AA14" i="39"/>
  <c r="AB14" i="39" s="1"/>
  <c r="Y22" i="39"/>
  <c r="Y13" i="39"/>
  <c r="AA32" i="39"/>
  <c r="AB32" i="39" s="1"/>
  <c r="AA35" i="39"/>
  <c r="AB35" i="39" s="1"/>
  <c r="Y41" i="39"/>
  <c r="AA50" i="39"/>
  <c r="AB50" i="39" s="1"/>
  <c r="Y21" i="39"/>
  <c r="Y31" i="39"/>
  <c r="AA38" i="39"/>
  <c r="AB38" i="39" s="1"/>
  <c r="Y44" i="39"/>
  <c r="Y39" i="39"/>
  <c r="Y17" i="39"/>
  <c r="Y47" i="39"/>
  <c r="AA9" i="39"/>
  <c r="AB9" i="39" s="1"/>
  <c r="Y36" i="39"/>
  <c r="AA52" i="39"/>
  <c r="AB52" i="39" s="1"/>
  <c r="Y28" i="39"/>
  <c r="Y42" i="39"/>
  <c r="AA48" i="39"/>
  <c r="AB48" i="39" s="1"/>
  <c r="AA27" i="39"/>
  <c r="AB27" i="39" s="1"/>
  <c r="D9" i="39"/>
  <c r="Y23" i="39"/>
  <c r="Y45" i="39"/>
  <c r="Y36" i="38"/>
  <c r="Y27" i="38"/>
  <c r="Y31" i="38"/>
  <c r="Y34" i="38"/>
  <c r="AA39" i="38"/>
  <c r="AB39" i="38" s="1"/>
  <c r="Y17" i="38"/>
  <c r="AA14" i="38"/>
  <c r="AB14" i="38" s="1"/>
  <c r="AA42" i="38"/>
  <c r="AB42" i="38" s="1"/>
  <c r="Y45" i="38"/>
  <c r="AA22" i="38"/>
  <c r="AB22" i="38" s="1"/>
  <c r="Y13" i="38"/>
  <c r="AA15" i="38"/>
  <c r="AB15" i="38" s="1"/>
  <c r="AA24" i="38"/>
  <c r="AB24" i="38" s="1"/>
  <c r="AA50" i="38"/>
  <c r="AB50" i="38" s="1"/>
  <c r="AA32" i="38"/>
  <c r="AB32" i="38" s="1"/>
  <c r="Y30" i="38"/>
  <c r="AA30" i="38"/>
  <c r="AB30" i="38" s="1"/>
  <c r="D13" i="38"/>
  <c r="AA16" i="38"/>
  <c r="AB16" i="38" s="1"/>
  <c r="Y16" i="38"/>
  <c r="AA47" i="38"/>
  <c r="AB47" i="38" s="1"/>
  <c r="Y47" i="38"/>
  <c r="AB8" i="38"/>
  <c r="AA20" i="38"/>
  <c r="AB20" i="38" s="1"/>
  <c r="Y20" i="38"/>
  <c r="AA12" i="38"/>
  <c r="AB12" i="38" s="1"/>
  <c r="AA48" i="38"/>
  <c r="AB48" i="38" s="1"/>
  <c r="Y48" i="38"/>
  <c r="Y40" i="38"/>
  <c r="Y49" i="38"/>
  <c r="AA37" i="38"/>
  <c r="AB37" i="38" s="1"/>
  <c r="Y43" i="38"/>
  <c r="Y19" i="38"/>
  <c r="Y29" i="38"/>
  <c r="Y46" i="38"/>
  <c r="Y52" i="38"/>
  <c r="Y51" i="34"/>
  <c r="Y35" i="34"/>
  <c r="Y17" i="34"/>
  <c r="AA15" i="34"/>
  <c r="AB15" i="34" s="1"/>
  <c r="Y22" i="34"/>
  <c r="Y31" i="34"/>
  <c r="Y36" i="34"/>
  <c r="Y20" i="34"/>
  <c r="Y33" i="34"/>
  <c r="AA53" i="34"/>
  <c r="AB53" i="34" s="1"/>
  <c r="Y30" i="34"/>
  <c r="AA43" i="34"/>
  <c r="AB43" i="34" s="1"/>
  <c r="Y43" i="34"/>
  <c r="AA39" i="34"/>
  <c r="AB39" i="34" s="1"/>
  <c r="Y39" i="34"/>
  <c r="Y47" i="34"/>
  <c r="AA47" i="34"/>
  <c r="AB47" i="34" s="1"/>
  <c r="Y55" i="34"/>
  <c r="AA16" i="34"/>
  <c r="AB16" i="34" s="1"/>
  <c r="Y16" i="34"/>
  <c r="AA29" i="34"/>
  <c r="AB29" i="34" s="1"/>
  <c r="Y29" i="34"/>
  <c r="AA19" i="34"/>
  <c r="AB19" i="34" s="1"/>
  <c r="Y19" i="34"/>
  <c r="AA49" i="34"/>
  <c r="AB49" i="34" s="1"/>
  <c r="Y49" i="34"/>
  <c r="AA28" i="34"/>
  <c r="AB28" i="34" s="1"/>
  <c r="Y28" i="34"/>
  <c r="AA46" i="34"/>
  <c r="AB46" i="34" s="1"/>
  <c r="Y46" i="34"/>
  <c r="AA40" i="34"/>
  <c r="AB40" i="34" s="1"/>
  <c r="Y12" i="34"/>
  <c r="AA8" i="34"/>
  <c r="AA42" i="34"/>
  <c r="AB42" i="34" s="1"/>
  <c r="Y42" i="34"/>
  <c r="AA56" i="34"/>
  <c r="AB56" i="34" s="1"/>
  <c r="Y56" i="34"/>
  <c r="F8" i="7"/>
  <c r="F9" i="7"/>
  <c r="Y9" i="7" s="1"/>
  <c r="F10" i="7"/>
  <c r="Y10" i="7" s="1"/>
  <c r="F11" i="7"/>
  <c r="Y11" i="7" s="1"/>
  <c r="F12" i="7"/>
  <c r="L12" i="7"/>
  <c r="F13" i="7"/>
  <c r="L13" i="7"/>
  <c r="F14" i="7"/>
  <c r="L14" i="7"/>
  <c r="F15" i="7"/>
  <c r="L15" i="7"/>
  <c r="F16" i="7"/>
  <c r="L16" i="7"/>
  <c r="F17" i="7"/>
  <c r="L17" i="7"/>
  <c r="F18" i="7"/>
  <c r="F19" i="7"/>
  <c r="L19" i="7"/>
  <c r="F20" i="7"/>
  <c r="L20" i="7"/>
  <c r="F21" i="7"/>
  <c r="L21" i="7"/>
  <c r="F22" i="7"/>
  <c r="L22" i="7"/>
  <c r="F23" i="7"/>
  <c r="L23" i="7"/>
  <c r="F24" i="7"/>
  <c r="L24" i="7"/>
  <c r="F25" i="7"/>
  <c r="F26" i="7"/>
  <c r="L26" i="7"/>
  <c r="F27" i="7"/>
  <c r="L27" i="7"/>
  <c r="F28" i="7"/>
  <c r="L28" i="7"/>
  <c r="F29" i="7"/>
  <c r="L29" i="7"/>
  <c r="F30" i="7"/>
  <c r="L30" i="7"/>
  <c r="F31" i="7"/>
  <c r="L31" i="7"/>
  <c r="F32" i="7"/>
  <c r="F33" i="7"/>
  <c r="L33" i="7"/>
  <c r="F34" i="7"/>
  <c r="L34" i="7"/>
  <c r="F35" i="7"/>
  <c r="L35" i="7"/>
  <c r="F36" i="7"/>
  <c r="L36" i="7"/>
  <c r="Y99" i="34" l="1"/>
  <c r="Y98" i="34"/>
  <c r="Z99" i="34"/>
  <c r="Y53" i="38"/>
  <c r="Y54" i="38"/>
  <c r="AB26" i="38"/>
  <c r="AA53" i="38"/>
  <c r="Y25" i="38"/>
  <c r="AA25" i="38"/>
  <c r="AA98" i="34"/>
  <c r="Y44" i="34"/>
  <c r="AA44" i="34"/>
  <c r="AB94" i="7"/>
  <c r="AA164" i="7"/>
  <c r="Y8" i="7"/>
  <c r="AB8" i="34"/>
  <c r="B3" i="15"/>
  <c r="AB25" i="38" l="1"/>
  <c r="AA54" i="38"/>
  <c r="AB54" i="38" s="1"/>
  <c r="AB44" i="34"/>
  <c r="AD44" i="34" s="1"/>
  <c r="AA99" i="34"/>
  <c r="AB99" i="34" s="1"/>
  <c r="AB53" i="38"/>
  <c r="AB98" i="34"/>
  <c r="AA32" i="7"/>
  <c r="AB32" i="7" s="1"/>
  <c r="AA25" i="7"/>
  <c r="AB25" i="7" s="1"/>
  <c r="AA18" i="7"/>
  <c r="AB18" i="7" s="1"/>
  <c r="AA11" i="7"/>
  <c r="AB11" i="7" s="1"/>
  <c r="AA10" i="7"/>
  <c r="AB10" i="7" s="1"/>
  <c r="AA9" i="7"/>
  <c r="AB9" i="7" s="1"/>
  <c r="AA8" i="7"/>
  <c r="Z32" i="7"/>
  <c r="Z25" i="7"/>
  <c r="Z18" i="7"/>
  <c r="Z9" i="7"/>
  <c r="Z11" i="7"/>
  <c r="Z10" i="7"/>
  <c r="Z8" i="7"/>
  <c r="AB8" i="7" l="1"/>
  <c r="D27" i="15"/>
  <c r="D20" i="15"/>
  <c r="D13" i="15"/>
  <c r="D6" i="15"/>
  <c r="D5" i="15"/>
  <c r="D4" i="15"/>
  <c r="C3" i="15"/>
  <c r="D3" i="15" s="1"/>
  <c r="L47" i="7" l="1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93" i="7" l="1"/>
  <c r="F165" i="7" s="1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6" i="15"/>
  <c r="F25" i="15"/>
  <c r="F24" i="15"/>
  <c r="F23" i="15"/>
  <c r="F22" i="15"/>
  <c r="F21" i="15"/>
  <c r="F19" i="15"/>
  <c r="F18" i="15"/>
  <c r="F17" i="15"/>
  <c r="F16" i="15"/>
  <c r="F15" i="15"/>
  <c r="F14" i="15"/>
  <c r="F12" i="15"/>
  <c r="F11" i="15"/>
  <c r="F10" i="15"/>
  <c r="F9" i="15"/>
  <c r="F8" i="15"/>
  <c r="F7" i="15"/>
  <c r="Z55" i="7" l="1"/>
  <c r="Z54" i="7"/>
  <c r="Z53" i="7"/>
  <c r="Z52" i="7"/>
  <c r="Z51" i="7"/>
  <c r="Z50" i="7"/>
  <c r="Z49" i="7"/>
  <c r="Z48" i="7"/>
  <c r="Z47" i="7"/>
  <c r="Z46" i="7"/>
  <c r="Z45" i="7"/>
  <c r="Z44" i="7"/>
  <c r="Z43" i="7"/>
  <c r="Z41" i="7"/>
  <c r="Z40" i="7"/>
  <c r="Z39" i="7"/>
  <c r="Z38" i="7"/>
  <c r="Z37" i="7"/>
  <c r="Z36" i="7"/>
  <c r="Z35" i="7"/>
  <c r="Z34" i="7"/>
  <c r="Z33" i="7"/>
  <c r="Z31" i="7"/>
  <c r="Z30" i="7"/>
  <c r="Z29" i="7"/>
  <c r="Z28" i="7"/>
  <c r="Z27" i="7"/>
  <c r="Z26" i="7"/>
  <c r="Z24" i="7"/>
  <c r="Z23" i="7"/>
  <c r="Z22" i="7"/>
  <c r="Z21" i="7"/>
  <c r="Z20" i="7"/>
  <c r="Z19" i="7"/>
  <c r="Z17" i="7"/>
  <c r="Z16" i="7"/>
  <c r="Z15" i="7"/>
  <c r="Z14" i="7"/>
  <c r="Z13" i="7"/>
  <c r="Z12" i="7"/>
  <c r="AA55" i="7"/>
  <c r="AA53" i="7"/>
  <c r="Y52" i="7"/>
  <c r="Y51" i="7"/>
  <c r="AA50" i="7"/>
  <c r="AA49" i="7"/>
  <c r="AA48" i="7"/>
  <c r="AA47" i="7"/>
  <c r="AA45" i="7"/>
  <c r="AA44" i="7"/>
  <c r="Y43" i="7"/>
  <c r="AA41" i="7"/>
  <c r="Y40" i="7"/>
  <c r="AA39" i="7"/>
  <c r="AA38" i="7"/>
  <c r="AA36" i="7"/>
  <c r="AA35" i="7"/>
  <c r="AA34" i="7"/>
  <c r="AA33" i="7"/>
  <c r="Y31" i="7"/>
  <c r="Y30" i="7"/>
  <c r="AA29" i="7"/>
  <c r="Y28" i="7"/>
  <c r="AA27" i="7"/>
  <c r="AA26" i="7"/>
  <c r="AA24" i="7"/>
  <c r="AA23" i="7"/>
  <c r="Y22" i="7"/>
  <c r="Y21" i="7"/>
  <c r="Y20" i="7"/>
  <c r="Y19" i="7"/>
  <c r="Y17" i="7"/>
  <c r="Y16" i="7"/>
  <c r="AA15" i="7"/>
  <c r="AA14" i="7"/>
  <c r="Y13" i="7"/>
  <c r="Y12" i="7"/>
  <c r="AA42" i="7"/>
  <c r="AB35" i="7" l="1"/>
  <c r="AB45" i="7"/>
  <c r="AA40" i="7"/>
  <c r="AB40" i="7" s="1"/>
  <c r="AB33" i="7"/>
  <c r="AB41" i="7"/>
  <c r="Y41" i="7"/>
  <c r="AB47" i="7"/>
  <c r="AB48" i="7"/>
  <c r="AA31" i="7"/>
  <c r="AB31" i="7" s="1"/>
  <c r="AB38" i="7"/>
  <c r="AB55" i="7"/>
  <c r="Y49" i="7"/>
  <c r="AB34" i="7"/>
  <c r="AA13" i="7"/>
  <c r="AB13" i="7" s="1"/>
  <c r="Y50" i="7"/>
  <c r="AB36" i="7"/>
  <c r="AB53" i="7"/>
  <c r="Y14" i="7"/>
  <c r="Y35" i="7"/>
  <c r="Y44" i="7"/>
  <c r="AA17" i="7"/>
  <c r="AB17" i="7" s="1"/>
  <c r="AA52" i="7"/>
  <c r="AB52" i="7" s="1"/>
  <c r="Y53" i="7"/>
  <c r="Y36" i="7"/>
  <c r="Y45" i="7"/>
  <c r="AB39" i="7"/>
  <c r="Y27" i="7"/>
  <c r="Y33" i="7"/>
  <c r="Y26" i="7"/>
  <c r="AB23" i="7"/>
  <c r="AB50" i="7"/>
  <c r="AA16" i="7"/>
  <c r="AB16" i="7" s="1"/>
  <c r="AA22" i="7"/>
  <c r="AB22" i="7" s="1"/>
  <c r="AA51" i="7"/>
  <c r="AB51" i="7" s="1"/>
  <c r="AB29" i="7"/>
  <c r="AB14" i="7"/>
  <c r="AB15" i="7"/>
  <c r="AB24" i="7"/>
  <c r="Y23" i="7"/>
  <c r="AA43" i="7"/>
  <c r="AB43" i="7" s="1"/>
  <c r="Y37" i="7"/>
  <c r="AA37" i="7"/>
  <c r="AB37" i="7" s="1"/>
  <c r="Y46" i="7"/>
  <c r="AA46" i="7"/>
  <c r="AB46" i="7" s="1"/>
  <c r="Y54" i="7"/>
  <c r="AA54" i="7"/>
  <c r="AB54" i="7" s="1"/>
  <c r="AA28" i="7"/>
  <c r="AB28" i="7" s="1"/>
  <c r="AA19" i="7"/>
  <c r="AB19" i="7" s="1"/>
  <c r="Y29" i="7"/>
  <c r="AB26" i="7"/>
  <c r="Y38" i="7"/>
  <c r="AB49" i="7"/>
  <c r="Y55" i="7"/>
  <c r="AA20" i="7"/>
  <c r="AB20" i="7" s="1"/>
  <c r="Y15" i="7"/>
  <c r="AB27" i="7"/>
  <c r="Y34" i="7"/>
  <c r="Y48" i="7"/>
  <c r="AA12" i="7"/>
  <c r="AA21" i="7"/>
  <c r="AB21" i="7" s="1"/>
  <c r="AA30" i="7"/>
  <c r="AB30" i="7" s="1"/>
  <c r="Y47" i="7"/>
  <c r="AB44" i="7"/>
  <c r="Y24" i="7"/>
  <c r="Y39" i="7"/>
  <c r="Y42" i="7"/>
  <c r="Y93" i="7" l="1"/>
  <c r="Y165" i="7"/>
  <c r="AA93" i="7"/>
  <c r="AA165" i="7" s="1"/>
  <c r="AB12" i="7"/>
  <c r="V46" i="7" l="1"/>
  <c r="L46" i="7"/>
  <c r="V45" i="7"/>
  <c r="L45" i="7"/>
  <c r="V44" i="7"/>
  <c r="L44" i="7"/>
  <c r="V43" i="7"/>
  <c r="L43" i="7"/>
  <c r="V42" i="7"/>
  <c r="L42" i="7"/>
  <c r="V41" i="7"/>
  <c r="L41" i="7"/>
  <c r="V40" i="7"/>
  <c r="L40" i="7"/>
  <c r="V39" i="7"/>
  <c r="L39" i="7"/>
  <c r="V38" i="7"/>
  <c r="L38" i="7"/>
  <c r="V37" i="7"/>
  <c r="L37" i="7"/>
  <c r="V36" i="7"/>
  <c r="V35" i="7"/>
  <c r="V34" i="7"/>
  <c r="V33" i="7"/>
  <c r="V31" i="7"/>
  <c r="V30" i="7"/>
  <c r="V29" i="7"/>
  <c r="V28" i="7"/>
  <c r="V27" i="7"/>
  <c r="P170" i="7" l="1"/>
  <c r="O170" i="7"/>
  <c r="P169" i="7"/>
  <c r="O169" i="7"/>
  <c r="Z42" i="7" l="1"/>
  <c r="Z93" i="7" l="1"/>
  <c r="AB42" i="7"/>
  <c r="AB93" i="7" l="1"/>
  <c r="Z165" i="7"/>
  <c r="AB165" i="7" s="1"/>
  <c r="C199" i="7"/>
  <c r="AB164" i="7" l="1"/>
  <c r="E200" i="7"/>
  <c r="F200" i="7" s="1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6" i="15"/>
  <c r="D25" i="15"/>
  <c r="D24" i="15"/>
  <c r="D23" i="15"/>
  <c r="D22" i="15"/>
  <c r="D21" i="15"/>
  <c r="D19" i="15"/>
  <c r="D18" i="15"/>
  <c r="D17" i="15"/>
  <c r="D16" i="15"/>
  <c r="D15" i="15"/>
  <c r="D14" i="15"/>
  <c r="D12" i="15"/>
  <c r="D11" i="15"/>
  <c r="D10" i="15"/>
  <c r="D9" i="15"/>
  <c r="D8" i="15"/>
  <c r="D7" i="15"/>
  <c r="B3" i="24"/>
  <c r="B3" i="25"/>
  <c r="B3" i="23"/>
  <c r="B3" i="22"/>
  <c r="B3" i="21"/>
  <c r="B3" i="20"/>
  <c r="B3" i="19"/>
  <c r="B3" i="18"/>
  <c r="B3" i="14"/>
  <c r="B3" i="13"/>
  <c r="B3" i="12"/>
  <c r="B3" i="11"/>
  <c r="B3" i="10"/>
  <c r="B3" i="9"/>
  <c r="B3" i="8"/>
  <c r="V22" i="29"/>
  <c r="V18" i="29"/>
  <c r="V16" i="29"/>
  <c r="V15" i="29"/>
  <c r="V12" i="29"/>
  <c r="V11" i="29"/>
  <c r="V10" i="29"/>
  <c r="V9" i="29"/>
  <c r="V8" i="29"/>
  <c r="V7" i="29"/>
  <c r="V6" i="29"/>
  <c r="V5" i="29"/>
  <c r="V3" i="29"/>
  <c r="V2" i="29"/>
  <c r="B4" i="24"/>
  <c r="B4" i="25"/>
  <c r="B4" i="23"/>
  <c r="B4" i="22"/>
  <c r="B4" i="20"/>
  <c r="B4" i="19"/>
  <c r="B4" i="18"/>
  <c r="B4" i="14"/>
  <c r="B4" i="13"/>
  <c r="B4" i="12"/>
  <c r="B4" i="10"/>
  <c r="B4" i="9"/>
  <c r="B4" i="8"/>
  <c r="T8" i="6" l="1"/>
  <c r="Q8" i="6"/>
  <c r="P8" i="6"/>
  <c r="M8" i="6"/>
  <c r="L8" i="6"/>
  <c r="I8" i="6"/>
  <c r="H8" i="6"/>
  <c r="G8" i="6"/>
  <c r="F8" i="6"/>
  <c r="U46" i="25"/>
  <c r="P46" i="25"/>
  <c r="L46" i="25"/>
  <c r="H46" i="25"/>
  <c r="U45" i="25"/>
  <c r="P45" i="25"/>
  <c r="L45" i="25"/>
  <c r="H45" i="25"/>
  <c r="U44" i="25"/>
  <c r="P44" i="25"/>
  <c r="L44" i="25"/>
  <c r="H44" i="25"/>
  <c r="U43" i="25"/>
  <c r="P43" i="25"/>
  <c r="L43" i="25"/>
  <c r="H43" i="25"/>
  <c r="U42" i="25"/>
  <c r="P42" i="25"/>
  <c r="L42" i="25"/>
  <c r="H42" i="25"/>
  <c r="U41" i="25"/>
  <c r="P41" i="25"/>
  <c r="L41" i="25"/>
  <c r="H41" i="25"/>
  <c r="U40" i="25"/>
  <c r="P40" i="25"/>
  <c r="L40" i="25"/>
  <c r="H40" i="25"/>
  <c r="U39" i="25"/>
  <c r="P39" i="25"/>
  <c r="L39" i="25"/>
  <c r="H39" i="25"/>
  <c r="U38" i="25"/>
  <c r="P38" i="25"/>
  <c r="L38" i="25"/>
  <c r="H38" i="25"/>
  <c r="U37" i="25"/>
  <c r="P37" i="25"/>
  <c r="L37" i="25"/>
  <c r="H37" i="25"/>
  <c r="U36" i="25"/>
  <c r="P36" i="25"/>
  <c r="L36" i="25"/>
  <c r="H36" i="25"/>
  <c r="U35" i="25"/>
  <c r="P35" i="25"/>
  <c r="L35" i="25"/>
  <c r="H35" i="25"/>
  <c r="U34" i="25"/>
  <c r="P34" i="25"/>
  <c r="L34" i="25"/>
  <c r="H34" i="25"/>
  <c r="U33" i="25"/>
  <c r="P33" i="25"/>
  <c r="L33" i="25"/>
  <c r="H33" i="25"/>
  <c r="U32" i="25"/>
  <c r="P32" i="25"/>
  <c r="L32" i="25"/>
  <c r="H32" i="25"/>
  <c r="U31" i="25"/>
  <c r="P31" i="25"/>
  <c r="L31" i="25"/>
  <c r="H31" i="25"/>
  <c r="U30" i="25"/>
  <c r="P30" i="25"/>
  <c r="L30" i="25"/>
  <c r="H30" i="25"/>
  <c r="U29" i="25"/>
  <c r="P29" i="25"/>
  <c r="L29" i="25"/>
  <c r="H29" i="25"/>
  <c r="U28" i="25"/>
  <c r="U47" i="25" s="1"/>
  <c r="P28" i="25"/>
  <c r="L28" i="25"/>
  <c r="H28" i="25"/>
  <c r="U26" i="25"/>
  <c r="P26" i="25"/>
  <c r="L26" i="25"/>
  <c r="H26" i="25"/>
  <c r="U25" i="25"/>
  <c r="P25" i="25"/>
  <c r="L25" i="25"/>
  <c r="H25" i="25"/>
  <c r="U24" i="25"/>
  <c r="P24" i="25"/>
  <c r="L24" i="25"/>
  <c r="H24" i="25"/>
  <c r="U23" i="25"/>
  <c r="P23" i="25"/>
  <c r="L23" i="25"/>
  <c r="H23" i="25"/>
  <c r="U22" i="25"/>
  <c r="P22" i="25"/>
  <c r="L22" i="25"/>
  <c r="H22" i="25"/>
  <c r="U21" i="25"/>
  <c r="P21" i="25"/>
  <c r="L21" i="25"/>
  <c r="H21" i="25"/>
  <c r="U20" i="25"/>
  <c r="P20" i="25"/>
  <c r="L20" i="25"/>
  <c r="H20" i="25"/>
  <c r="U19" i="25"/>
  <c r="P19" i="25"/>
  <c r="L19" i="25"/>
  <c r="H19" i="25"/>
  <c r="U18" i="25"/>
  <c r="P18" i="25"/>
  <c r="L18" i="25"/>
  <c r="H18" i="25"/>
  <c r="U17" i="25"/>
  <c r="P17" i="25"/>
  <c r="L17" i="25"/>
  <c r="H17" i="25"/>
  <c r="U16" i="25"/>
  <c r="P16" i="25"/>
  <c r="L16" i="25"/>
  <c r="H16" i="25"/>
  <c r="U15" i="25"/>
  <c r="P15" i="25"/>
  <c r="L15" i="25"/>
  <c r="H15" i="25"/>
  <c r="U14" i="25"/>
  <c r="P14" i="25"/>
  <c r="L14" i="25"/>
  <c r="H14" i="25"/>
  <c r="U13" i="25"/>
  <c r="P13" i="25"/>
  <c r="L13" i="25"/>
  <c r="H13" i="25"/>
  <c r="U12" i="25"/>
  <c r="P12" i="25"/>
  <c r="L12" i="25"/>
  <c r="H12" i="25"/>
  <c r="U11" i="25"/>
  <c r="P11" i="25"/>
  <c r="L11" i="25"/>
  <c r="H11" i="25"/>
  <c r="U10" i="25"/>
  <c r="P10" i="25"/>
  <c r="L10" i="25"/>
  <c r="H10" i="25"/>
  <c r="U9" i="25"/>
  <c r="P9" i="25"/>
  <c r="L9" i="25"/>
  <c r="H9" i="25"/>
  <c r="U8" i="25"/>
  <c r="R8" i="25"/>
  <c r="P8" i="25"/>
  <c r="L8" i="25"/>
  <c r="H8" i="25"/>
  <c r="W46" i="24"/>
  <c r="R46" i="24"/>
  <c r="N46" i="24"/>
  <c r="J46" i="24"/>
  <c r="W45" i="24"/>
  <c r="R45" i="24"/>
  <c r="N45" i="24"/>
  <c r="J45" i="24"/>
  <c r="W44" i="24"/>
  <c r="R44" i="24"/>
  <c r="N44" i="24"/>
  <c r="J44" i="24"/>
  <c r="W43" i="24"/>
  <c r="R43" i="24"/>
  <c r="N43" i="24"/>
  <c r="J43" i="24"/>
  <c r="W42" i="24"/>
  <c r="R42" i="24"/>
  <c r="N42" i="24"/>
  <c r="J42" i="24"/>
  <c r="W41" i="24"/>
  <c r="R41" i="24"/>
  <c r="N41" i="24"/>
  <c r="J41" i="24"/>
  <c r="W40" i="24"/>
  <c r="R40" i="24"/>
  <c r="N40" i="24"/>
  <c r="J40" i="24"/>
  <c r="W39" i="24"/>
  <c r="R39" i="24"/>
  <c r="N39" i="24"/>
  <c r="J39" i="24"/>
  <c r="W38" i="24"/>
  <c r="R38" i="24"/>
  <c r="N38" i="24"/>
  <c r="J38" i="24"/>
  <c r="W37" i="24"/>
  <c r="R37" i="24"/>
  <c r="N37" i="24"/>
  <c r="J37" i="24"/>
  <c r="W36" i="24"/>
  <c r="R36" i="24"/>
  <c r="N36" i="24"/>
  <c r="J36" i="24"/>
  <c r="W35" i="24"/>
  <c r="R35" i="24"/>
  <c r="N35" i="24"/>
  <c r="J35" i="24"/>
  <c r="W34" i="24"/>
  <c r="R34" i="24"/>
  <c r="N34" i="24"/>
  <c r="J34" i="24"/>
  <c r="W33" i="24"/>
  <c r="R33" i="24"/>
  <c r="N33" i="24"/>
  <c r="J33" i="24"/>
  <c r="W32" i="24"/>
  <c r="R32" i="24"/>
  <c r="N32" i="24"/>
  <c r="J32" i="24"/>
  <c r="W31" i="24"/>
  <c r="R31" i="24"/>
  <c r="N31" i="24"/>
  <c r="J31" i="24"/>
  <c r="W30" i="24"/>
  <c r="R30" i="24"/>
  <c r="N30" i="24"/>
  <c r="J30" i="24"/>
  <c r="W29" i="24"/>
  <c r="R29" i="24"/>
  <c r="N29" i="24"/>
  <c r="J29" i="24"/>
  <c r="W28" i="24"/>
  <c r="R28" i="24"/>
  <c r="N28" i="24"/>
  <c r="J28" i="24"/>
  <c r="W26" i="24"/>
  <c r="R26" i="24"/>
  <c r="N26" i="24"/>
  <c r="J26" i="24"/>
  <c r="W25" i="24"/>
  <c r="R25" i="24"/>
  <c r="N25" i="24"/>
  <c r="J25" i="24"/>
  <c r="W24" i="24"/>
  <c r="R24" i="24"/>
  <c r="N24" i="24"/>
  <c r="J24" i="24"/>
  <c r="W23" i="24"/>
  <c r="R23" i="24"/>
  <c r="N23" i="24"/>
  <c r="J23" i="24"/>
  <c r="W22" i="24"/>
  <c r="R22" i="24"/>
  <c r="N22" i="24"/>
  <c r="J22" i="24"/>
  <c r="W21" i="24"/>
  <c r="R21" i="24"/>
  <c r="N21" i="24"/>
  <c r="J21" i="24"/>
  <c r="W20" i="24"/>
  <c r="R20" i="24"/>
  <c r="N20" i="24"/>
  <c r="J20" i="24"/>
  <c r="W19" i="24"/>
  <c r="R19" i="24"/>
  <c r="N19" i="24"/>
  <c r="J19" i="24"/>
  <c r="W18" i="24"/>
  <c r="R18" i="24"/>
  <c r="N18" i="24"/>
  <c r="J18" i="24"/>
  <c r="W17" i="24"/>
  <c r="R17" i="24"/>
  <c r="N17" i="24"/>
  <c r="J17" i="24"/>
  <c r="W16" i="24"/>
  <c r="R16" i="24"/>
  <c r="N16" i="24"/>
  <c r="J16" i="24"/>
  <c r="W15" i="24"/>
  <c r="R15" i="24"/>
  <c r="N15" i="24"/>
  <c r="J15" i="24"/>
  <c r="W14" i="24"/>
  <c r="R14" i="24"/>
  <c r="N14" i="24"/>
  <c r="J14" i="24"/>
  <c r="W13" i="24"/>
  <c r="R13" i="24"/>
  <c r="N13" i="24"/>
  <c r="J13" i="24"/>
  <c r="W12" i="24"/>
  <c r="R12" i="24"/>
  <c r="N12" i="24"/>
  <c r="J12" i="24"/>
  <c r="W11" i="24"/>
  <c r="R11" i="24"/>
  <c r="N11" i="24"/>
  <c r="J11" i="24"/>
  <c r="W10" i="24"/>
  <c r="R10" i="24"/>
  <c r="N10" i="24"/>
  <c r="J10" i="24"/>
  <c r="W9" i="24"/>
  <c r="R9" i="24"/>
  <c r="N9" i="24"/>
  <c r="J9" i="24"/>
  <c r="W8" i="24"/>
  <c r="W27" i="24" s="1"/>
  <c r="T8" i="24"/>
  <c r="R8" i="24"/>
  <c r="N8" i="24"/>
  <c r="J8" i="24"/>
  <c r="W47" i="24" l="1"/>
  <c r="W48" i="24"/>
  <c r="U27" i="25"/>
  <c r="U48" i="25" s="1"/>
  <c r="V8" i="6"/>
  <c r="V26" i="7"/>
  <c r="V24" i="7"/>
  <c r="V23" i="7"/>
  <c r="V22" i="7"/>
  <c r="V21" i="7"/>
  <c r="V20" i="7"/>
  <c r="V19" i="7"/>
  <c r="V17" i="7"/>
  <c r="V16" i="7"/>
  <c r="V12" i="7"/>
  <c r="K8" i="6"/>
  <c r="U46" i="23"/>
  <c r="P46" i="23"/>
  <c r="L46" i="23"/>
  <c r="H46" i="23"/>
  <c r="U45" i="23"/>
  <c r="P45" i="23"/>
  <c r="L45" i="23"/>
  <c r="H45" i="23"/>
  <c r="U44" i="23"/>
  <c r="P44" i="23"/>
  <c r="L44" i="23"/>
  <c r="H44" i="23"/>
  <c r="U43" i="23"/>
  <c r="P43" i="23"/>
  <c r="L43" i="23"/>
  <c r="H43" i="23"/>
  <c r="U42" i="23"/>
  <c r="P42" i="23"/>
  <c r="L42" i="23"/>
  <c r="H42" i="23"/>
  <c r="U41" i="23"/>
  <c r="P41" i="23"/>
  <c r="L41" i="23"/>
  <c r="H41" i="23"/>
  <c r="U40" i="23"/>
  <c r="P40" i="23"/>
  <c r="L40" i="23"/>
  <c r="H40" i="23"/>
  <c r="U39" i="23"/>
  <c r="P39" i="23"/>
  <c r="L39" i="23"/>
  <c r="H39" i="23"/>
  <c r="U38" i="23"/>
  <c r="P38" i="23"/>
  <c r="L38" i="23"/>
  <c r="H38" i="23"/>
  <c r="U37" i="23"/>
  <c r="P37" i="23"/>
  <c r="L37" i="23"/>
  <c r="H37" i="23"/>
  <c r="U36" i="23"/>
  <c r="P36" i="23"/>
  <c r="L36" i="23"/>
  <c r="H36" i="23"/>
  <c r="U35" i="23"/>
  <c r="P35" i="23"/>
  <c r="L35" i="23"/>
  <c r="H35" i="23"/>
  <c r="U34" i="23"/>
  <c r="P34" i="23"/>
  <c r="L34" i="23"/>
  <c r="H34" i="23"/>
  <c r="U33" i="23"/>
  <c r="P33" i="23"/>
  <c r="L33" i="23"/>
  <c r="H33" i="23"/>
  <c r="U32" i="23"/>
  <c r="P32" i="23"/>
  <c r="L32" i="23"/>
  <c r="H32" i="23"/>
  <c r="U31" i="23"/>
  <c r="P31" i="23"/>
  <c r="L31" i="23"/>
  <c r="H31" i="23"/>
  <c r="U30" i="23"/>
  <c r="P30" i="23"/>
  <c r="L30" i="23"/>
  <c r="H30" i="23"/>
  <c r="U29" i="23"/>
  <c r="P29" i="23"/>
  <c r="L29" i="23"/>
  <c r="H29" i="23"/>
  <c r="U28" i="23"/>
  <c r="U47" i="23" s="1"/>
  <c r="P28" i="23"/>
  <c r="L28" i="23"/>
  <c r="H28" i="23"/>
  <c r="U26" i="23"/>
  <c r="P26" i="23"/>
  <c r="L26" i="23"/>
  <c r="H26" i="23"/>
  <c r="U25" i="23"/>
  <c r="P25" i="23"/>
  <c r="L25" i="23"/>
  <c r="H25" i="23"/>
  <c r="U24" i="23"/>
  <c r="P24" i="23"/>
  <c r="L24" i="23"/>
  <c r="H24" i="23"/>
  <c r="U23" i="23"/>
  <c r="P23" i="23"/>
  <c r="L23" i="23"/>
  <c r="H23" i="23"/>
  <c r="U22" i="23"/>
  <c r="P22" i="23"/>
  <c r="L22" i="23"/>
  <c r="H22" i="23"/>
  <c r="U21" i="23"/>
  <c r="P21" i="23"/>
  <c r="L21" i="23"/>
  <c r="H21" i="23"/>
  <c r="U20" i="23"/>
  <c r="P20" i="23"/>
  <c r="L20" i="23"/>
  <c r="H20" i="23"/>
  <c r="U19" i="23"/>
  <c r="P19" i="23"/>
  <c r="L19" i="23"/>
  <c r="H19" i="23"/>
  <c r="U18" i="23"/>
  <c r="P18" i="23"/>
  <c r="L18" i="23"/>
  <c r="H18" i="23"/>
  <c r="U17" i="23"/>
  <c r="P17" i="23"/>
  <c r="L17" i="23"/>
  <c r="H17" i="23"/>
  <c r="U16" i="23"/>
  <c r="P16" i="23"/>
  <c r="L16" i="23"/>
  <c r="H16" i="23"/>
  <c r="U15" i="23"/>
  <c r="P15" i="23"/>
  <c r="L15" i="23"/>
  <c r="H15" i="23"/>
  <c r="U14" i="23"/>
  <c r="P14" i="23"/>
  <c r="L14" i="23"/>
  <c r="H14" i="23"/>
  <c r="U13" i="23"/>
  <c r="P13" i="23"/>
  <c r="L13" i="23"/>
  <c r="H13" i="23"/>
  <c r="U12" i="23"/>
  <c r="P12" i="23"/>
  <c r="L12" i="23"/>
  <c r="H12" i="23"/>
  <c r="U11" i="23"/>
  <c r="P11" i="23"/>
  <c r="L11" i="23"/>
  <c r="H11" i="23"/>
  <c r="U10" i="23"/>
  <c r="P10" i="23"/>
  <c r="L10" i="23"/>
  <c r="H10" i="23"/>
  <c r="U9" i="23"/>
  <c r="P9" i="23"/>
  <c r="L9" i="23"/>
  <c r="H9" i="23"/>
  <c r="U8" i="23"/>
  <c r="R8" i="23"/>
  <c r="P8" i="23"/>
  <c r="L8" i="23"/>
  <c r="H8" i="23"/>
  <c r="U46" i="22"/>
  <c r="P46" i="22"/>
  <c r="L46" i="22"/>
  <c r="H46" i="22"/>
  <c r="U45" i="22"/>
  <c r="P45" i="22"/>
  <c r="L45" i="22"/>
  <c r="H45" i="22"/>
  <c r="U44" i="22"/>
  <c r="P44" i="22"/>
  <c r="L44" i="22"/>
  <c r="H44" i="22"/>
  <c r="U43" i="22"/>
  <c r="P43" i="22"/>
  <c r="L43" i="22"/>
  <c r="H43" i="22"/>
  <c r="U42" i="22"/>
  <c r="P42" i="22"/>
  <c r="L42" i="22"/>
  <c r="H42" i="22"/>
  <c r="U41" i="22"/>
  <c r="P41" i="22"/>
  <c r="L41" i="22"/>
  <c r="H41" i="22"/>
  <c r="U40" i="22"/>
  <c r="P40" i="22"/>
  <c r="L40" i="22"/>
  <c r="H40" i="22"/>
  <c r="U39" i="22"/>
  <c r="P39" i="22"/>
  <c r="L39" i="22"/>
  <c r="H39" i="22"/>
  <c r="U38" i="22"/>
  <c r="P38" i="22"/>
  <c r="L38" i="22"/>
  <c r="H38" i="22"/>
  <c r="U37" i="22"/>
  <c r="P37" i="22"/>
  <c r="L37" i="22"/>
  <c r="H37" i="22"/>
  <c r="U36" i="22"/>
  <c r="P36" i="22"/>
  <c r="L36" i="22"/>
  <c r="H36" i="22"/>
  <c r="U35" i="22"/>
  <c r="P35" i="22"/>
  <c r="L35" i="22"/>
  <c r="H35" i="22"/>
  <c r="U34" i="22"/>
  <c r="P34" i="22"/>
  <c r="L34" i="22"/>
  <c r="H34" i="22"/>
  <c r="U33" i="22"/>
  <c r="P33" i="22"/>
  <c r="L33" i="22"/>
  <c r="H33" i="22"/>
  <c r="U32" i="22"/>
  <c r="P32" i="22"/>
  <c r="L32" i="22"/>
  <c r="H32" i="22"/>
  <c r="U31" i="22"/>
  <c r="P31" i="22"/>
  <c r="L31" i="22"/>
  <c r="H31" i="22"/>
  <c r="U30" i="22"/>
  <c r="P30" i="22"/>
  <c r="L30" i="22"/>
  <c r="H30" i="22"/>
  <c r="U29" i="22"/>
  <c r="P29" i="22"/>
  <c r="L29" i="22"/>
  <c r="H29" i="22"/>
  <c r="U28" i="22"/>
  <c r="U47" i="22" s="1"/>
  <c r="P28" i="22"/>
  <c r="L28" i="22"/>
  <c r="H28" i="22"/>
  <c r="U26" i="22"/>
  <c r="P26" i="22"/>
  <c r="L26" i="22"/>
  <c r="H26" i="22"/>
  <c r="U25" i="22"/>
  <c r="P25" i="22"/>
  <c r="L25" i="22"/>
  <c r="H25" i="22"/>
  <c r="U24" i="22"/>
  <c r="P24" i="22"/>
  <c r="L24" i="22"/>
  <c r="H24" i="22"/>
  <c r="U23" i="22"/>
  <c r="P23" i="22"/>
  <c r="L23" i="22"/>
  <c r="H23" i="22"/>
  <c r="U22" i="22"/>
  <c r="P22" i="22"/>
  <c r="L22" i="22"/>
  <c r="H22" i="22"/>
  <c r="U21" i="22"/>
  <c r="P21" i="22"/>
  <c r="L21" i="22"/>
  <c r="H21" i="22"/>
  <c r="U20" i="22"/>
  <c r="P20" i="22"/>
  <c r="L20" i="22"/>
  <c r="H20" i="22"/>
  <c r="U19" i="22"/>
  <c r="P19" i="22"/>
  <c r="L19" i="22"/>
  <c r="H19" i="22"/>
  <c r="U18" i="22"/>
  <c r="P18" i="22"/>
  <c r="L18" i="22"/>
  <c r="H18" i="22"/>
  <c r="U17" i="22"/>
  <c r="P17" i="22"/>
  <c r="L17" i="22"/>
  <c r="H17" i="22"/>
  <c r="U16" i="22"/>
  <c r="P16" i="22"/>
  <c r="L16" i="22"/>
  <c r="H16" i="22"/>
  <c r="U15" i="22"/>
  <c r="P15" i="22"/>
  <c r="L15" i="22"/>
  <c r="H15" i="22"/>
  <c r="U14" i="22"/>
  <c r="P14" i="22"/>
  <c r="L14" i="22"/>
  <c r="H14" i="22"/>
  <c r="U13" i="22"/>
  <c r="P13" i="22"/>
  <c r="L13" i="22"/>
  <c r="H13" i="22"/>
  <c r="U12" i="22"/>
  <c r="P12" i="22"/>
  <c r="L12" i="22"/>
  <c r="H12" i="22"/>
  <c r="U11" i="22"/>
  <c r="P11" i="22"/>
  <c r="L11" i="22"/>
  <c r="H11" i="22"/>
  <c r="U10" i="22"/>
  <c r="P10" i="22"/>
  <c r="L10" i="22"/>
  <c r="H10" i="22"/>
  <c r="U9" i="22"/>
  <c r="P9" i="22"/>
  <c r="L9" i="22"/>
  <c r="H9" i="22"/>
  <c r="U8" i="22"/>
  <c r="R8" i="22"/>
  <c r="P8" i="22"/>
  <c r="L8" i="22"/>
  <c r="H8" i="22"/>
  <c r="U46" i="21"/>
  <c r="P46" i="21"/>
  <c r="L46" i="21"/>
  <c r="H46" i="21"/>
  <c r="U45" i="21"/>
  <c r="P45" i="21"/>
  <c r="L45" i="21"/>
  <c r="H45" i="21"/>
  <c r="U44" i="21"/>
  <c r="P44" i="21"/>
  <c r="L44" i="21"/>
  <c r="H44" i="21"/>
  <c r="U43" i="21"/>
  <c r="P43" i="21"/>
  <c r="L43" i="21"/>
  <c r="H43" i="21"/>
  <c r="U42" i="21"/>
  <c r="P42" i="21"/>
  <c r="L42" i="21"/>
  <c r="H42" i="21"/>
  <c r="U41" i="21"/>
  <c r="P41" i="21"/>
  <c r="L41" i="21"/>
  <c r="H41" i="21"/>
  <c r="U40" i="21"/>
  <c r="P40" i="21"/>
  <c r="L40" i="21"/>
  <c r="H40" i="21"/>
  <c r="U39" i="21"/>
  <c r="P39" i="21"/>
  <c r="L39" i="21"/>
  <c r="H39" i="21"/>
  <c r="U38" i="21"/>
  <c r="P38" i="21"/>
  <c r="L38" i="21"/>
  <c r="H38" i="21"/>
  <c r="U37" i="21"/>
  <c r="P37" i="21"/>
  <c r="L37" i="21"/>
  <c r="H37" i="21"/>
  <c r="U36" i="21"/>
  <c r="P36" i="21"/>
  <c r="L36" i="21"/>
  <c r="H36" i="21"/>
  <c r="U35" i="21"/>
  <c r="P35" i="21"/>
  <c r="L35" i="21"/>
  <c r="H35" i="21"/>
  <c r="U34" i="21"/>
  <c r="P34" i="21"/>
  <c r="L34" i="21"/>
  <c r="H34" i="21"/>
  <c r="U33" i="21"/>
  <c r="P33" i="21"/>
  <c r="L33" i="21"/>
  <c r="H33" i="21"/>
  <c r="U32" i="21"/>
  <c r="P32" i="21"/>
  <c r="L32" i="21"/>
  <c r="H32" i="21"/>
  <c r="U31" i="21"/>
  <c r="P31" i="21"/>
  <c r="L31" i="21"/>
  <c r="H31" i="21"/>
  <c r="U30" i="21"/>
  <c r="P30" i="21"/>
  <c r="L30" i="21"/>
  <c r="H30" i="21"/>
  <c r="U29" i="21"/>
  <c r="P29" i="21"/>
  <c r="L29" i="21"/>
  <c r="H29" i="21"/>
  <c r="U28" i="21"/>
  <c r="U47" i="21" s="1"/>
  <c r="P28" i="21"/>
  <c r="L28" i="21"/>
  <c r="H28" i="21"/>
  <c r="U26" i="21"/>
  <c r="P26" i="21"/>
  <c r="L26" i="21"/>
  <c r="H26" i="21"/>
  <c r="U25" i="21"/>
  <c r="P25" i="21"/>
  <c r="L25" i="21"/>
  <c r="H25" i="21"/>
  <c r="U24" i="21"/>
  <c r="P24" i="21"/>
  <c r="L24" i="21"/>
  <c r="H24" i="21"/>
  <c r="U23" i="21"/>
  <c r="P23" i="21"/>
  <c r="L23" i="21"/>
  <c r="H23" i="21"/>
  <c r="U22" i="21"/>
  <c r="P22" i="21"/>
  <c r="L22" i="21"/>
  <c r="H22" i="21"/>
  <c r="U21" i="21"/>
  <c r="P21" i="21"/>
  <c r="L21" i="21"/>
  <c r="H21" i="21"/>
  <c r="U20" i="21"/>
  <c r="P20" i="21"/>
  <c r="L20" i="21"/>
  <c r="H20" i="21"/>
  <c r="U19" i="21"/>
  <c r="P19" i="21"/>
  <c r="L19" i="21"/>
  <c r="H19" i="21"/>
  <c r="U18" i="21"/>
  <c r="P18" i="21"/>
  <c r="L18" i="21"/>
  <c r="H18" i="21"/>
  <c r="U17" i="21"/>
  <c r="P17" i="21"/>
  <c r="L17" i="21"/>
  <c r="H17" i="21"/>
  <c r="U16" i="21"/>
  <c r="P16" i="21"/>
  <c r="L16" i="21"/>
  <c r="H16" i="21"/>
  <c r="U15" i="21"/>
  <c r="P15" i="21"/>
  <c r="L15" i="21"/>
  <c r="H15" i="21"/>
  <c r="U14" i="21"/>
  <c r="P14" i="21"/>
  <c r="L14" i="21"/>
  <c r="H14" i="21"/>
  <c r="U13" i="21"/>
  <c r="P13" i="21"/>
  <c r="L13" i="21"/>
  <c r="H13" i="21"/>
  <c r="U12" i="21"/>
  <c r="P12" i="21"/>
  <c r="L12" i="21"/>
  <c r="H12" i="21"/>
  <c r="U11" i="21"/>
  <c r="P11" i="21"/>
  <c r="L11" i="21"/>
  <c r="H11" i="21"/>
  <c r="U10" i="21"/>
  <c r="P10" i="21"/>
  <c r="L10" i="21"/>
  <c r="H10" i="21"/>
  <c r="U9" i="21"/>
  <c r="P9" i="21"/>
  <c r="L9" i="21"/>
  <c r="H9" i="21"/>
  <c r="U8" i="21"/>
  <c r="R8" i="21"/>
  <c r="P8" i="21"/>
  <c r="L8" i="21"/>
  <c r="H8" i="21"/>
  <c r="U46" i="20"/>
  <c r="P46" i="20"/>
  <c r="L46" i="20"/>
  <c r="H46" i="20"/>
  <c r="U45" i="20"/>
  <c r="P45" i="20"/>
  <c r="L45" i="20"/>
  <c r="H45" i="20"/>
  <c r="U44" i="20"/>
  <c r="P44" i="20"/>
  <c r="L44" i="20"/>
  <c r="H44" i="20"/>
  <c r="U43" i="20"/>
  <c r="P43" i="20"/>
  <c r="L43" i="20"/>
  <c r="H43" i="20"/>
  <c r="U42" i="20"/>
  <c r="P42" i="20"/>
  <c r="L42" i="20"/>
  <c r="H42" i="20"/>
  <c r="U41" i="20"/>
  <c r="P41" i="20"/>
  <c r="L41" i="20"/>
  <c r="H41" i="20"/>
  <c r="U40" i="20"/>
  <c r="P40" i="20"/>
  <c r="L40" i="20"/>
  <c r="H40" i="20"/>
  <c r="U39" i="20"/>
  <c r="P39" i="20"/>
  <c r="L39" i="20"/>
  <c r="H39" i="20"/>
  <c r="U38" i="20"/>
  <c r="P38" i="20"/>
  <c r="L38" i="20"/>
  <c r="H38" i="20"/>
  <c r="U37" i="20"/>
  <c r="P37" i="20"/>
  <c r="L37" i="20"/>
  <c r="H37" i="20"/>
  <c r="U36" i="20"/>
  <c r="P36" i="20"/>
  <c r="L36" i="20"/>
  <c r="H36" i="20"/>
  <c r="U35" i="20"/>
  <c r="P35" i="20"/>
  <c r="L35" i="20"/>
  <c r="H35" i="20"/>
  <c r="U34" i="20"/>
  <c r="P34" i="20"/>
  <c r="L34" i="20"/>
  <c r="H34" i="20"/>
  <c r="U33" i="20"/>
  <c r="P33" i="20"/>
  <c r="L33" i="20"/>
  <c r="H33" i="20"/>
  <c r="U32" i="20"/>
  <c r="P32" i="20"/>
  <c r="L32" i="20"/>
  <c r="H32" i="20"/>
  <c r="U31" i="20"/>
  <c r="P31" i="20"/>
  <c r="L31" i="20"/>
  <c r="H31" i="20"/>
  <c r="U30" i="20"/>
  <c r="P30" i="20"/>
  <c r="L30" i="20"/>
  <c r="H30" i="20"/>
  <c r="U29" i="20"/>
  <c r="P29" i="20"/>
  <c r="L29" i="20"/>
  <c r="H29" i="20"/>
  <c r="U28" i="20"/>
  <c r="P28" i="20"/>
  <c r="L28" i="20"/>
  <c r="H28" i="20"/>
  <c r="U26" i="20"/>
  <c r="P26" i="20"/>
  <c r="L26" i="20"/>
  <c r="H26" i="20"/>
  <c r="U25" i="20"/>
  <c r="P25" i="20"/>
  <c r="L25" i="20"/>
  <c r="H25" i="20"/>
  <c r="U24" i="20"/>
  <c r="P24" i="20"/>
  <c r="L24" i="20"/>
  <c r="H24" i="20"/>
  <c r="U23" i="20"/>
  <c r="P23" i="20"/>
  <c r="L23" i="20"/>
  <c r="H23" i="20"/>
  <c r="U22" i="20"/>
  <c r="P22" i="20"/>
  <c r="L22" i="20"/>
  <c r="H22" i="20"/>
  <c r="U21" i="20"/>
  <c r="P21" i="20"/>
  <c r="L21" i="20"/>
  <c r="H21" i="20"/>
  <c r="U20" i="20"/>
  <c r="P20" i="20"/>
  <c r="L20" i="20"/>
  <c r="H20" i="20"/>
  <c r="U19" i="20"/>
  <c r="P19" i="20"/>
  <c r="L19" i="20"/>
  <c r="H19" i="20"/>
  <c r="U18" i="20"/>
  <c r="P18" i="20"/>
  <c r="L18" i="20"/>
  <c r="H18" i="20"/>
  <c r="U17" i="20"/>
  <c r="P17" i="20"/>
  <c r="L17" i="20"/>
  <c r="H17" i="20"/>
  <c r="U16" i="20"/>
  <c r="P16" i="20"/>
  <c r="L16" i="20"/>
  <c r="H16" i="20"/>
  <c r="U15" i="20"/>
  <c r="P15" i="20"/>
  <c r="L15" i="20"/>
  <c r="H15" i="20"/>
  <c r="U14" i="20"/>
  <c r="P14" i="20"/>
  <c r="L14" i="20"/>
  <c r="H14" i="20"/>
  <c r="U13" i="20"/>
  <c r="P13" i="20"/>
  <c r="L13" i="20"/>
  <c r="H13" i="20"/>
  <c r="U12" i="20"/>
  <c r="P12" i="20"/>
  <c r="L12" i="20"/>
  <c r="H12" i="20"/>
  <c r="U11" i="20"/>
  <c r="P11" i="20"/>
  <c r="L11" i="20"/>
  <c r="H11" i="20"/>
  <c r="U10" i="20"/>
  <c r="P10" i="20"/>
  <c r="L10" i="20"/>
  <c r="H10" i="20"/>
  <c r="U9" i="20"/>
  <c r="P9" i="20"/>
  <c r="L9" i="20"/>
  <c r="H9" i="20"/>
  <c r="U8" i="20"/>
  <c r="U27" i="20" s="1"/>
  <c r="R8" i="20"/>
  <c r="P8" i="20"/>
  <c r="L8" i="20"/>
  <c r="H8" i="20"/>
  <c r="U46" i="19"/>
  <c r="P46" i="19"/>
  <c r="L46" i="19"/>
  <c r="H46" i="19"/>
  <c r="U45" i="19"/>
  <c r="P45" i="19"/>
  <c r="L45" i="19"/>
  <c r="H45" i="19"/>
  <c r="U44" i="19"/>
  <c r="P44" i="19"/>
  <c r="L44" i="19"/>
  <c r="H44" i="19"/>
  <c r="U43" i="19"/>
  <c r="P43" i="19"/>
  <c r="L43" i="19"/>
  <c r="H43" i="19"/>
  <c r="U42" i="19"/>
  <c r="P42" i="19"/>
  <c r="L42" i="19"/>
  <c r="H42" i="19"/>
  <c r="U41" i="19"/>
  <c r="P41" i="19"/>
  <c r="L41" i="19"/>
  <c r="H41" i="19"/>
  <c r="U40" i="19"/>
  <c r="P40" i="19"/>
  <c r="L40" i="19"/>
  <c r="H40" i="19"/>
  <c r="U39" i="19"/>
  <c r="P39" i="19"/>
  <c r="L39" i="19"/>
  <c r="H39" i="19"/>
  <c r="U38" i="19"/>
  <c r="P38" i="19"/>
  <c r="L38" i="19"/>
  <c r="H38" i="19"/>
  <c r="U37" i="19"/>
  <c r="P37" i="19"/>
  <c r="L37" i="19"/>
  <c r="H37" i="19"/>
  <c r="U36" i="19"/>
  <c r="P36" i="19"/>
  <c r="L36" i="19"/>
  <c r="H36" i="19"/>
  <c r="U35" i="19"/>
  <c r="P35" i="19"/>
  <c r="L35" i="19"/>
  <c r="H35" i="19"/>
  <c r="U34" i="19"/>
  <c r="P34" i="19"/>
  <c r="L34" i="19"/>
  <c r="H34" i="19"/>
  <c r="U33" i="19"/>
  <c r="P33" i="19"/>
  <c r="L33" i="19"/>
  <c r="H33" i="19"/>
  <c r="U32" i="19"/>
  <c r="P32" i="19"/>
  <c r="L32" i="19"/>
  <c r="H32" i="19"/>
  <c r="U31" i="19"/>
  <c r="P31" i="19"/>
  <c r="L31" i="19"/>
  <c r="H31" i="19"/>
  <c r="U30" i="19"/>
  <c r="P30" i="19"/>
  <c r="L30" i="19"/>
  <c r="H30" i="19"/>
  <c r="U29" i="19"/>
  <c r="P29" i="19"/>
  <c r="L29" i="19"/>
  <c r="H29" i="19"/>
  <c r="U28" i="19"/>
  <c r="U47" i="19" s="1"/>
  <c r="P28" i="19"/>
  <c r="L28" i="19"/>
  <c r="H28" i="19"/>
  <c r="U26" i="19"/>
  <c r="P26" i="19"/>
  <c r="L26" i="19"/>
  <c r="H26" i="19"/>
  <c r="U25" i="19"/>
  <c r="P25" i="19"/>
  <c r="L25" i="19"/>
  <c r="H25" i="19"/>
  <c r="U24" i="19"/>
  <c r="P24" i="19"/>
  <c r="L24" i="19"/>
  <c r="H24" i="19"/>
  <c r="U23" i="19"/>
  <c r="P23" i="19"/>
  <c r="L23" i="19"/>
  <c r="H23" i="19"/>
  <c r="U22" i="19"/>
  <c r="P22" i="19"/>
  <c r="L22" i="19"/>
  <c r="H22" i="19"/>
  <c r="U21" i="19"/>
  <c r="P21" i="19"/>
  <c r="L21" i="19"/>
  <c r="H21" i="19"/>
  <c r="U20" i="19"/>
  <c r="P20" i="19"/>
  <c r="L20" i="19"/>
  <c r="H20" i="19"/>
  <c r="U19" i="19"/>
  <c r="P19" i="19"/>
  <c r="L19" i="19"/>
  <c r="H19" i="19"/>
  <c r="U18" i="19"/>
  <c r="P18" i="19"/>
  <c r="L18" i="19"/>
  <c r="H18" i="19"/>
  <c r="U17" i="19"/>
  <c r="P17" i="19"/>
  <c r="L17" i="19"/>
  <c r="H17" i="19"/>
  <c r="U16" i="19"/>
  <c r="P16" i="19"/>
  <c r="L16" i="19"/>
  <c r="H16" i="19"/>
  <c r="U15" i="19"/>
  <c r="P15" i="19"/>
  <c r="L15" i="19"/>
  <c r="H15" i="19"/>
  <c r="U14" i="19"/>
  <c r="P14" i="19"/>
  <c r="L14" i="19"/>
  <c r="H14" i="19"/>
  <c r="U13" i="19"/>
  <c r="P13" i="19"/>
  <c r="L13" i="19"/>
  <c r="H13" i="19"/>
  <c r="U12" i="19"/>
  <c r="P12" i="19"/>
  <c r="L12" i="19"/>
  <c r="H12" i="19"/>
  <c r="U11" i="19"/>
  <c r="P11" i="19"/>
  <c r="L11" i="19"/>
  <c r="H11" i="19"/>
  <c r="U10" i="19"/>
  <c r="P10" i="19"/>
  <c r="L10" i="19"/>
  <c r="H10" i="19"/>
  <c r="U9" i="19"/>
  <c r="P9" i="19"/>
  <c r="L9" i="19"/>
  <c r="H9" i="19"/>
  <c r="U8" i="19"/>
  <c r="R8" i="19"/>
  <c r="P8" i="19"/>
  <c r="L8" i="19"/>
  <c r="H8" i="19"/>
  <c r="U46" i="18"/>
  <c r="P46" i="18"/>
  <c r="L46" i="18"/>
  <c r="H46" i="18"/>
  <c r="U45" i="18"/>
  <c r="P45" i="18"/>
  <c r="L45" i="18"/>
  <c r="H45" i="18"/>
  <c r="U44" i="18"/>
  <c r="P44" i="18"/>
  <c r="L44" i="18"/>
  <c r="H44" i="18"/>
  <c r="U43" i="18"/>
  <c r="P43" i="18"/>
  <c r="L43" i="18"/>
  <c r="H43" i="18"/>
  <c r="U42" i="18"/>
  <c r="P42" i="18"/>
  <c r="L42" i="18"/>
  <c r="H42" i="18"/>
  <c r="U41" i="18"/>
  <c r="P41" i="18"/>
  <c r="L41" i="18"/>
  <c r="H41" i="18"/>
  <c r="U40" i="18"/>
  <c r="P40" i="18"/>
  <c r="L40" i="18"/>
  <c r="H40" i="18"/>
  <c r="U39" i="18"/>
  <c r="P39" i="18"/>
  <c r="L39" i="18"/>
  <c r="H39" i="18"/>
  <c r="U38" i="18"/>
  <c r="P38" i="18"/>
  <c r="L38" i="18"/>
  <c r="H38" i="18"/>
  <c r="U37" i="18"/>
  <c r="P37" i="18"/>
  <c r="L37" i="18"/>
  <c r="H37" i="18"/>
  <c r="U36" i="18"/>
  <c r="P36" i="18"/>
  <c r="L36" i="18"/>
  <c r="H36" i="18"/>
  <c r="U35" i="18"/>
  <c r="P35" i="18"/>
  <c r="L35" i="18"/>
  <c r="H35" i="18"/>
  <c r="U34" i="18"/>
  <c r="P34" i="18"/>
  <c r="L34" i="18"/>
  <c r="H34" i="18"/>
  <c r="U33" i="18"/>
  <c r="P33" i="18"/>
  <c r="L33" i="18"/>
  <c r="H33" i="18"/>
  <c r="U32" i="18"/>
  <c r="P32" i="18"/>
  <c r="L32" i="18"/>
  <c r="H32" i="18"/>
  <c r="U31" i="18"/>
  <c r="P31" i="18"/>
  <c r="L31" i="18"/>
  <c r="H31" i="18"/>
  <c r="U30" i="18"/>
  <c r="P30" i="18"/>
  <c r="L30" i="18"/>
  <c r="H30" i="18"/>
  <c r="U29" i="18"/>
  <c r="P29" i="18"/>
  <c r="L29" i="18"/>
  <c r="H29" i="18"/>
  <c r="U28" i="18"/>
  <c r="P28" i="18"/>
  <c r="L28" i="18"/>
  <c r="H28" i="18"/>
  <c r="U26" i="18"/>
  <c r="P26" i="18"/>
  <c r="L26" i="18"/>
  <c r="H26" i="18"/>
  <c r="U25" i="18"/>
  <c r="P25" i="18"/>
  <c r="L25" i="18"/>
  <c r="H25" i="18"/>
  <c r="U24" i="18"/>
  <c r="P24" i="18"/>
  <c r="L24" i="18"/>
  <c r="H24" i="18"/>
  <c r="U23" i="18"/>
  <c r="P23" i="18"/>
  <c r="L23" i="18"/>
  <c r="H23" i="18"/>
  <c r="U22" i="18"/>
  <c r="P22" i="18"/>
  <c r="L22" i="18"/>
  <c r="H22" i="18"/>
  <c r="U21" i="18"/>
  <c r="P21" i="18"/>
  <c r="L21" i="18"/>
  <c r="H21" i="18"/>
  <c r="U20" i="18"/>
  <c r="P20" i="18"/>
  <c r="L20" i="18"/>
  <c r="H20" i="18"/>
  <c r="U19" i="18"/>
  <c r="P19" i="18"/>
  <c r="L19" i="18"/>
  <c r="H19" i="18"/>
  <c r="U18" i="18"/>
  <c r="P18" i="18"/>
  <c r="L18" i="18"/>
  <c r="H18" i="18"/>
  <c r="U17" i="18"/>
  <c r="P17" i="18"/>
  <c r="L17" i="18"/>
  <c r="H17" i="18"/>
  <c r="U16" i="18"/>
  <c r="P16" i="18"/>
  <c r="L16" i="18"/>
  <c r="H16" i="18"/>
  <c r="U15" i="18"/>
  <c r="P15" i="18"/>
  <c r="L15" i="18"/>
  <c r="H15" i="18"/>
  <c r="U14" i="18"/>
  <c r="P14" i="18"/>
  <c r="L14" i="18"/>
  <c r="H14" i="18"/>
  <c r="U13" i="18"/>
  <c r="P13" i="18"/>
  <c r="L13" i="18"/>
  <c r="H13" i="18"/>
  <c r="U12" i="18"/>
  <c r="P12" i="18"/>
  <c r="L12" i="18"/>
  <c r="H12" i="18"/>
  <c r="U11" i="18"/>
  <c r="P11" i="18"/>
  <c r="L11" i="18"/>
  <c r="H11" i="18"/>
  <c r="U10" i="18"/>
  <c r="P10" i="18"/>
  <c r="L10" i="18"/>
  <c r="H10" i="18"/>
  <c r="U9" i="18"/>
  <c r="P9" i="18"/>
  <c r="L9" i="18"/>
  <c r="H9" i="18"/>
  <c r="U8" i="18"/>
  <c r="R8" i="18"/>
  <c r="P8" i="18"/>
  <c r="L8" i="18"/>
  <c r="H8" i="18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48" i="16"/>
  <c r="R46" i="16"/>
  <c r="N46" i="16"/>
  <c r="J46" i="16"/>
  <c r="R45" i="16"/>
  <c r="N45" i="16"/>
  <c r="J45" i="16"/>
  <c r="R44" i="16"/>
  <c r="N44" i="16"/>
  <c r="J44" i="16"/>
  <c r="R43" i="16"/>
  <c r="N43" i="16"/>
  <c r="J43" i="16"/>
  <c r="R42" i="16"/>
  <c r="N42" i="16"/>
  <c r="J42" i="16"/>
  <c r="R41" i="16"/>
  <c r="N41" i="16"/>
  <c r="J41" i="16"/>
  <c r="R40" i="16"/>
  <c r="N40" i="16"/>
  <c r="J40" i="16"/>
  <c r="R39" i="16"/>
  <c r="N39" i="16"/>
  <c r="J39" i="16"/>
  <c r="R38" i="16"/>
  <c r="N38" i="16"/>
  <c r="J38" i="16"/>
  <c r="R37" i="16"/>
  <c r="N37" i="16"/>
  <c r="J37" i="16"/>
  <c r="R36" i="16"/>
  <c r="N36" i="16"/>
  <c r="J36" i="16"/>
  <c r="R35" i="16"/>
  <c r="N35" i="16"/>
  <c r="J35" i="16"/>
  <c r="R34" i="16"/>
  <c r="N34" i="16"/>
  <c r="J34" i="16"/>
  <c r="R33" i="16"/>
  <c r="N33" i="16"/>
  <c r="J33" i="16"/>
  <c r="R32" i="16"/>
  <c r="N32" i="16"/>
  <c r="J32" i="16"/>
  <c r="R31" i="16"/>
  <c r="N31" i="16"/>
  <c r="J31" i="16"/>
  <c r="R30" i="16"/>
  <c r="N30" i="16"/>
  <c r="J30" i="16"/>
  <c r="R29" i="16"/>
  <c r="N29" i="16"/>
  <c r="J29" i="16"/>
  <c r="R28" i="16"/>
  <c r="N28" i="16"/>
  <c r="J28" i="16"/>
  <c r="R26" i="16"/>
  <c r="N26" i="16"/>
  <c r="J26" i="16"/>
  <c r="R25" i="16"/>
  <c r="N25" i="16"/>
  <c r="J25" i="16"/>
  <c r="R24" i="16"/>
  <c r="N24" i="16"/>
  <c r="J24" i="16"/>
  <c r="R23" i="16"/>
  <c r="N23" i="16"/>
  <c r="J23" i="16"/>
  <c r="R22" i="16"/>
  <c r="N22" i="16"/>
  <c r="J22" i="16"/>
  <c r="R21" i="16"/>
  <c r="N21" i="16"/>
  <c r="J21" i="16"/>
  <c r="R20" i="16"/>
  <c r="N20" i="16"/>
  <c r="J20" i="16"/>
  <c r="R19" i="16"/>
  <c r="N19" i="16"/>
  <c r="J19" i="16"/>
  <c r="R18" i="16"/>
  <c r="N18" i="16"/>
  <c r="J18" i="16"/>
  <c r="R17" i="16"/>
  <c r="N17" i="16"/>
  <c r="J17" i="16"/>
  <c r="R16" i="16"/>
  <c r="N16" i="16"/>
  <c r="J16" i="16"/>
  <c r="R15" i="16"/>
  <c r="N15" i="16"/>
  <c r="J15" i="16"/>
  <c r="R14" i="16"/>
  <c r="N14" i="16"/>
  <c r="J14" i="16"/>
  <c r="R13" i="16"/>
  <c r="N13" i="16"/>
  <c r="J13" i="16"/>
  <c r="R12" i="16"/>
  <c r="N12" i="16"/>
  <c r="J12" i="16"/>
  <c r="R11" i="16"/>
  <c r="N11" i="16"/>
  <c r="J11" i="16"/>
  <c r="R10" i="16"/>
  <c r="N10" i="16"/>
  <c r="J10" i="16"/>
  <c r="R9" i="16"/>
  <c r="N9" i="16"/>
  <c r="J9" i="16"/>
  <c r="T8" i="16"/>
  <c r="R8" i="16"/>
  <c r="N8" i="16"/>
  <c r="J8" i="16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P46" i="14"/>
  <c r="L46" i="14"/>
  <c r="H46" i="14"/>
  <c r="P45" i="14"/>
  <c r="L45" i="14"/>
  <c r="H45" i="14"/>
  <c r="P44" i="14"/>
  <c r="L44" i="14"/>
  <c r="H44" i="14"/>
  <c r="P43" i="14"/>
  <c r="L43" i="14"/>
  <c r="H43" i="14"/>
  <c r="P42" i="14"/>
  <c r="L42" i="14"/>
  <c r="H42" i="14"/>
  <c r="P41" i="14"/>
  <c r="L41" i="14"/>
  <c r="H41" i="14"/>
  <c r="P40" i="14"/>
  <c r="L40" i="14"/>
  <c r="H40" i="14"/>
  <c r="P39" i="14"/>
  <c r="L39" i="14"/>
  <c r="H39" i="14"/>
  <c r="P38" i="14"/>
  <c r="L38" i="14"/>
  <c r="H38" i="14"/>
  <c r="P37" i="14"/>
  <c r="L37" i="14"/>
  <c r="H37" i="14"/>
  <c r="P36" i="14"/>
  <c r="L36" i="14"/>
  <c r="H36" i="14"/>
  <c r="P35" i="14"/>
  <c r="L35" i="14"/>
  <c r="H35" i="14"/>
  <c r="P34" i="14"/>
  <c r="L34" i="14"/>
  <c r="H34" i="14"/>
  <c r="P33" i="14"/>
  <c r="L33" i="14"/>
  <c r="H33" i="14"/>
  <c r="P32" i="14"/>
  <c r="L32" i="14"/>
  <c r="H32" i="14"/>
  <c r="P31" i="14"/>
  <c r="L31" i="14"/>
  <c r="H31" i="14"/>
  <c r="P30" i="14"/>
  <c r="L30" i="14"/>
  <c r="H30" i="14"/>
  <c r="P29" i="14"/>
  <c r="L29" i="14"/>
  <c r="H29" i="14"/>
  <c r="P28" i="14"/>
  <c r="L28" i="14"/>
  <c r="H28" i="14"/>
  <c r="P26" i="14"/>
  <c r="L26" i="14"/>
  <c r="H26" i="14"/>
  <c r="P25" i="14"/>
  <c r="L25" i="14"/>
  <c r="H25" i="14"/>
  <c r="P24" i="14"/>
  <c r="L24" i="14"/>
  <c r="H24" i="14"/>
  <c r="P23" i="14"/>
  <c r="L23" i="14"/>
  <c r="H23" i="14"/>
  <c r="P22" i="14"/>
  <c r="L22" i="14"/>
  <c r="H22" i="14"/>
  <c r="P21" i="14"/>
  <c r="L21" i="14"/>
  <c r="H21" i="14"/>
  <c r="P20" i="14"/>
  <c r="L20" i="14"/>
  <c r="H20" i="14"/>
  <c r="P19" i="14"/>
  <c r="L19" i="14"/>
  <c r="H19" i="14"/>
  <c r="P18" i="14"/>
  <c r="L18" i="14"/>
  <c r="H18" i="14"/>
  <c r="P17" i="14"/>
  <c r="L17" i="14"/>
  <c r="H17" i="14"/>
  <c r="P16" i="14"/>
  <c r="L16" i="14"/>
  <c r="H16" i="14"/>
  <c r="P15" i="14"/>
  <c r="L15" i="14"/>
  <c r="H15" i="14"/>
  <c r="P14" i="14"/>
  <c r="L14" i="14"/>
  <c r="H14" i="14"/>
  <c r="P13" i="14"/>
  <c r="L13" i="14"/>
  <c r="H13" i="14"/>
  <c r="P12" i="14"/>
  <c r="L12" i="14"/>
  <c r="H12" i="14"/>
  <c r="P11" i="14"/>
  <c r="L11" i="14"/>
  <c r="H11" i="14"/>
  <c r="P10" i="14"/>
  <c r="L10" i="14"/>
  <c r="H10" i="14"/>
  <c r="P9" i="14"/>
  <c r="L9" i="14"/>
  <c r="H9" i="14"/>
  <c r="R8" i="14"/>
  <c r="P8" i="14"/>
  <c r="L8" i="14"/>
  <c r="H8" i="14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48" i="13"/>
  <c r="P46" i="13"/>
  <c r="L46" i="13"/>
  <c r="H46" i="13"/>
  <c r="P45" i="13"/>
  <c r="L45" i="13"/>
  <c r="H45" i="13"/>
  <c r="P44" i="13"/>
  <c r="L44" i="13"/>
  <c r="H44" i="13"/>
  <c r="P43" i="13"/>
  <c r="L43" i="13"/>
  <c r="H43" i="13"/>
  <c r="P42" i="13"/>
  <c r="L42" i="13"/>
  <c r="H42" i="13"/>
  <c r="P41" i="13"/>
  <c r="L41" i="13"/>
  <c r="H41" i="13"/>
  <c r="P40" i="13"/>
  <c r="L40" i="13"/>
  <c r="H40" i="13"/>
  <c r="P39" i="13"/>
  <c r="L39" i="13"/>
  <c r="H39" i="13"/>
  <c r="P38" i="13"/>
  <c r="L38" i="13"/>
  <c r="H38" i="13"/>
  <c r="P37" i="13"/>
  <c r="L37" i="13"/>
  <c r="H37" i="13"/>
  <c r="P36" i="13"/>
  <c r="L36" i="13"/>
  <c r="H36" i="13"/>
  <c r="P35" i="13"/>
  <c r="L35" i="13"/>
  <c r="H35" i="13"/>
  <c r="P34" i="13"/>
  <c r="L34" i="13"/>
  <c r="H34" i="13"/>
  <c r="P33" i="13"/>
  <c r="L33" i="13"/>
  <c r="H33" i="13"/>
  <c r="P32" i="13"/>
  <c r="L32" i="13"/>
  <c r="H32" i="13"/>
  <c r="P31" i="13"/>
  <c r="L31" i="13"/>
  <c r="H31" i="13"/>
  <c r="P30" i="13"/>
  <c r="L30" i="13"/>
  <c r="H30" i="13"/>
  <c r="P29" i="13"/>
  <c r="L29" i="13"/>
  <c r="H29" i="13"/>
  <c r="P28" i="13"/>
  <c r="L28" i="13"/>
  <c r="H28" i="13"/>
  <c r="P26" i="13"/>
  <c r="L26" i="13"/>
  <c r="H26" i="13"/>
  <c r="P25" i="13"/>
  <c r="L25" i="13"/>
  <c r="H25" i="13"/>
  <c r="P24" i="13"/>
  <c r="L24" i="13"/>
  <c r="H24" i="13"/>
  <c r="P23" i="13"/>
  <c r="L23" i="13"/>
  <c r="H23" i="13"/>
  <c r="P22" i="13"/>
  <c r="L22" i="13"/>
  <c r="H22" i="13"/>
  <c r="P21" i="13"/>
  <c r="L21" i="13"/>
  <c r="H21" i="13"/>
  <c r="P20" i="13"/>
  <c r="L20" i="13"/>
  <c r="H20" i="13"/>
  <c r="P19" i="13"/>
  <c r="L19" i="13"/>
  <c r="H19" i="13"/>
  <c r="P18" i="13"/>
  <c r="L18" i="13"/>
  <c r="H18" i="13"/>
  <c r="P17" i="13"/>
  <c r="L17" i="13"/>
  <c r="H17" i="13"/>
  <c r="P16" i="13"/>
  <c r="L16" i="13"/>
  <c r="H16" i="13"/>
  <c r="P15" i="13"/>
  <c r="L15" i="13"/>
  <c r="H15" i="13"/>
  <c r="P14" i="13"/>
  <c r="L14" i="13"/>
  <c r="H14" i="13"/>
  <c r="P13" i="13"/>
  <c r="L13" i="13"/>
  <c r="H13" i="13"/>
  <c r="P12" i="13"/>
  <c r="L12" i="13"/>
  <c r="H12" i="13"/>
  <c r="P11" i="13"/>
  <c r="L11" i="13"/>
  <c r="H11" i="13"/>
  <c r="P10" i="13"/>
  <c r="L10" i="13"/>
  <c r="H10" i="13"/>
  <c r="P9" i="13"/>
  <c r="L9" i="13"/>
  <c r="H9" i="13"/>
  <c r="R8" i="13"/>
  <c r="P8" i="13"/>
  <c r="L8" i="13"/>
  <c r="H8" i="13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48" i="12"/>
  <c r="P46" i="12"/>
  <c r="L46" i="12"/>
  <c r="H46" i="12"/>
  <c r="P45" i="12"/>
  <c r="L45" i="12"/>
  <c r="H45" i="12"/>
  <c r="P44" i="12"/>
  <c r="L44" i="12"/>
  <c r="H44" i="12"/>
  <c r="P43" i="12"/>
  <c r="L43" i="12"/>
  <c r="H43" i="12"/>
  <c r="P42" i="12"/>
  <c r="L42" i="12"/>
  <c r="H42" i="12"/>
  <c r="P41" i="12"/>
  <c r="L41" i="12"/>
  <c r="H41" i="12"/>
  <c r="P40" i="12"/>
  <c r="L40" i="12"/>
  <c r="H40" i="12"/>
  <c r="P39" i="12"/>
  <c r="L39" i="12"/>
  <c r="H39" i="12"/>
  <c r="P38" i="12"/>
  <c r="L38" i="12"/>
  <c r="H38" i="12"/>
  <c r="P37" i="12"/>
  <c r="L37" i="12"/>
  <c r="H37" i="12"/>
  <c r="P36" i="12"/>
  <c r="L36" i="12"/>
  <c r="H36" i="12"/>
  <c r="P35" i="12"/>
  <c r="L35" i="12"/>
  <c r="H35" i="12"/>
  <c r="P34" i="12"/>
  <c r="L34" i="12"/>
  <c r="H34" i="12"/>
  <c r="P33" i="12"/>
  <c r="L33" i="12"/>
  <c r="H33" i="12"/>
  <c r="P32" i="12"/>
  <c r="L32" i="12"/>
  <c r="H32" i="12"/>
  <c r="P31" i="12"/>
  <c r="L31" i="12"/>
  <c r="H31" i="12"/>
  <c r="P30" i="12"/>
  <c r="L30" i="12"/>
  <c r="H30" i="12"/>
  <c r="P29" i="12"/>
  <c r="L29" i="12"/>
  <c r="H29" i="12"/>
  <c r="P28" i="12"/>
  <c r="L28" i="12"/>
  <c r="H28" i="12"/>
  <c r="P26" i="12"/>
  <c r="L26" i="12"/>
  <c r="H26" i="12"/>
  <c r="P25" i="12"/>
  <c r="L25" i="12"/>
  <c r="H25" i="12"/>
  <c r="P24" i="12"/>
  <c r="L24" i="12"/>
  <c r="H24" i="12"/>
  <c r="P23" i="12"/>
  <c r="L23" i="12"/>
  <c r="H23" i="12"/>
  <c r="P22" i="12"/>
  <c r="L22" i="12"/>
  <c r="H22" i="12"/>
  <c r="P21" i="12"/>
  <c r="L21" i="12"/>
  <c r="H21" i="12"/>
  <c r="P20" i="12"/>
  <c r="L20" i="12"/>
  <c r="H20" i="12"/>
  <c r="P19" i="12"/>
  <c r="L19" i="12"/>
  <c r="H19" i="12"/>
  <c r="P18" i="12"/>
  <c r="L18" i="12"/>
  <c r="H18" i="12"/>
  <c r="P17" i="12"/>
  <c r="L17" i="12"/>
  <c r="H17" i="12"/>
  <c r="P16" i="12"/>
  <c r="L16" i="12"/>
  <c r="H16" i="12"/>
  <c r="P15" i="12"/>
  <c r="L15" i="12"/>
  <c r="H15" i="12"/>
  <c r="P14" i="12"/>
  <c r="L14" i="12"/>
  <c r="H14" i="12"/>
  <c r="P13" i="12"/>
  <c r="L13" i="12"/>
  <c r="H13" i="12"/>
  <c r="P12" i="12"/>
  <c r="L12" i="12"/>
  <c r="H12" i="12"/>
  <c r="P11" i="12"/>
  <c r="L11" i="12"/>
  <c r="H11" i="12"/>
  <c r="P10" i="12"/>
  <c r="L10" i="12"/>
  <c r="H10" i="12"/>
  <c r="P9" i="12"/>
  <c r="L9" i="12"/>
  <c r="H9" i="12"/>
  <c r="R8" i="12"/>
  <c r="P8" i="12"/>
  <c r="L8" i="12"/>
  <c r="H8" i="12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48" i="11"/>
  <c r="P46" i="11"/>
  <c r="L46" i="11"/>
  <c r="H46" i="11"/>
  <c r="P45" i="11"/>
  <c r="L45" i="11"/>
  <c r="H45" i="11"/>
  <c r="P44" i="11"/>
  <c r="L44" i="11"/>
  <c r="H44" i="11"/>
  <c r="P43" i="11"/>
  <c r="L43" i="11"/>
  <c r="H43" i="11"/>
  <c r="P42" i="11"/>
  <c r="L42" i="11"/>
  <c r="H42" i="11"/>
  <c r="P41" i="11"/>
  <c r="L41" i="11"/>
  <c r="H41" i="11"/>
  <c r="P40" i="11"/>
  <c r="L40" i="11"/>
  <c r="H40" i="11"/>
  <c r="P39" i="11"/>
  <c r="L39" i="11"/>
  <c r="H39" i="11"/>
  <c r="P38" i="11"/>
  <c r="L38" i="11"/>
  <c r="H38" i="11"/>
  <c r="P37" i="11"/>
  <c r="L37" i="11"/>
  <c r="H37" i="11"/>
  <c r="P36" i="11"/>
  <c r="L36" i="11"/>
  <c r="H36" i="11"/>
  <c r="P35" i="11"/>
  <c r="L35" i="11"/>
  <c r="H35" i="11"/>
  <c r="P34" i="11"/>
  <c r="L34" i="11"/>
  <c r="H34" i="11"/>
  <c r="P33" i="11"/>
  <c r="L33" i="11"/>
  <c r="H33" i="11"/>
  <c r="P32" i="11"/>
  <c r="L32" i="11"/>
  <c r="H32" i="11"/>
  <c r="P31" i="11"/>
  <c r="L31" i="11"/>
  <c r="H31" i="11"/>
  <c r="P30" i="11"/>
  <c r="L30" i="11"/>
  <c r="H30" i="11"/>
  <c r="P29" i="11"/>
  <c r="L29" i="11"/>
  <c r="H29" i="11"/>
  <c r="P28" i="11"/>
  <c r="L28" i="11"/>
  <c r="H28" i="11"/>
  <c r="P26" i="11"/>
  <c r="L26" i="11"/>
  <c r="H26" i="11"/>
  <c r="P25" i="11"/>
  <c r="L25" i="11"/>
  <c r="H25" i="11"/>
  <c r="P24" i="11"/>
  <c r="L24" i="11"/>
  <c r="H24" i="11"/>
  <c r="P23" i="11"/>
  <c r="L23" i="11"/>
  <c r="H23" i="11"/>
  <c r="P22" i="11"/>
  <c r="L22" i="11"/>
  <c r="H22" i="11"/>
  <c r="P21" i="11"/>
  <c r="L21" i="11"/>
  <c r="H21" i="11"/>
  <c r="P20" i="11"/>
  <c r="L20" i="11"/>
  <c r="H20" i="11"/>
  <c r="P19" i="11"/>
  <c r="L19" i="11"/>
  <c r="H19" i="11"/>
  <c r="P18" i="11"/>
  <c r="L18" i="11"/>
  <c r="H18" i="11"/>
  <c r="P17" i="11"/>
  <c r="L17" i="11"/>
  <c r="H17" i="11"/>
  <c r="P16" i="11"/>
  <c r="L16" i="11"/>
  <c r="H16" i="11"/>
  <c r="P15" i="11"/>
  <c r="L15" i="11"/>
  <c r="H15" i="11"/>
  <c r="P14" i="11"/>
  <c r="L14" i="11"/>
  <c r="H14" i="11"/>
  <c r="P13" i="11"/>
  <c r="L13" i="11"/>
  <c r="H13" i="11"/>
  <c r="P12" i="11"/>
  <c r="L12" i="11"/>
  <c r="H12" i="11"/>
  <c r="P11" i="11"/>
  <c r="L11" i="11"/>
  <c r="H11" i="11"/>
  <c r="P10" i="11"/>
  <c r="L10" i="11"/>
  <c r="H10" i="11"/>
  <c r="P9" i="11"/>
  <c r="L9" i="11"/>
  <c r="H9" i="11"/>
  <c r="R8" i="11"/>
  <c r="P8" i="11"/>
  <c r="L8" i="11"/>
  <c r="H8" i="11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8" i="10"/>
  <c r="U9" i="10"/>
  <c r="U10" i="10"/>
  <c r="U11" i="10"/>
  <c r="U12" i="10"/>
  <c r="U13" i="10"/>
  <c r="U14" i="10"/>
  <c r="U15" i="10"/>
  <c r="U16" i="10"/>
  <c r="U17" i="10"/>
  <c r="U27" i="10" s="1"/>
  <c r="U18" i="10"/>
  <c r="U19" i="10"/>
  <c r="U20" i="10"/>
  <c r="U21" i="10"/>
  <c r="U22" i="10"/>
  <c r="U23" i="10"/>
  <c r="U24" i="10"/>
  <c r="U25" i="10"/>
  <c r="U26" i="10"/>
  <c r="P46" i="10"/>
  <c r="L46" i="10"/>
  <c r="H46" i="10"/>
  <c r="P45" i="10"/>
  <c r="L45" i="10"/>
  <c r="H45" i="10"/>
  <c r="P44" i="10"/>
  <c r="L44" i="10"/>
  <c r="H44" i="10"/>
  <c r="P43" i="10"/>
  <c r="L43" i="10"/>
  <c r="H43" i="10"/>
  <c r="P42" i="10"/>
  <c r="L42" i="10"/>
  <c r="H42" i="10"/>
  <c r="P41" i="10"/>
  <c r="L41" i="10"/>
  <c r="H41" i="10"/>
  <c r="P40" i="10"/>
  <c r="L40" i="10"/>
  <c r="H40" i="10"/>
  <c r="P39" i="10"/>
  <c r="L39" i="10"/>
  <c r="H39" i="10"/>
  <c r="P38" i="10"/>
  <c r="L38" i="10"/>
  <c r="H38" i="10"/>
  <c r="P37" i="10"/>
  <c r="L37" i="10"/>
  <c r="H37" i="10"/>
  <c r="P36" i="10"/>
  <c r="L36" i="10"/>
  <c r="H36" i="10"/>
  <c r="P35" i="10"/>
  <c r="L35" i="10"/>
  <c r="H35" i="10"/>
  <c r="P34" i="10"/>
  <c r="L34" i="10"/>
  <c r="H34" i="10"/>
  <c r="P33" i="10"/>
  <c r="L33" i="10"/>
  <c r="H33" i="10"/>
  <c r="P32" i="10"/>
  <c r="L32" i="10"/>
  <c r="H32" i="10"/>
  <c r="P31" i="10"/>
  <c r="L31" i="10"/>
  <c r="H31" i="10"/>
  <c r="P30" i="10"/>
  <c r="L30" i="10"/>
  <c r="H30" i="10"/>
  <c r="P29" i="10"/>
  <c r="L29" i="10"/>
  <c r="H29" i="10"/>
  <c r="P28" i="10"/>
  <c r="L28" i="10"/>
  <c r="H28" i="10"/>
  <c r="P26" i="10"/>
  <c r="L26" i="10"/>
  <c r="H26" i="10"/>
  <c r="P25" i="10"/>
  <c r="L25" i="10"/>
  <c r="H25" i="10"/>
  <c r="P24" i="10"/>
  <c r="L24" i="10"/>
  <c r="H24" i="10"/>
  <c r="P23" i="10"/>
  <c r="L23" i="10"/>
  <c r="H23" i="10"/>
  <c r="P22" i="10"/>
  <c r="L22" i="10"/>
  <c r="H22" i="10"/>
  <c r="P21" i="10"/>
  <c r="L21" i="10"/>
  <c r="H21" i="10"/>
  <c r="P20" i="10"/>
  <c r="L20" i="10"/>
  <c r="H20" i="10"/>
  <c r="P19" i="10"/>
  <c r="L19" i="10"/>
  <c r="H19" i="10"/>
  <c r="P18" i="10"/>
  <c r="L18" i="10"/>
  <c r="H18" i="10"/>
  <c r="P17" i="10"/>
  <c r="L17" i="10"/>
  <c r="H17" i="10"/>
  <c r="P16" i="10"/>
  <c r="L16" i="10"/>
  <c r="H16" i="10"/>
  <c r="P15" i="10"/>
  <c r="L15" i="10"/>
  <c r="H15" i="10"/>
  <c r="P14" i="10"/>
  <c r="L14" i="10"/>
  <c r="H14" i="10"/>
  <c r="P13" i="10"/>
  <c r="L13" i="10"/>
  <c r="H13" i="10"/>
  <c r="P12" i="10"/>
  <c r="L12" i="10"/>
  <c r="H12" i="10"/>
  <c r="P11" i="10"/>
  <c r="L11" i="10"/>
  <c r="H11" i="10"/>
  <c r="P10" i="10"/>
  <c r="L10" i="10"/>
  <c r="H10" i="10"/>
  <c r="P9" i="10"/>
  <c r="L9" i="10"/>
  <c r="H9" i="10"/>
  <c r="R8" i="10"/>
  <c r="P8" i="10"/>
  <c r="L8" i="10"/>
  <c r="H8" i="10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48" i="9"/>
  <c r="P46" i="9"/>
  <c r="L46" i="9"/>
  <c r="H46" i="9"/>
  <c r="P45" i="9"/>
  <c r="L45" i="9"/>
  <c r="H45" i="9"/>
  <c r="P44" i="9"/>
  <c r="L44" i="9"/>
  <c r="H44" i="9"/>
  <c r="P43" i="9"/>
  <c r="L43" i="9"/>
  <c r="H43" i="9"/>
  <c r="P42" i="9"/>
  <c r="L42" i="9"/>
  <c r="H42" i="9"/>
  <c r="P41" i="9"/>
  <c r="L41" i="9"/>
  <c r="H41" i="9"/>
  <c r="P40" i="9"/>
  <c r="L40" i="9"/>
  <c r="H40" i="9"/>
  <c r="P39" i="9"/>
  <c r="L39" i="9"/>
  <c r="H39" i="9"/>
  <c r="P38" i="9"/>
  <c r="L38" i="9"/>
  <c r="H38" i="9"/>
  <c r="P37" i="9"/>
  <c r="L37" i="9"/>
  <c r="H37" i="9"/>
  <c r="P36" i="9"/>
  <c r="L36" i="9"/>
  <c r="H36" i="9"/>
  <c r="P35" i="9"/>
  <c r="L35" i="9"/>
  <c r="H35" i="9"/>
  <c r="P34" i="9"/>
  <c r="L34" i="9"/>
  <c r="H34" i="9"/>
  <c r="P33" i="9"/>
  <c r="L33" i="9"/>
  <c r="H33" i="9"/>
  <c r="P32" i="9"/>
  <c r="L32" i="9"/>
  <c r="H32" i="9"/>
  <c r="P31" i="9"/>
  <c r="L31" i="9"/>
  <c r="H31" i="9"/>
  <c r="P30" i="9"/>
  <c r="L30" i="9"/>
  <c r="H30" i="9"/>
  <c r="P29" i="9"/>
  <c r="L29" i="9"/>
  <c r="H29" i="9"/>
  <c r="P28" i="9"/>
  <c r="L28" i="9"/>
  <c r="H28" i="9"/>
  <c r="P26" i="9"/>
  <c r="L26" i="9"/>
  <c r="H26" i="9"/>
  <c r="P25" i="9"/>
  <c r="L25" i="9"/>
  <c r="H25" i="9"/>
  <c r="P24" i="9"/>
  <c r="L24" i="9"/>
  <c r="H24" i="9"/>
  <c r="P23" i="9"/>
  <c r="L23" i="9"/>
  <c r="H23" i="9"/>
  <c r="P22" i="9"/>
  <c r="L22" i="9"/>
  <c r="H22" i="9"/>
  <c r="P21" i="9"/>
  <c r="L21" i="9"/>
  <c r="H21" i="9"/>
  <c r="P20" i="9"/>
  <c r="L20" i="9"/>
  <c r="H20" i="9"/>
  <c r="P19" i="9"/>
  <c r="L19" i="9"/>
  <c r="H19" i="9"/>
  <c r="P18" i="9"/>
  <c r="L18" i="9"/>
  <c r="H18" i="9"/>
  <c r="P17" i="9"/>
  <c r="L17" i="9"/>
  <c r="H17" i="9"/>
  <c r="P16" i="9"/>
  <c r="L16" i="9"/>
  <c r="H16" i="9"/>
  <c r="P15" i="9"/>
  <c r="L15" i="9"/>
  <c r="H15" i="9"/>
  <c r="P14" i="9"/>
  <c r="L14" i="9"/>
  <c r="H14" i="9"/>
  <c r="P13" i="9"/>
  <c r="L13" i="9"/>
  <c r="H13" i="9"/>
  <c r="P12" i="9"/>
  <c r="L12" i="9"/>
  <c r="H12" i="9"/>
  <c r="P11" i="9"/>
  <c r="L11" i="9"/>
  <c r="H11" i="9"/>
  <c r="P10" i="9"/>
  <c r="L10" i="9"/>
  <c r="H10" i="9"/>
  <c r="P9" i="9"/>
  <c r="L9" i="9"/>
  <c r="H9" i="9"/>
  <c r="R8" i="9"/>
  <c r="P8" i="9"/>
  <c r="L8" i="9"/>
  <c r="H8" i="9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P46" i="8"/>
  <c r="L46" i="8"/>
  <c r="H46" i="8"/>
  <c r="P45" i="8"/>
  <c r="L45" i="8"/>
  <c r="H45" i="8"/>
  <c r="P44" i="8"/>
  <c r="L44" i="8"/>
  <c r="H44" i="8"/>
  <c r="P43" i="8"/>
  <c r="L43" i="8"/>
  <c r="H43" i="8"/>
  <c r="P42" i="8"/>
  <c r="L42" i="8"/>
  <c r="H42" i="8"/>
  <c r="P41" i="8"/>
  <c r="L41" i="8"/>
  <c r="H41" i="8"/>
  <c r="P40" i="8"/>
  <c r="L40" i="8"/>
  <c r="H40" i="8"/>
  <c r="P39" i="8"/>
  <c r="L39" i="8"/>
  <c r="H39" i="8"/>
  <c r="P38" i="8"/>
  <c r="L38" i="8"/>
  <c r="H38" i="8"/>
  <c r="P37" i="8"/>
  <c r="L37" i="8"/>
  <c r="H37" i="8"/>
  <c r="P36" i="8"/>
  <c r="L36" i="8"/>
  <c r="H36" i="8"/>
  <c r="P35" i="8"/>
  <c r="L35" i="8"/>
  <c r="H35" i="8"/>
  <c r="P34" i="8"/>
  <c r="L34" i="8"/>
  <c r="H34" i="8"/>
  <c r="P33" i="8"/>
  <c r="L33" i="8"/>
  <c r="H33" i="8"/>
  <c r="P32" i="8"/>
  <c r="L32" i="8"/>
  <c r="H32" i="8"/>
  <c r="P31" i="8"/>
  <c r="L31" i="8"/>
  <c r="H31" i="8"/>
  <c r="P30" i="8"/>
  <c r="L30" i="8"/>
  <c r="H30" i="8"/>
  <c r="P29" i="8"/>
  <c r="L29" i="8"/>
  <c r="H29" i="8"/>
  <c r="P28" i="8"/>
  <c r="L28" i="8"/>
  <c r="H28" i="8"/>
  <c r="P26" i="8"/>
  <c r="L26" i="8"/>
  <c r="H26" i="8"/>
  <c r="P25" i="8"/>
  <c r="L25" i="8"/>
  <c r="H25" i="8"/>
  <c r="P24" i="8"/>
  <c r="L24" i="8"/>
  <c r="H24" i="8"/>
  <c r="P23" i="8"/>
  <c r="L23" i="8"/>
  <c r="H23" i="8"/>
  <c r="P22" i="8"/>
  <c r="L22" i="8"/>
  <c r="H22" i="8"/>
  <c r="P21" i="8"/>
  <c r="L21" i="8"/>
  <c r="H21" i="8"/>
  <c r="P20" i="8"/>
  <c r="L20" i="8"/>
  <c r="H20" i="8"/>
  <c r="P19" i="8"/>
  <c r="L19" i="8"/>
  <c r="H19" i="8"/>
  <c r="P18" i="8"/>
  <c r="L18" i="8"/>
  <c r="H18" i="8"/>
  <c r="P17" i="8"/>
  <c r="L17" i="8"/>
  <c r="H17" i="8"/>
  <c r="P16" i="8"/>
  <c r="L16" i="8"/>
  <c r="H16" i="8"/>
  <c r="P15" i="8"/>
  <c r="L15" i="8"/>
  <c r="H15" i="8"/>
  <c r="P14" i="8"/>
  <c r="L14" i="8"/>
  <c r="H14" i="8"/>
  <c r="P13" i="8"/>
  <c r="L13" i="8"/>
  <c r="H13" i="8"/>
  <c r="P12" i="8"/>
  <c r="L12" i="8"/>
  <c r="H12" i="8"/>
  <c r="P11" i="8"/>
  <c r="L11" i="8"/>
  <c r="H11" i="8"/>
  <c r="P10" i="8"/>
  <c r="L10" i="8"/>
  <c r="H10" i="8"/>
  <c r="P9" i="8"/>
  <c r="L9" i="8"/>
  <c r="H9" i="8"/>
  <c r="R8" i="8"/>
  <c r="P8" i="8"/>
  <c r="L8" i="8"/>
  <c r="H8" i="8"/>
  <c r="T33" i="7"/>
  <c r="P33" i="7"/>
  <c r="T31" i="7"/>
  <c r="P31" i="7"/>
  <c r="T30" i="7"/>
  <c r="P30" i="7"/>
  <c r="T29" i="7"/>
  <c r="P29" i="7"/>
  <c r="T28" i="7"/>
  <c r="P28" i="7"/>
  <c r="T27" i="7"/>
  <c r="P27" i="7"/>
  <c r="T26" i="7"/>
  <c r="P26" i="7"/>
  <c r="T24" i="7"/>
  <c r="P24" i="7"/>
  <c r="T23" i="7"/>
  <c r="P23" i="7"/>
  <c r="T22" i="7"/>
  <c r="P22" i="7"/>
  <c r="T21" i="7"/>
  <c r="P21" i="7"/>
  <c r="T20" i="7"/>
  <c r="P20" i="7"/>
  <c r="T19" i="7"/>
  <c r="P19" i="7"/>
  <c r="T17" i="7"/>
  <c r="P17" i="7"/>
  <c r="T16" i="7"/>
  <c r="P16" i="7"/>
  <c r="T15" i="7"/>
  <c r="P15" i="7"/>
  <c r="T14" i="7"/>
  <c r="P14" i="7"/>
  <c r="T13" i="7"/>
  <c r="P13" i="7"/>
  <c r="T12" i="7"/>
  <c r="P12" i="7"/>
  <c r="U8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S8" i="6"/>
  <c r="O8" i="6"/>
  <c r="R8" i="1"/>
  <c r="H8" i="1"/>
  <c r="L8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48" i="1"/>
  <c r="U27" i="23" l="1"/>
  <c r="U48" i="23" s="1"/>
  <c r="U27" i="22"/>
  <c r="U48" i="22" s="1"/>
  <c r="U27" i="21"/>
  <c r="U48" i="21" s="1"/>
  <c r="U47" i="20"/>
  <c r="U48" i="20" s="1"/>
  <c r="U27" i="19"/>
  <c r="U48" i="19" s="1"/>
  <c r="U47" i="18"/>
  <c r="U27" i="18"/>
  <c r="U47" i="14"/>
  <c r="U27" i="14"/>
  <c r="U8" i="6"/>
  <c r="U47" i="10"/>
  <c r="U48" i="10" s="1"/>
  <c r="Y8" i="6"/>
  <c r="U27" i="8"/>
  <c r="U48" i="8" s="1"/>
  <c r="X8" i="6"/>
  <c r="X27" i="6" s="1"/>
  <c r="X48" i="6" s="1"/>
  <c r="U48" i="18" l="1"/>
  <c r="U48" i="14"/>
  <c r="D132" i="34"/>
  <c r="E133" i="34" s="1"/>
  <c r="F133" i="34" s="1"/>
  <c r="C132" i="34"/>
  <c r="D87" i="38"/>
  <c r="E88" i="38" s="1"/>
  <c r="F88" i="38" s="1"/>
  <c r="C87" i="3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<sst xmlns="http://schemas.openxmlformats.org/spreadsheetml/2006/main" count="3358" uniqueCount="575">
  <si>
    <t>Heure théorique départ</t>
  </si>
  <si>
    <t>Heure réelle départ</t>
  </si>
  <si>
    <t>Arrêt 1</t>
  </si>
  <si>
    <t>Nbre personnes +</t>
  </si>
  <si>
    <t>Nbre personnes -</t>
  </si>
  <si>
    <t>Heure arrivée arrêt 1</t>
  </si>
  <si>
    <t>Arrêt 2</t>
  </si>
  <si>
    <t>Arrêt 3</t>
  </si>
  <si>
    <t>VAHIBE</t>
  </si>
  <si>
    <t>Heure arrivée arrêt 2</t>
  </si>
  <si>
    <t>Heure arrivée arrêt 3</t>
  </si>
  <si>
    <t>PEM PASSAMAINTY</t>
  </si>
  <si>
    <t>Commentaires</t>
  </si>
  <si>
    <t>CHAUFFEUR</t>
  </si>
  <si>
    <t>DATE</t>
  </si>
  <si>
    <t>Signature Chauffeur</t>
  </si>
  <si>
    <t>Signature Coordinateur</t>
  </si>
  <si>
    <t>Heure arrivée finale</t>
  </si>
  <si>
    <t>TYPE</t>
  </si>
  <si>
    <t>Délai</t>
  </si>
  <si>
    <t>Temps Aller</t>
  </si>
  <si>
    <t>TYPE CHAUFFEUR</t>
  </si>
  <si>
    <t>Nbre personnes descente</t>
  </si>
  <si>
    <t>Nbre personnes montée</t>
  </si>
  <si>
    <t>C1</t>
  </si>
  <si>
    <t>Type chauffeur prévu</t>
  </si>
  <si>
    <t>Nom chauffeur prévu</t>
  </si>
  <si>
    <t>C3</t>
  </si>
  <si>
    <t>Lieu départ</t>
  </si>
  <si>
    <t>Nom chauffeur remplacé</t>
  </si>
  <si>
    <t>Cause remplacement</t>
  </si>
  <si>
    <t>C15</t>
  </si>
  <si>
    <t>Astreinte</t>
  </si>
  <si>
    <t>Type chauffeur</t>
  </si>
  <si>
    <t>Nom chauffeur</t>
  </si>
  <si>
    <t>Prénom Chauffeur</t>
  </si>
  <si>
    <t>C2</t>
  </si>
  <si>
    <t>C8</t>
  </si>
  <si>
    <t>Nbre personnes moyenne</t>
  </si>
  <si>
    <t>Capacité max</t>
  </si>
  <si>
    <t>Taux Fréquentation</t>
  </si>
  <si>
    <t>C9</t>
  </si>
  <si>
    <t>C10</t>
  </si>
  <si>
    <t>C11</t>
  </si>
  <si>
    <t>C12</t>
  </si>
  <si>
    <t>C13</t>
  </si>
  <si>
    <t>C14</t>
  </si>
  <si>
    <t>C16</t>
  </si>
  <si>
    <t>C4</t>
  </si>
  <si>
    <t>C5</t>
  </si>
  <si>
    <t>C6</t>
  </si>
  <si>
    <t>C7</t>
  </si>
  <si>
    <t>Astreinte 1</t>
  </si>
  <si>
    <t>Nom Chauffeur astreinte 1</t>
  </si>
  <si>
    <t>Astreinte 2</t>
  </si>
  <si>
    <t>Nom Chauffeur astreinte 2</t>
  </si>
  <si>
    <t>Modalité facturation</t>
  </si>
  <si>
    <t>Journée</t>
  </si>
  <si>
    <t>Trajet</t>
  </si>
  <si>
    <t>ABDOU MINIHADJI</t>
  </si>
  <si>
    <t>Amada</t>
  </si>
  <si>
    <t>ADINANI</t>
  </si>
  <si>
    <t>Zoubert</t>
  </si>
  <si>
    <t>Inzoudine</t>
  </si>
  <si>
    <t>ALLAOUI</t>
  </si>
  <si>
    <t>Soibrane</t>
  </si>
  <si>
    <t>N° telephone</t>
  </si>
  <si>
    <t>BINA HALIDI</t>
  </si>
  <si>
    <t>Bina</t>
  </si>
  <si>
    <t xml:space="preserve">COMBO </t>
  </si>
  <si>
    <t>Said</t>
  </si>
  <si>
    <t>Hamada</t>
  </si>
  <si>
    <t>ELANZIZE SALIM</t>
  </si>
  <si>
    <t>OUSSENI</t>
  </si>
  <si>
    <t>Soula</t>
  </si>
  <si>
    <t>RENE</t>
  </si>
  <si>
    <t>Assanati</t>
  </si>
  <si>
    <t>SANDI</t>
  </si>
  <si>
    <t>Maanrouf</t>
  </si>
  <si>
    <t>Toibourani</t>
  </si>
  <si>
    <t xml:space="preserve">N° </t>
  </si>
  <si>
    <t>CADEMA</t>
  </si>
  <si>
    <t>STATUT</t>
  </si>
  <si>
    <t xml:space="preserve">LICENCE TRANSPORTEUR </t>
  </si>
  <si>
    <t>SIREN LICENCE</t>
  </si>
  <si>
    <t>VALIDITE LICENCE TRANSP</t>
  </si>
  <si>
    <t>N°</t>
  </si>
  <si>
    <t>N° Chauffeur</t>
  </si>
  <si>
    <t>Nom</t>
  </si>
  <si>
    <t>Prénom</t>
  </si>
  <si>
    <t>Téléphone</t>
  </si>
  <si>
    <t>Mail</t>
  </si>
  <si>
    <t>Siret</t>
  </si>
  <si>
    <t>Secteur d'activité</t>
  </si>
  <si>
    <t>N° licence</t>
  </si>
  <si>
    <t>CARTE CONDUCTEUR</t>
  </si>
  <si>
    <t>VALIDITE CARTE CONDUCTEUR</t>
  </si>
  <si>
    <t>N° IMMATRICULATION CARTE GRISE</t>
  </si>
  <si>
    <t>DATE IMMATRICULATION</t>
  </si>
  <si>
    <t>AGE DU VEHICULE</t>
  </si>
  <si>
    <t>Type de vehicule</t>
  </si>
  <si>
    <t>ETAT VEHICULE</t>
  </si>
  <si>
    <t>RDV MAY EQUIP</t>
  </si>
  <si>
    <t>HABILLAGE</t>
  </si>
  <si>
    <t>REGLT HABILLAGE</t>
  </si>
  <si>
    <t>EQUIPEMENT</t>
  </si>
  <si>
    <t>HABILLAGE 2021</t>
  </si>
  <si>
    <t>HABILLAGE 2023</t>
  </si>
  <si>
    <t>IDENTITE</t>
  </si>
  <si>
    <t>NATIONALITE</t>
  </si>
  <si>
    <t>VALIDITE CARTE SEJOUR</t>
  </si>
  <si>
    <t>CARTE VITALE</t>
  </si>
  <si>
    <t>ASSURANCES</t>
  </si>
  <si>
    <t>FACTURE _3 MOIS</t>
  </si>
  <si>
    <t>IMPOTS</t>
  </si>
  <si>
    <t>PHOTO</t>
  </si>
  <si>
    <t>N° AGC</t>
  </si>
  <si>
    <t>Capital souscrit</t>
  </si>
  <si>
    <t>Année de souscription</t>
  </si>
  <si>
    <t>Cotisations versées en 2021</t>
  </si>
  <si>
    <t>COTISATIONS 2023</t>
  </si>
  <si>
    <t>COTISATIONS 2024</t>
  </si>
  <si>
    <t>N° Rue</t>
  </si>
  <si>
    <t>Adresse</t>
  </si>
  <si>
    <t>Code postal</t>
  </si>
  <si>
    <t>Commune</t>
  </si>
  <si>
    <t>REMARQUES</t>
  </si>
  <si>
    <t>CADEMA 1</t>
  </si>
  <si>
    <t>AO</t>
  </si>
  <si>
    <t>NON</t>
  </si>
  <si>
    <t>-</t>
  </si>
  <si>
    <t xml:space="preserve">0639 65 03 93 </t>
  </si>
  <si>
    <t>abdouminihadjiamada@hotmail.com</t>
  </si>
  <si>
    <t>066 311 101 000 19</t>
  </si>
  <si>
    <t>Centre Sud</t>
  </si>
  <si>
    <t>976-CS-057</t>
  </si>
  <si>
    <t>FY-654-BF</t>
  </si>
  <si>
    <t>9 PLACES</t>
  </si>
  <si>
    <t>BON</t>
  </si>
  <si>
    <t>OUI</t>
  </si>
  <si>
    <t>_</t>
  </si>
  <si>
    <t>F</t>
  </si>
  <si>
    <t>2020/13</t>
  </si>
  <si>
    <t>Avenue de rassi</t>
  </si>
  <si>
    <t>Chiconi</t>
  </si>
  <si>
    <t>ancien gérant - Habillage 2021</t>
  </si>
  <si>
    <t>0639 25 77 76</t>
  </si>
  <si>
    <t>zoubert.adinani2@gmail.com</t>
  </si>
  <si>
    <t>799 358 700 00018</t>
  </si>
  <si>
    <t>Mamoudzou</t>
  </si>
  <si>
    <t>976-M-447</t>
  </si>
  <si>
    <t>GR-407-DV</t>
  </si>
  <si>
    <t>A venir</t>
  </si>
  <si>
    <t>2022</t>
  </si>
  <si>
    <t>Tahiti plage route de poroani</t>
  </si>
  <si>
    <t>Sada</t>
  </si>
  <si>
    <t xml:space="preserve">attente débolacge prêt </t>
  </si>
  <si>
    <t>ALI ATTOUMANI</t>
  </si>
  <si>
    <t>Bacar</t>
  </si>
  <si>
    <t>0639 87 21 88</t>
  </si>
  <si>
    <t>aattoumani.bacar@gmail.com</t>
  </si>
  <si>
    <t>024 068 413 00020</t>
  </si>
  <si>
    <t>976-M-116</t>
  </si>
  <si>
    <t>FJ-886-VX</t>
  </si>
  <si>
    <t>A MOITIE</t>
  </si>
  <si>
    <t>OUI PAS PAYE</t>
  </si>
  <si>
    <t>Chemin ma ali andy</t>
  </si>
  <si>
    <t>Voiture endommagé d'un coté et la tete de taxi aussi habillé en 2021</t>
  </si>
  <si>
    <t>0639 075923/0639 26 27 78</t>
  </si>
  <si>
    <t>ambdihoumadi976@gmail.com</t>
  </si>
  <si>
    <t>024 078 396 000 41</t>
  </si>
  <si>
    <t>976-M-049</t>
  </si>
  <si>
    <t>GH-790-LS</t>
  </si>
  <si>
    <t>? Pas payé</t>
  </si>
  <si>
    <t>2020/44</t>
  </si>
  <si>
    <t>Rue younoussa bamana</t>
  </si>
  <si>
    <t>a une voiture neuve</t>
  </si>
  <si>
    <t>voiture en panne</t>
  </si>
  <si>
    <t xml:space="preserve">ALLAOUI </t>
  </si>
  <si>
    <t>0639 65 31 82</t>
  </si>
  <si>
    <t>stt653182@hotmail.com</t>
  </si>
  <si>
    <t>024 043 30 000 11</t>
  </si>
  <si>
    <t>976-CS-048</t>
  </si>
  <si>
    <t>FZ_148_HW</t>
  </si>
  <si>
    <t>OK</t>
  </si>
  <si>
    <t>Quartier Kami case impasse mavandzani</t>
  </si>
  <si>
    <t>Kani kéli</t>
  </si>
  <si>
    <t>Il est pas eligible pour la demande de subvention</t>
  </si>
  <si>
    <t xml:space="preserve">AMBDI </t>
  </si>
  <si>
    <t>Houmadi</t>
  </si>
  <si>
    <t>0639 23 55 69</t>
  </si>
  <si>
    <t>066 312 224 000 26</t>
  </si>
  <si>
    <t>Sud</t>
  </si>
  <si>
    <t>976-S-023</t>
  </si>
  <si>
    <t>GC-122-QA</t>
  </si>
  <si>
    <t>2020/46</t>
  </si>
  <si>
    <t>Route nationale Mbouanatsa</t>
  </si>
  <si>
    <t>BOUENI</t>
  </si>
  <si>
    <t>Habillage 2023</t>
  </si>
  <si>
    <t>BINA HALADI</t>
  </si>
  <si>
    <t>0639 06 05 82</t>
  </si>
  <si>
    <t>wonamaore@gmail.com</t>
  </si>
  <si>
    <t>853 690 428 000 18</t>
  </si>
  <si>
    <t>976-S-045</t>
  </si>
  <si>
    <t>GE-883-ES</t>
  </si>
  <si>
    <t>9 places</t>
  </si>
  <si>
    <t>2020/61</t>
  </si>
  <si>
    <t xml:space="preserve">Rue Said Fatima </t>
  </si>
  <si>
    <t>SADA</t>
  </si>
  <si>
    <t>Habillage juin 2023</t>
  </si>
  <si>
    <t>BOINARIZIKI</t>
  </si>
  <si>
    <t>Zena Dhurari</t>
  </si>
  <si>
    <t>0639 66 36 94
06 50 45 94 42</t>
  </si>
  <si>
    <t>dhurari.transport@gmail.com</t>
  </si>
  <si>
    <t>500 894 043 000 16</t>
  </si>
  <si>
    <t>976-CS-071</t>
  </si>
  <si>
    <t>FF-569-NF</t>
  </si>
  <si>
    <t xml:space="preserve">Rue du commerce </t>
  </si>
  <si>
    <t>voiture pas habillée</t>
  </si>
  <si>
    <t>0639 68 37 93</t>
  </si>
  <si>
    <t>combosaid5@gmail.cpm</t>
  </si>
  <si>
    <t>054 394 853 00029</t>
  </si>
  <si>
    <t>976-M-164</t>
  </si>
  <si>
    <t>GB-965-EQ</t>
  </si>
  <si>
    <t>NEUF</t>
  </si>
  <si>
    <t>2020/70</t>
  </si>
  <si>
    <t>Route Départementale</t>
  </si>
  <si>
    <t>Mtsamboro</t>
  </si>
  <si>
    <t>Il a reçu sa subvention et il a rien payé, et il a utiliser l'argent</t>
  </si>
  <si>
    <t>EL ANZIZE SALIM</t>
  </si>
  <si>
    <t>0639 22 81 28</t>
  </si>
  <si>
    <t>elsalimhamada@hotmail.com</t>
  </si>
  <si>
    <t>024 076 531 00011</t>
  </si>
  <si>
    <t>976_M_209</t>
  </si>
  <si>
    <t>GM_515_YL</t>
  </si>
  <si>
    <t>G</t>
  </si>
  <si>
    <t>2022/198</t>
  </si>
  <si>
    <t>Rue de mjinpia</t>
  </si>
  <si>
    <t>Mtsangamoudji</t>
  </si>
  <si>
    <t>habillage 9 place 2023</t>
  </si>
  <si>
    <t>HADHURAMI</t>
  </si>
  <si>
    <t>Makinedine</t>
  </si>
  <si>
    <t>0639 94 46 40</t>
  </si>
  <si>
    <t>Hadhuramimakinedine976@gmail.com</t>
  </si>
  <si>
    <t>054 397 211 00019</t>
  </si>
  <si>
    <t>SUD</t>
  </si>
  <si>
    <t>976_S_069</t>
  </si>
  <si>
    <t>FZ-411-ZD</t>
  </si>
  <si>
    <t>2020/82</t>
  </si>
  <si>
    <t>Rue foundi hamada m'zé</t>
  </si>
  <si>
    <t>Habillage 2021 aurait 2 véhicules</t>
  </si>
  <si>
    <t>MADI BOINA</t>
  </si>
  <si>
    <t>Mkidachi</t>
  </si>
  <si>
    <t>0639 22 08 67</t>
  </si>
  <si>
    <t>madiboinamkidachi@hotmail.com</t>
  </si>
  <si>
    <t>500 793 526 00012</t>
  </si>
  <si>
    <t>NORD</t>
  </si>
  <si>
    <t>976-N-63</t>
  </si>
  <si>
    <t>GS-501-ZK</t>
  </si>
  <si>
    <t>pas de vitre</t>
  </si>
  <si>
    <t>Rue d'andimaka</t>
  </si>
  <si>
    <t>Mtsangamouji</t>
  </si>
  <si>
    <t>MOISSULI HIMIDI</t>
  </si>
  <si>
    <t>Enly</t>
  </si>
  <si>
    <t>0639 94 58 14</t>
  </si>
  <si>
    <t>enlymoissuli@gmail.com</t>
  </si>
  <si>
    <t>853 881 084 000 18</t>
  </si>
  <si>
    <t>976-N-015</t>
  </si>
  <si>
    <t>GW-003-JA</t>
  </si>
  <si>
    <t>att May Equip</t>
  </si>
  <si>
    <t>Quartier mronobaban sidi , Hamjago</t>
  </si>
  <si>
    <t>Il attend sa subvention , justine lui a dit d'aller harceler le CD pour qui'il debloque sa subvention</t>
  </si>
  <si>
    <t>soucis de famille</t>
  </si>
  <si>
    <t>0639 69 03 87</t>
  </si>
  <si>
    <t>soulaousseni415@gmail.com</t>
  </si>
  <si>
    <t>066 307 372 000 12</t>
  </si>
  <si>
    <t>Centre NORD</t>
  </si>
  <si>
    <t>976-CN-003</t>
  </si>
  <si>
    <t>GP_813_HX</t>
  </si>
  <si>
    <t>TBE</t>
  </si>
  <si>
    <t>2021/181</t>
  </si>
  <si>
    <t>Rue mnadzi moja quartier baitil mali</t>
  </si>
  <si>
    <t xml:space="preserve">Pas de voiture </t>
  </si>
  <si>
    <t>0639 07 82 51</t>
  </si>
  <si>
    <t>024 065 633 000 18</t>
  </si>
  <si>
    <t>976-N-032</t>
  </si>
  <si>
    <t>GR-921-XZ</t>
  </si>
  <si>
    <t>Rue bacar tsimanda</t>
  </si>
  <si>
    <t>0639 40 58 85</t>
  </si>
  <si>
    <t>maanroufsandi@laposte.net</t>
  </si>
  <si>
    <t>024 069 635 000 19</t>
  </si>
  <si>
    <t>976-S-006</t>
  </si>
  <si>
    <t>GW-255-NY</t>
  </si>
  <si>
    <t>A VENIR</t>
  </si>
  <si>
    <t>Quartier ecole primaire</t>
  </si>
  <si>
    <t>Chirongui</t>
  </si>
  <si>
    <t xml:space="preserve">Pas habillé en attente rendez-vous mayotte equipement </t>
  </si>
  <si>
    <t xml:space="preserve">TOUMBOU </t>
  </si>
  <si>
    <t>0639 19 14 22</t>
  </si>
  <si>
    <t>toumboutoibourani@outlook.fr / anlia.toumbou97620@gmail.com</t>
  </si>
  <si>
    <t>024 054 710 000 25</t>
  </si>
  <si>
    <t>976-M-177</t>
  </si>
  <si>
    <t>GF_215_AQ</t>
  </si>
  <si>
    <t>2020/158</t>
  </si>
  <si>
    <t>Rue Bambou</t>
  </si>
  <si>
    <t>Gérant</t>
  </si>
  <si>
    <t>ACHIRAFFI  pas de chauffeur</t>
  </si>
  <si>
    <t>Assad</t>
  </si>
  <si>
    <t>0639 29 01 58</t>
  </si>
  <si>
    <t>achiraffis@gmail.com</t>
  </si>
  <si>
    <t>024 046 617 000 15</t>
  </si>
  <si>
    <t>976-M-045</t>
  </si>
  <si>
    <t>FY-973-FL</t>
  </si>
  <si>
    <t>2020/20</t>
  </si>
  <si>
    <t>Route départemental</t>
  </si>
  <si>
    <t>M'tsamboro</t>
  </si>
  <si>
    <t>a une voiture - Travaille au Sud</t>
  </si>
  <si>
    <t>Secteur</t>
  </si>
  <si>
    <t>N° Licence</t>
  </si>
  <si>
    <t>N° immatriculation</t>
  </si>
  <si>
    <t>Date première immatriculation</t>
  </si>
  <si>
    <t>Capacité</t>
  </si>
  <si>
    <t>SIRET</t>
  </si>
  <si>
    <t>N° Carte conducteur</t>
  </si>
  <si>
    <t>Validité carte conducteur</t>
  </si>
  <si>
    <t>Signature Coordinateur 2</t>
  </si>
  <si>
    <t xml:space="preserve">Type </t>
  </si>
  <si>
    <t>Depart</t>
  </si>
  <si>
    <t>+</t>
  </si>
  <si>
    <t>COMBO SOUFFOU (RENE ASSANATI)</t>
  </si>
  <si>
    <t>MOHAMED (BOINA RIEZIKI ZENA DHURARI)</t>
  </si>
  <si>
    <t>Nbre personnes  montantes</t>
  </si>
  <si>
    <t>MOHAMED</t>
  </si>
  <si>
    <t>Centre Sud
Mamoudzou</t>
  </si>
  <si>
    <t>Horaire</t>
  </si>
  <si>
    <t>Chauffeur</t>
  </si>
  <si>
    <t>Trajet non effectué</t>
  </si>
  <si>
    <t>Départ avec plus de 10 mns retard</t>
  </si>
  <si>
    <t xml:space="preserve">BARAKA </t>
  </si>
  <si>
    <t>Soumaila</t>
  </si>
  <si>
    <t xml:space="preserve"> 0639 24 71 32</t>
  </si>
  <si>
    <t>barakasoumaila6@gmail.com</t>
  </si>
  <si>
    <t>801 318 460 000 12</t>
  </si>
  <si>
    <t>976-M-382</t>
  </si>
  <si>
    <t>Ali (laglace)</t>
  </si>
  <si>
    <t>samirahanie1@gmail.com</t>
  </si>
  <si>
    <t>499 987 972 000 19</t>
  </si>
  <si>
    <t>976-M-322</t>
  </si>
  <si>
    <t>GR-558_LA</t>
  </si>
  <si>
    <t>REMPLACEMENT</t>
  </si>
  <si>
    <t>ARRIVEE</t>
  </si>
  <si>
    <t>ST</t>
  </si>
  <si>
    <t>ST3</t>
  </si>
  <si>
    <t>ABDOU HAMIDOUNE</t>
  </si>
  <si>
    <t>Nassabia</t>
  </si>
  <si>
    <t>0639 23 54 34</t>
  </si>
  <si>
    <t>abdouhamidoune.nassabia@gmail.com</t>
  </si>
  <si>
    <t>099 385 932 000 19</t>
  </si>
  <si>
    <t>976-M-189</t>
  </si>
  <si>
    <t>GY-652-NV</t>
  </si>
  <si>
    <t>ABDOURAHIM</t>
  </si>
  <si>
    <t>Mohamed</t>
  </si>
  <si>
    <t>ISSOUF</t>
  </si>
  <si>
    <t>Dailami</t>
  </si>
  <si>
    <t>Observations :</t>
  </si>
  <si>
    <t xml:space="preserve">Absences : </t>
  </si>
  <si>
    <t>Signature Coordinateur 1 :</t>
  </si>
  <si>
    <t>Trajets non effectués :</t>
  </si>
  <si>
    <r>
      <t xml:space="preserve">Nom Chauffeur </t>
    </r>
    <r>
      <rPr>
        <b/>
        <sz val="14"/>
        <color theme="1"/>
        <rFont val="Aptos Narrow"/>
        <family val="2"/>
        <scheme val="minor"/>
      </rPr>
      <t>réel</t>
    </r>
    <r>
      <rPr>
        <sz val="14"/>
        <color theme="1"/>
        <rFont val="Aptos Narrow"/>
        <family val="2"/>
        <scheme val="minor"/>
      </rPr>
      <t xml:space="preserve">
 ( si différent)</t>
    </r>
  </si>
  <si>
    <t>VELOU M'COLO</t>
  </si>
  <si>
    <t>Delai entre 2 départs</t>
  </si>
  <si>
    <t>Nbre trajets</t>
  </si>
  <si>
    <t>Délai avant</t>
  </si>
  <si>
    <t>Statistiques</t>
  </si>
  <si>
    <t>nbre de trajets planifiés</t>
  </si>
  <si>
    <t>Nbre trajets non effectués</t>
  </si>
  <si>
    <t>Nbre trajets effectués non planifiés</t>
  </si>
  <si>
    <t>M'Berou</t>
  </si>
  <si>
    <t>AHAMADI</t>
  </si>
  <si>
    <t>Laydine</t>
  </si>
  <si>
    <t>NOVEMBRE</t>
  </si>
  <si>
    <t>n</t>
  </si>
  <si>
    <t>DEPART</t>
  </si>
  <si>
    <t>KAMARDINE</t>
  </si>
  <si>
    <t>D1</t>
  </si>
  <si>
    <t>D10</t>
  </si>
  <si>
    <t>D11</t>
  </si>
  <si>
    <t>D12</t>
  </si>
  <si>
    <t>D13</t>
  </si>
  <si>
    <t>Aktoir</t>
  </si>
  <si>
    <t>D14</t>
  </si>
  <si>
    <t>D15</t>
  </si>
  <si>
    <t>D2</t>
  </si>
  <si>
    <t>D3</t>
  </si>
  <si>
    <t>D4</t>
  </si>
  <si>
    <t>D5</t>
  </si>
  <si>
    <t>AMINA</t>
  </si>
  <si>
    <t>Selemani</t>
  </si>
  <si>
    <t>D6</t>
  </si>
  <si>
    <t>D7</t>
  </si>
  <si>
    <t>D8</t>
  </si>
  <si>
    <t>D9</t>
  </si>
  <si>
    <t>976-N-064</t>
  </si>
  <si>
    <t>HC-814-HL</t>
  </si>
  <si>
    <t>Nord</t>
  </si>
  <si>
    <t>99 388 878 00029</t>
  </si>
  <si>
    <t>500 352 398 00050</t>
  </si>
  <si>
    <t>GY-978-QD</t>
  </si>
  <si>
    <t>ahamadilaydine@gmail.com</t>
  </si>
  <si>
    <t>79468048800018</t>
  </si>
  <si>
    <t>976-M-422
976-CN-030</t>
  </si>
  <si>
    <t>Mamoudzou 
Centre Nord</t>
  </si>
  <si>
    <t>976-S-002</t>
  </si>
  <si>
    <t>GY-732-PV</t>
  </si>
  <si>
    <t>abdourahimmohamed976@gmail.com</t>
  </si>
  <si>
    <t>09413083800017</t>
  </si>
  <si>
    <t>DOUJANI</t>
  </si>
  <si>
    <t>PASSOT LA BARGE</t>
  </si>
  <si>
    <t>Mansour (Salarié)</t>
  </si>
  <si>
    <t>D16</t>
  </si>
  <si>
    <t>D17</t>
  </si>
  <si>
    <t>D18</t>
  </si>
  <si>
    <t>D19</t>
  </si>
  <si>
    <t>D</t>
  </si>
  <si>
    <t xml:space="preserve">Mansour  </t>
  </si>
  <si>
    <t>LISTE DES INTERVENANTS SUR LE MARCHE CARIBUS</t>
  </si>
  <si>
    <t>LIGNE 4 : VAHIBE &lt;-&gt; PASSAMAINTY</t>
  </si>
  <si>
    <t>C3
 Abdou Minihadji Hamada</t>
  </si>
  <si>
    <t>C4
Toubou Toibranne</t>
  </si>
  <si>
    <t>C5 Ahamadi Bacar Raenmouddine</t>
  </si>
  <si>
    <t>C6 
Ousseni Soula</t>
  </si>
  <si>
    <t>C7 
Hamidou Dahalani</t>
  </si>
  <si>
    <t>C8 
Hadhurami Manikedine</t>
  </si>
  <si>
    <t>C9
Sandi Manrouf</t>
  </si>
  <si>
    <t>C10
M'changama Issihaka</t>
  </si>
  <si>
    <t>C11
 Madi Boina Mikidachi</t>
  </si>
  <si>
    <t>C12
Alliloifa Said Siradj</t>
  </si>
  <si>
    <t>C13
Chauffeur Taxi Vanille (Ben)</t>
  </si>
  <si>
    <t>C14
Kamardine Mansour</t>
  </si>
  <si>
    <t>C15 
Mansour Kamardine (salarié)</t>
  </si>
  <si>
    <t>Coordinateurs</t>
  </si>
  <si>
    <t>VEHICULE</t>
  </si>
  <si>
    <t>VEHICULE TV1</t>
  </si>
  <si>
    <t>VEHICULE TV5</t>
  </si>
  <si>
    <t>VEHICULE TV7</t>
  </si>
  <si>
    <t>VEHICULE TV6</t>
  </si>
  <si>
    <t>Jours de semaine AM</t>
  </si>
  <si>
    <t>4:30-8:40</t>
  </si>
  <si>
    <t>4:50-8:30</t>
  </si>
  <si>
    <t>5:00- 8:30</t>
  </si>
  <si>
    <t>6:00- 9:30</t>
  </si>
  <si>
    <t>6:30- 14:15</t>
  </si>
  <si>
    <r>
      <t xml:space="preserve">4:30-11:00
</t>
    </r>
    <r>
      <rPr>
        <b/>
        <sz val="11"/>
        <color rgb="FFFF0000"/>
        <rFont val="Aptos Narrow"/>
        <family val="2"/>
        <scheme val="minor"/>
      </rPr>
      <t>Astreinte de 4:30 à 6:40 et de 9:00 à 11:00</t>
    </r>
  </si>
  <si>
    <t>5:10-8:45</t>
  </si>
  <si>
    <t>5:20-8:00</t>
  </si>
  <si>
    <t>5:30-8:10</t>
  </si>
  <si>
    <t>5:00-8:30</t>
  </si>
  <si>
    <t>6:00-8:30</t>
  </si>
  <si>
    <t>6:30-9:00</t>
  </si>
  <si>
    <t>Allaoui Soibrane</t>
  </si>
  <si>
    <t>Jours de semaine PM</t>
  </si>
  <si>
    <t>14:30-17:00</t>
  </si>
  <si>
    <t>17:00-21:15</t>
  </si>
  <si>
    <t>16:30-17:30</t>
  </si>
  <si>
    <t>El Anziz Hamada</t>
  </si>
  <si>
    <t>Samedi Matin</t>
  </si>
  <si>
    <t>6:00-13:45</t>
  </si>
  <si>
    <t>6:30-13:45</t>
  </si>
  <si>
    <t>Toumbou Toibrane</t>
  </si>
  <si>
    <t>Samedi PM</t>
  </si>
  <si>
    <t>14:00- 20:45</t>
  </si>
  <si>
    <t>14:00-21:15</t>
  </si>
  <si>
    <t>Dimanche et jours fériés matin</t>
  </si>
  <si>
    <t>8:00-13:45
1 Dimanche sur 2</t>
  </si>
  <si>
    <t>Dimanche et jours fériés AM</t>
  </si>
  <si>
    <t>14:00-19:15
1 Dimanche sur 2</t>
  </si>
  <si>
    <t>LIGNE 3 : DOUJANI &lt;-&gt; LE PASSOT BARGE</t>
  </si>
  <si>
    <t>D1 
Mohamed Ali La Glace</t>
  </si>
  <si>
    <t>D2
Baraka Soumaila</t>
  </si>
  <si>
    <t>D3
Abdourahim Mohamed</t>
  </si>
  <si>
    <t>D4
Ambdi Houmadi</t>
  </si>
  <si>
    <t>D5 
Amina Selemani</t>
  </si>
  <si>
    <t>D6
Abdou Hamidoune Nassabia</t>
  </si>
  <si>
    <t>D7
Combo Said</t>
  </si>
  <si>
    <t>D8
Dailami Issouf</t>
  </si>
  <si>
    <t>D9
Renee Assanati</t>
  </si>
  <si>
    <t>D10
Mansour Kamardine (Salarié)</t>
  </si>
  <si>
    <t>D11
 Allaoui Soibrane</t>
  </si>
  <si>
    <t>D12
Velou M'Colo</t>
  </si>
  <si>
    <t>D13
Mourdi Aktoir</t>
  </si>
  <si>
    <t>D14
Ahamadi Laydine</t>
  </si>
  <si>
    <t>D15
Kamardine Mansour</t>
  </si>
  <si>
    <t>VEHICULE TV2</t>
  </si>
  <si>
    <t>VEHICULE TV3</t>
  </si>
  <si>
    <t>VEHICULE TV4</t>
  </si>
  <si>
    <t>6:20-14:50</t>
  </si>
  <si>
    <t>5:40-8:10</t>
  </si>
  <si>
    <t>6:00-14:00</t>
  </si>
  <si>
    <t>5:20-8:10</t>
  </si>
  <si>
    <t>6:20-8:20</t>
  </si>
  <si>
    <t>5:50-14:10</t>
  </si>
  <si>
    <t>6:00-13:50</t>
  </si>
  <si>
    <t>5:10-8:10</t>
  </si>
  <si>
    <t>5:30-8:30</t>
  </si>
  <si>
    <r>
      <t xml:space="preserve">6:10-8:10
</t>
    </r>
    <r>
      <rPr>
        <b/>
        <sz val="14"/>
        <color rgb="FFFF0000"/>
        <rFont val="Aptos Narrow"/>
        <family val="2"/>
        <scheme val="minor"/>
      </rPr>
      <t>Astreinte de 4:30 à 6:00 et de 8:10 à 11:00</t>
    </r>
  </si>
  <si>
    <t>Younoussa Hamada</t>
  </si>
  <si>
    <t>14:40-18:10</t>
  </si>
  <si>
    <t>15:20-17:50</t>
  </si>
  <si>
    <t>15:00-20:30</t>
  </si>
  <si>
    <t>17:50-20:50</t>
  </si>
  <si>
    <t>14:20-21:10</t>
  </si>
  <si>
    <t>15:20-21:30</t>
  </si>
  <si>
    <t>Mansour Kamardine</t>
  </si>
  <si>
    <t>6:40-14:40</t>
  </si>
  <si>
    <t>6:20-14:20</t>
  </si>
  <si>
    <t>Ousseni Soula</t>
  </si>
  <si>
    <t>14:00-19:00</t>
  </si>
  <si>
    <t>14:20-21:20</t>
  </si>
  <si>
    <t>14:40-20:40</t>
  </si>
  <si>
    <t>8:30-14:00</t>
  </si>
  <si>
    <t>8:00-13:30</t>
  </si>
  <si>
    <t>14:00-19:30
1 Dimanche sur 2</t>
  </si>
  <si>
    <t>14:30-19:30
1 Dimanche sur 2</t>
  </si>
  <si>
    <t xml:space="preserve">14:00-19:00
</t>
  </si>
  <si>
    <t>Coordinateur La Barge PM et samedi PM et Dimanche PM</t>
  </si>
  <si>
    <t>Coordinateur Vahibe matin Jours de semaine et Dimanche PM</t>
  </si>
  <si>
    <t>Coordinateur Doujani matin jours de semaine</t>
  </si>
  <si>
    <t>M'TSAPERE</t>
  </si>
  <si>
    <t>COORDINATEUR MATIN DOUJANI NAVETTES CARIBUS MARS 2026</t>
  </si>
  <si>
    <t>NOM COORDINATEUR PASSOT LA BARGE</t>
  </si>
  <si>
    <t xml:space="preserve">NOM COORDINATEUR </t>
  </si>
  <si>
    <t>C1 
El Anziz Hamada</t>
  </si>
  <si>
    <t>C2
Bina Haladi Bina</t>
  </si>
  <si>
    <t>4:30-12:45</t>
  </si>
  <si>
    <t>13:00-16:00</t>
  </si>
  <si>
    <r>
      <t xml:space="preserve">19:00-20:45
</t>
    </r>
    <r>
      <rPr>
        <b/>
        <sz val="10"/>
        <color rgb="FFFF0000"/>
        <rFont val="Aptos Narrow"/>
        <family val="2"/>
        <scheme val="minor"/>
      </rPr>
      <t>Astreinte de 17:00 à 19:00</t>
    </r>
  </si>
  <si>
    <t>6:40-8:10</t>
  </si>
  <si>
    <t>17:30-18:45</t>
  </si>
  <si>
    <t>90469435300015</t>
  </si>
  <si>
    <t>976-M-296</t>
  </si>
  <si>
    <t>selemani.a@hotmail.fr</t>
  </si>
  <si>
    <t>976-N-261</t>
  </si>
  <si>
    <t>Coordinateur matin</t>
  </si>
  <si>
    <t>Coordinateur PM</t>
  </si>
  <si>
    <t>HAMADA</t>
  </si>
  <si>
    <t>Younoussa</t>
  </si>
  <si>
    <t>Mansour</t>
  </si>
  <si>
    <t>Coordinateur Samedi et dimanche matin</t>
  </si>
  <si>
    <t>976-S-036</t>
  </si>
  <si>
    <t>GZ-268-PR</t>
  </si>
  <si>
    <t>RENEE</t>
  </si>
  <si>
    <t>976_M_079</t>
  </si>
  <si>
    <t>976-M-356</t>
  </si>
  <si>
    <t>LISTE DES INTERVENANTS SUR LA LIGNE 3</t>
  </si>
  <si>
    <t>Coordinateur Samedi et dimanche PM</t>
  </si>
  <si>
    <t>WW-688-KR</t>
  </si>
  <si>
    <t xml:space="preserve">20/05/2021
</t>
  </si>
  <si>
    <t>WW-620-KR</t>
  </si>
  <si>
    <t>WW-639-KR</t>
  </si>
  <si>
    <t>WW-696-KR</t>
  </si>
  <si>
    <t>GX-284-BV</t>
  </si>
  <si>
    <t>FZ-148_HW</t>
  </si>
  <si>
    <t>MOURIDI</t>
  </si>
  <si>
    <t xml:space="preserve">COORDINATEUR SEMAINE LIGNE 3 NAVETTES CARIBUS </t>
  </si>
  <si>
    <t xml:space="preserve">COORDINATEUR SAMEDI LIGNE 3 NAVETTES CARIBUS </t>
  </si>
  <si>
    <t xml:space="preserve">COORDINATEUR DIMANCHE 1  LIGNE 3 NAVETTES CARIBUS </t>
  </si>
  <si>
    <t xml:space="preserve">COORDINATEUR DIMANCHE 2  LIGNE 3 NAVETTES CARIBUS </t>
  </si>
  <si>
    <t>ST1</t>
  </si>
  <si>
    <t>ST2</t>
  </si>
  <si>
    <t>D20</t>
  </si>
  <si>
    <t>D21</t>
  </si>
  <si>
    <t>D22</t>
  </si>
  <si>
    <t>D23</t>
  </si>
  <si>
    <t>Nbre trajets dont départ &gt; 10 minutes en retard</t>
  </si>
  <si>
    <t>Babou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</si>
</sst>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164" formatCode="0.0"/>
    <numFmt numFmtId="165" formatCode="[$-F800]dddd\,\ mmmm\ dd\,\ yyyy"/>
    <numFmt numFmtId="166" formatCode="#,##0\ &quot;€&quot;"/>
    <numFmt numFmtId="167" formatCode="yyyy"/>
    <numFmt numFmtId="168" formatCode="0#&quot; &quot;##&quot; &quot;##&quot; &quot;##&quot; &quot;##"/>
    <numFmt numFmtId="169" formatCode="h:mm;@"/>
  </numFmts>
  <fonts count="5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u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2"/>
      <color theme="4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i/>
      <sz val="16"/>
      <name val="Aptos Narrow"/>
      <family val="2"/>
      <scheme val="minor"/>
    </font>
    <font>
      <sz val="22"/>
      <color theme="1"/>
      <name val="Calibri"/>
      <family val="2"/>
    </font>
    <font>
      <b/>
      <sz val="34"/>
      <color theme="1"/>
      <name val="Aptos Narrow"/>
      <family val="2"/>
      <scheme val="minor"/>
    </font>
    <font>
      <b/>
      <sz val="34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34"/>
      <color rgb="FF0070C0"/>
      <name val="Aptos Narrow"/>
      <family val="2"/>
      <scheme val="minor"/>
    </font>
    <font>
      <sz val="22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499984740745262"/>
      </bottom>
      <diagonal/>
    </border>
  </borders>
  <cellStyleXfs count="7">
    <xf numFmtId="0" fontId="0" fillId="0" borderId="0"/>
    <xf numFmtId="0" fontId="8" fillId="0" borderId="0"/>
    <xf numFmtId="0" fontId="12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" fillId="0" borderId="0"/>
  </cellStyleXfs>
  <cellXfs count="47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/>
    <xf numFmtId="21" fontId="0" fillId="0" borderId="5" xfId="0" applyNumberFormat="1" applyBorder="1"/>
    <xf numFmtId="0" fontId="0" fillId="2" borderId="9" xfId="0" applyFill="1" applyBorder="1"/>
    <xf numFmtId="0" fontId="0" fillId="2" borderId="0" xfId="0" applyFill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4" xfId="0" applyBorder="1"/>
    <xf numFmtId="0" fontId="0" fillId="0" borderId="13" xfId="0" applyBorder="1"/>
    <xf numFmtId="0" fontId="2" fillId="0" borderId="9" xfId="0" applyFont="1" applyBorder="1"/>
    <xf numFmtId="0" fontId="2" fillId="0" borderId="4" xfId="0" applyFont="1" applyBorder="1"/>
    <xf numFmtId="0" fontId="0" fillId="0" borderId="10" xfId="0" applyBorder="1"/>
    <xf numFmtId="0" fontId="0" fillId="0" borderId="12" xfId="0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20" fontId="0" fillId="0" borderId="0" xfId="0" applyNumberFormat="1"/>
    <xf numFmtId="20" fontId="0" fillId="0" borderId="12" xfId="0" applyNumberFormat="1" applyBorder="1"/>
    <xf numFmtId="20" fontId="0" fillId="0" borderId="5" xfId="0" applyNumberFormat="1" applyBorder="1"/>
    <xf numFmtId="20" fontId="0" fillId="0" borderId="11" xfId="0" applyNumberFormat="1" applyBorder="1"/>
    <xf numFmtId="20" fontId="0" fillId="2" borderId="12" xfId="0" applyNumberFormat="1" applyFill="1" applyBorder="1"/>
    <xf numFmtId="0" fontId="0" fillId="0" borderId="10" xfId="0" applyBorder="1" applyAlignment="1">
      <alignment horizontal="center"/>
    </xf>
    <xf numFmtId="0" fontId="0" fillId="2" borderId="10" xfId="0" applyFill="1" applyBorder="1"/>
    <xf numFmtId="0" fontId="0" fillId="0" borderId="6" xfId="0" applyBorder="1"/>
    <xf numFmtId="0" fontId="0" fillId="2" borderId="12" xfId="0" applyFill="1" applyBorder="1"/>
    <xf numFmtId="20" fontId="0" fillId="0" borderId="10" xfId="0" applyNumberFormat="1" applyBorder="1"/>
    <xf numFmtId="20" fontId="0" fillId="2" borderId="10" xfId="0" applyNumberFormat="1" applyFill="1" applyBorder="1"/>
    <xf numFmtId="20" fontId="0" fillId="0" borderId="6" xfId="0" applyNumberFormat="1" applyBorder="1"/>
    <xf numFmtId="20" fontId="0" fillId="0" borderId="14" xfId="0" applyNumberFormat="1" applyBorder="1"/>
    <xf numFmtId="20" fontId="0" fillId="2" borderId="0" xfId="0" applyNumberFormat="1" applyFill="1"/>
    <xf numFmtId="0" fontId="2" fillId="0" borderId="0" xfId="0" applyFont="1"/>
    <xf numFmtId="0" fontId="2" fillId="0" borderId="5" xfId="0" applyFont="1" applyBorder="1"/>
    <xf numFmtId="0" fontId="0" fillId="0" borderId="0" xfId="0" applyAlignment="1">
      <alignment wrapText="1"/>
    </xf>
    <xf numFmtId="20" fontId="0" fillId="0" borderId="10" xfId="0" applyNumberFormat="1" applyBorder="1" applyAlignment="1">
      <alignment horizontal="center"/>
    </xf>
    <xf numFmtId="1" fontId="0" fillId="0" borderId="0" xfId="0" applyNumberFormat="1"/>
    <xf numFmtId="20" fontId="0" fillId="0" borderId="1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0" xfId="0" applyNumberFormat="1"/>
    <xf numFmtId="164" fontId="0" fillId="0" borderId="1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8" xfId="0" applyBorder="1"/>
    <xf numFmtId="20" fontId="0" fillId="0" borderId="0" xfId="0" applyNumberFormat="1" applyAlignment="1">
      <alignment horizontal="center"/>
    </xf>
    <xf numFmtId="165" fontId="0" fillId="0" borderId="13" xfId="0" applyNumberFormat="1" applyBorder="1"/>
    <xf numFmtId="1" fontId="9" fillId="0" borderId="0" xfId="1" applyNumberFormat="1" applyFont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49" fontId="10" fillId="0" borderId="32" xfId="1" applyNumberFormat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right" vertical="center" wrapText="1"/>
    </xf>
    <xf numFmtId="0" fontId="9" fillId="0" borderId="0" xfId="1" applyFont="1" applyAlignment="1">
      <alignment horizontal="center" vertical="center"/>
    </xf>
    <xf numFmtId="1" fontId="11" fillId="0" borderId="0" xfId="1" applyNumberFormat="1" applyFont="1" applyAlignment="1">
      <alignment vertical="center"/>
    </xf>
    <xf numFmtId="0" fontId="11" fillId="0" borderId="32" xfId="1" applyFont="1" applyBorder="1" applyAlignment="1">
      <alignment horizontal="left" vertical="center" wrapText="1"/>
    </xf>
    <xf numFmtId="0" fontId="13" fillId="0" borderId="32" xfId="2" applyFont="1" applyFill="1" applyBorder="1" applyAlignment="1">
      <alignment horizontal="left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right" vertical="center" wrapText="1"/>
    </xf>
    <xf numFmtId="14" fontId="11" fillId="0" borderId="32" xfId="1" applyNumberFormat="1" applyFont="1" applyBorder="1" applyAlignment="1">
      <alignment horizontal="right" vertical="center" wrapText="1"/>
    </xf>
    <xf numFmtId="0" fontId="14" fillId="0" borderId="32" xfId="1" applyFont="1" applyBorder="1" applyAlignment="1">
      <alignment horizontal="right" vertical="center"/>
    </xf>
    <xf numFmtId="14" fontId="14" fillId="0" borderId="32" xfId="1" applyNumberFormat="1" applyFont="1" applyBorder="1" applyAlignment="1">
      <alignment horizontal="right" vertical="center"/>
    </xf>
    <xf numFmtId="1" fontId="11" fillId="0" borderId="32" xfId="1" applyNumberFormat="1" applyFont="1" applyBorder="1" applyAlignment="1">
      <alignment horizontal="right" vertical="center" wrapText="1"/>
    </xf>
    <xf numFmtId="0" fontId="11" fillId="0" borderId="32" xfId="1" applyFont="1" applyBorder="1" applyAlignment="1">
      <alignment horizontal="center" vertical="center"/>
    </xf>
    <xf numFmtId="14" fontId="10" fillId="0" borderId="32" xfId="1" applyNumberFormat="1" applyFont="1" applyBorder="1" applyAlignment="1">
      <alignment horizontal="center" vertical="center" wrapText="1"/>
    </xf>
    <xf numFmtId="166" fontId="11" fillId="0" borderId="32" xfId="1" applyNumberFormat="1" applyFont="1" applyBorder="1" applyAlignment="1">
      <alignment horizontal="center" vertical="center" wrapText="1"/>
    </xf>
    <xf numFmtId="167" fontId="11" fillId="0" borderId="32" xfId="1" applyNumberFormat="1" applyFont="1" applyBorder="1" applyAlignment="1">
      <alignment horizontal="center" vertical="center" wrapText="1"/>
    </xf>
    <xf numFmtId="0" fontId="11" fillId="0" borderId="32" xfId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15" fillId="0" borderId="32" xfId="2" applyFont="1" applyFill="1" applyBorder="1" applyAlignment="1">
      <alignment horizontal="left" vertical="center" wrapText="1"/>
    </xf>
    <xf numFmtId="3" fontId="11" fillId="0" borderId="32" xfId="1" quotePrefix="1" applyNumberFormat="1" applyFont="1" applyBorder="1" applyAlignment="1">
      <alignment horizontal="left" vertical="center" wrapText="1"/>
    </xf>
    <xf numFmtId="0" fontId="11" fillId="0" borderId="32" xfId="1" applyFont="1" applyBorder="1" applyAlignment="1">
      <alignment horizontal="right" vertical="center"/>
    </xf>
    <xf numFmtId="14" fontId="11" fillId="0" borderId="32" xfId="1" applyNumberFormat="1" applyFont="1" applyBorder="1" applyAlignment="1">
      <alignment horizontal="right" vertical="center"/>
    </xf>
    <xf numFmtId="166" fontId="11" fillId="0" borderId="32" xfId="1" applyNumberFormat="1" applyFont="1" applyBorder="1" applyAlignment="1">
      <alignment horizontal="left" vertical="center" wrapText="1"/>
    </xf>
    <xf numFmtId="16" fontId="11" fillId="0" borderId="32" xfId="1" applyNumberFormat="1" applyFont="1" applyBorder="1" applyAlignment="1">
      <alignment horizontal="left" vertical="center" wrapText="1"/>
    </xf>
    <xf numFmtId="0" fontId="16" fillId="0" borderId="32" xfId="1" applyFont="1" applyBorder="1" applyAlignment="1">
      <alignment horizontal="right" vertical="center" wrapText="1"/>
    </xf>
    <xf numFmtId="166" fontId="11" fillId="0" borderId="32" xfId="1" applyNumberFormat="1" applyFont="1" applyBorder="1" applyAlignment="1">
      <alignment horizontal="center" vertical="center"/>
    </xf>
    <xf numFmtId="0" fontId="17" fillId="0" borderId="32" xfId="1" applyFont="1" applyBorder="1" applyAlignment="1">
      <alignment horizontal="left" vertical="center" wrapText="1"/>
    </xf>
    <xf numFmtId="166" fontId="17" fillId="0" borderId="32" xfId="1" applyNumberFormat="1" applyFont="1" applyBorder="1" applyAlignment="1">
      <alignment horizontal="left" vertical="center" wrapText="1"/>
    </xf>
    <xf numFmtId="0" fontId="18" fillId="0" borderId="32" xfId="2" applyFont="1" applyFill="1" applyBorder="1" applyAlignment="1">
      <alignment horizontal="left" vertical="center" wrapText="1"/>
    </xf>
    <xf numFmtId="3" fontId="17" fillId="0" borderId="32" xfId="1" quotePrefix="1" applyNumberFormat="1" applyFont="1" applyBorder="1" applyAlignment="1">
      <alignment horizontal="left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right" vertical="center" wrapText="1"/>
    </xf>
    <xf numFmtId="14" fontId="17" fillId="0" borderId="32" xfId="1" applyNumberFormat="1" applyFont="1" applyBorder="1" applyAlignment="1">
      <alignment horizontal="right" vertical="center" wrapText="1"/>
    </xf>
    <xf numFmtId="0" fontId="19" fillId="0" borderId="32" xfId="1" applyFont="1" applyBorder="1" applyAlignment="1">
      <alignment horizontal="center" vertical="center" wrapText="1"/>
    </xf>
    <xf numFmtId="14" fontId="19" fillId="0" borderId="32" xfId="1" applyNumberFormat="1" applyFont="1" applyBorder="1" applyAlignment="1">
      <alignment horizontal="center" vertical="center" wrapText="1"/>
    </xf>
    <xf numFmtId="16" fontId="17" fillId="0" borderId="32" xfId="1" applyNumberFormat="1" applyFont="1" applyBorder="1" applyAlignment="1">
      <alignment horizontal="right" vertical="center" wrapText="1"/>
    </xf>
    <xf numFmtId="166" fontId="17" fillId="0" borderId="32" xfId="1" applyNumberFormat="1" applyFont="1" applyBorder="1" applyAlignment="1">
      <alignment horizontal="center" vertical="center"/>
    </xf>
    <xf numFmtId="49" fontId="19" fillId="0" borderId="32" xfId="1" applyNumberFormat="1" applyFont="1" applyBorder="1" applyAlignment="1">
      <alignment horizontal="center" vertical="center" wrapText="1"/>
    </xf>
    <xf numFmtId="166" fontId="17" fillId="0" borderId="32" xfId="1" applyNumberFormat="1" applyFont="1" applyBorder="1" applyAlignment="1">
      <alignment horizontal="center" vertical="center" wrapText="1"/>
    </xf>
    <xf numFmtId="167" fontId="17" fillId="0" borderId="32" xfId="1" applyNumberFormat="1" applyFont="1" applyBorder="1" applyAlignment="1">
      <alignment horizontal="center" vertical="center" wrapText="1"/>
    </xf>
    <xf numFmtId="0" fontId="17" fillId="0" borderId="32" xfId="1" applyFont="1" applyBorder="1" applyAlignment="1">
      <alignment vertical="center" wrapText="1"/>
    </xf>
    <xf numFmtId="0" fontId="12" fillId="0" borderId="32" xfId="2" applyFill="1" applyBorder="1" applyAlignment="1">
      <alignment horizontal="left" vertical="center" wrapText="1"/>
    </xf>
    <xf numFmtId="0" fontId="14" fillId="0" borderId="32" xfId="1" applyFont="1" applyBorder="1" applyAlignment="1">
      <alignment horizontal="right" vertical="center" wrapText="1"/>
    </xf>
    <xf numFmtId="14" fontId="14" fillId="0" borderId="32" xfId="1" applyNumberFormat="1" applyFont="1" applyBorder="1" applyAlignment="1">
      <alignment horizontal="right" vertical="center" wrapText="1"/>
    </xf>
    <xf numFmtId="3" fontId="11" fillId="0" borderId="32" xfId="1" applyNumberFormat="1" applyFont="1" applyBorder="1" applyAlignment="1">
      <alignment horizontal="left" vertical="center"/>
    </xf>
    <xf numFmtId="0" fontId="11" fillId="0" borderId="32" xfId="3" applyFont="1" applyBorder="1" applyAlignment="1">
      <alignment horizontal="right" vertical="center" wrapText="1"/>
    </xf>
    <xf numFmtId="3" fontId="11" fillId="0" borderId="32" xfId="1" applyNumberFormat="1" applyFont="1" applyBorder="1" applyAlignment="1">
      <alignment horizontal="left" vertical="center" wrapText="1"/>
    </xf>
    <xf numFmtId="166" fontId="14" fillId="0" borderId="32" xfId="1" applyNumberFormat="1" applyFont="1" applyBorder="1" applyAlignment="1">
      <alignment horizontal="right" vertical="center"/>
    </xf>
    <xf numFmtId="17" fontId="10" fillId="0" borderId="32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20" fillId="0" borderId="32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/>
    </xf>
    <xf numFmtId="14" fontId="9" fillId="0" borderId="32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0" borderId="0" xfId="2" applyFont="1" applyFill="1" applyBorder="1" applyAlignment="1">
      <alignment horizontal="left" vertical="center" wrapText="1"/>
    </xf>
    <xf numFmtId="3" fontId="17" fillId="0" borderId="0" xfId="1" quotePrefix="1" applyNumberFormat="1" applyFont="1" applyAlignment="1">
      <alignment horizontal="left" vertical="center" wrapText="1"/>
    </xf>
    <xf numFmtId="0" fontId="17" fillId="0" borderId="0" xfId="1" applyFont="1" applyAlignment="1">
      <alignment horizontal="center" vertical="center" wrapText="1"/>
    </xf>
    <xf numFmtId="0" fontId="17" fillId="0" borderId="0" xfId="1" applyFont="1" applyAlignment="1">
      <alignment horizontal="right" vertical="center" wrapText="1"/>
    </xf>
    <xf numFmtId="14" fontId="17" fillId="0" borderId="0" xfId="1" applyNumberFormat="1" applyFont="1" applyAlignment="1">
      <alignment horizontal="right" vertical="center" wrapText="1"/>
    </xf>
    <xf numFmtId="0" fontId="19" fillId="0" borderId="0" xfId="1" applyFont="1" applyAlignment="1">
      <alignment horizontal="center" vertical="center" wrapText="1"/>
    </xf>
    <xf numFmtId="14" fontId="19" fillId="0" borderId="0" xfId="1" applyNumberFormat="1" applyFont="1" applyAlignment="1">
      <alignment horizontal="center" vertical="center" wrapText="1"/>
    </xf>
    <xf numFmtId="166" fontId="17" fillId="0" borderId="0" xfId="1" applyNumberFormat="1" applyFont="1" applyAlignment="1">
      <alignment horizontal="left" vertical="center" wrapText="1"/>
    </xf>
    <xf numFmtId="166" fontId="17" fillId="0" borderId="0" xfId="1" applyNumberFormat="1" applyFont="1" applyAlignment="1">
      <alignment horizontal="center" vertical="center"/>
    </xf>
    <xf numFmtId="49" fontId="19" fillId="0" borderId="0" xfId="1" applyNumberFormat="1" applyFont="1" applyAlignment="1">
      <alignment horizontal="center" vertical="center" wrapText="1"/>
    </xf>
    <xf numFmtId="166" fontId="17" fillId="0" borderId="0" xfId="1" applyNumberFormat="1" applyFont="1" applyAlignment="1">
      <alignment horizontal="center" vertical="center" wrapText="1"/>
    </xf>
    <xf numFmtId="167" fontId="17" fillId="0" borderId="0" xfId="1" applyNumberFormat="1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8" fillId="0" borderId="0" xfId="1"/>
    <xf numFmtId="0" fontId="0" fillId="0" borderId="0" xfId="0" applyAlignment="1">
      <alignment vertical="center"/>
    </xf>
    <xf numFmtId="20" fontId="0" fillId="0" borderId="20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9" xfId="0" applyBorder="1" applyAlignment="1">
      <alignment vertical="center"/>
    </xf>
    <xf numFmtId="20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9" xfId="0" applyBorder="1" applyAlignment="1">
      <alignment vertical="center"/>
    </xf>
    <xf numFmtId="20" fontId="0" fillId="0" borderId="0" xfId="0" applyNumberFormat="1" applyAlignment="1">
      <alignment vertical="center"/>
    </xf>
    <xf numFmtId="20" fontId="0" fillId="0" borderId="12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/>
    </xf>
    <xf numFmtId="20" fontId="0" fillId="2" borderId="12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4" xfId="0" applyFont="1" applyBorder="1" applyAlignment="1">
      <alignment vertical="center"/>
    </xf>
    <xf numFmtId="20" fontId="0" fillId="0" borderId="5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21" fontId="0" fillId="0" borderId="5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3" xfId="0" applyFont="1" applyBorder="1" applyAlignment="1">
      <alignment vertical="center"/>
    </xf>
    <xf numFmtId="20" fontId="0" fillId="0" borderId="24" xfId="0" applyNumberFormat="1" applyBorder="1" applyAlignment="1">
      <alignment vertical="center"/>
    </xf>
    <xf numFmtId="20" fontId="0" fillId="0" borderId="25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10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vertical="center"/>
    </xf>
    <xf numFmtId="20" fontId="0" fillId="2" borderId="10" xfId="0" applyNumberFormat="1" applyFill="1" applyBorder="1" applyAlignment="1">
      <alignment vertical="center"/>
    </xf>
    <xf numFmtId="20" fontId="0" fillId="2" borderId="0" xfId="0" applyNumberFormat="1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20" fontId="0" fillId="0" borderId="26" xfId="0" applyNumberForma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6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20" fontId="0" fillId="0" borderId="14" xfId="0" applyNumberFormat="1" applyBorder="1" applyAlignment="1">
      <alignment vertical="center"/>
    </xf>
    <xf numFmtId="20" fontId="0" fillId="0" borderId="13" xfId="0" applyNumberForma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4" fillId="0" borderId="9" xfId="0" applyFont="1" applyBorder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0" fontId="3" fillId="0" borderId="5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7" fillId="0" borderId="0" xfId="0" applyFont="1"/>
    <xf numFmtId="0" fontId="0" fillId="0" borderId="15" xfId="0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20" fontId="8" fillId="0" borderId="13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20" fontId="1" fillId="0" borderId="13" xfId="0" applyNumberFormat="1" applyFont="1" applyBorder="1" applyAlignment="1">
      <alignment vertical="center"/>
    </xf>
    <xf numFmtId="165" fontId="0" fillId="0" borderId="15" xfId="0" applyNumberFormat="1" applyBorder="1" applyAlignment="1">
      <alignment horizontal="center" vertical="center"/>
    </xf>
    <xf numFmtId="20" fontId="8" fillId="0" borderId="15" xfId="0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33" xfId="0" applyBorder="1" applyAlignment="1">
      <alignment horizontal="center" vertical="center"/>
    </xf>
    <xf numFmtId="0" fontId="21" fillId="0" borderId="34" xfId="0" applyFont="1" applyBorder="1" applyAlignment="1">
      <alignment horizontal="center" vertical="center" wrapText="1"/>
    </xf>
    <xf numFmtId="20" fontId="0" fillId="0" borderId="34" xfId="0" applyNumberForma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14" fillId="2" borderId="34" xfId="0" applyFont="1" applyFill="1" applyBorder="1" applyAlignment="1">
      <alignment horizontal="center" vertical="center"/>
    </xf>
    <xf numFmtId="20" fontId="0" fillId="3" borderId="34" xfId="0" applyNumberFormat="1" applyFill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1" fillId="0" borderId="34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4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14" fillId="0" borderId="34" xfId="0" applyFont="1" applyBorder="1" applyAlignment="1">
      <alignment wrapText="1"/>
    </xf>
    <xf numFmtId="20" fontId="28" fillId="0" borderId="34" xfId="0" applyNumberFormat="1" applyFont="1" applyBorder="1" applyAlignment="1">
      <alignment horizontal="center" vertical="center"/>
    </xf>
    <xf numFmtId="20" fontId="11" fillId="0" borderId="34" xfId="0" applyNumberFormat="1" applyFont="1" applyBorder="1" applyAlignment="1">
      <alignment vertical="center"/>
    </xf>
    <xf numFmtId="20" fontId="14" fillId="0" borderId="34" xfId="0" applyNumberFormat="1" applyFont="1" applyBorder="1" applyAlignment="1">
      <alignment vertical="center"/>
    </xf>
    <xf numFmtId="0" fontId="14" fillId="0" borderId="34" xfId="0" applyFont="1" applyBorder="1" applyAlignment="1">
      <alignment horizontal="center" vertical="center"/>
    </xf>
    <xf numFmtId="20" fontId="14" fillId="0" borderId="34" xfId="0" applyNumberFormat="1" applyFont="1" applyBorder="1" applyAlignment="1">
      <alignment horizontal="center" vertical="center"/>
    </xf>
    <xf numFmtId="9" fontId="14" fillId="0" borderId="34" xfId="4" applyFont="1" applyBorder="1" applyAlignment="1">
      <alignment horizontal="center" vertical="center"/>
    </xf>
    <xf numFmtId="9" fontId="14" fillId="0" borderId="34" xfId="0" applyNumberFormat="1" applyFont="1" applyBorder="1" applyAlignment="1">
      <alignment horizontal="center" vertical="center"/>
    </xf>
    <xf numFmtId="0" fontId="14" fillId="2" borderId="34" xfId="0" applyFont="1" applyFill="1" applyBorder="1" applyAlignment="1">
      <alignment vertical="center"/>
    </xf>
    <xf numFmtId="20" fontId="14" fillId="2" borderId="34" xfId="0" applyNumberFormat="1" applyFont="1" applyFill="1" applyBorder="1" applyAlignment="1">
      <alignment vertical="center"/>
    </xf>
    <xf numFmtId="20" fontId="14" fillId="2" borderId="34" xfId="0" applyNumberFormat="1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9" fontId="14" fillId="2" borderId="34" xfId="4" applyFont="1" applyFill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11" fillId="2" borderId="34" xfId="0" applyFont="1" applyFill="1" applyBorder="1" applyAlignment="1">
      <alignment vertical="center"/>
    </xf>
    <xf numFmtId="20" fontId="28" fillId="2" borderId="34" xfId="0" applyNumberFormat="1" applyFont="1" applyFill="1" applyBorder="1" applyAlignment="1">
      <alignment horizontal="center" vertical="center"/>
    </xf>
    <xf numFmtId="20" fontId="11" fillId="2" borderId="34" xfId="0" applyNumberFormat="1" applyFont="1" applyFill="1" applyBorder="1" applyAlignment="1">
      <alignment vertical="center"/>
    </xf>
    <xf numFmtId="0" fontId="0" fillId="0" borderId="34" xfId="0" applyBorder="1" applyAlignment="1">
      <alignment horizontal="left" vertical="center"/>
    </xf>
    <xf numFmtId="20" fontId="29" fillId="0" borderId="13" xfId="0" applyNumberFormat="1" applyFont="1" applyBorder="1" applyAlignment="1">
      <alignment vertical="center"/>
    </xf>
    <xf numFmtId="49" fontId="0" fillId="0" borderId="34" xfId="0" applyNumberFormat="1" applyBorder="1" applyAlignment="1">
      <alignment vertical="center"/>
    </xf>
    <xf numFmtId="0" fontId="21" fillId="0" borderId="34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31" fillId="0" borderId="34" xfId="0" applyFont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center" vertical="center" wrapText="1"/>
    </xf>
    <xf numFmtId="20" fontId="22" fillId="0" borderId="34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21" fillId="0" borderId="34" xfId="0" applyFont="1" applyBorder="1" applyAlignment="1">
      <alignment horizontal="right" vertical="center"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20" fontId="0" fillId="3" borderId="0" xfId="0" applyNumberFormat="1" applyFill="1" applyAlignment="1">
      <alignment horizontal="center"/>
    </xf>
    <xf numFmtId="1" fontId="0" fillId="3" borderId="0" xfId="0" applyNumberFormat="1" applyFill="1"/>
    <xf numFmtId="20" fontId="0" fillId="4" borderId="0" xfId="0" applyNumberFormat="1" applyFill="1"/>
    <xf numFmtId="20" fontId="0" fillId="3" borderId="0" xfId="0" applyNumberFormat="1" applyFill="1"/>
    <xf numFmtId="0" fontId="21" fillId="0" borderId="0" xfId="0" applyFont="1" applyAlignment="1">
      <alignment horizontal="center" vertical="center" wrapText="1"/>
    </xf>
    <xf numFmtId="0" fontId="33" fillId="0" borderId="34" xfId="0" applyFont="1" applyBorder="1" applyAlignment="1">
      <alignment vertical="center"/>
    </xf>
    <xf numFmtId="20" fontId="34" fillId="0" borderId="34" xfId="0" applyNumberFormat="1" applyFont="1" applyBorder="1" applyAlignment="1">
      <alignment horizontal="center" vertical="center"/>
    </xf>
    <xf numFmtId="20" fontId="33" fillId="0" borderId="34" xfId="0" applyNumberFormat="1" applyFont="1" applyBorder="1" applyAlignment="1">
      <alignment vertical="center"/>
    </xf>
    <xf numFmtId="1" fontId="0" fillId="0" borderId="0" xfId="0" applyNumberFormat="1" applyAlignment="1">
      <alignment vertical="center"/>
    </xf>
    <xf numFmtId="1" fontId="14" fillId="2" borderId="34" xfId="0" applyNumberFormat="1" applyFont="1" applyFill="1" applyBorder="1" applyAlignment="1">
      <alignment horizontal="center" vertical="center"/>
    </xf>
    <xf numFmtId="20" fontId="0" fillId="2" borderId="0" xfId="0" applyNumberFormat="1" applyFill="1" applyAlignment="1">
      <alignment wrapText="1"/>
    </xf>
    <xf numFmtId="0" fontId="11" fillId="0" borderId="34" xfId="0" applyFont="1" applyBorder="1" applyAlignment="1" applyProtection="1">
      <alignment horizontal="center" vertical="center" wrapText="1"/>
      <protection locked="0"/>
    </xf>
    <xf numFmtId="1" fontId="11" fillId="0" borderId="34" xfId="0" applyNumberFormat="1" applyFont="1" applyBorder="1" applyAlignment="1" applyProtection="1">
      <alignment horizontal="center" vertical="center" wrapText="1"/>
      <protection locked="0"/>
    </xf>
    <xf numFmtId="0" fontId="27" fillId="0" borderId="34" xfId="0" applyFont="1" applyBorder="1" applyAlignment="1" applyProtection="1">
      <alignment horizontal="center" vertical="center" wrapText="1"/>
      <protection locked="0"/>
    </xf>
    <xf numFmtId="0" fontId="27" fillId="0" borderId="34" xfId="0" applyFont="1" applyBorder="1" applyAlignment="1" applyProtection="1">
      <alignment vertical="center" wrapText="1"/>
      <protection locked="0"/>
    </xf>
    <xf numFmtId="0" fontId="14" fillId="0" borderId="34" xfId="0" applyFont="1" applyBorder="1" applyAlignment="1" applyProtection="1">
      <alignment vertical="center" wrapText="1"/>
      <protection locked="0"/>
    </xf>
    <xf numFmtId="0" fontId="11" fillId="0" borderId="34" xfId="0" applyFont="1" applyBorder="1" applyAlignment="1" applyProtection="1">
      <alignment vertical="center"/>
      <protection locked="0"/>
    </xf>
    <xf numFmtId="20" fontId="14" fillId="0" borderId="34" xfId="0" applyNumberFormat="1" applyFont="1" applyBorder="1" applyAlignment="1" applyProtection="1">
      <alignment vertical="center"/>
      <protection locked="0"/>
    </xf>
    <xf numFmtId="1" fontId="14" fillId="0" borderId="34" xfId="0" applyNumberFormat="1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vertical="center"/>
      <protection locked="0"/>
    </xf>
    <xf numFmtId="20" fontId="14" fillId="2" borderId="0" xfId="0" applyNumberFormat="1" applyFont="1" applyFill="1"/>
    <xf numFmtId="0" fontId="0" fillId="0" borderId="35" xfId="0" applyBorder="1" applyAlignment="1">
      <alignment horizontal="center" vertical="center"/>
    </xf>
    <xf numFmtId="20" fontId="35" fillId="0" borderId="34" xfId="0" applyNumberFormat="1" applyFont="1" applyBorder="1" applyAlignment="1">
      <alignment vertical="center"/>
    </xf>
    <xf numFmtId="0" fontId="35" fillId="0" borderId="34" xfId="0" applyFont="1" applyBorder="1" applyAlignment="1">
      <alignment horizontal="left" vertical="center" wrapText="1"/>
    </xf>
    <xf numFmtId="0" fontId="36" fillId="0" borderId="34" xfId="0" applyFont="1" applyBorder="1" applyAlignment="1">
      <alignment horizontal="right" vertical="center" wrapText="1"/>
    </xf>
    <xf numFmtId="20" fontId="37" fillId="0" borderId="34" xfId="0" applyNumberFormat="1" applyFont="1" applyBorder="1" applyAlignment="1">
      <alignment horizontal="center" vertical="center"/>
    </xf>
    <xf numFmtId="0" fontId="0" fillId="3" borderId="0" xfId="0" applyFill="1"/>
    <xf numFmtId="169" fontId="0" fillId="3" borderId="0" xfId="0" applyNumberFormat="1" applyFill="1"/>
    <xf numFmtId="20" fontId="0" fillId="3" borderId="0" xfId="0" applyNumberFormat="1" applyFill="1" applyAlignment="1">
      <alignment wrapText="1"/>
    </xf>
    <xf numFmtId="0" fontId="14" fillId="3" borderId="0" xfId="0" applyFont="1" applyFill="1"/>
    <xf numFmtId="20" fontId="0" fillId="3" borderId="0" xfId="0" applyNumberFormat="1" applyFill="1" applyAlignment="1">
      <alignment horizontal="left"/>
    </xf>
    <xf numFmtId="0" fontId="21" fillId="0" borderId="0" xfId="6" applyFont="1"/>
    <xf numFmtId="0" fontId="29" fillId="0" borderId="0" xfId="6" applyFont="1"/>
    <xf numFmtId="0" fontId="29" fillId="0" borderId="38" xfId="6" applyFont="1" applyBorder="1" applyAlignment="1">
      <alignment horizontal="center" vertical="center" wrapText="1"/>
    </xf>
    <xf numFmtId="0" fontId="29" fillId="0" borderId="39" xfId="6" applyFont="1" applyBorder="1" applyAlignment="1">
      <alignment horizontal="center" vertical="center" wrapText="1"/>
    </xf>
    <xf numFmtId="0" fontId="29" fillId="0" borderId="40" xfId="6" applyFont="1" applyBorder="1" applyAlignment="1">
      <alignment horizontal="center" vertical="center" wrapText="1"/>
    </xf>
    <xf numFmtId="0" fontId="29" fillId="0" borderId="41" xfId="6" applyFont="1" applyBorder="1" applyAlignment="1">
      <alignment horizontal="center" vertical="center" wrapText="1"/>
    </xf>
    <xf numFmtId="0" fontId="29" fillId="0" borderId="0" xfId="6" applyFont="1" applyAlignment="1">
      <alignment horizontal="center" vertical="center" wrapText="1"/>
    </xf>
    <xf numFmtId="0" fontId="29" fillId="0" borderId="42" xfId="6" applyFont="1" applyBorder="1" applyAlignment="1">
      <alignment horizontal="center" vertical="center" wrapText="1"/>
    </xf>
    <xf numFmtId="0" fontId="29" fillId="0" borderId="8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29" fillId="0" borderId="43" xfId="6" applyFont="1" applyBorder="1" applyAlignment="1">
      <alignment horizontal="center" vertical="center" wrapText="1"/>
    </xf>
    <xf numFmtId="0" fontId="29" fillId="0" borderId="44" xfId="6" applyFont="1" applyBorder="1" applyAlignment="1">
      <alignment horizontal="center" vertical="center" wrapText="1"/>
    </xf>
    <xf numFmtId="0" fontId="29" fillId="0" borderId="33" xfId="6" applyFont="1" applyBorder="1" applyAlignment="1">
      <alignment horizontal="center" vertical="center" wrapText="1"/>
    </xf>
    <xf numFmtId="0" fontId="29" fillId="0" borderId="13" xfId="6" applyFont="1" applyBorder="1" applyAlignment="1">
      <alignment horizontal="center" vertical="center" wrapText="1"/>
    </xf>
    <xf numFmtId="0" fontId="29" fillId="0" borderId="45" xfId="6" applyFont="1" applyBorder="1" applyAlignment="1">
      <alignment horizontal="center" vertical="center" wrapText="1"/>
    </xf>
    <xf numFmtId="0" fontId="29" fillId="0" borderId="46" xfId="6" applyFont="1" applyBorder="1" applyAlignment="1">
      <alignment horizontal="center" vertical="center" wrapText="1"/>
    </xf>
    <xf numFmtId="0" fontId="29" fillId="0" borderId="47" xfId="6" applyFont="1" applyBorder="1" applyAlignment="1">
      <alignment horizontal="center" vertical="center" wrapText="1"/>
    </xf>
    <xf numFmtId="0" fontId="29" fillId="0" borderId="48" xfId="6" applyFont="1" applyBorder="1" applyAlignment="1">
      <alignment horizontal="center" vertical="center" wrapText="1"/>
    </xf>
    <xf numFmtId="0" fontId="29" fillId="0" borderId="49" xfId="6" applyFont="1" applyBorder="1" applyAlignment="1">
      <alignment horizontal="center" vertical="center" wrapText="1"/>
    </xf>
    <xf numFmtId="0" fontId="29" fillId="0" borderId="50" xfId="6" applyFont="1" applyBorder="1" applyAlignment="1">
      <alignment horizontal="center" vertical="center" wrapText="1"/>
    </xf>
    <xf numFmtId="0" fontId="29" fillId="0" borderId="32" xfId="6" applyFont="1" applyBorder="1" applyAlignment="1">
      <alignment horizontal="center" vertical="center" wrapText="1"/>
    </xf>
    <xf numFmtId="0" fontId="39" fillId="0" borderId="42" xfId="6" applyFont="1" applyBorder="1" applyAlignment="1">
      <alignment horizontal="center" vertical="center" wrapText="1"/>
    </xf>
    <xf numFmtId="0" fontId="42" fillId="0" borderId="32" xfId="6" applyFont="1" applyBorder="1" applyAlignment="1">
      <alignment horizontal="center" vertical="center" wrapText="1"/>
    </xf>
    <xf numFmtId="0" fontId="31" fillId="0" borderId="32" xfId="6" applyFont="1" applyBorder="1" applyAlignment="1">
      <alignment horizontal="right" vertical="center" wrapText="1"/>
    </xf>
    <xf numFmtId="0" fontId="31" fillId="0" borderId="32" xfId="6" applyFont="1" applyBorder="1" applyAlignment="1">
      <alignment horizontal="left" vertical="center" wrapText="1"/>
    </xf>
    <xf numFmtId="6" fontId="42" fillId="0" borderId="32" xfId="6" applyNumberFormat="1" applyFont="1" applyBorder="1" applyAlignment="1">
      <alignment horizontal="center" vertical="center" wrapText="1"/>
    </xf>
    <xf numFmtId="0" fontId="31" fillId="0" borderId="0" xfId="6" applyFont="1" applyAlignment="1">
      <alignment horizontal="right" vertical="center" wrapText="1"/>
    </xf>
    <xf numFmtId="0" fontId="43" fillId="0" borderId="32" xfId="6" applyFont="1" applyBorder="1" applyAlignment="1">
      <alignment horizontal="center" vertical="center" wrapText="1"/>
    </xf>
    <xf numFmtId="0" fontId="31" fillId="0" borderId="0" xfId="6" applyFont="1" applyAlignment="1">
      <alignment horizontal="right" vertical="center"/>
    </xf>
    <xf numFmtId="0" fontId="21" fillId="0" borderId="32" xfId="6" applyFont="1" applyBorder="1"/>
    <xf numFmtId="6" fontId="29" fillId="0" borderId="32" xfId="6" applyNumberFormat="1" applyFont="1" applyBorder="1" applyAlignment="1">
      <alignment horizontal="center" vertical="center" wrapText="1"/>
    </xf>
    <xf numFmtId="0" fontId="31" fillId="3" borderId="0" xfId="6" applyFont="1" applyFill="1" applyAlignment="1">
      <alignment horizontal="right" vertical="center" wrapText="1"/>
    </xf>
    <xf numFmtId="0" fontId="31" fillId="0" borderId="0" xfId="6" applyFont="1" applyAlignment="1">
      <alignment horizontal="right"/>
    </xf>
    <xf numFmtId="0" fontId="21" fillId="0" borderId="32" xfId="6" applyFont="1" applyBorder="1" applyAlignment="1">
      <alignment vertical="center"/>
    </xf>
    <xf numFmtId="20" fontId="22" fillId="0" borderId="34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left" vertical="center"/>
    </xf>
    <xf numFmtId="0" fontId="45" fillId="0" borderId="34" xfId="0" applyFont="1" applyBorder="1" applyAlignment="1">
      <alignment horizontal="left" vertical="center"/>
    </xf>
    <xf numFmtId="20" fontId="37" fillId="2" borderId="34" xfId="0" applyNumberFormat="1" applyFont="1" applyFill="1" applyBorder="1" applyAlignment="1">
      <alignment horizontal="center" vertical="center"/>
    </xf>
    <xf numFmtId="20" fontId="37" fillId="4" borderId="34" xfId="0" applyNumberFormat="1" applyFont="1" applyFill="1" applyBorder="1" applyAlignment="1">
      <alignment horizontal="center" vertical="center"/>
    </xf>
    <xf numFmtId="20" fontId="37" fillId="3" borderId="34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wrapText="1"/>
    </xf>
    <xf numFmtId="0" fontId="11" fillId="0" borderId="33" xfId="6" applyFont="1" applyBorder="1" applyAlignment="1">
      <alignment horizontal="left" vertical="center" wrapText="1"/>
    </xf>
    <xf numFmtId="0" fontId="11" fillId="0" borderId="33" xfId="6" applyFont="1" applyBorder="1" applyAlignment="1">
      <alignment horizontal="center" vertical="center" wrapText="1"/>
    </xf>
    <xf numFmtId="14" fontId="11" fillId="0" borderId="33" xfId="6" applyNumberFormat="1" applyFont="1" applyBorder="1" applyAlignment="1">
      <alignment horizontal="right" vertical="center" wrapText="1"/>
    </xf>
    <xf numFmtId="14" fontId="14" fillId="0" borderId="33" xfId="6" applyNumberFormat="1" applyFont="1" applyBorder="1" applyAlignment="1">
      <alignment horizontal="center" vertical="center" wrapText="1"/>
    </xf>
    <xf numFmtId="0" fontId="0" fillId="0" borderId="33" xfId="0" applyBorder="1"/>
    <xf numFmtId="0" fontId="11" fillId="0" borderId="33" xfId="0" applyFont="1" applyBorder="1" applyAlignment="1">
      <alignment horizontal="left" vertical="center" wrapText="1"/>
    </xf>
    <xf numFmtId="0" fontId="25" fillId="0" borderId="33" xfId="2" applyFont="1" applyFill="1" applyBorder="1" applyAlignment="1">
      <alignment horizontal="left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right" vertical="center" wrapText="1"/>
    </xf>
    <xf numFmtId="14" fontId="11" fillId="0" borderId="33" xfId="0" applyNumberFormat="1" applyFont="1" applyBorder="1" applyAlignment="1">
      <alignment horizontal="right" vertical="center" wrapText="1"/>
    </xf>
    <xf numFmtId="0" fontId="11" fillId="0" borderId="33" xfId="1" applyFont="1" applyBorder="1" applyAlignment="1">
      <alignment horizontal="left" vertical="center" wrapText="1"/>
    </xf>
    <xf numFmtId="0" fontId="15" fillId="0" borderId="33" xfId="2" applyFont="1" applyFill="1" applyBorder="1" applyAlignment="1">
      <alignment horizontal="left" vertical="center" wrapText="1"/>
    </xf>
    <xf numFmtId="3" fontId="11" fillId="0" borderId="33" xfId="1" quotePrefix="1" applyNumberFormat="1" applyFont="1" applyBorder="1" applyAlignment="1">
      <alignment horizontal="left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right" vertical="center" wrapText="1"/>
    </xf>
    <xf numFmtId="14" fontId="11" fillId="0" borderId="33" xfId="1" applyNumberFormat="1" applyFont="1" applyBorder="1" applyAlignment="1">
      <alignment horizontal="right" vertical="center" wrapText="1"/>
    </xf>
    <xf numFmtId="0" fontId="13" fillId="0" borderId="33" xfId="2" applyFont="1" applyFill="1" applyBorder="1" applyAlignment="1">
      <alignment horizontal="left" vertical="center" wrapText="1"/>
    </xf>
    <xf numFmtId="3" fontId="11" fillId="0" borderId="33" xfId="1" quotePrefix="1" applyNumberFormat="1" applyFont="1" applyBorder="1" applyAlignment="1">
      <alignment horizontal="left" vertical="center"/>
    </xf>
    <xf numFmtId="0" fontId="0" fillId="0" borderId="33" xfId="0" quotePrefix="1" applyBorder="1"/>
    <xf numFmtId="0" fontId="38" fillId="0" borderId="33" xfId="5" applyBorder="1" applyAlignment="1">
      <alignment wrapText="1"/>
    </xf>
    <xf numFmtId="0" fontId="0" fillId="0" borderId="33" xfId="0" applyBorder="1" applyAlignment="1">
      <alignment horizontal="center" vertical="center" wrapText="1"/>
    </xf>
    <xf numFmtId="14" fontId="0" fillId="0" borderId="33" xfId="0" applyNumberFormat="1" applyBorder="1"/>
    <xf numFmtId="0" fontId="38" fillId="0" borderId="33" xfId="5" applyFill="1" applyBorder="1" applyAlignment="1">
      <alignment horizontal="left" vertical="center" wrapText="1"/>
    </xf>
    <xf numFmtId="0" fontId="11" fillId="0" borderId="33" xfId="1" quotePrefix="1" applyFont="1" applyBorder="1" applyAlignment="1">
      <alignment horizontal="left" vertical="center" wrapText="1"/>
    </xf>
    <xf numFmtId="3" fontId="11" fillId="0" borderId="33" xfId="1" applyNumberFormat="1" applyFont="1" applyBorder="1" applyAlignment="1">
      <alignment horizontal="left" vertical="center"/>
    </xf>
    <xf numFmtId="2" fontId="14" fillId="0" borderId="51" xfId="1" applyNumberFormat="1" applyFont="1" applyBorder="1" applyAlignment="1">
      <alignment horizontal="right" vertical="center"/>
    </xf>
    <xf numFmtId="14" fontId="14" fillId="0" borderId="33" xfId="0" applyNumberFormat="1" applyFont="1" applyBorder="1" applyAlignment="1">
      <alignment horizontal="center" vertical="center"/>
    </xf>
    <xf numFmtId="14" fontId="14" fillId="0" borderId="33" xfId="1" applyNumberFormat="1" applyFont="1" applyBorder="1" applyAlignment="1">
      <alignment horizontal="center" vertical="center" wrapText="1"/>
    </xf>
    <xf numFmtId="14" fontId="14" fillId="0" borderId="33" xfId="0" applyNumberFormat="1" applyFont="1" applyBorder="1" applyAlignment="1">
      <alignment horizontal="center" vertical="center" wrapText="1"/>
    </xf>
    <xf numFmtId="14" fontId="0" fillId="0" borderId="33" xfId="0" applyNumberFormat="1" applyBorder="1" applyAlignment="1">
      <alignment horizontal="center" vertical="center"/>
    </xf>
    <xf numFmtId="14" fontId="14" fillId="0" borderId="33" xfId="1" applyNumberFormat="1" applyFont="1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47" fillId="0" borderId="33" xfId="0" applyFont="1" applyBorder="1" applyAlignment="1">
      <alignment wrapText="1"/>
    </xf>
    <xf numFmtId="0" fontId="48" fillId="0" borderId="33" xfId="6" applyFont="1" applyBorder="1" applyAlignment="1">
      <alignment horizontal="left" vertical="center" wrapText="1"/>
    </xf>
    <xf numFmtId="0" fontId="48" fillId="0" borderId="33" xfId="6" applyFont="1" applyBorder="1" applyAlignment="1">
      <alignment horizontal="center" vertical="center" wrapText="1"/>
    </xf>
    <xf numFmtId="0" fontId="48" fillId="0" borderId="33" xfId="6" applyFont="1" applyBorder="1" applyAlignment="1">
      <alignment horizontal="right" vertical="center" wrapText="1"/>
    </xf>
    <xf numFmtId="14" fontId="48" fillId="0" borderId="33" xfId="6" applyNumberFormat="1" applyFont="1" applyBorder="1" applyAlignment="1">
      <alignment horizontal="right" vertical="center" wrapText="1"/>
    </xf>
    <xf numFmtId="14" fontId="49" fillId="0" borderId="33" xfId="6" applyNumberFormat="1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8" fillId="0" borderId="33" xfId="1" applyFont="1" applyBorder="1" applyAlignment="1">
      <alignment horizontal="right" vertical="center" wrapText="1"/>
    </xf>
    <xf numFmtId="0" fontId="1" fillId="0" borderId="33" xfId="0" applyFont="1" applyBorder="1" applyAlignment="1">
      <alignment wrapText="1"/>
    </xf>
    <xf numFmtId="0" fontId="1" fillId="0" borderId="33" xfId="0" applyFont="1" applyBorder="1" applyAlignment="1">
      <alignment horizontal="center" wrapText="1"/>
    </xf>
    <xf numFmtId="49" fontId="46" fillId="0" borderId="33" xfId="1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right" wrapText="1"/>
    </xf>
    <xf numFmtId="0" fontId="1" fillId="0" borderId="33" xfId="0" applyFont="1" applyBorder="1" applyAlignment="1">
      <alignment horizontal="center" vertical="center" wrapText="1"/>
    </xf>
    <xf numFmtId="0" fontId="30" fillId="0" borderId="33" xfId="0" applyFont="1" applyBorder="1"/>
    <xf numFmtId="168" fontId="42" fillId="0" borderId="33" xfId="0" applyNumberFormat="1" applyFont="1" applyBorder="1" applyAlignment="1">
      <alignment horizontal="center" vertical="center" wrapText="1"/>
    </xf>
    <xf numFmtId="168" fontId="42" fillId="0" borderId="33" xfId="1" applyNumberFormat="1" applyFont="1" applyBorder="1" applyAlignment="1">
      <alignment horizontal="center" vertical="center" wrapText="1"/>
    </xf>
    <xf numFmtId="168" fontId="29" fillId="0" borderId="33" xfId="0" applyNumberFormat="1" applyFont="1" applyBorder="1" applyAlignment="1">
      <alignment horizontal="center" vertical="center"/>
    </xf>
    <xf numFmtId="168" fontId="42" fillId="0" borderId="33" xfId="6" applyNumberFormat="1" applyFont="1" applyBorder="1" applyAlignment="1">
      <alignment horizontal="center" vertical="center" wrapText="1"/>
    </xf>
    <xf numFmtId="168" fontId="50" fillId="0" borderId="33" xfId="6" applyNumberFormat="1" applyFont="1" applyBorder="1" applyAlignment="1">
      <alignment horizontal="center" vertical="center" wrapText="1"/>
    </xf>
    <xf numFmtId="166" fontId="29" fillId="0" borderId="33" xfId="0" applyNumberFormat="1" applyFont="1" applyBorder="1" applyAlignment="1">
      <alignment horizontal="center" vertical="center"/>
    </xf>
    <xf numFmtId="0" fontId="42" fillId="0" borderId="33" xfId="1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2" fillId="0" borderId="33" xfId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wrapText="1"/>
    </xf>
    <xf numFmtId="0" fontId="42" fillId="0" borderId="33" xfId="6" applyFont="1" applyBorder="1" applyAlignment="1">
      <alignment horizontal="center" vertical="center" wrapText="1"/>
    </xf>
    <xf numFmtId="0" fontId="50" fillId="0" borderId="33" xfId="6" applyFont="1" applyBorder="1" applyAlignment="1">
      <alignment horizontal="center" vertical="center" wrapText="1"/>
    </xf>
    <xf numFmtId="0" fontId="29" fillId="0" borderId="0" xfId="0" applyFont="1"/>
    <xf numFmtId="20" fontId="51" fillId="4" borderId="34" xfId="0" applyNumberFormat="1" applyFont="1" applyFill="1" applyBorder="1" applyAlignment="1">
      <alignment horizontal="center" vertical="center"/>
    </xf>
    <xf numFmtId="0" fontId="44" fillId="5" borderId="34" xfId="0" applyFont="1" applyFill="1" applyBorder="1" applyAlignment="1">
      <alignment horizontal="left" vertical="center"/>
    </xf>
    <xf numFmtId="20" fontId="37" fillId="5" borderId="34" xfId="0" applyNumberFormat="1" applyFont="1" applyFill="1" applyBorder="1" applyAlignment="1">
      <alignment horizontal="center" vertical="center"/>
    </xf>
    <xf numFmtId="0" fontId="36" fillId="5" borderId="34" xfId="0" applyFont="1" applyFill="1" applyBorder="1" applyAlignment="1">
      <alignment horizontal="right" vertical="center" wrapText="1"/>
    </xf>
    <xf numFmtId="20" fontId="35" fillId="5" borderId="34" xfId="0" applyNumberFormat="1" applyFont="1" applyFill="1" applyBorder="1" applyAlignment="1">
      <alignment vertical="center"/>
    </xf>
    <xf numFmtId="20" fontId="22" fillId="5" borderId="34" xfId="0" applyNumberFormat="1" applyFont="1" applyFill="1" applyBorder="1" applyAlignment="1">
      <alignment horizontal="center" vertical="center"/>
    </xf>
    <xf numFmtId="20" fontId="0" fillId="5" borderId="34" xfId="0" applyNumberFormat="1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49" fontId="0" fillId="5" borderId="34" xfId="0" applyNumberFormat="1" applyFill="1" applyBorder="1" applyAlignment="1">
      <alignment vertical="center"/>
    </xf>
    <xf numFmtId="20" fontId="22" fillId="5" borderId="34" xfId="0" applyNumberFormat="1" applyFont="1" applyFill="1" applyBorder="1" applyAlignment="1">
      <alignment vertical="center"/>
    </xf>
    <xf numFmtId="0" fontId="45" fillId="5" borderId="34" xfId="0" applyFont="1" applyFill="1" applyBorder="1" applyAlignment="1">
      <alignment horizontal="left" vertical="center"/>
    </xf>
    <xf numFmtId="20" fontId="51" fillId="5" borderId="34" xfId="0" applyNumberFormat="1" applyFont="1" applyFill="1" applyBorder="1" applyAlignment="1">
      <alignment horizontal="center" vertical="center"/>
    </xf>
    <xf numFmtId="0" fontId="51" fillId="5" borderId="34" xfId="0" applyFont="1" applyFill="1" applyBorder="1" applyAlignment="1">
      <alignment horizontal="right" vertical="center" wrapText="1"/>
    </xf>
    <xf numFmtId="0" fontId="52" fillId="5" borderId="34" xfId="0" applyFont="1" applyFill="1" applyBorder="1" applyAlignment="1">
      <alignment horizontal="left" vertical="center" wrapText="1"/>
    </xf>
    <xf numFmtId="0" fontId="21" fillId="5" borderId="34" xfId="0" applyFont="1" applyFill="1" applyBorder="1" applyAlignment="1">
      <alignment horizontal="center" vertical="center" wrapText="1"/>
    </xf>
    <xf numFmtId="20" fontId="52" fillId="5" borderId="34" xfId="0" applyNumberFormat="1" applyFont="1" applyFill="1" applyBorder="1" applyAlignment="1">
      <alignment vertical="center"/>
    </xf>
    <xf numFmtId="0" fontId="35" fillId="5" borderId="34" xfId="0" applyFont="1" applyFill="1" applyBorder="1" applyAlignment="1">
      <alignment horizontal="left" vertical="center" wrapText="1"/>
    </xf>
    <xf numFmtId="20" fontId="34" fillId="2" borderId="34" xfId="0" applyNumberFormat="1" applyFont="1" applyFill="1" applyBorder="1" applyAlignment="1">
      <alignment horizontal="center" vertical="center"/>
    </xf>
    <xf numFmtId="20" fontId="14" fillId="2" borderId="34" xfId="0" applyNumberFormat="1" applyFont="1" applyFill="1" applyBorder="1" applyAlignment="1" applyProtection="1">
      <alignment vertical="center"/>
      <protection locked="0"/>
    </xf>
    <xf numFmtId="1" fontId="14" fillId="2" borderId="34" xfId="0" applyNumberFormat="1" applyFont="1" applyFill="1" applyBorder="1" applyAlignment="1" applyProtection="1">
      <alignment horizontal="center" vertical="center"/>
      <protection locked="0"/>
    </xf>
    <xf numFmtId="0" fontId="14" fillId="2" borderId="34" xfId="0" applyFont="1" applyFill="1" applyBorder="1" applyAlignment="1" applyProtection="1">
      <alignment horizontal="center" vertical="center"/>
      <protection locked="0"/>
    </xf>
    <xf numFmtId="0" fontId="14" fillId="2" borderId="34" xfId="0" applyFont="1" applyFill="1" applyBorder="1" applyAlignment="1" applyProtection="1">
      <alignment vertical="center"/>
      <protection locked="0"/>
    </xf>
    <xf numFmtId="9" fontId="14" fillId="2" borderId="34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" fontId="32" fillId="0" borderId="5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</cellXfs>
  <cellStyles count="7">
    <cellStyle name="Lien hypertexte" xfId="5" builtinId="8"/>
    <cellStyle name="Lien hypertexte 2" xfId="2" xr:uid="{CB9192C5-247C-4657-B0D4-03DB6A1A6610}"/>
    <cellStyle name="Normal" xfId="0" builtinId="0"/>
    <cellStyle name="Normal 2" xfId="1" xr:uid="{06D7257F-227E-451F-9208-6F80BE8BA3D5}"/>
    <cellStyle name="Normal 2 2" xfId="3" xr:uid="{06D3C21D-69BA-429C-A037-C293BC293F29}"/>
    <cellStyle name="Normal 2 3" xfId="6" xr:uid="{D65E237E-51A6-4824-9C24-BBB9E07EBB99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lsalimhamada@hotmail.com" TargetMode="External"/><Relationship Id="rId13" Type="http://schemas.openxmlformats.org/officeDocument/2006/relationships/hyperlink" Target="mailto:aattoumani.bacar@gmail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ambdihoumadi976@gmail.com" TargetMode="External"/><Relationship Id="rId7" Type="http://schemas.openxmlformats.org/officeDocument/2006/relationships/hyperlink" Target="mailto:combosaid5@gmail.cpm" TargetMode="External"/><Relationship Id="rId12" Type="http://schemas.openxmlformats.org/officeDocument/2006/relationships/hyperlink" Target="mailto:achiraffis@gmail.com" TargetMode="External"/><Relationship Id="rId17" Type="http://schemas.openxmlformats.org/officeDocument/2006/relationships/hyperlink" Target="mailto:dhurari.transport@gmail.com" TargetMode="External"/><Relationship Id="rId2" Type="http://schemas.openxmlformats.org/officeDocument/2006/relationships/hyperlink" Target="mailto:zoubert.adinani2@gmail.com" TargetMode="External"/><Relationship Id="rId16" Type="http://schemas.openxmlformats.org/officeDocument/2006/relationships/hyperlink" Target="mailto:maanroufsandi@laposte.net" TargetMode="External"/><Relationship Id="rId1" Type="http://schemas.openxmlformats.org/officeDocument/2006/relationships/hyperlink" Target="mailto:abdouminihadjiamada@hotmail.com" TargetMode="External"/><Relationship Id="rId6" Type="http://schemas.openxmlformats.org/officeDocument/2006/relationships/hyperlink" Target="mailto:wonamaore@gmail.com" TargetMode="External"/><Relationship Id="rId11" Type="http://schemas.openxmlformats.org/officeDocument/2006/relationships/hyperlink" Target="mailto:toumboutoibourani@outlook.fr" TargetMode="External"/><Relationship Id="rId5" Type="http://schemas.openxmlformats.org/officeDocument/2006/relationships/hyperlink" Target="mailto:ambdihoumadi976@gmail.com" TargetMode="External"/><Relationship Id="rId15" Type="http://schemas.openxmlformats.org/officeDocument/2006/relationships/hyperlink" Target="mailto:enlymoissuli@gmail.com" TargetMode="External"/><Relationship Id="rId10" Type="http://schemas.openxmlformats.org/officeDocument/2006/relationships/hyperlink" Target="mailto:soulaousseni415@gmail.com" TargetMode="External"/><Relationship Id="rId4" Type="http://schemas.openxmlformats.org/officeDocument/2006/relationships/hyperlink" Target="mailto:stt653182@hotmail.com" TargetMode="External"/><Relationship Id="rId9" Type="http://schemas.openxmlformats.org/officeDocument/2006/relationships/hyperlink" Target="mailto:Hadhuramimakinedine976@gmail.com" TargetMode="External"/><Relationship Id="rId14" Type="http://schemas.openxmlformats.org/officeDocument/2006/relationships/hyperlink" Target="mailto:madiboinamkidachi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selemani.a@hotmail.fr" TargetMode="External"/><Relationship Id="rId3" Type="http://schemas.openxmlformats.org/officeDocument/2006/relationships/hyperlink" Target="mailto:barakasoumaila6@gmail.com" TargetMode="External"/><Relationship Id="rId7" Type="http://schemas.openxmlformats.org/officeDocument/2006/relationships/hyperlink" Target="mailto:abdourahimmohamed976@gmail.com" TargetMode="External"/><Relationship Id="rId2" Type="http://schemas.openxmlformats.org/officeDocument/2006/relationships/hyperlink" Target="mailto:stt653182@hotmail.com" TargetMode="External"/><Relationship Id="rId1" Type="http://schemas.openxmlformats.org/officeDocument/2006/relationships/hyperlink" Target="mailto:samirahanie1@gmail.com" TargetMode="External"/><Relationship Id="rId6" Type="http://schemas.openxmlformats.org/officeDocument/2006/relationships/hyperlink" Target="mailto:ahamadilaydine@gmail.com" TargetMode="External"/><Relationship Id="rId5" Type="http://schemas.openxmlformats.org/officeDocument/2006/relationships/hyperlink" Target="mailto:combosaid5@gmail.cpm" TargetMode="External"/><Relationship Id="rId4" Type="http://schemas.openxmlformats.org/officeDocument/2006/relationships/hyperlink" Target="mailto:ambdihoumadi976@gmail.com" TargetMode="External"/><Relationship Id="rId9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62F8-D110-43B8-A463-D1A8B7712205}">
  <sheetPr>
    <pageSetUpPr fitToPage="1"/>
  </sheetPr>
  <dimension ref="A3:U49"/>
  <sheetViews>
    <sheetView workbookViewId="0">
      <selection activeCell="B3" sqref="B3"/>
    </sheetView>
  </sheetViews>
  <sheetFormatPr baseColWidth="10" defaultRowHeight="14.25" x14ac:dyDescent="0.45"/>
  <cols>
    <col min="1" max="1" width="11.796875" customWidth="1"/>
    <col min="2" max="2" width="13.796875" bestFit="1" customWidth="1"/>
    <col min="8" max="8" width="10.796875" hidden="1" customWidth="1"/>
    <col min="12" max="12" width="10.796875" hidden="1" customWidth="1"/>
    <col min="16" max="16" width="10.796875" hidden="1" customWidth="1"/>
    <col min="18" max="18" width="0" hidden="1" customWidth="1"/>
    <col min="20" max="20" width="34.796875" customWidth="1"/>
  </cols>
  <sheetData>
    <row r="3" spans="1:21" x14ac:dyDescent="0.45">
      <c r="A3" t="s">
        <v>14</v>
      </c>
      <c r="B3" s="63"/>
      <c r="C3" s="20"/>
    </row>
    <row r="4" spans="1:21" x14ac:dyDescent="0.45">
      <c r="A4" t="s">
        <v>13</v>
      </c>
      <c r="B4" s="21"/>
      <c r="C4" s="20"/>
    </row>
    <row r="6" spans="1:21" x14ac:dyDescent="0.45">
      <c r="A6" s="7"/>
      <c r="B6" s="9"/>
      <c r="C6" s="9"/>
      <c r="D6" s="10"/>
      <c r="E6" s="456" t="s">
        <v>2</v>
      </c>
      <c r="F6" s="457"/>
      <c r="G6" s="458"/>
      <c r="H6" s="1"/>
      <c r="I6" s="456" t="s">
        <v>6</v>
      </c>
      <c r="J6" s="457"/>
      <c r="K6" s="458"/>
      <c r="L6" s="1"/>
      <c r="M6" s="456" t="s">
        <v>7</v>
      </c>
      <c r="N6" s="457"/>
      <c r="O6" s="458"/>
      <c r="P6" s="1"/>
      <c r="Q6" s="13" t="s">
        <v>11</v>
      </c>
      <c r="R6" s="12"/>
      <c r="S6" s="10"/>
      <c r="T6" s="7"/>
      <c r="U6" s="5"/>
    </row>
    <row r="7" spans="1:21" ht="42.75" x14ac:dyDescent="0.45">
      <c r="A7" s="8"/>
      <c r="B7" s="3" t="s">
        <v>0</v>
      </c>
      <c r="C7" s="18" t="s">
        <v>1</v>
      </c>
      <c r="D7" s="4" t="s">
        <v>3</v>
      </c>
      <c r="E7" s="2" t="s">
        <v>3</v>
      </c>
      <c r="F7" s="18" t="s">
        <v>4</v>
      </c>
      <c r="G7" s="4" t="s">
        <v>5</v>
      </c>
      <c r="H7" s="3" t="s">
        <v>19</v>
      </c>
      <c r="I7" s="2" t="s">
        <v>3</v>
      </c>
      <c r="J7" s="18" t="s">
        <v>4</v>
      </c>
      <c r="K7" s="4" t="s">
        <v>9</v>
      </c>
      <c r="L7" s="3" t="s">
        <v>19</v>
      </c>
      <c r="M7" s="2" t="s">
        <v>3</v>
      </c>
      <c r="N7" s="18" t="s">
        <v>4</v>
      </c>
      <c r="O7" s="4" t="s">
        <v>10</v>
      </c>
      <c r="P7" s="3" t="s">
        <v>19</v>
      </c>
      <c r="Q7" s="2" t="s">
        <v>4</v>
      </c>
      <c r="R7" s="3"/>
      <c r="S7" s="4" t="s">
        <v>17</v>
      </c>
      <c r="T7" s="8" t="s">
        <v>12</v>
      </c>
      <c r="U7" s="6" t="s">
        <v>20</v>
      </c>
    </row>
    <row r="8" spans="1:21" ht="40.049999999999997" customHeight="1" x14ac:dyDescent="0.45">
      <c r="A8" s="14" t="s">
        <v>8</v>
      </c>
      <c r="B8" s="35">
        <v>0.20833333333333334</v>
      </c>
      <c r="C8" s="36"/>
      <c r="D8" s="40"/>
      <c r="E8" s="26"/>
      <c r="F8" s="27"/>
      <c r="G8" s="44"/>
      <c r="H8" s="35">
        <f>G8-C8</f>
        <v>0</v>
      </c>
      <c r="I8" s="26"/>
      <c r="J8" s="27"/>
      <c r="K8" s="44"/>
      <c r="L8" s="35">
        <f>K8-G8</f>
        <v>0</v>
      </c>
      <c r="M8" s="26"/>
      <c r="N8" s="27"/>
      <c r="O8" s="44"/>
      <c r="P8" s="35">
        <f>O8-K8</f>
        <v>0</v>
      </c>
      <c r="Q8" s="26"/>
      <c r="R8" s="32" t="str">
        <f>IF(D8+E8-F8+I8-J8+M8-N8=Q8,"OK",D8+E8-F8+I8-J8+M8-N8-Q8)</f>
        <v>OK</v>
      </c>
      <c r="S8" s="44"/>
      <c r="T8" s="14"/>
      <c r="U8" s="44">
        <f>S8-C8</f>
        <v>0</v>
      </c>
    </row>
    <row r="9" spans="1:21" ht="40.049999999999997" customHeight="1" x14ac:dyDescent="0.45">
      <c r="A9" s="14" t="s">
        <v>8</v>
      </c>
      <c r="B9" s="35">
        <v>0.21527777777777779</v>
      </c>
      <c r="C9" s="36"/>
      <c r="D9" s="40"/>
      <c r="E9" s="26"/>
      <c r="F9" s="27"/>
      <c r="G9" s="44"/>
      <c r="H9" s="35">
        <f t="shared" ref="H9:H46" si="0">G9-C9</f>
        <v>0</v>
      </c>
      <c r="I9" s="26"/>
      <c r="J9" s="27"/>
      <c r="K9" s="44"/>
      <c r="L9" s="35">
        <f t="shared" ref="L9:L26" si="1">K9-G9</f>
        <v>0</v>
      </c>
      <c r="M9" s="26"/>
      <c r="N9" s="27"/>
      <c r="O9" s="44"/>
      <c r="P9" s="35">
        <f t="shared" ref="P9:P26" si="2">O9-K9</f>
        <v>0</v>
      </c>
      <c r="Q9" s="26"/>
      <c r="R9" s="32"/>
      <c r="S9" s="44"/>
      <c r="T9" s="14"/>
      <c r="U9" s="44">
        <f t="shared" ref="U9:U46" si="3">S9-C9</f>
        <v>0</v>
      </c>
    </row>
    <row r="10" spans="1:21" ht="40.049999999999997" customHeight="1" x14ac:dyDescent="0.45">
      <c r="A10" s="14" t="s">
        <v>8</v>
      </c>
      <c r="B10" s="35">
        <v>0.22222222222222199</v>
      </c>
      <c r="C10" s="36"/>
      <c r="D10" s="40"/>
      <c r="E10" s="26"/>
      <c r="F10" s="27"/>
      <c r="G10" s="44"/>
      <c r="H10" s="35">
        <f t="shared" si="0"/>
        <v>0</v>
      </c>
      <c r="I10" s="26"/>
      <c r="J10" s="27"/>
      <c r="K10" s="44"/>
      <c r="L10" s="35">
        <f t="shared" si="1"/>
        <v>0</v>
      </c>
      <c r="M10" s="26"/>
      <c r="N10" s="27"/>
      <c r="O10" s="44"/>
      <c r="P10" s="35">
        <f t="shared" si="2"/>
        <v>0</v>
      </c>
      <c r="Q10" s="26"/>
      <c r="R10" s="32"/>
      <c r="S10" s="44"/>
      <c r="T10" s="14"/>
      <c r="U10" s="44">
        <f t="shared" si="3"/>
        <v>0</v>
      </c>
    </row>
    <row r="11" spans="1:21" ht="40.049999999999997" customHeight="1" x14ac:dyDescent="0.45">
      <c r="A11" s="14" t="s">
        <v>8</v>
      </c>
      <c r="B11" s="35">
        <v>0.22916666666666699</v>
      </c>
      <c r="C11" s="36"/>
      <c r="D11" s="40"/>
      <c r="E11" s="26"/>
      <c r="F11" s="27"/>
      <c r="G11" s="44"/>
      <c r="H11" s="35">
        <f t="shared" si="0"/>
        <v>0</v>
      </c>
      <c r="I11" s="26"/>
      <c r="J11" s="27"/>
      <c r="K11" s="44"/>
      <c r="L11" s="35">
        <f t="shared" si="1"/>
        <v>0</v>
      </c>
      <c r="M11" s="26"/>
      <c r="N11" s="27"/>
      <c r="O11" s="44"/>
      <c r="P11" s="35">
        <f t="shared" si="2"/>
        <v>0</v>
      </c>
      <c r="Q11" s="26"/>
      <c r="R11" s="32"/>
      <c r="S11" s="44"/>
      <c r="T11" s="14"/>
      <c r="U11" s="44">
        <f t="shared" si="3"/>
        <v>0</v>
      </c>
    </row>
    <row r="12" spans="1:21" ht="40.049999999999997" customHeight="1" x14ac:dyDescent="0.45">
      <c r="A12" s="14" t="s">
        <v>8</v>
      </c>
      <c r="B12" s="35">
        <v>0.23611111111111099</v>
      </c>
      <c r="C12" s="36"/>
      <c r="D12" s="40"/>
      <c r="E12" s="26"/>
      <c r="F12" s="27"/>
      <c r="G12" s="44"/>
      <c r="H12" s="35">
        <f t="shared" si="0"/>
        <v>0</v>
      </c>
      <c r="I12" s="26"/>
      <c r="J12" s="27"/>
      <c r="K12" s="44"/>
      <c r="L12" s="35">
        <f t="shared" si="1"/>
        <v>0</v>
      </c>
      <c r="M12" s="26"/>
      <c r="N12" s="27"/>
      <c r="O12" s="44"/>
      <c r="P12" s="35">
        <f t="shared" si="2"/>
        <v>0</v>
      </c>
      <c r="Q12" s="26"/>
      <c r="R12" s="32"/>
      <c r="S12" s="44"/>
      <c r="T12" s="14"/>
      <c r="U12" s="44">
        <f t="shared" si="3"/>
        <v>0</v>
      </c>
    </row>
    <row r="13" spans="1:21" ht="40.049999999999997" customHeight="1" x14ac:dyDescent="0.45">
      <c r="A13" s="14" t="s">
        <v>8</v>
      </c>
      <c r="B13" s="35">
        <v>0.243055555555556</v>
      </c>
      <c r="C13" s="36"/>
      <c r="D13" s="40"/>
      <c r="E13" s="26"/>
      <c r="F13" s="27"/>
      <c r="G13" s="44"/>
      <c r="H13" s="35">
        <f t="shared" si="0"/>
        <v>0</v>
      </c>
      <c r="I13" s="26"/>
      <c r="J13" s="27"/>
      <c r="K13" s="44"/>
      <c r="L13" s="35">
        <f t="shared" si="1"/>
        <v>0</v>
      </c>
      <c r="M13" s="26"/>
      <c r="N13" s="27"/>
      <c r="O13" s="44"/>
      <c r="P13" s="35">
        <f t="shared" si="2"/>
        <v>0</v>
      </c>
      <c r="Q13" s="26"/>
      <c r="R13" s="32"/>
      <c r="S13" s="44"/>
      <c r="T13" s="14"/>
      <c r="U13" s="44">
        <f t="shared" si="3"/>
        <v>0</v>
      </c>
    </row>
    <row r="14" spans="1:21" ht="40.049999999999997" customHeight="1" x14ac:dyDescent="0.45">
      <c r="A14" s="14" t="s">
        <v>8</v>
      </c>
      <c r="B14" s="35">
        <v>0.25</v>
      </c>
      <c r="C14" s="36"/>
      <c r="D14" s="40"/>
      <c r="E14" s="26"/>
      <c r="F14" s="27"/>
      <c r="G14" s="44"/>
      <c r="H14" s="35">
        <f t="shared" si="0"/>
        <v>0</v>
      </c>
      <c r="I14" s="26"/>
      <c r="J14" s="27"/>
      <c r="K14" s="44"/>
      <c r="L14" s="35">
        <f t="shared" si="1"/>
        <v>0</v>
      </c>
      <c r="M14" s="26"/>
      <c r="N14" s="27"/>
      <c r="O14" s="44"/>
      <c r="P14" s="35">
        <f t="shared" si="2"/>
        <v>0</v>
      </c>
      <c r="Q14" s="26"/>
      <c r="R14" s="32"/>
      <c r="S14" s="44"/>
      <c r="T14" s="14"/>
      <c r="U14" s="44">
        <f t="shared" si="3"/>
        <v>0</v>
      </c>
    </row>
    <row r="15" spans="1:21" ht="40.049999999999997" customHeight="1" x14ac:dyDescent="0.45">
      <c r="A15" s="14" t="s">
        <v>8</v>
      </c>
      <c r="B15" s="35">
        <v>0.25694444444444398</v>
      </c>
      <c r="C15" s="36"/>
      <c r="D15" s="40"/>
      <c r="E15" s="26"/>
      <c r="F15" s="27"/>
      <c r="G15" s="44"/>
      <c r="H15" s="35">
        <f t="shared" si="0"/>
        <v>0</v>
      </c>
      <c r="I15" s="26"/>
      <c r="J15" s="27"/>
      <c r="K15" s="44"/>
      <c r="L15" s="35">
        <f t="shared" si="1"/>
        <v>0</v>
      </c>
      <c r="M15" s="26"/>
      <c r="N15" s="27"/>
      <c r="O15" s="44"/>
      <c r="P15" s="35">
        <f t="shared" si="2"/>
        <v>0</v>
      </c>
      <c r="Q15" s="26"/>
      <c r="R15" s="32"/>
      <c r="S15" s="44"/>
      <c r="T15" s="14"/>
      <c r="U15" s="44">
        <f t="shared" si="3"/>
        <v>0</v>
      </c>
    </row>
    <row r="16" spans="1:21" ht="40.049999999999997" customHeight="1" x14ac:dyDescent="0.45">
      <c r="A16" s="14" t="s">
        <v>8</v>
      </c>
      <c r="B16" s="35">
        <v>0.26388888888888901</v>
      </c>
      <c r="C16" s="36"/>
      <c r="D16" s="40"/>
      <c r="E16" s="26"/>
      <c r="F16" s="27"/>
      <c r="G16" s="44"/>
      <c r="H16" s="35">
        <f t="shared" si="0"/>
        <v>0</v>
      </c>
      <c r="I16" s="26"/>
      <c r="J16" s="27"/>
      <c r="K16" s="44"/>
      <c r="L16" s="35">
        <f t="shared" si="1"/>
        <v>0</v>
      </c>
      <c r="M16" s="26"/>
      <c r="N16" s="27"/>
      <c r="O16" s="44"/>
      <c r="P16" s="35">
        <f t="shared" si="2"/>
        <v>0</v>
      </c>
      <c r="Q16" s="26"/>
      <c r="R16" s="32"/>
      <c r="S16" s="44"/>
      <c r="T16" s="14"/>
      <c r="U16" s="44">
        <f t="shared" si="3"/>
        <v>0</v>
      </c>
    </row>
    <row r="17" spans="1:21" ht="40.049999999999997" customHeight="1" x14ac:dyDescent="0.45">
      <c r="A17" s="14" t="s">
        <v>8</v>
      </c>
      <c r="B17" s="35">
        <v>0.27083333333333298</v>
      </c>
      <c r="C17" s="36"/>
      <c r="D17" s="40"/>
      <c r="E17" s="26"/>
      <c r="F17" s="27"/>
      <c r="G17" s="44"/>
      <c r="H17" s="35">
        <f t="shared" si="0"/>
        <v>0</v>
      </c>
      <c r="I17" s="26"/>
      <c r="J17" s="27"/>
      <c r="K17" s="44"/>
      <c r="L17" s="35">
        <f t="shared" si="1"/>
        <v>0</v>
      </c>
      <c r="M17" s="26"/>
      <c r="N17" s="27"/>
      <c r="O17" s="44"/>
      <c r="P17" s="35">
        <f t="shared" si="2"/>
        <v>0</v>
      </c>
      <c r="Q17" s="26"/>
      <c r="R17" s="32"/>
      <c r="S17" s="44"/>
      <c r="T17" s="14"/>
      <c r="U17" s="44">
        <f t="shared" si="3"/>
        <v>0</v>
      </c>
    </row>
    <row r="18" spans="1:21" ht="40.049999999999997" customHeight="1" x14ac:dyDescent="0.45">
      <c r="A18" s="14" t="s">
        <v>8</v>
      </c>
      <c r="B18" s="35">
        <v>0.27777777777777801</v>
      </c>
      <c r="C18" s="36"/>
      <c r="D18" s="40"/>
      <c r="E18" s="26"/>
      <c r="F18" s="27"/>
      <c r="G18" s="44"/>
      <c r="H18" s="35">
        <f t="shared" si="0"/>
        <v>0</v>
      </c>
      <c r="I18" s="26"/>
      <c r="J18" s="27"/>
      <c r="K18" s="44"/>
      <c r="L18" s="35">
        <f t="shared" si="1"/>
        <v>0</v>
      </c>
      <c r="M18" s="26"/>
      <c r="N18" s="27"/>
      <c r="O18" s="44"/>
      <c r="P18" s="35">
        <f t="shared" si="2"/>
        <v>0</v>
      </c>
      <c r="Q18" s="26"/>
      <c r="R18" s="32"/>
      <c r="S18" s="44"/>
      <c r="T18" s="14"/>
      <c r="U18" s="44">
        <f t="shared" si="3"/>
        <v>0</v>
      </c>
    </row>
    <row r="19" spans="1:21" ht="40.049999999999997" customHeight="1" x14ac:dyDescent="0.45">
      <c r="A19" s="14" t="s">
        <v>8</v>
      </c>
      <c r="B19" s="35">
        <v>0.28472222222222199</v>
      </c>
      <c r="C19" s="36"/>
      <c r="D19" s="40"/>
      <c r="E19" s="26"/>
      <c r="F19" s="27"/>
      <c r="G19" s="44"/>
      <c r="H19" s="35">
        <f t="shared" si="0"/>
        <v>0</v>
      </c>
      <c r="I19" s="26"/>
      <c r="J19" s="27"/>
      <c r="K19" s="44"/>
      <c r="L19" s="35">
        <f t="shared" si="1"/>
        <v>0</v>
      </c>
      <c r="M19" s="26"/>
      <c r="N19" s="27"/>
      <c r="O19" s="44"/>
      <c r="P19" s="35">
        <f t="shared" si="2"/>
        <v>0</v>
      </c>
      <c r="Q19" s="26"/>
      <c r="R19" s="32"/>
      <c r="S19" s="44"/>
      <c r="T19" s="14"/>
      <c r="U19" s="44">
        <f t="shared" si="3"/>
        <v>0</v>
      </c>
    </row>
    <row r="20" spans="1:21" ht="40.049999999999997" customHeight="1" x14ac:dyDescent="0.45">
      <c r="A20" s="14" t="s">
        <v>8</v>
      </c>
      <c r="B20" s="35">
        <v>0.29166666666666702</v>
      </c>
      <c r="C20" s="36"/>
      <c r="D20" s="40"/>
      <c r="E20" s="26"/>
      <c r="F20" s="27"/>
      <c r="G20" s="44"/>
      <c r="H20" s="35">
        <f t="shared" si="0"/>
        <v>0</v>
      </c>
      <c r="I20" s="26"/>
      <c r="J20" s="27"/>
      <c r="K20" s="44"/>
      <c r="L20" s="35">
        <f t="shared" si="1"/>
        <v>0</v>
      </c>
      <c r="M20" s="26"/>
      <c r="N20" s="27"/>
      <c r="O20" s="44"/>
      <c r="P20" s="35">
        <f t="shared" si="2"/>
        <v>0</v>
      </c>
      <c r="Q20" s="26"/>
      <c r="R20" s="32"/>
      <c r="S20" s="44"/>
      <c r="T20" s="14"/>
      <c r="U20" s="44">
        <f t="shared" si="3"/>
        <v>0</v>
      </c>
    </row>
    <row r="21" spans="1:21" ht="40.049999999999997" customHeight="1" x14ac:dyDescent="0.45">
      <c r="A21" s="14" t="s">
        <v>8</v>
      </c>
      <c r="B21" s="35">
        <v>0.29861111111111099</v>
      </c>
      <c r="C21" s="36"/>
      <c r="D21" s="40"/>
      <c r="E21" s="26"/>
      <c r="F21" s="27"/>
      <c r="G21" s="44"/>
      <c r="H21" s="35">
        <f t="shared" si="0"/>
        <v>0</v>
      </c>
      <c r="I21" s="26"/>
      <c r="J21" s="27"/>
      <c r="K21" s="44"/>
      <c r="L21" s="35">
        <f t="shared" si="1"/>
        <v>0</v>
      </c>
      <c r="M21" s="26"/>
      <c r="N21" s="27"/>
      <c r="O21" s="44"/>
      <c r="P21" s="35">
        <f t="shared" si="2"/>
        <v>0</v>
      </c>
      <c r="Q21" s="26"/>
      <c r="R21" s="32"/>
      <c r="S21" s="44"/>
      <c r="T21" s="14"/>
      <c r="U21" s="44">
        <f t="shared" si="3"/>
        <v>0</v>
      </c>
    </row>
    <row r="22" spans="1:21" ht="40.049999999999997" customHeight="1" x14ac:dyDescent="0.45">
      <c r="A22" s="14" t="s">
        <v>8</v>
      </c>
      <c r="B22" s="35">
        <v>0.30555555555555602</v>
      </c>
      <c r="C22" s="36"/>
      <c r="D22" s="40"/>
      <c r="E22" s="26"/>
      <c r="F22" s="27"/>
      <c r="G22" s="44"/>
      <c r="H22" s="35">
        <f t="shared" si="0"/>
        <v>0</v>
      </c>
      <c r="I22" s="26"/>
      <c r="J22" s="27"/>
      <c r="K22" s="44"/>
      <c r="L22" s="35">
        <f t="shared" si="1"/>
        <v>0</v>
      </c>
      <c r="M22" s="26"/>
      <c r="N22" s="27"/>
      <c r="O22" s="44"/>
      <c r="P22" s="35">
        <f t="shared" si="2"/>
        <v>0</v>
      </c>
      <c r="Q22" s="26"/>
      <c r="R22" s="32"/>
      <c r="S22" s="44"/>
      <c r="T22" s="14"/>
      <c r="U22" s="44">
        <f t="shared" si="3"/>
        <v>0</v>
      </c>
    </row>
    <row r="23" spans="1:21" ht="40.049999999999997" customHeight="1" x14ac:dyDescent="0.45">
      <c r="A23" s="14" t="s">
        <v>8</v>
      </c>
      <c r="B23" s="35">
        <v>0.3125</v>
      </c>
      <c r="C23" s="36"/>
      <c r="D23" s="40"/>
      <c r="E23" s="26"/>
      <c r="F23" s="27"/>
      <c r="G23" s="44"/>
      <c r="H23" s="35">
        <f t="shared" si="0"/>
        <v>0</v>
      </c>
      <c r="I23" s="26"/>
      <c r="J23" s="27"/>
      <c r="K23" s="44"/>
      <c r="L23" s="35">
        <f t="shared" si="1"/>
        <v>0</v>
      </c>
      <c r="M23" s="26"/>
      <c r="N23" s="27"/>
      <c r="O23" s="44"/>
      <c r="P23" s="35">
        <f t="shared" si="2"/>
        <v>0</v>
      </c>
      <c r="Q23" s="26"/>
      <c r="R23" s="32"/>
      <c r="S23" s="44"/>
      <c r="T23" s="14"/>
      <c r="U23" s="44">
        <f t="shared" si="3"/>
        <v>0</v>
      </c>
    </row>
    <row r="24" spans="1:21" ht="40.049999999999997" customHeight="1" x14ac:dyDescent="0.45">
      <c r="A24" s="14" t="s">
        <v>8</v>
      </c>
      <c r="B24" s="35">
        <v>0.31944444444444398</v>
      </c>
      <c r="C24" s="36"/>
      <c r="D24" s="40"/>
      <c r="E24" s="26"/>
      <c r="F24" s="27"/>
      <c r="G24" s="44"/>
      <c r="H24" s="35">
        <f t="shared" si="0"/>
        <v>0</v>
      </c>
      <c r="I24" s="26"/>
      <c r="J24" s="27"/>
      <c r="K24" s="44"/>
      <c r="L24" s="35">
        <f t="shared" si="1"/>
        <v>0</v>
      </c>
      <c r="M24" s="26"/>
      <c r="N24" s="27"/>
      <c r="O24" s="44"/>
      <c r="P24" s="35">
        <f t="shared" si="2"/>
        <v>0</v>
      </c>
      <c r="Q24" s="26"/>
      <c r="R24" s="32"/>
      <c r="S24" s="44"/>
      <c r="T24" s="14"/>
      <c r="U24" s="44">
        <f t="shared" si="3"/>
        <v>0</v>
      </c>
    </row>
    <row r="25" spans="1:21" ht="40.049999999999997" customHeight="1" x14ac:dyDescent="0.45">
      <c r="A25" s="14" t="s">
        <v>8</v>
      </c>
      <c r="B25" s="35">
        <v>0.32638888888888901</v>
      </c>
      <c r="C25" s="36"/>
      <c r="D25" s="40"/>
      <c r="E25" s="26"/>
      <c r="F25" s="27"/>
      <c r="G25" s="44"/>
      <c r="H25" s="35">
        <f t="shared" si="0"/>
        <v>0</v>
      </c>
      <c r="I25" s="26"/>
      <c r="J25" s="27"/>
      <c r="K25" s="44"/>
      <c r="L25" s="35">
        <f t="shared" si="1"/>
        <v>0</v>
      </c>
      <c r="M25" s="26"/>
      <c r="N25" s="27"/>
      <c r="O25" s="44"/>
      <c r="P25" s="35">
        <f t="shared" si="2"/>
        <v>0</v>
      </c>
      <c r="Q25" s="26"/>
      <c r="R25" s="32"/>
      <c r="S25" s="44"/>
      <c r="T25" s="14"/>
      <c r="U25" s="44">
        <f t="shared" si="3"/>
        <v>0</v>
      </c>
    </row>
    <row r="26" spans="1:21" ht="40.049999999999997" customHeight="1" x14ac:dyDescent="0.45">
      <c r="A26" s="14" t="s">
        <v>8</v>
      </c>
      <c r="B26" s="35">
        <v>0.33333333333333298</v>
      </c>
      <c r="C26" s="36"/>
      <c r="D26" s="40"/>
      <c r="E26" s="26"/>
      <c r="F26" s="27"/>
      <c r="G26" s="44"/>
      <c r="H26" s="35">
        <f t="shared" si="0"/>
        <v>0</v>
      </c>
      <c r="I26" s="26"/>
      <c r="J26" s="27"/>
      <c r="K26" s="44"/>
      <c r="L26" s="35">
        <f t="shared" si="1"/>
        <v>0</v>
      </c>
      <c r="M26" s="26"/>
      <c r="N26" s="27"/>
      <c r="O26" s="44"/>
      <c r="P26" s="35">
        <f t="shared" si="2"/>
        <v>0</v>
      </c>
      <c r="Q26" s="26"/>
      <c r="R26" s="32"/>
      <c r="S26" s="44"/>
      <c r="T26" s="14"/>
      <c r="U26" s="44">
        <f t="shared" si="3"/>
        <v>0</v>
      </c>
    </row>
    <row r="27" spans="1:21" ht="29.55" customHeight="1" x14ac:dyDescent="0.45">
      <c r="A27" s="16"/>
      <c r="B27" s="17"/>
      <c r="C27" s="39"/>
      <c r="D27" s="41"/>
      <c r="E27" s="16"/>
      <c r="F27" s="43"/>
      <c r="G27" s="45"/>
      <c r="H27" s="48"/>
      <c r="I27" s="28"/>
      <c r="J27" s="29"/>
      <c r="K27" s="45"/>
      <c r="L27" s="17"/>
      <c r="M27" s="28"/>
      <c r="N27" s="29"/>
      <c r="O27" s="45"/>
      <c r="P27" s="17"/>
      <c r="Q27" s="28" t="s">
        <v>8</v>
      </c>
      <c r="R27" s="33"/>
      <c r="S27" s="45"/>
      <c r="T27" s="16"/>
      <c r="U27" s="45">
        <f>SUM(U8:U26)</f>
        <v>0</v>
      </c>
    </row>
    <row r="28" spans="1:21" ht="39.5" customHeight="1" x14ac:dyDescent="0.45">
      <c r="A28" s="22" t="s">
        <v>11</v>
      </c>
      <c r="B28" s="35">
        <v>0.625</v>
      </c>
      <c r="C28" s="36"/>
      <c r="D28" s="24"/>
      <c r="E28" s="14"/>
      <c r="F28" s="25"/>
      <c r="G28" s="44"/>
      <c r="H28" s="35">
        <f t="shared" si="0"/>
        <v>0</v>
      </c>
      <c r="I28" s="26"/>
      <c r="J28" s="27"/>
      <c r="K28" s="44"/>
      <c r="L28" s="35">
        <f t="shared" ref="L28:L46" si="4">K28-G28</f>
        <v>0</v>
      </c>
      <c r="M28" s="26"/>
      <c r="N28" s="27"/>
      <c r="O28" s="44"/>
      <c r="P28" s="35">
        <f t="shared" ref="P28:P46" si="5">O28-K28</f>
        <v>0</v>
      </c>
      <c r="Q28" s="26"/>
      <c r="R28" s="32"/>
      <c r="S28" s="44"/>
      <c r="T28" s="14"/>
      <c r="U28" s="44">
        <f t="shared" si="3"/>
        <v>0</v>
      </c>
    </row>
    <row r="29" spans="1:21" ht="39.5" customHeight="1" x14ac:dyDescent="0.45">
      <c r="A29" s="22" t="s">
        <v>11</v>
      </c>
      <c r="B29" s="35">
        <v>0.63194444444444442</v>
      </c>
      <c r="C29" s="36"/>
      <c r="D29" s="24"/>
      <c r="E29" s="14"/>
      <c r="F29" s="25"/>
      <c r="G29" s="44"/>
      <c r="H29" s="35">
        <f t="shared" si="0"/>
        <v>0</v>
      </c>
      <c r="I29" s="26"/>
      <c r="J29" s="27"/>
      <c r="K29" s="44"/>
      <c r="L29" s="35">
        <f t="shared" si="4"/>
        <v>0</v>
      </c>
      <c r="M29" s="26"/>
      <c r="N29" s="27"/>
      <c r="O29" s="44"/>
      <c r="P29" s="35">
        <f t="shared" si="5"/>
        <v>0</v>
      </c>
      <c r="Q29" s="26"/>
      <c r="R29" s="32"/>
      <c r="S29" s="44"/>
      <c r="T29" s="14"/>
      <c r="U29" s="44">
        <f t="shared" si="3"/>
        <v>0</v>
      </c>
    </row>
    <row r="30" spans="1:21" ht="39.5" customHeight="1" x14ac:dyDescent="0.45">
      <c r="A30" s="22" t="s">
        <v>11</v>
      </c>
      <c r="B30" s="35">
        <v>0.63888888888888895</v>
      </c>
      <c r="C30" s="36"/>
      <c r="D30" s="24"/>
      <c r="E30" s="14"/>
      <c r="F30" s="25"/>
      <c r="G30" s="44"/>
      <c r="H30" s="35">
        <f t="shared" si="0"/>
        <v>0</v>
      </c>
      <c r="I30" s="26"/>
      <c r="J30" s="27"/>
      <c r="K30" s="44"/>
      <c r="L30" s="35">
        <f t="shared" si="4"/>
        <v>0</v>
      </c>
      <c r="M30" s="26"/>
      <c r="N30" s="27"/>
      <c r="O30" s="44"/>
      <c r="P30" s="35">
        <f t="shared" si="5"/>
        <v>0</v>
      </c>
      <c r="Q30" s="26"/>
      <c r="R30" s="32"/>
      <c r="S30" s="44"/>
      <c r="T30" s="14"/>
      <c r="U30" s="44">
        <f t="shared" si="3"/>
        <v>0</v>
      </c>
    </row>
    <row r="31" spans="1:21" ht="39.5" customHeight="1" x14ac:dyDescent="0.45">
      <c r="A31" s="22" t="s">
        <v>11</v>
      </c>
      <c r="B31" s="35">
        <v>0.64583333333333304</v>
      </c>
      <c r="C31" s="36"/>
      <c r="D31" s="24"/>
      <c r="E31" s="14"/>
      <c r="F31" s="25"/>
      <c r="G31" s="44"/>
      <c r="H31" s="35">
        <f t="shared" si="0"/>
        <v>0</v>
      </c>
      <c r="I31" s="26"/>
      <c r="J31" s="27"/>
      <c r="K31" s="44"/>
      <c r="L31" s="35">
        <f t="shared" si="4"/>
        <v>0</v>
      </c>
      <c r="M31" s="26"/>
      <c r="N31" s="27"/>
      <c r="O31" s="44"/>
      <c r="P31" s="35">
        <f t="shared" si="5"/>
        <v>0</v>
      </c>
      <c r="Q31" s="26"/>
      <c r="R31" s="32"/>
      <c r="S31" s="44"/>
      <c r="T31" s="14"/>
      <c r="U31" s="44">
        <f t="shared" si="3"/>
        <v>0</v>
      </c>
    </row>
    <row r="32" spans="1:21" ht="39.5" customHeight="1" x14ac:dyDescent="0.45">
      <c r="A32" s="22" t="s">
        <v>11</v>
      </c>
      <c r="B32" s="35">
        <v>0.65277777777777801</v>
      </c>
      <c r="C32" s="36"/>
      <c r="D32" s="24"/>
      <c r="E32" s="14"/>
      <c r="F32" s="25"/>
      <c r="G32" s="44"/>
      <c r="H32" s="35">
        <f t="shared" si="0"/>
        <v>0</v>
      </c>
      <c r="I32" s="26"/>
      <c r="J32" s="27"/>
      <c r="K32" s="44"/>
      <c r="L32" s="35">
        <f t="shared" si="4"/>
        <v>0</v>
      </c>
      <c r="M32" s="26"/>
      <c r="N32" s="27"/>
      <c r="O32" s="44"/>
      <c r="P32" s="35">
        <f t="shared" si="5"/>
        <v>0</v>
      </c>
      <c r="Q32" s="26"/>
      <c r="R32" s="32"/>
      <c r="S32" s="44"/>
      <c r="T32" s="14"/>
      <c r="U32" s="44">
        <f t="shared" si="3"/>
        <v>0</v>
      </c>
    </row>
    <row r="33" spans="1:21" ht="39.5" customHeight="1" x14ac:dyDescent="0.45">
      <c r="A33" s="22" t="s">
        <v>11</v>
      </c>
      <c r="B33" s="35">
        <v>0.65972222222222199</v>
      </c>
      <c r="C33" s="36"/>
      <c r="D33" s="24"/>
      <c r="E33" s="14"/>
      <c r="F33" s="25"/>
      <c r="G33" s="44"/>
      <c r="H33" s="35">
        <f t="shared" si="0"/>
        <v>0</v>
      </c>
      <c r="I33" s="26"/>
      <c r="J33" s="27"/>
      <c r="K33" s="44"/>
      <c r="L33" s="35">
        <f t="shared" si="4"/>
        <v>0</v>
      </c>
      <c r="M33" s="26"/>
      <c r="N33" s="27"/>
      <c r="O33" s="44"/>
      <c r="P33" s="35">
        <f t="shared" si="5"/>
        <v>0</v>
      </c>
      <c r="Q33" s="26"/>
      <c r="R33" s="32"/>
      <c r="S33" s="44"/>
      <c r="T33" s="14"/>
      <c r="U33" s="44">
        <f t="shared" si="3"/>
        <v>0</v>
      </c>
    </row>
    <row r="34" spans="1:21" ht="39.5" customHeight="1" x14ac:dyDescent="0.45">
      <c r="A34" s="22" t="s">
        <v>11</v>
      </c>
      <c r="B34" s="35">
        <v>0.66666666666666696</v>
      </c>
      <c r="C34" s="36"/>
      <c r="D34" s="24"/>
      <c r="E34" s="14"/>
      <c r="F34" s="25"/>
      <c r="G34" s="44"/>
      <c r="H34" s="35">
        <f t="shared" si="0"/>
        <v>0</v>
      </c>
      <c r="I34" s="26"/>
      <c r="J34" s="27"/>
      <c r="K34" s="44"/>
      <c r="L34" s="35">
        <f t="shared" si="4"/>
        <v>0</v>
      </c>
      <c r="M34" s="26"/>
      <c r="N34" s="27"/>
      <c r="O34" s="44"/>
      <c r="P34" s="35">
        <f t="shared" si="5"/>
        <v>0</v>
      </c>
      <c r="Q34" s="26"/>
      <c r="R34" s="32"/>
      <c r="S34" s="44"/>
      <c r="T34" s="14"/>
      <c r="U34" s="44">
        <f t="shared" si="3"/>
        <v>0</v>
      </c>
    </row>
    <row r="35" spans="1:21" ht="39.5" customHeight="1" x14ac:dyDescent="0.45">
      <c r="A35" s="22" t="s">
        <v>11</v>
      </c>
      <c r="B35" s="35">
        <v>0.67361111111111105</v>
      </c>
      <c r="C35" s="36"/>
      <c r="D35" s="24"/>
      <c r="E35" s="14"/>
      <c r="F35" s="25"/>
      <c r="G35" s="44"/>
      <c r="H35" s="35">
        <f t="shared" si="0"/>
        <v>0</v>
      </c>
      <c r="I35" s="26"/>
      <c r="J35" s="27"/>
      <c r="K35" s="44"/>
      <c r="L35" s="35">
        <f t="shared" si="4"/>
        <v>0</v>
      </c>
      <c r="M35" s="26"/>
      <c r="N35" s="27"/>
      <c r="O35" s="44"/>
      <c r="P35" s="35">
        <f t="shared" si="5"/>
        <v>0</v>
      </c>
      <c r="Q35" s="26"/>
      <c r="R35" s="32"/>
      <c r="S35" s="44"/>
      <c r="T35" s="14"/>
      <c r="U35" s="44">
        <f t="shared" si="3"/>
        <v>0</v>
      </c>
    </row>
    <row r="36" spans="1:21" ht="39.5" customHeight="1" x14ac:dyDescent="0.45">
      <c r="A36" s="22" t="s">
        <v>11</v>
      </c>
      <c r="B36" s="35">
        <v>0.68055555555555503</v>
      </c>
      <c r="C36" s="36"/>
      <c r="D36" s="24"/>
      <c r="E36" s="14"/>
      <c r="F36" s="25"/>
      <c r="G36" s="44"/>
      <c r="H36" s="35">
        <f t="shared" si="0"/>
        <v>0</v>
      </c>
      <c r="I36" s="26"/>
      <c r="J36" s="27"/>
      <c r="K36" s="44"/>
      <c r="L36" s="35">
        <f t="shared" si="4"/>
        <v>0</v>
      </c>
      <c r="M36" s="26"/>
      <c r="N36" s="27"/>
      <c r="O36" s="44"/>
      <c r="P36" s="35">
        <f t="shared" si="5"/>
        <v>0</v>
      </c>
      <c r="Q36" s="26"/>
      <c r="R36" s="32"/>
      <c r="S36" s="44"/>
      <c r="T36" s="14"/>
      <c r="U36" s="44">
        <f t="shared" si="3"/>
        <v>0</v>
      </c>
    </row>
    <row r="37" spans="1:21" ht="39.5" customHeight="1" x14ac:dyDescent="0.45">
      <c r="A37" s="22" t="s">
        <v>11</v>
      </c>
      <c r="B37" s="35">
        <v>0.6875</v>
      </c>
      <c r="C37" s="36"/>
      <c r="D37" s="24"/>
      <c r="E37" s="14"/>
      <c r="F37" s="25"/>
      <c r="G37" s="44"/>
      <c r="H37" s="35">
        <f t="shared" si="0"/>
        <v>0</v>
      </c>
      <c r="I37" s="26"/>
      <c r="J37" s="27"/>
      <c r="K37" s="44"/>
      <c r="L37" s="35">
        <f t="shared" si="4"/>
        <v>0</v>
      </c>
      <c r="M37" s="26"/>
      <c r="N37" s="27"/>
      <c r="O37" s="44"/>
      <c r="P37" s="35">
        <f t="shared" si="5"/>
        <v>0</v>
      </c>
      <c r="Q37" s="26"/>
      <c r="R37" s="32"/>
      <c r="S37" s="44"/>
      <c r="T37" s="14"/>
      <c r="U37" s="44">
        <f t="shared" si="3"/>
        <v>0</v>
      </c>
    </row>
    <row r="38" spans="1:21" ht="39.5" customHeight="1" x14ac:dyDescent="0.45">
      <c r="A38" s="22" t="s">
        <v>11</v>
      </c>
      <c r="B38" s="35">
        <v>0.69444444444444398</v>
      </c>
      <c r="C38" s="36"/>
      <c r="D38" s="24"/>
      <c r="E38" s="14"/>
      <c r="F38" s="25"/>
      <c r="G38" s="44"/>
      <c r="H38" s="35">
        <f t="shared" si="0"/>
        <v>0</v>
      </c>
      <c r="I38" s="26"/>
      <c r="J38" s="27"/>
      <c r="K38" s="44"/>
      <c r="L38" s="35">
        <f t="shared" si="4"/>
        <v>0</v>
      </c>
      <c r="M38" s="26"/>
      <c r="N38" s="27"/>
      <c r="O38" s="44"/>
      <c r="P38" s="35">
        <f t="shared" si="5"/>
        <v>0</v>
      </c>
      <c r="Q38" s="26"/>
      <c r="R38" s="32"/>
      <c r="S38" s="44"/>
      <c r="T38" s="14"/>
      <c r="U38" s="44">
        <f t="shared" si="3"/>
        <v>0</v>
      </c>
    </row>
    <row r="39" spans="1:21" ht="39.5" customHeight="1" x14ac:dyDescent="0.45">
      <c r="A39" s="22" t="s">
        <v>11</v>
      </c>
      <c r="B39" s="35">
        <v>0.70138888888888895</v>
      </c>
      <c r="C39" s="36"/>
      <c r="D39" s="24"/>
      <c r="E39" s="14"/>
      <c r="F39" s="25"/>
      <c r="G39" s="44"/>
      <c r="H39" s="35">
        <f t="shared" si="0"/>
        <v>0</v>
      </c>
      <c r="I39" s="26"/>
      <c r="J39" s="27"/>
      <c r="K39" s="44"/>
      <c r="L39" s="35">
        <f t="shared" si="4"/>
        <v>0</v>
      </c>
      <c r="M39" s="26"/>
      <c r="N39" s="27"/>
      <c r="O39" s="44"/>
      <c r="P39" s="35">
        <f t="shared" si="5"/>
        <v>0</v>
      </c>
      <c r="Q39" s="26"/>
      <c r="R39" s="32"/>
      <c r="S39" s="44"/>
      <c r="T39" s="14"/>
      <c r="U39" s="44">
        <f t="shared" si="3"/>
        <v>0</v>
      </c>
    </row>
    <row r="40" spans="1:21" ht="39.5" customHeight="1" x14ac:dyDescent="0.45">
      <c r="A40" s="22" t="s">
        <v>11</v>
      </c>
      <c r="B40" s="35">
        <v>0.70833333333333304</v>
      </c>
      <c r="C40" s="36"/>
      <c r="D40" s="24"/>
      <c r="E40" s="14"/>
      <c r="F40" s="25"/>
      <c r="G40" s="44"/>
      <c r="H40" s="35">
        <f t="shared" si="0"/>
        <v>0</v>
      </c>
      <c r="I40" s="26"/>
      <c r="J40" s="27"/>
      <c r="K40" s="44"/>
      <c r="L40" s="35">
        <f t="shared" si="4"/>
        <v>0</v>
      </c>
      <c r="M40" s="26"/>
      <c r="N40" s="27"/>
      <c r="O40" s="44"/>
      <c r="P40" s="35">
        <f t="shared" si="5"/>
        <v>0</v>
      </c>
      <c r="Q40" s="26"/>
      <c r="R40" s="32"/>
      <c r="S40" s="44"/>
      <c r="T40" s="14"/>
      <c r="U40" s="44">
        <f t="shared" si="3"/>
        <v>0</v>
      </c>
    </row>
    <row r="41" spans="1:21" ht="39.5" customHeight="1" x14ac:dyDescent="0.45">
      <c r="A41" s="22" t="s">
        <v>11</v>
      </c>
      <c r="B41" s="35">
        <v>0.71527777777777701</v>
      </c>
      <c r="C41" s="36"/>
      <c r="D41" s="24"/>
      <c r="E41" s="14"/>
      <c r="F41" s="25"/>
      <c r="G41" s="44"/>
      <c r="H41" s="35">
        <f t="shared" si="0"/>
        <v>0</v>
      </c>
      <c r="I41" s="26"/>
      <c r="J41" s="27"/>
      <c r="K41" s="44"/>
      <c r="L41" s="35">
        <f t="shared" si="4"/>
        <v>0</v>
      </c>
      <c r="M41" s="26"/>
      <c r="N41" s="27"/>
      <c r="O41" s="44"/>
      <c r="P41" s="35">
        <f t="shared" si="5"/>
        <v>0</v>
      </c>
      <c r="Q41" s="26"/>
      <c r="R41" s="32"/>
      <c r="S41" s="44"/>
      <c r="T41" s="14"/>
      <c r="U41" s="44">
        <f t="shared" si="3"/>
        <v>0</v>
      </c>
    </row>
    <row r="42" spans="1:21" ht="39.5" customHeight="1" x14ac:dyDescent="0.45">
      <c r="A42" s="22" t="s">
        <v>11</v>
      </c>
      <c r="B42" s="35">
        <v>0.72222222222222199</v>
      </c>
      <c r="C42" s="36"/>
      <c r="D42" s="24"/>
      <c r="E42" s="14"/>
      <c r="F42" s="25"/>
      <c r="G42" s="44"/>
      <c r="H42" s="35">
        <f t="shared" si="0"/>
        <v>0</v>
      </c>
      <c r="I42" s="26"/>
      <c r="J42" s="27"/>
      <c r="K42" s="44"/>
      <c r="L42" s="35">
        <f t="shared" si="4"/>
        <v>0</v>
      </c>
      <c r="M42" s="26"/>
      <c r="N42" s="27"/>
      <c r="O42" s="44"/>
      <c r="P42" s="35">
        <f t="shared" si="5"/>
        <v>0</v>
      </c>
      <c r="Q42" s="26"/>
      <c r="R42" s="32"/>
      <c r="S42" s="44"/>
      <c r="T42" s="14"/>
      <c r="U42" s="44">
        <f t="shared" si="3"/>
        <v>0</v>
      </c>
    </row>
    <row r="43" spans="1:21" ht="39.5" customHeight="1" x14ac:dyDescent="0.45">
      <c r="A43" s="22" t="s">
        <v>11</v>
      </c>
      <c r="B43" s="35">
        <v>0.72916666666666596</v>
      </c>
      <c r="C43" s="36"/>
      <c r="D43" s="24"/>
      <c r="E43" s="14"/>
      <c r="F43" s="25"/>
      <c r="G43" s="44"/>
      <c r="H43" s="35">
        <f t="shared" si="0"/>
        <v>0</v>
      </c>
      <c r="I43" s="26"/>
      <c r="J43" s="27"/>
      <c r="K43" s="44"/>
      <c r="L43" s="35">
        <f t="shared" si="4"/>
        <v>0</v>
      </c>
      <c r="M43" s="26"/>
      <c r="N43" s="27"/>
      <c r="O43" s="44"/>
      <c r="P43" s="35">
        <f t="shared" si="5"/>
        <v>0</v>
      </c>
      <c r="Q43" s="26"/>
      <c r="R43" s="32"/>
      <c r="S43" s="44"/>
      <c r="T43" s="14"/>
      <c r="U43" s="44">
        <f t="shared" si="3"/>
        <v>0</v>
      </c>
    </row>
    <row r="44" spans="1:21" ht="39.5" customHeight="1" x14ac:dyDescent="0.45">
      <c r="A44" s="22" t="s">
        <v>11</v>
      </c>
      <c r="B44" s="35">
        <v>0.73611111111111105</v>
      </c>
      <c r="C44" s="36"/>
      <c r="D44" s="24"/>
      <c r="E44" s="14"/>
      <c r="F44" s="25"/>
      <c r="G44" s="44"/>
      <c r="H44" s="35">
        <f t="shared" si="0"/>
        <v>0</v>
      </c>
      <c r="I44" s="26"/>
      <c r="J44" s="27"/>
      <c r="K44" s="44"/>
      <c r="L44" s="35">
        <f t="shared" si="4"/>
        <v>0</v>
      </c>
      <c r="M44" s="26"/>
      <c r="N44" s="27"/>
      <c r="O44" s="44"/>
      <c r="P44" s="35">
        <f t="shared" si="5"/>
        <v>0</v>
      </c>
      <c r="Q44" s="26"/>
      <c r="R44" s="32"/>
      <c r="S44" s="44"/>
      <c r="T44" s="14"/>
      <c r="U44" s="44">
        <f t="shared" si="3"/>
        <v>0</v>
      </c>
    </row>
    <row r="45" spans="1:21" ht="39.5" customHeight="1" x14ac:dyDescent="0.45">
      <c r="A45" s="22" t="s">
        <v>11</v>
      </c>
      <c r="B45" s="35">
        <v>0.74305555555555503</v>
      </c>
      <c r="C45" s="36"/>
      <c r="D45" s="24"/>
      <c r="E45" s="14"/>
      <c r="F45" s="25"/>
      <c r="G45" s="44"/>
      <c r="H45" s="35">
        <f t="shared" si="0"/>
        <v>0</v>
      </c>
      <c r="I45" s="26"/>
      <c r="J45" s="27"/>
      <c r="K45" s="44"/>
      <c r="L45" s="35">
        <f t="shared" si="4"/>
        <v>0</v>
      </c>
      <c r="M45" s="26"/>
      <c r="N45" s="27"/>
      <c r="O45" s="44"/>
      <c r="P45" s="35">
        <f t="shared" si="5"/>
        <v>0</v>
      </c>
      <c r="Q45" s="26"/>
      <c r="R45" s="32"/>
      <c r="S45" s="44"/>
      <c r="T45" s="14"/>
      <c r="U45" s="44">
        <f t="shared" si="3"/>
        <v>0</v>
      </c>
    </row>
    <row r="46" spans="1:21" ht="39.5" customHeight="1" x14ac:dyDescent="0.45">
      <c r="A46" s="23" t="s">
        <v>11</v>
      </c>
      <c r="B46" s="37">
        <v>0.75</v>
      </c>
      <c r="C46" s="38"/>
      <c r="D46" s="42"/>
      <c r="E46" s="8"/>
      <c r="F46" s="19"/>
      <c r="G46" s="46"/>
      <c r="H46" s="35">
        <f t="shared" si="0"/>
        <v>0</v>
      </c>
      <c r="I46" s="30"/>
      <c r="J46" s="31"/>
      <c r="K46" s="46"/>
      <c r="L46" s="35">
        <f t="shared" si="4"/>
        <v>0</v>
      </c>
      <c r="M46" s="30"/>
      <c r="N46" s="31"/>
      <c r="O46" s="46"/>
      <c r="P46" s="35">
        <f t="shared" si="5"/>
        <v>0</v>
      </c>
      <c r="Q46" s="30"/>
      <c r="R46" s="34"/>
      <c r="S46" s="46"/>
      <c r="T46" s="8"/>
      <c r="U46" s="44">
        <f t="shared" si="3"/>
        <v>0</v>
      </c>
    </row>
    <row r="47" spans="1:21" x14ac:dyDescent="0.45">
      <c r="A47" s="8"/>
      <c r="B47" s="15"/>
      <c r="C47" s="19"/>
      <c r="D47" s="42"/>
      <c r="E47" s="8"/>
      <c r="F47" s="19"/>
      <c r="G47" s="46"/>
      <c r="H47" s="11"/>
      <c r="I47" s="30"/>
      <c r="J47" s="31"/>
      <c r="K47" s="46"/>
      <c r="L47" s="11"/>
      <c r="M47" s="30"/>
      <c r="N47" s="31"/>
      <c r="O47" s="46"/>
      <c r="P47" s="11"/>
      <c r="Q47" s="30"/>
      <c r="R47" s="34"/>
      <c r="S47" s="46"/>
      <c r="T47" s="8"/>
      <c r="U47" s="47">
        <f>SUM(U28:U46)</f>
        <v>0</v>
      </c>
    </row>
    <row r="48" spans="1:21" x14ac:dyDescent="0.45">
      <c r="U48" s="35">
        <f>U47+U27</f>
        <v>0</v>
      </c>
    </row>
    <row r="49" spans="3:9" x14ac:dyDescent="0.45">
      <c r="C49" t="s">
        <v>15</v>
      </c>
      <c r="I49" t="s">
        <v>16</v>
      </c>
    </row>
  </sheetData>
  <mergeCells count="3">
    <mergeCell ref="E6:G6"/>
    <mergeCell ref="I6:K6"/>
    <mergeCell ref="M6:O6"/>
  </mergeCells>
  <pageMargins left="0.25" right="0.25" top="0.75" bottom="0.75" header="0.3" footer="0.3"/>
  <pageSetup paperSize="9" scale="2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9EEE-E149-48A7-BC19-5CB134BAF03D}">
  <sheetPr>
    <pageSetUpPr fitToPage="1"/>
  </sheetPr>
  <dimension ref="A1:AW22"/>
  <sheetViews>
    <sheetView topLeftCell="Q1" zoomScale="120" zoomScaleNormal="120" workbookViewId="0">
      <pane ySplit="1" topLeftCell="A3" activePane="bottomLeft" state="frozen"/>
      <selection pane="bottomLeft" activeCell="K9" sqref="K9:U9"/>
    </sheetView>
  </sheetViews>
  <sheetFormatPr baseColWidth="10" defaultColWidth="10.796875" defaultRowHeight="15.75" x14ac:dyDescent="0.5"/>
  <cols>
    <col min="1" max="1" width="3.46484375" style="136" hidden="1" customWidth="1"/>
    <col min="2" max="7" width="0" style="136" hidden="1" customWidth="1"/>
    <col min="8" max="8" width="3.46484375" style="136" bestFit="1" customWidth="1"/>
    <col min="9" max="9" width="11.6640625" style="136" hidden="1" customWidth="1"/>
    <col min="10" max="10" width="11.6640625" style="136" customWidth="1"/>
    <col min="11" max="11" width="24.33203125" style="136" customWidth="1"/>
    <col min="12" max="12" width="14.33203125" style="136" customWidth="1"/>
    <col min="13" max="13" width="16.796875" style="136" customWidth="1"/>
    <col min="14" max="14" width="20.1328125" style="136" customWidth="1"/>
    <col min="15" max="15" width="22.46484375" style="136" customWidth="1"/>
    <col min="16" max="16" width="18.33203125" style="136" customWidth="1"/>
    <col min="17" max="17" width="10.796875" style="136"/>
    <col min="18" max="18" width="11.1328125" style="136" customWidth="1"/>
    <col min="19" max="19" width="11.796875" style="136" customWidth="1"/>
    <col min="20" max="21" width="10.796875" style="136"/>
    <col min="22" max="23" width="11.796875" style="136" customWidth="1"/>
    <col min="24" max="25" width="8.6640625" style="136" customWidth="1"/>
    <col min="26" max="26" width="7.33203125" style="136" customWidth="1"/>
    <col min="27" max="27" width="6.33203125" style="136" customWidth="1"/>
    <col min="28" max="28" width="8.33203125" style="136" customWidth="1"/>
    <col min="29" max="30" width="8.1328125" style="136" customWidth="1"/>
    <col min="31" max="31" width="10.46484375" style="136" customWidth="1"/>
    <col min="32" max="32" width="6.33203125" style="136" customWidth="1"/>
    <col min="33" max="33" width="8" style="136" customWidth="1"/>
    <col min="34" max="38" width="10.796875" style="136"/>
    <col min="39" max="39" width="9.46484375" style="136" customWidth="1"/>
    <col min="40" max="16384" width="10.796875" style="136"/>
  </cols>
  <sheetData>
    <row r="1" spans="1:49" s="68" customFormat="1" ht="52.5" x14ac:dyDescent="0.45">
      <c r="A1" s="64"/>
      <c r="B1" s="65" t="s">
        <v>80</v>
      </c>
      <c r="C1" s="65" t="s">
        <v>81</v>
      </c>
      <c r="D1" s="65" t="s">
        <v>82</v>
      </c>
      <c r="E1" s="65" t="s">
        <v>83</v>
      </c>
      <c r="F1" s="66" t="s">
        <v>84</v>
      </c>
      <c r="G1" s="65" t="s">
        <v>85</v>
      </c>
      <c r="H1" s="65" t="s">
        <v>86</v>
      </c>
      <c r="I1" s="65" t="s">
        <v>87</v>
      </c>
      <c r="J1" s="65" t="s">
        <v>326</v>
      </c>
      <c r="K1" s="65" t="s">
        <v>88</v>
      </c>
      <c r="L1" s="66" t="s">
        <v>89</v>
      </c>
      <c r="M1" s="65" t="s">
        <v>90</v>
      </c>
      <c r="N1" s="66" t="s">
        <v>91</v>
      </c>
      <c r="O1" s="65" t="s">
        <v>92</v>
      </c>
      <c r="P1" s="65" t="s">
        <v>93</v>
      </c>
      <c r="Q1" s="65" t="s">
        <v>94</v>
      </c>
      <c r="R1" s="65" t="s">
        <v>95</v>
      </c>
      <c r="S1" s="65" t="s">
        <v>96</v>
      </c>
      <c r="T1" s="65" t="s">
        <v>97</v>
      </c>
      <c r="U1" s="65" t="s">
        <v>98</v>
      </c>
      <c r="V1" s="65" t="s">
        <v>99</v>
      </c>
      <c r="W1" s="65" t="s">
        <v>100</v>
      </c>
      <c r="X1" s="65" t="s">
        <v>101</v>
      </c>
      <c r="Y1" s="65" t="s">
        <v>102</v>
      </c>
      <c r="Z1" s="67" t="s">
        <v>103</v>
      </c>
      <c r="AA1" s="67" t="s">
        <v>104</v>
      </c>
      <c r="AB1" s="67" t="s">
        <v>105</v>
      </c>
      <c r="AC1" s="65" t="s">
        <v>106</v>
      </c>
      <c r="AD1" s="65" t="s">
        <v>107</v>
      </c>
      <c r="AE1" s="65" t="s">
        <v>108</v>
      </c>
      <c r="AF1" s="65" t="s">
        <v>109</v>
      </c>
      <c r="AG1" s="65" t="s">
        <v>110</v>
      </c>
      <c r="AH1" s="65" t="s">
        <v>111</v>
      </c>
      <c r="AI1" s="65" t="s">
        <v>112</v>
      </c>
      <c r="AJ1" s="65" t="s">
        <v>113</v>
      </c>
      <c r="AK1" s="66" t="s">
        <v>114</v>
      </c>
      <c r="AL1" s="66" t="s">
        <v>115</v>
      </c>
      <c r="AM1" s="65" t="s">
        <v>116</v>
      </c>
      <c r="AN1" s="65" t="s">
        <v>117</v>
      </c>
      <c r="AO1" s="65" t="s">
        <v>118</v>
      </c>
      <c r="AP1" s="65" t="s">
        <v>119</v>
      </c>
      <c r="AQ1" s="65" t="s">
        <v>120</v>
      </c>
      <c r="AR1" s="65" t="s">
        <v>121</v>
      </c>
      <c r="AS1" s="66" t="s">
        <v>122</v>
      </c>
      <c r="AT1" s="66" t="s">
        <v>123</v>
      </c>
      <c r="AU1" s="66" t="s">
        <v>124</v>
      </c>
      <c r="AV1" s="66" t="s">
        <v>125</v>
      </c>
      <c r="AW1" s="65" t="s">
        <v>126</v>
      </c>
    </row>
    <row r="2" spans="1:49" s="83" customFormat="1" ht="47" customHeight="1" x14ac:dyDescent="0.45">
      <c r="A2" s="69">
        <v>1</v>
      </c>
      <c r="B2" s="65">
        <v>11</v>
      </c>
      <c r="C2" s="65" t="s">
        <v>127</v>
      </c>
      <c r="D2" s="65" t="s">
        <v>128</v>
      </c>
      <c r="E2" s="65" t="s">
        <v>129</v>
      </c>
      <c r="F2" s="66" t="s">
        <v>130</v>
      </c>
      <c r="G2" s="65" t="s">
        <v>130</v>
      </c>
      <c r="H2" s="70">
        <v>1</v>
      </c>
      <c r="I2" s="70" t="s">
        <v>48</v>
      </c>
      <c r="J2" s="70" t="s">
        <v>36</v>
      </c>
      <c r="K2" s="70" t="s">
        <v>59</v>
      </c>
      <c r="L2" s="70" t="s">
        <v>60</v>
      </c>
      <c r="M2" s="70" t="s">
        <v>131</v>
      </c>
      <c r="N2" s="71" t="s">
        <v>132</v>
      </c>
      <c r="O2" s="70" t="s">
        <v>133</v>
      </c>
      <c r="P2" s="72" t="s">
        <v>134</v>
      </c>
      <c r="Q2" s="73" t="s">
        <v>135</v>
      </c>
      <c r="R2" s="73">
        <v>505</v>
      </c>
      <c r="S2" s="74">
        <v>45305</v>
      </c>
      <c r="T2" s="75" t="s">
        <v>136</v>
      </c>
      <c r="U2" s="76">
        <v>44279</v>
      </c>
      <c r="V2" s="77">
        <f>2024-YEAR(U2)</f>
        <v>3</v>
      </c>
      <c r="W2" s="70" t="s">
        <v>137</v>
      </c>
      <c r="X2" s="70" t="s">
        <v>138</v>
      </c>
      <c r="Y2" s="70"/>
      <c r="Z2" s="73" t="s">
        <v>139</v>
      </c>
      <c r="AA2" s="73" t="s">
        <v>140</v>
      </c>
      <c r="AB2" s="73" t="s">
        <v>129</v>
      </c>
      <c r="AC2" s="78" t="s">
        <v>139</v>
      </c>
      <c r="AD2" s="70"/>
      <c r="AE2" s="79">
        <v>43262</v>
      </c>
      <c r="AF2" s="65" t="s">
        <v>141</v>
      </c>
      <c r="AG2" s="65" t="s">
        <v>140</v>
      </c>
      <c r="AH2" s="65" t="s">
        <v>129</v>
      </c>
      <c r="AI2" s="65" t="s">
        <v>129</v>
      </c>
      <c r="AJ2" s="65">
        <v>2020</v>
      </c>
      <c r="AK2" s="66"/>
      <c r="AL2" s="66" t="s">
        <v>139</v>
      </c>
      <c r="AM2" s="70" t="s">
        <v>142</v>
      </c>
      <c r="AN2" s="80">
        <v>510</v>
      </c>
      <c r="AO2" s="81">
        <v>43466</v>
      </c>
      <c r="AP2" s="80">
        <v>450</v>
      </c>
      <c r="AQ2" s="80"/>
      <c r="AR2" s="80"/>
      <c r="AS2" s="70">
        <v>64</v>
      </c>
      <c r="AT2" s="70" t="s">
        <v>143</v>
      </c>
      <c r="AU2" s="82">
        <v>97670</v>
      </c>
      <c r="AV2" s="82" t="s">
        <v>144</v>
      </c>
      <c r="AW2" s="70" t="s">
        <v>145</v>
      </c>
    </row>
    <row r="3" spans="1:49" s="83" customFormat="1" ht="47" customHeight="1" x14ac:dyDescent="0.45">
      <c r="A3" s="69">
        <v>33</v>
      </c>
      <c r="B3" s="65">
        <v>17</v>
      </c>
      <c r="C3" s="65" t="s">
        <v>127</v>
      </c>
      <c r="D3" s="65" t="s">
        <v>128</v>
      </c>
      <c r="E3" s="65" t="s">
        <v>129</v>
      </c>
      <c r="F3" s="66" t="s">
        <v>130</v>
      </c>
      <c r="G3" s="65" t="s">
        <v>130</v>
      </c>
      <c r="H3" s="70">
        <v>2</v>
      </c>
      <c r="I3" s="70" t="s">
        <v>50</v>
      </c>
      <c r="J3" s="70" t="s">
        <v>42</v>
      </c>
      <c r="K3" s="70" t="s">
        <v>61</v>
      </c>
      <c r="L3" s="70" t="s">
        <v>62</v>
      </c>
      <c r="M3" s="70" t="s">
        <v>146</v>
      </c>
      <c r="N3" s="84" t="s">
        <v>147</v>
      </c>
      <c r="O3" s="85" t="s">
        <v>148</v>
      </c>
      <c r="P3" s="72" t="s">
        <v>149</v>
      </c>
      <c r="Q3" s="73" t="s">
        <v>150</v>
      </c>
      <c r="R3" s="73">
        <v>1050</v>
      </c>
      <c r="S3" s="74">
        <v>46342</v>
      </c>
      <c r="T3" s="86" t="s">
        <v>151</v>
      </c>
      <c r="U3" s="87">
        <v>45182</v>
      </c>
      <c r="V3" s="77">
        <f>2024-YEAR(U3)</f>
        <v>1</v>
      </c>
      <c r="W3" s="88" t="s">
        <v>137</v>
      </c>
      <c r="X3" s="70" t="s">
        <v>138</v>
      </c>
      <c r="Y3" s="89">
        <v>45406</v>
      </c>
      <c r="Z3" s="90" t="s">
        <v>129</v>
      </c>
      <c r="AA3" s="73" t="s">
        <v>139</v>
      </c>
      <c r="AB3" s="73" t="s">
        <v>129</v>
      </c>
      <c r="AC3" s="91" t="s">
        <v>129</v>
      </c>
      <c r="AD3" s="88" t="s">
        <v>152</v>
      </c>
      <c r="AE3" s="79">
        <v>48415</v>
      </c>
      <c r="AF3" s="65" t="s">
        <v>141</v>
      </c>
      <c r="AG3" s="65" t="s">
        <v>140</v>
      </c>
      <c r="AH3" s="65" t="s">
        <v>139</v>
      </c>
      <c r="AI3" s="65" t="s">
        <v>139</v>
      </c>
      <c r="AJ3" s="65" t="s">
        <v>139</v>
      </c>
      <c r="AK3" s="66" t="s">
        <v>153</v>
      </c>
      <c r="AL3" s="66" t="s">
        <v>139</v>
      </c>
      <c r="AM3" s="70"/>
      <c r="AN3" s="80">
        <v>510</v>
      </c>
      <c r="AO3" s="81">
        <v>43466</v>
      </c>
      <c r="AP3" s="80">
        <v>250</v>
      </c>
      <c r="AQ3" s="80" t="s">
        <v>129</v>
      </c>
      <c r="AR3" s="80" t="s">
        <v>129</v>
      </c>
      <c r="AS3" s="70"/>
      <c r="AT3" s="70" t="s">
        <v>154</v>
      </c>
      <c r="AU3" s="82">
        <v>97640</v>
      </c>
      <c r="AV3" s="82" t="s">
        <v>155</v>
      </c>
      <c r="AW3" s="88" t="s">
        <v>156</v>
      </c>
    </row>
    <row r="4" spans="1:49" s="83" customFormat="1" ht="47" customHeight="1" x14ac:dyDescent="0.45">
      <c r="A4" s="69">
        <v>65</v>
      </c>
      <c r="B4" s="65">
        <v>23</v>
      </c>
      <c r="C4" s="65" t="s">
        <v>127</v>
      </c>
      <c r="D4" s="65" t="s">
        <v>128</v>
      </c>
      <c r="E4" s="65" t="s">
        <v>129</v>
      </c>
      <c r="F4" s="66" t="s">
        <v>130</v>
      </c>
      <c r="G4" s="65" t="s">
        <v>130</v>
      </c>
      <c r="H4" s="70">
        <v>3</v>
      </c>
      <c r="I4" s="70"/>
      <c r="J4" s="70" t="s">
        <v>46</v>
      </c>
      <c r="K4" s="92" t="s">
        <v>157</v>
      </c>
      <c r="L4" s="93" t="s">
        <v>158</v>
      </c>
      <c r="M4" s="92" t="s">
        <v>159</v>
      </c>
      <c r="N4" s="94" t="s">
        <v>160</v>
      </c>
      <c r="O4" s="95" t="s">
        <v>161</v>
      </c>
      <c r="P4" s="96" t="s">
        <v>149</v>
      </c>
      <c r="Q4" s="97" t="s">
        <v>162</v>
      </c>
      <c r="R4" s="97">
        <v>222</v>
      </c>
      <c r="S4" s="98">
        <v>45489</v>
      </c>
      <c r="T4" s="99" t="s">
        <v>163</v>
      </c>
      <c r="U4" s="100">
        <v>43707</v>
      </c>
      <c r="V4" s="98"/>
      <c r="W4" s="93" t="s">
        <v>137</v>
      </c>
      <c r="X4" s="92"/>
      <c r="Y4" s="92"/>
      <c r="Z4" s="101" t="s">
        <v>164</v>
      </c>
      <c r="AA4" s="97" t="s">
        <v>129</v>
      </c>
      <c r="AB4" s="97"/>
      <c r="AC4" s="102" t="s">
        <v>165</v>
      </c>
      <c r="AD4" s="93"/>
      <c r="AE4" s="100">
        <v>45896</v>
      </c>
      <c r="AF4" s="99" t="s">
        <v>141</v>
      </c>
      <c r="AG4" s="99"/>
      <c r="AH4" s="99" t="s">
        <v>129</v>
      </c>
      <c r="AI4" s="99" t="s">
        <v>129</v>
      </c>
      <c r="AJ4" s="99" t="s">
        <v>129</v>
      </c>
      <c r="AK4" s="103" t="s">
        <v>129</v>
      </c>
      <c r="AL4" s="103" t="s">
        <v>139</v>
      </c>
      <c r="AM4" s="92"/>
      <c r="AN4" s="104">
        <v>510</v>
      </c>
      <c r="AO4" s="105">
        <v>43466</v>
      </c>
      <c r="AP4" s="104">
        <v>150</v>
      </c>
      <c r="AQ4" s="104" t="s">
        <v>129</v>
      </c>
      <c r="AR4" s="104" t="s">
        <v>129</v>
      </c>
      <c r="AS4" s="92">
        <v>4</v>
      </c>
      <c r="AT4" s="92" t="s">
        <v>166</v>
      </c>
      <c r="AU4" s="106">
        <v>97640</v>
      </c>
      <c r="AV4" s="106" t="s">
        <v>155</v>
      </c>
      <c r="AW4" s="92" t="s">
        <v>167</v>
      </c>
    </row>
    <row r="5" spans="1:49" s="83" customFormat="1" ht="47" customHeight="1" x14ac:dyDescent="0.45">
      <c r="A5" s="69">
        <v>129</v>
      </c>
      <c r="B5" s="65">
        <v>35</v>
      </c>
      <c r="C5" s="65" t="s">
        <v>127</v>
      </c>
      <c r="D5" s="65" t="s">
        <v>128</v>
      </c>
      <c r="E5" s="65" t="s">
        <v>129</v>
      </c>
      <c r="F5" s="66" t="s">
        <v>130</v>
      </c>
      <c r="G5" s="65" t="s">
        <v>130</v>
      </c>
      <c r="H5" s="70">
        <v>4</v>
      </c>
      <c r="I5" s="70"/>
      <c r="J5" s="70"/>
      <c r="K5" s="70" t="s">
        <v>64</v>
      </c>
      <c r="L5" s="70" t="s">
        <v>63</v>
      </c>
      <c r="M5" s="70" t="s">
        <v>168</v>
      </c>
      <c r="N5" s="107" t="s">
        <v>169</v>
      </c>
      <c r="O5" s="70" t="s">
        <v>170</v>
      </c>
      <c r="P5" s="72" t="s">
        <v>149</v>
      </c>
      <c r="Q5" s="73" t="s">
        <v>171</v>
      </c>
      <c r="R5" s="73">
        <v>1294</v>
      </c>
      <c r="S5" s="74">
        <v>43992</v>
      </c>
      <c r="T5" s="108" t="s">
        <v>172</v>
      </c>
      <c r="U5" s="109">
        <v>44753</v>
      </c>
      <c r="V5" s="77">
        <f t="shared" ref="V5:V12" si="0">2024-YEAR(U5)</f>
        <v>2</v>
      </c>
      <c r="W5" s="70" t="s">
        <v>137</v>
      </c>
      <c r="X5" s="70"/>
      <c r="Y5" s="70" t="s">
        <v>173</v>
      </c>
      <c r="Z5" s="73" t="s">
        <v>129</v>
      </c>
      <c r="AA5" s="73" t="s">
        <v>140</v>
      </c>
      <c r="AB5" s="73" t="s">
        <v>129</v>
      </c>
      <c r="AC5" s="78"/>
      <c r="AD5" s="70"/>
      <c r="AE5" s="79">
        <v>47882</v>
      </c>
      <c r="AF5" s="65" t="s">
        <v>141</v>
      </c>
      <c r="AG5" s="65" t="s">
        <v>140</v>
      </c>
      <c r="AH5" s="65" t="s">
        <v>129</v>
      </c>
      <c r="AI5" s="65" t="s">
        <v>129</v>
      </c>
      <c r="AJ5" s="65" t="s">
        <v>129</v>
      </c>
      <c r="AK5" s="66" t="s">
        <v>129</v>
      </c>
      <c r="AL5" s="66" t="s">
        <v>129</v>
      </c>
      <c r="AM5" s="70" t="s">
        <v>174</v>
      </c>
      <c r="AN5" s="80">
        <v>510</v>
      </c>
      <c r="AO5" s="81">
        <v>43466</v>
      </c>
      <c r="AP5" s="80">
        <v>450</v>
      </c>
      <c r="AQ5" s="80"/>
      <c r="AR5" s="80"/>
      <c r="AS5" s="70">
        <v>85</v>
      </c>
      <c r="AT5" s="70" t="s">
        <v>175</v>
      </c>
      <c r="AU5" s="82">
        <v>97640</v>
      </c>
      <c r="AV5" s="82" t="s">
        <v>155</v>
      </c>
      <c r="AW5" s="70" t="s">
        <v>176</v>
      </c>
    </row>
    <row r="6" spans="1:49" s="83" customFormat="1" ht="47" customHeight="1" x14ac:dyDescent="0.45">
      <c r="A6" s="69">
        <v>161</v>
      </c>
      <c r="B6" s="65">
        <v>41</v>
      </c>
      <c r="C6" s="65" t="s">
        <v>127</v>
      </c>
      <c r="D6" s="65" t="s">
        <v>128</v>
      </c>
      <c r="E6" s="65" t="s">
        <v>129</v>
      </c>
      <c r="F6" s="66" t="s">
        <v>130</v>
      </c>
      <c r="G6" s="65" t="s">
        <v>130</v>
      </c>
      <c r="H6" s="70">
        <v>5</v>
      </c>
      <c r="I6" s="70" t="s">
        <v>177</v>
      </c>
      <c r="J6" s="70"/>
      <c r="K6" s="70" t="s">
        <v>178</v>
      </c>
      <c r="L6" s="70" t="s">
        <v>65</v>
      </c>
      <c r="M6" s="70" t="s">
        <v>179</v>
      </c>
      <c r="N6" s="107" t="s">
        <v>180</v>
      </c>
      <c r="O6" s="70" t="s">
        <v>181</v>
      </c>
      <c r="P6" s="72" t="s">
        <v>134</v>
      </c>
      <c r="Q6" s="73" t="s">
        <v>182</v>
      </c>
      <c r="R6" s="73">
        <v>806</v>
      </c>
      <c r="S6" s="74">
        <v>43222</v>
      </c>
      <c r="T6" s="65" t="s">
        <v>183</v>
      </c>
      <c r="U6" s="79">
        <v>44336</v>
      </c>
      <c r="V6" s="77">
        <f t="shared" si="0"/>
        <v>3</v>
      </c>
      <c r="W6" s="70" t="s">
        <v>137</v>
      </c>
      <c r="X6" s="70" t="s">
        <v>184</v>
      </c>
      <c r="Y6" s="70" t="s">
        <v>173</v>
      </c>
      <c r="Z6" s="73" t="s">
        <v>129</v>
      </c>
      <c r="AA6" s="73"/>
      <c r="AB6" s="73" t="s">
        <v>129</v>
      </c>
      <c r="AC6" s="78" t="s">
        <v>139</v>
      </c>
      <c r="AD6" s="70"/>
      <c r="AE6" s="79">
        <v>46556</v>
      </c>
      <c r="AF6" s="65" t="s">
        <v>141</v>
      </c>
      <c r="AG6" s="65" t="s">
        <v>140</v>
      </c>
      <c r="AH6" s="65" t="s">
        <v>139</v>
      </c>
      <c r="AI6" s="65" t="s">
        <v>139</v>
      </c>
      <c r="AJ6" s="65" t="s">
        <v>139</v>
      </c>
      <c r="AK6" s="66" t="s">
        <v>139</v>
      </c>
      <c r="AL6" s="66" t="s">
        <v>139</v>
      </c>
      <c r="AM6" s="70"/>
      <c r="AN6" s="80">
        <v>510</v>
      </c>
      <c r="AO6" s="81"/>
      <c r="AP6" s="80">
        <v>450</v>
      </c>
      <c r="AQ6" s="80"/>
      <c r="AR6" s="80"/>
      <c r="AS6" s="70"/>
      <c r="AT6" s="70" t="s">
        <v>185</v>
      </c>
      <c r="AU6" s="82">
        <v>97625</v>
      </c>
      <c r="AV6" s="82" t="s">
        <v>186</v>
      </c>
      <c r="AW6" s="70" t="s">
        <v>187</v>
      </c>
    </row>
    <row r="7" spans="1:49" s="83" customFormat="1" ht="47" customHeight="1" x14ac:dyDescent="0.45">
      <c r="A7" s="69">
        <v>129</v>
      </c>
      <c r="B7" s="65">
        <v>35</v>
      </c>
      <c r="C7" s="65" t="s">
        <v>127</v>
      </c>
      <c r="D7" s="65" t="s">
        <v>128</v>
      </c>
      <c r="E7" s="65" t="s">
        <v>129</v>
      </c>
      <c r="F7" s="66" t="s">
        <v>130</v>
      </c>
      <c r="G7" s="65" t="s">
        <v>130</v>
      </c>
      <c r="H7" s="70">
        <v>6</v>
      </c>
      <c r="I7" s="70"/>
      <c r="J7" s="70" t="s">
        <v>50</v>
      </c>
      <c r="K7" s="70" t="s">
        <v>188</v>
      </c>
      <c r="L7" s="70" t="s">
        <v>189</v>
      </c>
      <c r="M7" s="70" t="s">
        <v>190</v>
      </c>
      <c r="N7" s="84" t="s">
        <v>169</v>
      </c>
      <c r="O7" s="110" t="s">
        <v>191</v>
      </c>
      <c r="P7" s="72" t="s">
        <v>192</v>
      </c>
      <c r="Q7" s="73" t="s">
        <v>193</v>
      </c>
      <c r="R7" s="73">
        <v>759</v>
      </c>
      <c r="S7" s="74">
        <v>45639</v>
      </c>
      <c r="T7" s="75" t="s">
        <v>194</v>
      </c>
      <c r="U7" s="76">
        <v>44495</v>
      </c>
      <c r="V7" s="77">
        <f t="shared" si="0"/>
        <v>3</v>
      </c>
      <c r="W7" s="70" t="s">
        <v>137</v>
      </c>
      <c r="X7" s="70" t="s">
        <v>184</v>
      </c>
      <c r="Y7" s="70"/>
      <c r="Z7" s="73" t="s">
        <v>139</v>
      </c>
      <c r="AA7" s="73"/>
      <c r="AB7" s="73" t="s">
        <v>139</v>
      </c>
      <c r="AC7" s="78"/>
      <c r="AD7" s="70" t="s">
        <v>139</v>
      </c>
      <c r="AE7" s="79">
        <v>48640</v>
      </c>
      <c r="AF7" s="65" t="s">
        <v>141</v>
      </c>
      <c r="AG7" s="65" t="s">
        <v>140</v>
      </c>
      <c r="AH7" s="65" t="s">
        <v>139</v>
      </c>
      <c r="AI7" s="65" t="s">
        <v>139</v>
      </c>
      <c r="AJ7" s="65" t="s">
        <v>129</v>
      </c>
      <c r="AK7" s="66" t="s">
        <v>153</v>
      </c>
      <c r="AL7" s="66" t="s">
        <v>139</v>
      </c>
      <c r="AM7" s="70" t="s">
        <v>195</v>
      </c>
      <c r="AN7" s="80">
        <v>510</v>
      </c>
      <c r="AO7" s="81">
        <v>43466</v>
      </c>
      <c r="AP7" s="80">
        <v>250</v>
      </c>
      <c r="AQ7" s="80" t="s">
        <v>129</v>
      </c>
      <c r="AR7" s="80" t="s">
        <v>129</v>
      </c>
      <c r="AS7" s="70"/>
      <c r="AT7" s="70" t="s">
        <v>196</v>
      </c>
      <c r="AU7" s="82">
        <v>97620</v>
      </c>
      <c r="AV7" s="82" t="s">
        <v>197</v>
      </c>
      <c r="AW7" s="70" t="s">
        <v>198</v>
      </c>
    </row>
    <row r="8" spans="1:49" s="83" customFormat="1" ht="47" customHeight="1" x14ac:dyDescent="0.45">
      <c r="A8" s="69">
        <v>193</v>
      </c>
      <c r="B8" s="65">
        <v>47</v>
      </c>
      <c r="C8" s="65" t="s">
        <v>127</v>
      </c>
      <c r="D8" s="65" t="s">
        <v>128</v>
      </c>
      <c r="E8" s="65" t="s">
        <v>129</v>
      </c>
      <c r="F8" s="66" t="s">
        <v>130</v>
      </c>
      <c r="G8" s="65" t="s">
        <v>130</v>
      </c>
      <c r="H8" s="70">
        <v>7</v>
      </c>
      <c r="I8" s="70" t="s">
        <v>41</v>
      </c>
      <c r="J8" s="70" t="s">
        <v>51</v>
      </c>
      <c r="K8" s="70" t="s">
        <v>199</v>
      </c>
      <c r="L8" s="70" t="s">
        <v>68</v>
      </c>
      <c r="M8" s="70" t="s">
        <v>200</v>
      </c>
      <c r="N8" s="71" t="s">
        <v>201</v>
      </c>
      <c r="O8" s="70" t="s">
        <v>202</v>
      </c>
      <c r="P8" s="72" t="s">
        <v>192</v>
      </c>
      <c r="Q8" s="73" t="s">
        <v>203</v>
      </c>
      <c r="R8" s="73">
        <v>1414</v>
      </c>
      <c r="S8" s="74">
        <v>45181</v>
      </c>
      <c r="T8" s="75" t="s">
        <v>204</v>
      </c>
      <c r="U8" s="76">
        <v>44581</v>
      </c>
      <c r="V8" s="77">
        <f t="shared" si="0"/>
        <v>2</v>
      </c>
      <c r="W8" s="70" t="s">
        <v>205</v>
      </c>
      <c r="X8" s="70"/>
      <c r="Y8" s="70"/>
      <c r="Z8" s="73" t="s">
        <v>139</v>
      </c>
      <c r="AA8" s="73" t="s">
        <v>140</v>
      </c>
      <c r="AB8" s="73" t="s">
        <v>139</v>
      </c>
      <c r="AC8" s="78"/>
      <c r="AD8" s="70" t="s">
        <v>139</v>
      </c>
      <c r="AE8" s="79">
        <v>45040</v>
      </c>
      <c r="AF8" s="65" t="s">
        <v>141</v>
      </c>
      <c r="AG8" s="65" t="s">
        <v>140</v>
      </c>
      <c r="AH8" s="65" t="s">
        <v>139</v>
      </c>
      <c r="AI8" s="65">
        <v>2023</v>
      </c>
      <c r="AJ8" s="65" t="s">
        <v>139</v>
      </c>
      <c r="AK8" s="66" t="s">
        <v>153</v>
      </c>
      <c r="AL8" s="66" t="s">
        <v>129</v>
      </c>
      <c r="AM8" s="111" t="s">
        <v>206</v>
      </c>
      <c r="AN8" s="88">
        <v>510</v>
      </c>
      <c r="AO8" s="81">
        <v>44285</v>
      </c>
      <c r="AP8" s="88">
        <v>450</v>
      </c>
      <c r="AQ8" s="88"/>
      <c r="AR8" s="88"/>
      <c r="AS8" s="70">
        <v>8</v>
      </c>
      <c r="AT8" s="70" t="s">
        <v>207</v>
      </c>
      <c r="AU8" s="82">
        <v>97640</v>
      </c>
      <c r="AV8" s="82" t="s">
        <v>208</v>
      </c>
      <c r="AW8" s="70" t="s">
        <v>209</v>
      </c>
    </row>
    <row r="9" spans="1:49" s="83" customFormat="1" ht="47" customHeight="1" x14ac:dyDescent="0.45">
      <c r="A9" s="69">
        <v>225</v>
      </c>
      <c r="B9" s="65">
        <v>53</v>
      </c>
      <c r="C9" s="65" t="s">
        <v>127</v>
      </c>
      <c r="D9" s="65" t="s">
        <v>128</v>
      </c>
      <c r="E9" s="65" t="s">
        <v>129</v>
      </c>
      <c r="F9" s="66" t="s">
        <v>130</v>
      </c>
      <c r="G9" s="65" t="s">
        <v>130</v>
      </c>
      <c r="H9" s="70">
        <v>8</v>
      </c>
      <c r="I9" s="70"/>
      <c r="J9" s="70" t="s">
        <v>44</v>
      </c>
      <c r="K9" s="70" t="s">
        <v>210</v>
      </c>
      <c r="L9" s="70" t="s">
        <v>211</v>
      </c>
      <c r="M9" s="112" t="s">
        <v>212</v>
      </c>
      <c r="N9" s="84" t="s">
        <v>213</v>
      </c>
      <c r="O9" s="70" t="s">
        <v>214</v>
      </c>
      <c r="P9" s="72" t="s">
        <v>134</v>
      </c>
      <c r="Q9" s="73" t="s">
        <v>215</v>
      </c>
      <c r="R9" s="73">
        <v>1000</v>
      </c>
      <c r="S9" s="74">
        <v>44349</v>
      </c>
      <c r="T9" s="113" t="s">
        <v>216</v>
      </c>
      <c r="U9" s="76">
        <v>43573</v>
      </c>
      <c r="V9" s="77">
        <f t="shared" si="0"/>
        <v>5</v>
      </c>
      <c r="W9" s="70" t="s">
        <v>137</v>
      </c>
      <c r="X9" s="70"/>
      <c r="Y9" s="70"/>
      <c r="Z9" s="73" t="s">
        <v>129</v>
      </c>
      <c r="AA9" s="73" t="s">
        <v>140</v>
      </c>
      <c r="AB9" s="73" t="s">
        <v>129</v>
      </c>
      <c r="AC9" s="78"/>
      <c r="AD9" s="70"/>
      <c r="AE9" s="79">
        <v>45177</v>
      </c>
      <c r="AF9" s="65" t="s">
        <v>141</v>
      </c>
      <c r="AG9" s="65" t="s">
        <v>140</v>
      </c>
      <c r="AH9" s="65" t="s">
        <v>139</v>
      </c>
      <c r="AI9" s="65">
        <v>2023</v>
      </c>
      <c r="AJ9" s="65" t="s">
        <v>139</v>
      </c>
      <c r="AK9" s="66" t="s">
        <v>153</v>
      </c>
      <c r="AL9" s="66" t="s">
        <v>139</v>
      </c>
      <c r="AM9" s="70"/>
      <c r="AN9" s="80">
        <v>510</v>
      </c>
      <c r="AO9" s="81">
        <v>43466</v>
      </c>
      <c r="AP9" s="80">
        <v>250</v>
      </c>
      <c r="AQ9" s="80"/>
      <c r="AR9" s="80"/>
      <c r="AS9" s="70">
        <v>97</v>
      </c>
      <c r="AT9" s="70" t="s">
        <v>217</v>
      </c>
      <c r="AU9" s="82">
        <v>97640</v>
      </c>
      <c r="AV9" s="82" t="s">
        <v>155</v>
      </c>
      <c r="AW9" s="70" t="s">
        <v>218</v>
      </c>
    </row>
    <row r="10" spans="1:49" s="83" customFormat="1" ht="47" customHeight="1" x14ac:dyDescent="0.45">
      <c r="A10" s="69">
        <v>257</v>
      </c>
      <c r="B10" s="65">
        <v>59</v>
      </c>
      <c r="C10" s="65" t="s">
        <v>127</v>
      </c>
      <c r="D10" s="65" t="s">
        <v>128</v>
      </c>
      <c r="E10" s="65" t="s">
        <v>129</v>
      </c>
      <c r="F10" s="66" t="s">
        <v>130</v>
      </c>
      <c r="G10" s="65" t="s">
        <v>130</v>
      </c>
      <c r="H10" s="70">
        <v>9</v>
      </c>
      <c r="I10" s="70" t="s">
        <v>27</v>
      </c>
      <c r="J10" s="70" t="s">
        <v>37</v>
      </c>
      <c r="K10" s="70" t="s">
        <v>69</v>
      </c>
      <c r="L10" s="70" t="s">
        <v>70</v>
      </c>
      <c r="M10" s="70" t="s">
        <v>219</v>
      </c>
      <c r="N10" s="84" t="s">
        <v>220</v>
      </c>
      <c r="O10" s="85" t="s">
        <v>221</v>
      </c>
      <c r="P10" s="72" t="s">
        <v>149</v>
      </c>
      <c r="Q10" s="73" t="s">
        <v>222</v>
      </c>
      <c r="R10" s="73">
        <v>920</v>
      </c>
      <c r="S10" s="74">
        <v>44871</v>
      </c>
      <c r="T10" s="108" t="s">
        <v>223</v>
      </c>
      <c r="U10" s="76">
        <v>44419</v>
      </c>
      <c r="V10" s="77">
        <f t="shared" si="0"/>
        <v>3</v>
      </c>
      <c r="W10" s="88" t="s">
        <v>137</v>
      </c>
      <c r="X10" s="70" t="s">
        <v>224</v>
      </c>
      <c r="Y10" s="89">
        <v>45411</v>
      </c>
      <c r="Z10" s="73" t="s">
        <v>129</v>
      </c>
      <c r="AA10" s="73" t="s">
        <v>129</v>
      </c>
      <c r="AB10" s="73" t="s">
        <v>129</v>
      </c>
      <c r="AC10" s="91" t="s">
        <v>129</v>
      </c>
      <c r="AD10" s="88" t="s">
        <v>129</v>
      </c>
      <c r="AE10" s="114">
        <v>49279</v>
      </c>
      <c r="AF10" s="65" t="s">
        <v>141</v>
      </c>
      <c r="AG10" s="65" t="s">
        <v>140</v>
      </c>
      <c r="AH10" s="65" t="s">
        <v>139</v>
      </c>
      <c r="AI10" s="65" t="s">
        <v>139</v>
      </c>
      <c r="AJ10" s="65">
        <v>2024</v>
      </c>
      <c r="AK10" s="66" t="s">
        <v>153</v>
      </c>
      <c r="AL10" s="66" t="s">
        <v>129</v>
      </c>
      <c r="AM10" s="70" t="s">
        <v>225</v>
      </c>
      <c r="AN10" s="80">
        <v>510</v>
      </c>
      <c r="AO10" s="81">
        <v>44295</v>
      </c>
      <c r="AP10" s="80">
        <v>100</v>
      </c>
      <c r="AQ10" s="80" t="s">
        <v>129</v>
      </c>
      <c r="AR10" s="80" t="s">
        <v>129</v>
      </c>
      <c r="AS10" s="70">
        <v>193</v>
      </c>
      <c r="AT10" s="70" t="s">
        <v>226</v>
      </c>
      <c r="AU10" s="82">
        <v>97630</v>
      </c>
      <c r="AV10" s="82" t="s">
        <v>227</v>
      </c>
      <c r="AW10" s="70" t="s">
        <v>228</v>
      </c>
    </row>
    <row r="11" spans="1:49" s="115" customFormat="1" ht="47" customHeight="1" x14ac:dyDescent="0.45">
      <c r="A11" s="69">
        <v>289</v>
      </c>
      <c r="B11" s="65">
        <v>65</v>
      </c>
      <c r="C11" s="65" t="s">
        <v>127</v>
      </c>
      <c r="D11" s="65" t="s">
        <v>128</v>
      </c>
      <c r="E11" s="65" t="s">
        <v>129</v>
      </c>
      <c r="F11" s="66" t="s">
        <v>130</v>
      </c>
      <c r="G11" s="65" t="s">
        <v>130</v>
      </c>
      <c r="H11" s="70">
        <v>10</v>
      </c>
      <c r="I11" s="70" t="s">
        <v>24</v>
      </c>
      <c r="J11" s="70" t="s">
        <v>24</v>
      </c>
      <c r="K11" s="70" t="s">
        <v>229</v>
      </c>
      <c r="L11" s="70" t="s">
        <v>71</v>
      </c>
      <c r="M11" s="70" t="s">
        <v>230</v>
      </c>
      <c r="N11" s="84" t="s">
        <v>231</v>
      </c>
      <c r="O11" s="85" t="s">
        <v>232</v>
      </c>
      <c r="P11" s="72" t="s">
        <v>149</v>
      </c>
      <c r="Q11" s="73" t="s">
        <v>233</v>
      </c>
      <c r="R11" s="73">
        <v>413</v>
      </c>
      <c r="S11" s="74">
        <v>46877</v>
      </c>
      <c r="T11" s="65" t="s">
        <v>234</v>
      </c>
      <c r="U11" s="79">
        <v>45012</v>
      </c>
      <c r="V11" s="77">
        <f t="shared" si="0"/>
        <v>1</v>
      </c>
      <c r="W11" s="88" t="s">
        <v>137</v>
      </c>
      <c r="X11" s="70"/>
      <c r="Y11" s="70"/>
      <c r="Z11" s="73">
        <v>2023</v>
      </c>
      <c r="AA11" s="73" t="s">
        <v>139</v>
      </c>
      <c r="AB11" s="73">
        <v>2023</v>
      </c>
      <c r="AC11" s="91"/>
      <c r="AD11" s="88" t="s">
        <v>139</v>
      </c>
      <c r="AE11" s="114">
        <v>10959</v>
      </c>
      <c r="AF11" s="65" t="s">
        <v>235</v>
      </c>
      <c r="AG11" s="65" t="s">
        <v>140</v>
      </c>
      <c r="AH11" s="65" t="s">
        <v>129</v>
      </c>
      <c r="AI11" s="65" t="s">
        <v>129</v>
      </c>
      <c r="AJ11" s="65" t="s">
        <v>129</v>
      </c>
      <c r="AK11" s="66" t="s">
        <v>129</v>
      </c>
      <c r="AL11" s="66" t="s">
        <v>139</v>
      </c>
      <c r="AM11" s="70" t="s">
        <v>236</v>
      </c>
      <c r="AN11" s="80">
        <v>510</v>
      </c>
      <c r="AO11" s="81">
        <v>43466</v>
      </c>
      <c r="AP11" s="80">
        <v>250</v>
      </c>
      <c r="AQ11" s="80"/>
      <c r="AR11" s="80"/>
      <c r="AS11" s="70">
        <v>8</v>
      </c>
      <c r="AT11" s="70" t="s">
        <v>237</v>
      </c>
      <c r="AU11" s="82">
        <v>97650</v>
      </c>
      <c r="AV11" s="82" t="s">
        <v>238</v>
      </c>
      <c r="AW11" s="88" t="s">
        <v>239</v>
      </c>
    </row>
    <row r="12" spans="1:49" s="115" customFormat="1" ht="47" customHeight="1" x14ac:dyDescent="0.45">
      <c r="A12" s="69">
        <v>353</v>
      </c>
      <c r="B12" s="65">
        <v>77</v>
      </c>
      <c r="C12" s="65" t="s">
        <v>127</v>
      </c>
      <c r="D12" s="65" t="s">
        <v>128</v>
      </c>
      <c r="E12" s="65" t="s">
        <v>129</v>
      </c>
      <c r="F12" s="66" t="s">
        <v>130</v>
      </c>
      <c r="G12" s="65" t="s">
        <v>130</v>
      </c>
      <c r="H12" s="70">
        <v>11</v>
      </c>
      <c r="I12" s="70" t="s">
        <v>49</v>
      </c>
      <c r="J12" s="70" t="s">
        <v>47</v>
      </c>
      <c r="K12" s="70" t="s">
        <v>240</v>
      </c>
      <c r="L12" s="70" t="s">
        <v>241</v>
      </c>
      <c r="M12" s="70" t="s">
        <v>242</v>
      </c>
      <c r="N12" s="71" t="s">
        <v>243</v>
      </c>
      <c r="O12" s="85" t="s">
        <v>244</v>
      </c>
      <c r="P12" s="72" t="s">
        <v>245</v>
      </c>
      <c r="Q12" s="73" t="s">
        <v>246</v>
      </c>
      <c r="R12" s="73">
        <v>150</v>
      </c>
      <c r="S12" s="74">
        <v>45874</v>
      </c>
      <c r="T12" s="75" t="s">
        <v>247</v>
      </c>
      <c r="U12" s="76">
        <v>44362</v>
      </c>
      <c r="V12" s="77">
        <f t="shared" si="0"/>
        <v>3</v>
      </c>
      <c r="W12" s="88" t="s">
        <v>137</v>
      </c>
      <c r="X12" s="70"/>
      <c r="Y12" s="70"/>
      <c r="Z12" s="73" t="s">
        <v>139</v>
      </c>
      <c r="AA12" s="73"/>
      <c r="AB12" s="73" t="s">
        <v>139</v>
      </c>
      <c r="AC12" s="91"/>
      <c r="AD12" s="88" t="s">
        <v>139</v>
      </c>
      <c r="AE12" s="114">
        <v>49522</v>
      </c>
      <c r="AF12" s="65" t="s">
        <v>141</v>
      </c>
      <c r="AG12" s="65" t="s">
        <v>140</v>
      </c>
      <c r="AH12" s="65" t="s">
        <v>139</v>
      </c>
      <c r="AI12" s="65">
        <v>2023</v>
      </c>
      <c r="AJ12" s="65" t="s">
        <v>129</v>
      </c>
      <c r="AK12" s="66" t="s">
        <v>153</v>
      </c>
      <c r="AL12" s="66" t="s">
        <v>139</v>
      </c>
      <c r="AM12" s="70" t="s">
        <v>248</v>
      </c>
      <c r="AN12" s="80">
        <v>510</v>
      </c>
      <c r="AO12" s="81">
        <v>43466</v>
      </c>
      <c r="AP12" s="80">
        <v>550</v>
      </c>
      <c r="AQ12" s="80"/>
      <c r="AR12" s="80"/>
      <c r="AS12" s="70">
        <v>14</v>
      </c>
      <c r="AT12" s="70" t="s">
        <v>249</v>
      </c>
      <c r="AU12" s="82">
        <v>97625</v>
      </c>
      <c r="AV12" s="82" t="s">
        <v>186</v>
      </c>
      <c r="AW12" s="88" t="s">
        <v>250</v>
      </c>
    </row>
    <row r="13" spans="1:49" s="115" customFormat="1" ht="47" customHeight="1" x14ac:dyDescent="0.45">
      <c r="A13" s="69">
        <v>385</v>
      </c>
      <c r="B13" s="65">
        <v>83</v>
      </c>
      <c r="C13" s="65" t="s">
        <v>127</v>
      </c>
      <c r="D13" s="65" t="s">
        <v>128</v>
      </c>
      <c r="E13" s="65" t="s">
        <v>129</v>
      </c>
      <c r="F13" s="66" t="s">
        <v>130</v>
      </c>
      <c r="G13" s="65" t="s">
        <v>130</v>
      </c>
      <c r="H13" s="70">
        <v>12</v>
      </c>
      <c r="I13" s="70"/>
      <c r="J13" s="70" t="s">
        <v>45</v>
      </c>
      <c r="K13" s="92" t="s">
        <v>251</v>
      </c>
      <c r="L13" s="92" t="s">
        <v>252</v>
      </c>
      <c r="M13" s="92" t="s">
        <v>253</v>
      </c>
      <c r="N13" s="94" t="s">
        <v>254</v>
      </c>
      <c r="O13" s="95" t="s">
        <v>255</v>
      </c>
      <c r="P13" s="96" t="s">
        <v>256</v>
      </c>
      <c r="Q13" s="97" t="s">
        <v>257</v>
      </c>
      <c r="R13" s="97">
        <v>985</v>
      </c>
      <c r="S13" s="98">
        <v>44456</v>
      </c>
      <c r="T13" s="99" t="s">
        <v>258</v>
      </c>
      <c r="U13" s="100">
        <v>45273</v>
      </c>
      <c r="V13" s="98"/>
      <c r="W13" s="93" t="s">
        <v>137</v>
      </c>
      <c r="X13" s="92" t="s">
        <v>224</v>
      </c>
      <c r="Y13" s="92" t="s">
        <v>259</v>
      </c>
      <c r="Z13" s="97" t="s">
        <v>129</v>
      </c>
      <c r="AA13" s="97" t="s">
        <v>139</v>
      </c>
      <c r="AB13" s="97" t="s">
        <v>139</v>
      </c>
      <c r="AC13" s="102" t="s">
        <v>129</v>
      </c>
      <c r="AD13" s="93" t="s">
        <v>152</v>
      </c>
      <c r="AE13" s="100">
        <v>45248</v>
      </c>
      <c r="AF13" s="99" t="s">
        <v>141</v>
      </c>
      <c r="AG13" s="99"/>
      <c r="AH13" s="99" t="s">
        <v>129</v>
      </c>
      <c r="AI13" s="99" t="s">
        <v>129</v>
      </c>
      <c r="AJ13" s="99" t="s">
        <v>129</v>
      </c>
      <c r="AK13" s="103" t="s">
        <v>129</v>
      </c>
      <c r="AL13" s="103" t="s">
        <v>129</v>
      </c>
      <c r="AM13" s="92"/>
      <c r="AN13" s="104">
        <v>510</v>
      </c>
      <c r="AO13" s="105">
        <v>43466</v>
      </c>
      <c r="AP13" s="104">
        <v>150</v>
      </c>
      <c r="AQ13" s="104" t="s">
        <v>129</v>
      </c>
      <c r="AR13" s="104" t="s">
        <v>129</v>
      </c>
      <c r="AS13" s="92">
        <v>27</v>
      </c>
      <c r="AT13" s="92" t="s">
        <v>260</v>
      </c>
      <c r="AU13" s="106">
        <v>97650</v>
      </c>
      <c r="AV13" s="106" t="s">
        <v>261</v>
      </c>
      <c r="AW13" s="93"/>
    </row>
    <row r="14" spans="1:49" s="115" customFormat="1" ht="47" customHeight="1" x14ac:dyDescent="0.45">
      <c r="A14" s="69">
        <v>417</v>
      </c>
      <c r="B14" s="65">
        <v>89</v>
      </c>
      <c r="C14" s="65" t="s">
        <v>127</v>
      </c>
      <c r="D14" s="65" t="s">
        <v>128</v>
      </c>
      <c r="E14" s="65" t="s">
        <v>129</v>
      </c>
      <c r="F14" s="66" t="s">
        <v>130</v>
      </c>
      <c r="G14" s="65" t="s">
        <v>130</v>
      </c>
      <c r="H14" s="70">
        <v>13</v>
      </c>
      <c r="I14" s="70" t="s">
        <v>51</v>
      </c>
      <c r="J14" s="70" t="s">
        <v>27</v>
      </c>
      <c r="K14" s="92" t="s">
        <v>262</v>
      </c>
      <c r="L14" s="92" t="s">
        <v>263</v>
      </c>
      <c r="M14" s="92" t="s">
        <v>264</v>
      </c>
      <c r="N14" s="94" t="s">
        <v>265</v>
      </c>
      <c r="O14" s="92" t="s">
        <v>266</v>
      </c>
      <c r="P14" s="96" t="s">
        <v>256</v>
      </c>
      <c r="Q14" s="97" t="s">
        <v>267</v>
      </c>
      <c r="R14" s="97">
        <v>994</v>
      </c>
      <c r="S14" s="98">
        <v>44263</v>
      </c>
      <c r="T14" s="116" t="s">
        <v>268</v>
      </c>
      <c r="U14" s="100">
        <v>45394</v>
      </c>
      <c r="V14" s="98"/>
      <c r="W14" s="92" t="s">
        <v>137</v>
      </c>
      <c r="X14" s="92"/>
      <c r="Y14" s="92" t="s">
        <v>269</v>
      </c>
      <c r="Z14" s="97" t="s">
        <v>129</v>
      </c>
      <c r="AA14" s="97" t="s">
        <v>129</v>
      </c>
      <c r="AB14" s="97" t="s">
        <v>129</v>
      </c>
      <c r="AC14" s="117" t="s">
        <v>129</v>
      </c>
      <c r="AD14" s="92" t="s">
        <v>129</v>
      </c>
      <c r="AE14" s="100">
        <v>47621</v>
      </c>
      <c r="AF14" s="99" t="s">
        <v>141</v>
      </c>
      <c r="AG14" s="99"/>
      <c r="AH14" s="99" t="s">
        <v>129</v>
      </c>
      <c r="AI14" s="99" t="s">
        <v>129</v>
      </c>
      <c r="AJ14" s="99" t="s">
        <v>129</v>
      </c>
      <c r="AK14" s="103" t="s">
        <v>129</v>
      </c>
      <c r="AL14" s="103" t="s">
        <v>139</v>
      </c>
      <c r="AM14" s="92"/>
      <c r="AN14" s="104">
        <v>510</v>
      </c>
      <c r="AO14" s="105">
        <v>43466</v>
      </c>
      <c r="AP14" s="104">
        <v>200</v>
      </c>
      <c r="AQ14" s="104" t="s">
        <v>129</v>
      </c>
      <c r="AR14" s="104" t="s">
        <v>129</v>
      </c>
      <c r="AS14" s="92">
        <v>5</v>
      </c>
      <c r="AT14" s="92" t="s">
        <v>270</v>
      </c>
      <c r="AU14" s="106">
        <v>97630</v>
      </c>
      <c r="AV14" s="106" t="s">
        <v>227</v>
      </c>
      <c r="AW14" s="92" t="s">
        <v>271</v>
      </c>
    </row>
    <row r="15" spans="1:49" s="83" customFormat="1" ht="47" customHeight="1" x14ac:dyDescent="0.45">
      <c r="A15" s="69">
        <v>97</v>
      </c>
      <c r="B15" s="65">
        <v>29</v>
      </c>
      <c r="C15" s="65" t="s">
        <v>127</v>
      </c>
      <c r="D15" s="65" t="s">
        <v>128</v>
      </c>
      <c r="E15" s="65" t="s">
        <v>129</v>
      </c>
      <c r="F15" s="66" t="s">
        <v>130</v>
      </c>
      <c r="G15" s="65" t="s">
        <v>130</v>
      </c>
      <c r="H15" s="70">
        <v>14</v>
      </c>
      <c r="I15" s="70" t="s">
        <v>272</v>
      </c>
      <c r="J15" s="70" t="s">
        <v>48</v>
      </c>
      <c r="K15" s="70" t="s">
        <v>73</v>
      </c>
      <c r="L15" s="70" t="s">
        <v>74</v>
      </c>
      <c r="M15" s="70" t="s">
        <v>273</v>
      </c>
      <c r="N15" s="84" t="s">
        <v>274</v>
      </c>
      <c r="O15" s="70" t="s">
        <v>275</v>
      </c>
      <c r="P15" s="72" t="s">
        <v>276</v>
      </c>
      <c r="Q15" s="73" t="s">
        <v>277</v>
      </c>
      <c r="R15" s="73">
        <v>249</v>
      </c>
      <c r="S15" s="74">
        <v>43132</v>
      </c>
      <c r="T15" s="65" t="s">
        <v>278</v>
      </c>
      <c r="U15" s="79">
        <v>45083</v>
      </c>
      <c r="V15" s="77">
        <f>2024-YEAR(U15)</f>
        <v>1</v>
      </c>
      <c r="W15" s="70" t="s">
        <v>137</v>
      </c>
      <c r="X15" s="70" t="s">
        <v>279</v>
      </c>
      <c r="Y15" s="70"/>
      <c r="Z15" s="73">
        <v>2023</v>
      </c>
      <c r="AA15" s="73" t="s">
        <v>139</v>
      </c>
      <c r="AB15" s="73">
        <v>2023</v>
      </c>
      <c r="AC15" s="78"/>
      <c r="AD15" s="70" t="s">
        <v>139</v>
      </c>
      <c r="AE15" s="118">
        <v>49496</v>
      </c>
      <c r="AF15" s="65" t="s">
        <v>141</v>
      </c>
      <c r="AG15" s="65" t="s">
        <v>140</v>
      </c>
      <c r="AH15" s="65" t="s">
        <v>139</v>
      </c>
      <c r="AI15" s="65" t="s">
        <v>139</v>
      </c>
      <c r="AJ15" s="65" t="s">
        <v>139</v>
      </c>
      <c r="AK15" s="66" t="s">
        <v>139</v>
      </c>
      <c r="AL15" s="66" t="s">
        <v>139</v>
      </c>
      <c r="AM15" s="70" t="s">
        <v>280</v>
      </c>
      <c r="AN15" s="80">
        <v>510</v>
      </c>
      <c r="AO15" s="81">
        <v>43466</v>
      </c>
      <c r="AP15" s="80">
        <v>300</v>
      </c>
      <c r="AQ15" s="80"/>
      <c r="AR15" s="80"/>
      <c r="AS15" s="70">
        <v>2</v>
      </c>
      <c r="AT15" s="70" t="s">
        <v>281</v>
      </c>
      <c r="AU15" s="82">
        <v>97600</v>
      </c>
      <c r="AV15" s="82" t="s">
        <v>149</v>
      </c>
      <c r="AW15" s="70" t="s">
        <v>282</v>
      </c>
    </row>
    <row r="16" spans="1:49" s="115" customFormat="1" ht="47" customHeight="1" x14ac:dyDescent="0.45">
      <c r="A16" s="69">
        <v>321</v>
      </c>
      <c r="B16" s="65">
        <v>71</v>
      </c>
      <c r="C16" s="65" t="s">
        <v>127</v>
      </c>
      <c r="D16" s="65" t="s">
        <v>128</v>
      </c>
      <c r="E16" s="65" t="s">
        <v>129</v>
      </c>
      <c r="F16" s="66" t="s">
        <v>130</v>
      </c>
      <c r="G16" s="65" t="s">
        <v>130</v>
      </c>
      <c r="H16" s="70">
        <v>15</v>
      </c>
      <c r="I16" s="70" t="s">
        <v>37</v>
      </c>
      <c r="J16" s="70" t="s">
        <v>49</v>
      </c>
      <c r="K16" s="70" t="s">
        <v>75</v>
      </c>
      <c r="L16" s="70" t="s">
        <v>76</v>
      </c>
      <c r="M16" s="70" t="s">
        <v>283</v>
      </c>
      <c r="N16" s="70"/>
      <c r="O16" s="70" t="s">
        <v>284</v>
      </c>
      <c r="P16" s="72" t="s">
        <v>256</v>
      </c>
      <c r="Q16" s="73" t="s">
        <v>285</v>
      </c>
      <c r="R16" s="73">
        <v>1337</v>
      </c>
      <c r="S16" s="74">
        <v>45235</v>
      </c>
      <c r="T16" s="108" t="s">
        <v>286</v>
      </c>
      <c r="U16" s="109">
        <v>45219</v>
      </c>
      <c r="V16" s="77">
        <f>2024-YEAR(U16)</f>
        <v>1</v>
      </c>
      <c r="W16" s="70" t="s">
        <v>137</v>
      </c>
      <c r="X16" s="70"/>
      <c r="Y16" s="70"/>
      <c r="Z16" s="73" t="s">
        <v>139</v>
      </c>
      <c r="AA16" s="73"/>
      <c r="AB16" s="73" t="s">
        <v>129</v>
      </c>
      <c r="AC16" s="78"/>
      <c r="AD16" s="70" t="s">
        <v>139</v>
      </c>
      <c r="AE16" s="79">
        <v>48068</v>
      </c>
      <c r="AF16" s="65" t="s">
        <v>141</v>
      </c>
      <c r="AG16" s="65" t="s">
        <v>140</v>
      </c>
      <c r="AH16" s="65" t="s">
        <v>139</v>
      </c>
      <c r="AI16" s="65">
        <v>2023</v>
      </c>
      <c r="AJ16" s="65" t="s">
        <v>139</v>
      </c>
      <c r="AK16" s="66" t="s">
        <v>153</v>
      </c>
      <c r="AL16" s="66"/>
      <c r="AM16" s="70"/>
      <c r="AN16" s="80">
        <v>510</v>
      </c>
      <c r="AO16" s="81">
        <v>44171</v>
      </c>
      <c r="AP16" s="80">
        <v>150</v>
      </c>
      <c r="AQ16" s="80"/>
      <c r="AR16" s="80"/>
      <c r="AS16" s="70">
        <v>32</v>
      </c>
      <c r="AT16" s="70" t="s">
        <v>287</v>
      </c>
      <c r="AU16" s="82">
        <v>97650</v>
      </c>
      <c r="AV16" s="82" t="s">
        <v>261</v>
      </c>
      <c r="AW16" s="70"/>
    </row>
    <row r="17" spans="1:49" s="83" customFormat="1" ht="47" customHeight="1" x14ac:dyDescent="0.45">
      <c r="A17" s="69">
        <v>49</v>
      </c>
      <c r="B17" s="65">
        <v>20</v>
      </c>
      <c r="C17" s="65" t="s">
        <v>127</v>
      </c>
      <c r="D17" s="65"/>
      <c r="E17" s="65" t="s">
        <v>129</v>
      </c>
      <c r="F17" s="66" t="s">
        <v>129</v>
      </c>
      <c r="G17" s="65" t="s">
        <v>129</v>
      </c>
      <c r="H17" s="70">
        <v>16</v>
      </c>
      <c r="I17" s="70"/>
      <c r="J17" s="70" t="s">
        <v>41</v>
      </c>
      <c r="K17" s="92" t="s">
        <v>77</v>
      </c>
      <c r="L17" s="92" t="s">
        <v>78</v>
      </c>
      <c r="M17" s="92" t="s">
        <v>288</v>
      </c>
      <c r="N17" s="94" t="s">
        <v>289</v>
      </c>
      <c r="O17" s="92" t="s">
        <v>290</v>
      </c>
      <c r="P17" s="96" t="s">
        <v>192</v>
      </c>
      <c r="Q17" s="97" t="s">
        <v>291</v>
      </c>
      <c r="R17" s="97">
        <v>1184</v>
      </c>
      <c r="S17" s="98">
        <v>45262</v>
      </c>
      <c r="T17" s="99" t="s">
        <v>292</v>
      </c>
      <c r="U17" s="100">
        <v>45406</v>
      </c>
      <c r="V17" s="98"/>
      <c r="W17" s="92" t="s">
        <v>137</v>
      </c>
      <c r="X17" s="92" t="s">
        <v>224</v>
      </c>
      <c r="Y17" s="92"/>
      <c r="Z17" s="97" t="s">
        <v>129</v>
      </c>
      <c r="AA17" s="97" t="s">
        <v>139</v>
      </c>
      <c r="AB17" s="97" t="s">
        <v>129</v>
      </c>
      <c r="AC17" s="117" t="s">
        <v>129</v>
      </c>
      <c r="AD17" s="92" t="s">
        <v>293</v>
      </c>
      <c r="AE17" s="100">
        <v>46707</v>
      </c>
      <c r="AF17" s="99" t="s">
        <v>141</v>
      </c>
      <c r="AG17" s="99"/>
      <c r="AH17" s="99" t="s">
        <v>139</v>
      </c>
      <c r="AI17" s="99" t="s">
        <v>139</v>
      </c>
      <c r="AJ17" s="99" t="s">
        <v>139</v>
      </c>
      <c r="AK17" s="103" t="s">
        <v>153</v>
      </c>
      <c r="AL17" s="103" t="s">
        <v>129</v>
      </c>
      <c r="AM17" s="92"/>
      <c r="AN17" s="104">
        <v>510</v>
      </c>
      <c r="AO17" s="105">
        <v>43466</v>
      </c>
      <c r="AP17" s="104">
        <v>300</v>
      </c>
      <c r="AQ17" s="104" t="s">
        <v>129</v>
      </c>
      <c r="AR17" s="104" t="s">
        <v>129</v>
      </c>
      <c r="AS17" s="92"/>
      <c r="AT17" s="92" t="s">
        <v>294</v>
      </c>
      <c r="AU17" s="106">
        <v>97620</v>
      </c>
      <c r="AV17" s="106" t="s">
        <v>295</v>
      </c>
      <c r="AW17" s="92" t="s">
        <v>296</v>
      </c>
    </row>
    <row r="18" spans="1:49" s="83" customFormat="1" ht="47" customHeight="1" x14ac:dyDescent="0.45">
      <c r="A18" s="69">
        <v>177</v>
      </c>
      <c r="B18" s="65">
        <v>44</v>
      </c>
      <c r="C18" s="65" t="s">
        <v>127</v>
      </c>
      <c r="D18" s="65"/>
      <c r="E18" s="65" t="s">
        <v>129</v>
      </c>
      <c r="F18" s="66" t="s">
        <v>129</v>
      </c>
      <c r="G18" s="65" t="s">
        <v>129</v>
      </c>
      <c r="H18" s="70">
        <v>17</v>
      </c>
      <c r="I18" s="70" t="s">
        <v>36</v>
      </c>
      <c r="J18" s="70" t="s">
        <v>43</v>
      </c>
      <c r="K18" s="70" t="s">
        <v>297</v>
      </c>
      <c r="L18" s="70" t="s">
        <v>79</v>
      </c>
      <c r="M18" s="70" t="s">
        <v>298</v>
      </c>
      <c r="N18" s="84" t="s">
        <v>299</v>
      </c>
      <c r="O18" s="85" t="s">
        <v>300</v>
      </c>
      <c r="P18" s="72" t="s">
        <v>149</v>
      </c>
      <c r="Q18" s="73" t="s">
        <v>301</v>
      </c>
      <c r="R18" s="73">
        <v>357</v>
      </c>
      <c r="S18" s="74">
        <v>45028</v>
      </c>
      <c r="T18" s="65" t="s">
        <v>302</v>
      </c>
      <c r="U18" s="79">
        <v>44624</v>
      </c>
      <c r="V18" s="77">
        <f>2024-YEAR(U18)</f>
        <v>2</v>
      </c>
      <c r="W18" s="88" t="s">
        <v>137</v>
      </c>
      <c r="X18" s="70" t="s">
        <v>184</v>
      </c>
      <c r="Y18" s="70"/>
      <c r="Z18" s="73">
        <v>2023</v>
      </c>
      <c r="AA18" s="73" t="s">
        <v>139</v>
      </c>
      <c r="AB18" s="73">
        <v>2023</v>
      </c>
      <c r="AC18" s="91"/>
      <c r="AD18" s="88" t="s">
        <v>139</v>
      </c>
      <c r="AE18" s="114">
        <v>45992</v>
      </c>
      <c r="AF18" s="65" t="s">
        <v>141</v>
      </c>
      <c r="AG18" s="65"/>
      <c r="AH18" s="65" t="s">
        <v>139</v>
      </c>
      <c r="AI18" s="65" t="s">
        <v>139</v>
      </c>
      <c r="AJ18" s="65" t="s">
        <v>129</v>
      </c>
      <c r="AK18" s="66" t="s">
        <v>153</v>
      </c>
      <c r="AL18" s="66" t="s">
        <v>139</v>
      </c>
      <c r="AM18" s="70" t="s">
        <v>303</v>
      </c>
      <c r="AN18" s="80">
        <v>510</v>
      </c>
      <c r="AO18" s="81">
        <v>43466</v>
      </c>
      <c r="AP18" s="80">
        <v>350</v>
      </c>
      <c r="AQ18" s="80"/>
      <c r="AR18" s="80"/>
      <c r="AS18" s="70">
        <v>9</v>
      </c>
      <c r="AT18" s="70" t="s">
        <v>304</v>
      </c>
      <c r="AU18" s="82">
        <v>97620</v>
      </c>
      <c r="AV18" s="82" t="s">
        <v>295</v>
      </c>
      <c r="AW18" s="88" t="s">
        <v>305</v>
      </c>
    </row>
    <row r="19" spans="1:49" s="83" customFormat="1" ht="47" customHeight="1" x14ac:dyDescent="0.45">
      <c r="A19" s="69"/>
      <c r="B19" s="119"/>
      <c r="C19" s="119"/>
      <c r="D19" s="119"/>
      <c r="E19" s="119"/>
      <c r="F19" s="120"/>
      <c r="G19" s="119"/>
      <c r="H19" s="121"/>
      <c r="I19" s="121"/>
      <c r="J19" s="121"/>
      <c r="K19" s="122"/>
      <c r="L19" s="122"/>
      <c r="M19" s="122"/>
      <c r="N19" s="123"/>
      <c r="O19" s="124"/>
      <c r="P19" s="125"/>
      <c r="Q19" s="126"/>
      <c r="R19" s="126"/>
      <c r="S19" s="127"/>
      <c r="T19" s="128"/>
      <c r="U19" s="129"/>
      <c r="V19" s="127"/>
      <c r="W19" s="130"/>
      <c r="X19" s="122"/>
      <c r="Y19" s="122"/>
      <c r="Z19" s="126"/>
      <c r="AA19" s="126"/>
      <c r="AB19" s="126"/>
      <c r="AC19" s="131"/>
      <c r="AD19" s="130"/>
      <c r="AE19" s="129"/>
      <c r="AF19" s="128"/>
      <c r="AG19" s="128"/>
      <c r="AH19" s="128"/>
      <c r="AI19" s="128"/>
      <c r="AJ19" s="128"/>
      <c r="AK19" s="132"/>
      <c r="AL19" s="132"/>
      <c r="AM19" s="122"/>
      <c r="AN19" s="133"/>
      <c r="AO19" s="134"/>
      <c r="AP19" s="133"/>
      <c r="AQ19" s="133"/>
      <c r="AR19" s="133"/>
      <c r="AS19" s="122"/>
      <c r="AT19" s="122"/>
      <c r="AU19" s="135"/>
      <c r="AV19" s="135"/>
      <c r="AW19" s="130"/>
    </row>
    <row r="20" spans="1:49" s="83" customFormat="1" ht="47" customHeight="1" x14ac:dyDescent="0.45">
      <c r="A20" s="69"/>
      <c r="B20" s="119"/>
      <c r="C20" s="119"/>
      <c r="D20" s="119"/>
      <c r="E20" s="119"/>
      <c r="F20" s="120"/>
      <c r="G20" s="119"/>
      <c r="H20" s="121"/>
      <c r="I20" s="121"/>
      <c r="J20" s="121"/>
      <c r="K20" s="122"/>
      <c r="L20" s="122"/>
      <c r="M20" s="122"/>
      <c r="N20" s="123"/>
      <c r="O20" s="124"/>
      <c r="P20" s="125"/>
      <c r="Q20" s="126"/>
      <c r="R20" s="126"/>
      <c r="S20" s="127"/>
      <c r="T20" s="128"/>
      <c r="U20" s="129"/>
      <c r="V20" s="127"/>
      <c r="W20" s="130"/>
      <c r="X20" s="122"/>
      <c r="Y20" s="122"/>
      <c r="Z20" s="126"/>
      <c r="AA20" s="126"/>
      <c r="AB20" s="126"/>
      <c r="AC20" s="131"/>
      <c r="AD20" s="130"/>
      <c r="AE20" s="129"/>
      <c r="AF20" s="128"/>
      <c r="AG20" s="128"/>
      <c r="AH20" s="128"/>
      <c r="AI20" s="128"/>
      <c r="AJ20" s="128"/>
      <c r="AK20" s="132"/>
      <c r="AL20" s="132"/>
      <c r="AM20" s="122"/>
      <c r="AN20" s="133"/>
      <c r="AO20" s="134"/>
      <c r="AP20" s="133"/>
      <c r="AQ20" s="133"/>
      <c r="AR20" s="133"/>
      <c r="AS20" s="122"/>
      <c r="AT20" s="122"/>
      <c r="AU20" s="135"/>
      <c r="AV20" s="135"/>
      <c r="AW20" s="130"/>
    </row>
    <row r="22" spans="1:49" s="83" customFormat="1" ht="47" customHeight="1" x14ac:dyDescent="0.45">
      <c r="A22" s="69">
        <v>17</v>
      </c>
      <c r="B22" s="65">
        <v>14</v>
      </c>
      <c r="C22" s="65" t="s">
        <v>127</v>
      </c>
      <c r="D22" s="65"/>
      <c r="E22" s="65" t="s">
        <v>129</v>
      </c>
      <c r="F22" s="66" t="s">
        <v>129</v>
      </c>
      <c r="G22" s="65" t="s">
        <v>129</v>
      </c>
      <c r="H22" s="70">
        <v>2</v>
      </c>
      <c r="I22" s="70"/>
      <c r="J22" s="70"/>
      <c r="K22" s="70" t="s">
        <v>306</v>
      </c>
      <c r="L22" s="70" t="s">
        <v>307</v>
      </c>
      <c r="M22" s="70" t="s">
        <v>308</v>
      </c>
      <c r="N22" s="84" t="s">
        <v>309</v>
      </c>
      <c r="O22" s="70" t="s">
        <v>310</v>
      </c>
      <c r="P22" s="72" t="s">
        <v>149</v>
      </c>
      <c r="Q22" s="73" t="s">
        <v>311</v>
      </c>
      <c r="R22" s="73">
        <v>90</v>
      </c>
      <c r="S22" s="74">
        <v>46916</v>
      </c>
      <c r="T22" s="73" t="s">
        <v>312</v>
      </c>
      <c r="U22" s="87">
        <v>44285</v>
      </c>
      <c r="V22" s="77">
        <f>2024-YEAR(U22)</f>
        <v>3</v>
      </c>
      <c r="W22" s="70" t="s">
        <v>137</v>
      </c>
      <c r="X22" s="70" t="s">
        <v>138</v>
      </c>
      <c r="Y22" s="70"/>
      <c r="Z22" s="73" t="s">
        <v>139</v>
      </c>
      <c r="AA22" s="73" t="s">
        <v>139</v>
      </c>
      <c r="AB22" s="73" t="s">
        <v>139</v>
      </c>
      <c r="AC22" s="78" t="s">
        <v>139</v>
      </c>
      <c r="AD22" s="70" t="s">
        <v>129</v>
      </c>
      <c r="AE22" s="79">
        <v>49237</v>
      </c>
      <c r="AF22" s="65" t="s">
        <v>141</v>
      </c>
      <c r="AG22" s="65" t="s">
        <v>140</v>
      </c>
      <c r="AH22" s="65" t="s">
        <v>139</v>
      </c>
      <c r="AI22" s="65" t="s">
        <v>139</v>
      </c>
      <c r="AJ22" s="65" t="s">
        <v>139</v>
      </c>
      <c r="AK22" s="66" t="s">
        <v>153</v>
      </c>
      <c r="AL22" s="66" t="s">
        <v>139</v>
      </c>
      <c r="AM22" s="70" t="s">
        <v>313</v>
      </c>
      <c r="AN22" s="80">
        <v>510</v>
      </c>
      <c r="AO22" s="81">
        <v>43466</v>
      </c>
      <c r="AP22" s="80">
        <v>450</v>
      </c>
      <c r="AQ22" s="80" t="s">
        <v>129</v>
      </c>
      <c r="AR22" s="80" t="s">
        <v>129</v>
      </c>
      <c r="AS22" s="70">
        <v>474</v>
      </c>
      <c r="AT22" s="70" t="s">
        <v>314</v>
      </c>
      <c r="AU22" s="82">
        <v>97630</v>
      </c>
      <c r="AV22" s="82" t="s">
        <v>315</v>
      </c>
      <c r="AW22" s="70" t="s">
        <v>316</v>
      </c>
    </row>
  </sheetData>
  <autoFilter ref="K1:AW14" xr:uid="{5814C0EE-3C01-8046-B0F7-B40F0F03751B}">
    <sortState xmlns:xlrd2="http://schemas.microsoft.com/office/spreadsheetml/2017/richdata2" ref="K2:AW14">
      <sortCondition ref="K3:K14"/>
      <sortCondition ref="L3:L14"/>
    </sortState>
  </autoFilter>
  <hyperlinks>
    <hyperlink ref="N2" r:id="rId1" xr:uid="{6B7707CF-FCA3-44C0-AD32-2AB56A1FEF22}"/>
    <hyperlink ref="N3" r:id="rId2" xr:uid="{853B27C8-A9E6-46A1-8FE4-6A374655C12F}"/>
    <hyperlink ref="N5" r:id="rId3" xr:uid="{CB565F56-02D0-4774-869B-F184C70EE1B4}"/>
    <hyperlink ref="N6" r:id="rId4" xr:uid="{E44AA1C0-AF07-47E1-BF7D-284C73FD014E}"/>
    <hyperlink ref="N7" r:id="rId5" xr:uid="{4CCA4A99-2B4D-41A7-9DB8-FE93B930F359}"/>
    <hyperlink ref="N8" r:id="rId6" xr:uid="{56F3CCE8-A9DB-44AC-9F1C-B4C2C3EB3BE3}"/>
    <hyperlink ref="N10" r:id="rId7" xr:uid="{F5730EF9-422C-4339-977F-198A2C0F1BA0}"/>
    <hyperlink ref="N11" r:id="rId8" xr:uid="{055990A7-FADD-4289-A21E-24D4B91700CF}"/>
    <hyperlink ref="N12" r:id="rId9" xr:uid="{43F2DB18-1FF0-46D4-8E8B-51EC8FA6A2F8}"/>
    <hyperlink ref="N15" r:id="rId10" xr:uid="{7F240266-6AAE-49E2-BBA6-817F3310851F}"/>
    <hyperlink ref="N18" r:id="rId11" display="toumboutoibourani@outlook.fr" xr:uid="{EB51EB94-813F-4BBD-96B6-25916049DCD7}"/>
    <hyperlink ref="N22" r:id="rId12" xr:uid="{4D2910FD-AA67-48B9-B473-D8FD67BCAF9B}"/>
    <hyperlink ref="N4" r:id="rId13" xr:uid="{9D442F91-59DF-47E4-92F0-7AC8FE0141A6}"/>
    <hyperlink ref="N13" r:id="rId14" xr:uid="{A1405A99-B6C5-4E07-AB62-CAD6411B0235}"/>
    <hyperlink ref="N14" r:id="rId15" xr:uid="{A6292EDC-7FEC-4590-89C3-B7765B75C2C7}"/>
    <hyperlink ref="N17" r:id="rId16" xr:uid="{A3E44C75-EE2B-443B-B9B2-92B011D30D96}"/>
    <hyperlink ref="N9" r:id="rId17" xr:uid="{B0E68496-E8F8-4BB0-83D6-08EAB1141527}"/>
  </hyperlinks>
  <printOptions horizontalCentered="1"/>
  <pageMargins left="0.2" right="0.2" top="0.25" bottom="0.25" header="0.3" footer="0.3"/>
  <pageSetup paperSize="9" scale="35" orientation="landscape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9FF0-8211-4710-9FEC-09B90D7BACFE}">
  <sheetPr>
    <pageSetUpPr fitToPage="1"/>
  </sheetPr>
  <dimension ref="A1:R39"/>
  <sheetViews>
    <sheetView zoomScale="106" zoomScaleNormal="106" workbookViewId="0">
      <selection activeCell="J7" sqref="J7"/>
    </sheetView>
  </sheetViews>
  <sheetFormatPr baseColWidth="10" defaultColWidth="11.53125" defaultRowHeight="18" x14ac:dyDescent="0.55000000000000004"/>
  <cols>
    <col min="1" max="1" width="13.19921875" style="329" customWidth="1"/>
    <col min="2" max="2" width="5.33203125" style="329" hidden="1" customWidth="1"/>
    <col min="3" max="15" width="14.86328125" style="329" customWidth="1"/>
    <col min="16" max="16" width="15.86328125" style="329" customWidth="1"/>
    <col min="17" max="17" width="14.86328125" style="329" customWidth="1"/>
    <col min="18" max="18" width="31.19921875" style="329" customWidth="1"/>
    <col min="19" max="16384" width="11.53125" style="329"/>
  </cols>
  <sheetData>
    <row r="1" spans="1:18" x14ac:dyDescent="0.55000000000000004">
      <c r="D1" s="330" t="s">
        <v>425</v>
      </c>
    </row>
    <row r="2" spans="1:18" ht="18.399999999999999" thickBot="1" x14ac:dyDescent="0.6">
      <c r="A2" s="329" t="s">
        <v>426</v>
      </c>
    </row>
    <row r="3" spans="1:18" s="335" customFormat="1" ht="72" x14ac:dyDescent="0.45">
      <c r="A3" s="331"/>
      <c r="B3" s="332"/>
      <c r="C3" s="332" t="s">
        <v>531</v>
      </c>
      <c r="D3" s="332" t="s">
        <v>532</v>
      </c>
      <c r="E3" s="332" t="s">
        <v>427</v>
      </c>
      <c r="F3" s="332" t="s">
        <v>428</v>
      </c>
      <c r="G3" s="332" t="s">
        <v>429</v>
      </c>
      <c r="H3" s="332" t="s">
        <v>430</v>
      </c>
      <c r="I3" s="332" t="s">
        <v>431</v>
      </c>
      <c r="J3" s="332" t="s">
        <v>432</v>
      </c>
      <c r="K3" s="332" t="s">
        <v>433</v>
      </c>
      <c r="L3" s="332" t="s">
        <v>434</v>
      </c>
      <c r="M3" s="332" t="s">
        <v>435</v>
      </c>
      <c r="N3" s="332" t="s">
        <v>436</v>
      </c>
      <c r="O3" s="332" t="s">
        <v>437</v>
      </c>
      <c r="P3" s="332" t="s">
        <v>438</v>
      </c>
      <c r="Q3" s="333" t="s">
        <v>439</v>
      </c>
      <c r="R3" s="334" t="s">
        <v>440</v>
      </c>
    </row>
    <row r="4" spans="1:18" s="335" customFormat="1" x14ac:dyDescent="0.45">
      <c r="A4" s="336" t="s">
        <v>441</v>
      </c>
      <c r="B4" s="337"/>
      <c r="C4" s="338" t="s">
        <v>442</v>
      </c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8" t="s">
        <v>443</v>
      </c>
      <c r="P4" s="338" t="s">
        <v>444</v>
      </c>
      <c r="Q4" s="338" t="s">
        <v>445</v>
      </c>
      <c r="R4" s="339"/>
    </row>
    <row r="5" spans="1:18" s="335" customFormat="1" ht="60.75" x14ac:dyDescent="0.45">
      <c r="A5" s="340" t="s">
        <v>446</v>
      </c>
      <c r="B5" s="341"/>
      <c r="C5" s="341" t="s">
        <v>533</v>
      </c>
      <c r="D5" s="341" t="s">
        <v>447</v>
      </c>
      <c r="E5" s="341" t="s">
        <v>448</v>
      </c>
      <c r="F5" s="341" t="s">
        <v>449</v>
      </c>
      <c r="G5" s="341" t="s">
        <v>450</v>
      </c>
      <c r="H5" s="341" t="s">
        <v>451</v>
      </c>
      <c r="I5" s="341" t="s">
        <v>452</v>
      </c>
      <c r="J5" s="341" t="s">
        <v>453</v>
      </c>
      <c r="K5" s="341" t="s">
        <v>454</v>
      </c>
      <c r="L5" s="341" t="s">
        <v>455</v>
      </c>
      <c r="M5" s="341" t="s">
        <v>456</v>
      </c>
      <c r="N5" s="341" t="s">
        <v>457</v>
      </c>
      <c r="O5" s="341" t="s">
        <v>458</v>
      </c>
      <c r="P5" s="341" t="s">
        <v>536</v>
      </c>
      <c r="Q5" s="342"/>
      <c r="R5" s="343" t="s">
        <v>459</v>
      </c>
    </row>
    <row r="6" spans="1:18" s="335" customFormat="1" ht="44.25" x14ac:dyDescent="0.45">
      <c r="A6" s="340" t="s">
        <v>460</v>
      </c>
      <c r="B6" s="341"/>
      <c r="C6" s="341"/>
      <c r="D6" s="341" t="s">
        <v>534</v>
      </c>
      <c r="E6" s="341" t="s">
        <v>461</v>
      </c>
      <c r="F6" s="341" t="s">
        <v>535</v>
      </c>
      <c r="G6" s="341" t="s">
        <v>462</v>
      </c>
      <c r="H6" s="341"/>
      <c r="I6" s="341"/>
      <c r="J6" s="341"/>
      <c r="K6" s="341"/>
      <c r="L6" s="341"/>
      <c r="M6" s="341" t="s">
        <v>537</v>
      </c>
      <c r="N6" s="341" t="s">
        <v>463</v>
      </c>
      <c r="O6" s="341"/>
      <c r="P6" s="341"/>
      <c r="Q6" s="342"/>
      <c r="R6" s="343" t="s">
        <v>464</v>
      </c>
    </row>
    <row r="7" spans="1:18" s="335" customFormat="1" ht="36" x14ac:dyDescent="0.45">
      <c r="A7" s="340" t="s">
        <v>465</v>
      </c>
      <c r="B7" s="341"/>
      <c r="C7" s="341"/>
      <c r="D7" s="341"/>
      <c r="E7" s="341"/>
      <c r="F7" s="341"/>
      <c r="G7" s="341"/>
      <c r="H7" s="341"/>
      <c r="I7" s="341"/>
      <c r="J7" s="341" t="s">
        <v>466</v>
      </c>
      <c r="K7" s="341"/>
      <c r="L7" s="341"/>
      <c r="M7" s="341"/>
      <c r="N7" s="341"/>
      <c r="O7" s="341"/>
      <c r="P7" s="341"/>
      <c r="Q7" s="342" t="s">
        <v>467</v>
      </c>
      <c r="R7" s="343" t="s">
        <v>468</v>
      </c>
    </row>
    <row r="8" spans="1:18" s="335" customFormat="1" ht="36.950000000000003" customHeight="1" x14ac:dyDescent="0.45">
      <c r="A8" s="340" t="s">
        <v>469</v>
      </c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 t="s">
        <v>470</v>
      </c>
      <c r="M8" s="341" t="s">
        <v>471</v>
      </c>
      <c r="N8" s="341"/>
      <c r="O8" s="341"/>
      <c r="P8" s="341"/>
      <c r="Q8" s="342"/>
      <c r="R8" s="343" t="s">
        <v>464</v>
      </c>
    </row>
    <row r="9" spans="1:18" s="335" customFormat="1" ht="54" x14ac:dyDescent="0.45">
      <c r="A9" s="340" t="s">
        <v>472</v>
      </c>
      <c r="B9" s="341"/>
      <c r="C9" s="341"/>
      <c r="D9" s="341"/>
      <c r="E9" s="341"/>
      <c r="F9" s="341"/>
      <c r="G9" s="341" t="s">
        <v>473</v>
      </c>
      <c r="H9" s="341"/>
      <c r="I9" s="341"/>
      <c r="J9" s="341"/>
      <c r="K9" s="341"/>
      <c r="L9" s="341" t="s">
        <v>473</v>
      </c>
      <c r="M9" s="341"/>
      <c r="N9" s="341"/>
      <c r="O9" s="341"/>
      <c r="P9" s="341"/>
      <c r="Q9" s="342"/>
      <c r="R9" s="343" t="s">
        <v>468</v>
      </c>
    </row>
    <row r="10" spans="1:18" s="335" customFormat="1" ht="54.4" thickBot="1" x14ac:dyDescent="0.5">
      <c r="A10" s="344" t="s">
        <v>474</v>
      </c>
      <c r="B10" s="345"/>
      <c r="C10" s="345"/>
      <c r="D10" s="345"/>
      <c r="E10" s="345"/>
      <c r="F10" s="345"/>
      <c r="G10" s="345"/>
      <c r="H10" s="345"/>
      <c r="I10" s="345"/>
      <c r="J10" s="345" t="s">
        <v>475</v>
      </c>
      <c r="K10" s="345"/>
      <c r="L10" s="345"/>
      <c r="M10" s="345"/>
      <c r="N10" s="345"/>
      <c r="O10" s="345"/>
      <c r="P10" s="345" t="s">
        <v>475</v>
      </c>
      <c r="Q10" s="346"/>
      <c r="R10" s="347" t="s">
        <v>459</v>
      </c>
    </row>
    <row r="11" spans="1:18" s="335" customFormat="1" x14ac:dyDescent="0.45">
      <c r="A11" s="348"/>
      <c r="B11" s="348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</row>
    <row r="12" spans="1:18" s="335" customFormat="1" x14ac:dyDescent="0.45">
      <c r="A12" s="349"/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</row>
    <row r="13" spans="1:18" s="335" customFormat="1" ht="18.399999999999999" thickBot="1" x14ac:dyDescent="0.6">
      <c r="A13" s="329" t="s">
        <v>476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</row>
    <row r="14" spans="1:18" s="335" customFormat="1" ht="72" x14ac:dyDescent="0.45">
      <c r="A14" s="331"/>
      <c r="B14" s="332"/>
      <c r="C14" s="332" t="s">
        <v>477</v>
      </c>
      <c r="D14" s="332" t="s">
        <v>478</v>
      </c>
      <c r="E14" s="332" t="s">
        <v>479</v>
      </c>
      <c r="F14" s="332" t="s">
        <v>480</v>
      </c>
      <c r="G14" s="332" t="s">
        <v>481</v>
      </c>
      <c r="H14" s="332" t="s">
        <v>482</v>
      </c>
      <c r="I14" s="332" t="s">
        <v>483</v>
      </c>
      <c r="J14" s="332" t="s">
        <v>484</v>
      </c>
      <c r="K14" s="332" t="s">
        <v>485</v>
      </c>
      <c r="L14" s="332" t="s">
        <v>486</v>
      </c>
      <c r="M14" s="332" t="s">
        <v>487</v>
      </c>
      <c r="N14" s="332" t="s">
        <v>488</v>
      </c>
      <c r="O14" s="332" t="s">
        <v>489</v>
      </c>
      <c r="P14" s="332" t="s">
        <v>490</v>
      </c>
      <c r="Q14" s="332" t="s">
        <v>491</v>
      </c>
      <c r="R14" s="334" t="s">
        <v>440</v>
      </c>
    </row>
    <row r="15" spans="1:18" s="335" customFormat="1" x14ac:dyDescent="0.45">
      <c r="A15" s="350" t="s">
        <v>441</v>
      </c>
      <c r="B15" s="337"/>
      <c r="C15" s="337"/>
      <c r="D15" s="337"/>
      <c r="E15" s="337"/>
      <c r="F15" s="338" t="s">
        <v>492</v>
      </c>
      <c r="G15" s="338" t="s">
        <v>493</v>
      </c>
      <c r="H15" s="337"/>
      <c r="I15" s="337"/>
      <c r="J15" s="337"/>
      <c r="K15" s="337"/>
      <c r="L15" s="338" t="s">
        <v>445</v>
      </c>
      <c r="M15" s="337"/>
      <c r="N15" s="337"/>
      <c r="O15" s="337"/>
      <c r="P15" s="338" t="s">
        <v>494</v>
      </c>
      <c r="Q15" s="338" t="s">
        <v>444</v>
      </c>
      <c r="R15" s="339"/>
    </row>
    <row r="16" spans="1:18" s="335" customFormat="1" ht="90" x14ac:dyDescent="0.45">
      <c r="A16" s="340" t="s">
        <v>446</v>
      </c>
      <c r="B16" s="341"/>
      <c r="C16" s="341" t="s">
        <v>456</v>
      </c>
      <c r="D16" s="341" t="s">
        <v>495</v>
      </c>
      <c r="E16" s="341" t="s">
        <v>496</v>
      </c>
      <c r="F16" s="341" t="s">
        <v>497</v>
      </c>
      <c r="G16" s="341" t="s">
        <v>498</v>
      </c>
      <c r="H16" s="341" t="s">
        <v>499</v>
      </c>
      <c r="I16" s="341" t="s">
        <v>499</v>
      </c>
      <c r="J16" s="341"/>
      <c r="K16" s="341"/>
      <c r="L16" s="341" t="s">
        <v>500</v>
      </c>
      <c r="M16" s="341" t="s">
        <v>501</v>
      </c>
      <c r="N16" s="341" t="s">
        <v>502</v>
      </c>
      <c r="O16" s="341" t="s">
        <v>503</v>
      </c>
      <c r="P16" s="341" t="s">
        <v>504</v>
      </c>
      <c r="Q16" s="342"/>
      <c r="R16" s="343" t="s">
        <v>505</v>
      </c>
    </row>
    <row r="17" spans="1:18" s="335" customFormat="1" ht="36" x14ac:dyDescent="0.45">
      <c r="A17" s="340" t="s">
        <v>460</v>
      </c>
      <c r="B17" s="341"/>
      <c r="C17" s="341" t="s">
        <v>506</v>
      </c>
      <c r="D17" s="341"/>
      <c r="E17" s="341" t="s">
        <v>506</v>
      </c>
      <c r="F17" s="341"/>
      <c r="G17" s="341" t="s">
        <v>507</v>
      </c>
      <c r="H17" s="341" t="s">
        <v>508</v>
      </c>
      <c r="I17" s="341" t="s">
        <v>509</v>
      </c>
      <c r="J17" s="341" t="s">
        <v>510</v>
      </c>
      <c r="K17" s="341" t="s">
        <v>511</v>
      </c>
      <c r="L17" s="341"/>
      <c r="M17" s="341"/>
      <c r="N17" s="341"/>
      <c r="O17" s="341"/>
      <c r="P17" s="341"/>
      <c r="Q17" s="342"/>
      <c r="R17" s="343" t="s">
        <v>512</v>
      </c>
    </row>
    <row r="18" spans="1:18" s="335" customFormat="1" ht="36" x14ac:dyDescent="0.45">
      <c r="A18" s="340" t="s">
        <v>465</v>
      </c>
      <c r="B18" s="341"/>
      <c r="C18" s="341"/>
      <c r="D18" s="341"/>
      <c r="E18" s="341"/>
      <c r="F18" s="341"/>
      <c r="G18" s="341" t="s">
        <v>513</v>
      </c>
      <c r="H18" s="341"/>
      <c r="I18" s="341"/>
      <c r="J18" s="341"/>
      <c r="K18" s="341"/>
      <c r="L18" s="341"/>
      <c r="M18" s="341"/>
      <c r="N18" s="341" t="s">
        <v>497</v>
      </c>
      <c r="O18" s="341" t="s">
        <v>514</v>
      </c>
      <c r="P18" s="341"/>
      <c r="Q18" s="342"/>
      <c r="R18" s="343" t="s">
        <v>515</v>
      </c>
    </row>
    <row r="19" spans="1:18" s="335" customFormat="1" ht="38.450000000000003" customHeight="1" x14ac:dyDescent="0.45">
      <c r="A19" s="340" t="s">
        <v>469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 t="s">
        <v>516</v>
      </c>
      <c r="L19" s="341"/>
      <c r="M19" s="341"/>
      <c r="N19" s="341"/>
      <c r="O19" s="341"/>
      <c r="P19" s="341" t="s">
        <v>517</v>
      </c>
      <c r="Q19" s="342" t="s">
        <v>518</v>
      </c>
      <c r="R19" s="343" t="s">
        <v>512</v>
      </c>
    </row>
    <row r="20" spans="1:18" s="335" customFormat="1" ht="54" x14ac:dyDescent="0.45">
      <c r="A20" s="340" t="s">
        <v>472</v>
      </c>
      <c r="B20" s="341"/>
      <c r="C20" s="341"/>
      <c r="D20" s="341"/>
      <c r="E20" s="341"/>
      <c r="F20" s="341"/>
      <c r="G20" s="341"/>
      <c r="H20" s="341"/>
      <c r="I20" s="341" t="s">
        <v>519</v>
      </c>
      <c r="J20" s="341"/>
      <c r="K20" s="341"/>
      <c r="L20" s="341"/>
      <c r="M20" s="341"/>
      <c r="N20" s="341" t="s">
        <v>520</v>
      </c>
      <c r="O20" s="341"/>
      <c r="P20" s="341"/>
      <c r="Q20" s="342"/>
      <c r="R20" s="343" t="s">
        <v>515</v>
      </c>
    </row>
    <row r="21" spans="1:18" s="335" customFormat="1" ht="54.4" thickBot="1" x14ac:dyDescent="0.5">
      <c r="A21" s="344" t="s">
        <v>474</v>
      </c>
      <c r="B21" s="345"/>
      <c r="C21" s="345"/>
      <c r="D21" s="345"/>
      <c r="E21" s="345"/>
      <c r="F21" s="345"/>
      <c r="G21" s="345"/>
      <c r="H21" s="345"/>
      <c r="I21" s="345"/>
      <c r="J21" s="345" t="s">
        <v>521</v>
      </c>
      <c r="K21" s="345"/>
      <c r="L21" s="345"/>
      <c r="M21" s="345"/>
      <c r="N21" s="345"/>
      <c r="O21" s="345" t="s">
        <v>522</v>
      </c>
      <c r="P21" s="345" t="s">
        <v>523</v>
      </c>
      <c r="Q21" s="346"/>
      <c r="R21" s="347" t="s">
        <v>512</v>
      </c>
    </row>
    <row r="22" spans="1:18" s="335" customFormat="1" x14ac:dyDescent="0.45">
      <c r="A22" s="349"/>
      <c r="B22" s="349"/>
      <c r="C22" s="349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</row>
    <row r="23" spans="1:18" s="335" customFormat="1" x14ac:dyDescent="0.45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</row>
    <row r="24" spans="1:18" s="355" customFormat="1" ht="24" customHeight="1" x14ac:dyDescent="0.45">
      <c r="A24" s="351"/>
      <c r="B24" s="352"/>
      <c r="C24" s="353"/>
      <c r="D24" s="353"/>
      <c r="E24" s="353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1"/>
    </row>
    <row r="25" spans="1:18" s="355" customFormat="1" ht="47.75" hidden="1" customHeight="1" x14ac:dyDescent="0.45">
      <c r="A25" s="351"/>
      <c r="B25" s="352"/>
      <c r="C25" s="353"/>
      <c r="D25" s="353"/>
      <c r="E25" s="356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 t="s">
        <v>524</v>
      </c>
    </row>
    <row r="26" spans="1:18" s="357" customFormat="1" ht="60.5" hidden="1" customHeight="1" x14ac:dyDescent="0.45">
      <c r="A26" s="351"/>
      <c r="B26" s="352"/>
      <c r="C26" s="353"/>
      <c r="D26" s="353"/>
      <c r="E26" s="353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 t="s">
        <v>525</v>
      </c>
    </row>
    <row r="27" spans="1:18" s="355" customFormat="1" ht="24" customHeight="1" x14ac:dyDescent="0.45">
      <c r="A27" s="351"/>
      <c r="B27" s="352"/>
      <c r="C27" s="353"/>
      <c r="D27" s="353"/>
      <c r="E27" s="353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1"/>
    </row>
    <row r="28" spans="1:18" s="355" customFormat="1" ht="24" customHeight="1" x14ac:dyDescent="0.55000000000000004">
      <c r="A28" s="351"/>
      <c r="B28" s="352"/>
      <c r="C28" s="358"/>
      <c r="D28" s="358"/>
      <c r="E28" s="358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1"/>
    </row>
    <row r="29" spans="1:18" s="355" customFormat="1" ht="24" customHeight="1" x14ac:dyDescent="0.45">
      <c r="A29" s="349"/>
      <c r="B29" s="352"/>
      <c r="C29" s="353"/>
      <c r="D29" s="353"/>
      <c r="E29" s="349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49"/>
    </row>
    <row r="30" spans="1:18" ht="28.05" customHeight="1" x14ac:dyDescent="0.55000000000000004">
      <c r="A30" s="351"/>
      <c r="B30" s="352"/>
      <c r="C30" s="353"/>
      <c r="D30" s="353"/>
      <c r="E30" s="356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1"/>
    </row>
    <row r="31" spans="1:18" s="355" customFormat="1" ht="24" customHeight="1" x14ac:dyDescent="0.45">
      <c r="A31" s="351"/>
      <c r="B31" s="352"/>
      <c r="C31" s="353"/>
      <c r="D31" s="353"/>
      <c r="E31" s="353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1"/>
    </row>
    <row r="32" spans="1:18" s="355" customFormat="1" ht="24" customHeight="1" x14ac:dyDescent="0.45">
      <c r="A32" s="351"/>
      <c r="B32" s="352"/>
      <c r="C32" s="353"/>
      <c r="D32" s="353"/>
      <c r="E32" s="353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1"/>
    </row>
    <row r="33" spans="1:18" s="355" customFormat="1" ht="24" customHeight="1" x14ac:dyDescent="0.45">
      <c r="A33" s="351"/>
      <c r="B33" s="352"/>
      <c r="C33" s="353"/>
      <c r="D33" s="353"/>
      <c r="E33" s="356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1"/>
    </row>
    <row r="34" spans="1:18" s="360" customFormat="1" ht="24" customHeight="1" x14ac:dyDescent="0.45">
      <c r="A34" s="351"/>
      <c r="B34" s="352"/>
      <c r="C34" s="353"/>
      <c r="D34" s="353"/>
      <c r="E34" s="356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1"/>
    </row>
    <row r="35" spans="1:18" s="361" customFormat="1" ht="24" customHeight="1" x14ac:dyDescent="0.55000000000000004">
      <c r="A35" s="351"/>
      <c r="B35" s="352"/>
      <c r="C35" s="353"/>
      <c r="D35" s="353"/>
      <c r="E35" s="353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1"/>
    </row>
    <row r="36" spans="1:18" s="361" customFormat="1" ht="24" customHeight="1" x14ac:dyDescent="0.55000000000000004">
      <c r="A36" s="351"/>
      <c r="B36" s="352"/>
      <c r="C36" s="353"/>
      <c r="D36" s="353"/>
      <c r="E36" s="353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1"/>
    </row>
    <row r="37" spans="1:18" ht="28.05" customHeight="1" x14ac:dyDescent="0.55000000000000004">
      <c r="A37" s="351"/>
      <c r="B37" s="352"/>
      <c r="C37" s="353"/>
      <c r="D37" s="353"/>
      <c r="E37" s="353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1"/>
    </row>
    <row r="38" spans="1:18" ht="28.05" customHeight="1" x14ac:dyDescent="0.55000000000000004">
      <c r="A38" s="351"/>
      <c r="B38" s="352"/>
      <c r="C38" s="353"/>
      <c r="D38" s="353"/>
      <c r="E38" s="353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1"/>
    </row>
    <row r="39" spans="1:18" ht="41.45" customHeight="1" x14ac:dyDescent="0.55000000000000004">
      <c r="A39" s="351"/>
      <c r="B39" s="352"/>
      <c r="C39" s="362"/>
      <c r="D39" s="362"/>
      <c r="E39" s="358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 t="s">
        <v>526</v>
      </c>
    </row>
  </sheetData>
  <autoFilter ref="B3:R39" xr:uid="{5BCCBF84-9829-49E7-AA54-CBDB6D6DE447}"/>
  <printOptions horizontalCentered="1"/>
  <pageMargins left="0.7" right="0.7" top="0.75" bottom="0.75" header="0.3" footer="0.3"/>
  <pageSetup paperSize="9" scale="35" orientation="landscape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BBDE-33E3-4462-B288-63EC9F5FA152}">
  <sheetPr filterMode="1">
    <pageSetUpPr fitToPage="1"/>
  </sheetPr>
  <dimension ref="A2:AC200"/>
  <sheetViews>
    <sheetView showGridLines="0" tabSelected="1" workbookViewId="0">
      <selection activeCell="B66" sqref="B66"/>
    </sheetView>
  </sheetViews>
  <sheetFormatPr baseColWidth="10" defaultColWidth="10.796875" defaultRowHeight="14.25" outlineLevelCol="1" x14ac:dyDescent="0.45"/>
  <cols>
    <col min="1" max="1" width="16.8632812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29" width="0" style="137" hidden="1" customWidth="1"/>
    <col min="30" max="16384" width="10.796875" style="137"/>
  </cols>
  <sheetData>
    <row r="2" spans="1:29" ht="23.25" x14ac:dyDescent="0.45">
      <c r="A2" s="137" t="s">
        <v>18</v>
      </c>
      <c r="B2" s="251" t="s">
        <v>391</v>
      </c>
      <c r="C2" s="238"/>
      <c r="D2" s="238"/>
    </row>
    <row r="3" spans="1:29" ht="22.5" hidden="1" customHeight="1" x14ac:dyDescent="0.45">
      <c r="A3" s="137" t="s">
        <v>14</v>
      </c>
      <c r="B3" s="460">
        <v>45627</v>
      </c>
      <c r="C3" s="461"/>
      <c r="D3" s="461"/>
      <c r="E3" s="249"/>
      <c r="F3" s="249"/>
      <c r="G3" s="249"/>
      <c r="H3" s="140"/>
    </row>
    <row r="4" spans="1:29" ht="28.5" customHeight="1" x14ac:dyDescent="0.45">
      <c r="B4" s="284" t="str">
        <f>VLOOKUP(B2,'Liste chauffeur'!$B$5:$L$19,2,TRUE)&amp;" "&amp;VLOOKUP(B2,'Liste chauffeur'!$B$5:$L$19,3,TRUE)</f>
        <v xml:space="preserve">KAMARDINE Mansour  </v>
      </c>
      <c r="C4" s="250"/>
      <c r="D4" s="250"/>
      <c r="E4" s="139"/>
      <c r="F4" s="139"/>
      <c r="G4" s="139"/>
      <c r="H4" s="140"/>
      <c r="J4" s="252"/>
      <c r="M4" s="252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62" t="s">
        <v>2</v>
      </c>
      <c r="J6" s="463"/>
      <c r="K6" s="319"/>
      <c r="L6" s="256"/>
      <c r="M6" s="459" t="s">
        <v>6</v>
      </c>
      <c r="N6" s="459"/>
      <c r="O6" s="459"/>
      <c r="P6" s="256"/>
      <c r="Q6" s="459" t="s">
        <v>7</v>
      </c>
      <c r="R6" s="459"/>
      <c r="S6" s="459"/>
      <c r="T6" s="256"/>
      <c r="U6" s="257"/>
      <c r="V6" s="283"/>
      <c r="W6" s="283" t="s">
        <v>350</v>
      </c>
      <c r="X6" s="257"/>
      <c r="Y6" s="257"/>
      <c r="Z6" s="257"/>
      <c r="AA6" s="257">
        <v>8</v>
      </c>
      <c r="AB6" s="257"/>
    </row>
    <row r="7" spans="1:29" ht="69.75" x14ac:dyDescent="0.45">
      <c r="A7" s="260"/>
      <c r="B7" s="261" t="s">
        <v>0</v>
      </c>
      <c r="C7" s="261" t="s">
        <v>334</v>
      </c>
      <c r="D7" s="261" t="s">
        <v>335</v>
      </c>
      <c r="E7" s="261" t="s">
        <v>1</v>
      </c>
      <c r="F7" s="261" t="s">
        <v>336</v>
      </c>
      <c r="G7" s="261" t="s">
        <v>337</v>
      </c>
      <c r="H7" s="261" t="s">
        <v>23</v>
      </c>
      <c r="I7" s="262" t="s">
        <v>130</v>
      </c>
      <c r="J7" s="262" t="s">
        <v>328</v>
      </c>
      <c r="K7" s="263" t="s">
        <v>5</v>
      </c>
      <c r="L7" s="263" t="s">
        <v>19</v>
      </c>
      <c r="M7" s="262" t="s">
        <v>130</v>
      </c>
      <c r="N7" s="262" t="s">
        <v>328</v>
      </c>
      <c r="O7" s="263" t="s">
        <v>9</v>
      </c>
      <c r="P7" s="263" t="s">
        <v>19</v>
      </c>
      <c r="Q7" s="262" t="s">
        <v>130</v>
      </c>
      <c r="R7" s="262" t="s">
        <v>328</v>
      </c>
      <c r="S7" s="264" t="s">
        <v>10</v>
      </c>
      <c r="T7" s="264" t="s">
        <v>19</v>
      </c>
      <c r="U7" s="264" t="s">
        <v>22</v>
      </c>
      <c r="V7" s="264"/>
      <c r="W7" s="261" t="s">
        <v>17</v>
      </c>
      <c r="X7" s="265" t="s">
        <v>12</v>
      </c>
      <c r="Y7" s="260" t="s">
        <v>20</v>
      </c>
      <c r="Z7" s="266" t="s">
        <v>38</v>
      </c>
      <c r="AA7" s="266" t="s">
        <v>39</v>
      </c>
      <c r="AB7" s="266" t="s">
        <v>40</v>
      </c>
      <c r="AC7" s="260"/>
    </row>
    <row r="8" spans="1:29" ht="36" hidden="1" customHeight="1" x14ac:dyDescent="0.45">
      <c r="A8" s="302" t="str">
        <f>Horaire!A8</f>
        <v>DOUJANI</v>
      </c>
      <c r="B8" s="303">
        <f>Horaire!B8</f>
        <v>0.20833333333333334</v>
      </c>
      <c r="C8" s="303" t="str">
        <f>Horaire!C8</f>
        <v>D1</v>
      </c>
      <c r="D8" s="268" t="str">
        <f>VLOOKUP(C8,'Liste chauffeur'!$B$5:$L$19,2,TRUE)&amp;" "&amp;VLOOKUP(C8,'Liste chauffeur'!$B$5:$L$19,3,TRUE)</f>
        <v>MOHAMED Ali (laglace)</v>
      </c>
      <c r="E8" s="308"/>
      <c r="F8" s="315">
        <f t="shared" ref="F8:F11" si="0">COUNTBLANK(E8)</f>
        <v>1</v>
      </c>
      <c r="G8" s="309"/>
      <c r="H8" s="308"/>
      <c r="I8" s="310"/>
      <c r="J8" s="310"/>
      <c r="K8" s="311"/>
      <c r="L8" s="311"/>
      <c r="M8" s="310"/>
      <c r="N8" s="310"/>
      <c r="O8" s="311"/>
      <c r="P8" s="311"/>
      <c r="Q8" s="310"/>
      <c r="R8" s="310"/>
      <c r="S8" s="312"/>
      <c r="T8" s="312"/>
      <c r="U8" s="312"/>
      <c r="V8" s="312"/>
      <c r="W8" s="308"/>
      <c r="X8" s="313"/>
      <c r="Y8" s="271" t="str">
        <f t="shared" ref="Y8:Y11" si="1">IF(F8=1,"",W8-E8)</f>
        <v/>
      </c>
      <c r="Z8" s="270">
        <f t="shared" ref="Z8:Z11" si="2">H8+J8-I8</f>
        <v>0</v>
      </c>
      <c r="AA8" s="270">
        <f t="shared" ref="AA8:AA11" si="3">IF(F8=1,0,AA$6)</f>
        <v>0</v>
      </c>
      <c r="AB8" s="272">
        <f t="shared" ref="AB8:AB11" si="4">IF(AA8=0,0,Z8/AA8)</f>
        <v>0</v>
      </c>
      <c r="AC8" s="260"/>
    </row>
    <row r="9" spans="1:29" ht="36" hidden="1" customHeight="1" x14ac:dyDescent="0.45">
      <c r="A9" s="302" t="str">
        <f>Horaire!A9</f>
        <v>DOUJANI</v>
      </c>
      <c r="B9" s="303">
        <f>Horaire!B9</f>
        <v>0.21527777777777779</v>
      </c>
      <c r="C9" s="303" t="str">
        <f>Horaire!C9</f>
        <v>D12</v>
      </c>
      <c r="D9" s="268" t="str">
        <f>VLOOKUP(C9,'Liste chauffeur'!$B$5:$L$19,2,TRUE)&amp;" "&amp;VLOOKUP(C9,'Liste chauffeur'!$B$5:$L$19,3,TRUE)</f>
        <v>VELOU M'COLO M'Berou</v>
      </c>
      <c r="E9" s="308"/>
      <c r="F9" s="315">
        <f t="shared" si="0"/>
        <v>1</v>
      </c>
      <c r="G9" s="309"/>
      <c r="H9" s="308"/>
      <c r="I9" s="310"/>
      <c r="J9" s="310"/>
      <c r="K9" s="311"/>
      <c r="L9" s="311"/>
      <c r="M9" s="310"/>
      <c r="N9" s="310"/>
      <c r="O9" s="311"/>
      <c r="P9" s="311"/>
      <c r="Q9" s="310"/>
      <c r="R9" s="310"/>
      <c r="S9" s="312"/>
      <c r="T9" s="312"/>
      <c r="U9" s="312"/>
      <c r="V9" s="312"/>
      <c r="W9" s="308"/>
      <c r="X9" s="313"/>
      <c r="Y9" s="271" t="str">
        <f t="shared" si="1"/>
        <v/>
      </c>
      <c r="Z9" s="270">
        <f>H9+J9-I9</f>
        <v>0</v>
      </c>
      <c r="AA9" s="270">
        <f t="shared" si="3"/>
        <v>0</v>
      </c>
      <c r="AB9" s="272">
        <f t="shared" si="4"/>
        <v>0</v>
      </c>
      <c r="AC9" s="260"/>
    </row>
    <row r="10" spans="1:29" ht="36" hidden="1" customHeight="1" x14ac:dyDescent="0.45">
      <c r="A10" s="302" t="str">
        <f>Horaire!A10</f>
        <v>DOUJANI</v>
      </c>
      <c r="B10" s="303">
        <f>Horaire!B10</f>
        <v>0.22222222222222221</v>
      </c>
      <c r="C10" s="303" t="str">
        <f>Horaire!C10</f>
        <v>D5</v>
      </c>
      <c r="D10" s="268" t="str">
        <f>VLOOKUP(C10,'Liste chauffeur'!$B$5:$L$19,2,TRUE)&amp;" "&amp;VLOOKUP(C10,'Liste chauffeur'!$B$5:$L$19,3,TRUE)</f>
        <v>AMINA Selemani</v>
      </c>
      <c r="E10" s="308"/>
      <c r="F10" s="315">
        <f t="shared" si="0"/>
        <v>1</v>
      </c>
      <c r="G10" s="309"/>
      <c r="H10" s="308"/>
      <c r="I10" s="310"/>
      <c r="J10" s="310"/>
      <c r="K10" s="311"/>
      <c r="L10" s="311"/>
      <c r="M10" s="310"/>
      <c r="N10" s="310"/>
      <c r="O10" s="311"/>
      <c r="P10" s="311"/>
      <c r="Q10" s="310"/>
      <c r="R10" s="310"/>
      <c r="S10" s="312"/>
      <c r="T10" s="312"/>
      <c r="U10" s="312"/>
      <c r="V10" s="312"/>
      <c r="W10" s="308"/>
      <c r="X10" s="313"/>
      <c r="Y10" s="271" t="str">
        <f t="shared" si="1"/>
        <v/>
      </c>
      <c r="Z10" s="270">
        <f t="shared" si="2"/>
        <v>0</v>
      </c>
      <c r="AA10" s="270">
        <f t="shared" si="3"/>
        <v>0</v>
      </c>
      <c r="AB10" s="272">
        <f t="shared" si="4"/>
        <v>0</v>
      </c>
      <c r="AC10" s="260"/>
    </row>
    <row r="11" spans="1:29" ht="36" hidden="1" customHeight="1" x14ac:dyDescent="0.45">
      <c r="A11" s="302" t="str">
        <f>Horaire!A11</f>
        <v>DOUJANI</v>
      </c>
      <c r="B11" s="303">
        <f>Horaire!B11</f>
        <v>0.22916666666666666</v>
      </c>
      <c r="C11" s="303" t="str">
        <f>Horaire!C11</f>
        <v>D13</v>
      </c>
      <c r="D11" s="268" t="str">
        <f>VLOOKUP(C11,'Liste chauffeur'!$B$5:$L$19,2,TRUE)&amp;" "&amp;VLOOKUP(C11,'Liste chauffeur'!$B$5:$L$19,3,TRUE)</f>
        <v>MOURIDI Aktoir</v>
      </c>
      <c r="E11" s="308"/>
      <c r="F11" s="315">
        <f t="shared" si="0"/>
        <v>1</v>
      </c>
      <c r="G11" s="309"/>
      <c r="H11" s="308"/>
      <c r="I11" s="310"/>
      <c r="J11" s="310"/>
      <c r="K11" s="311"/>
      <c r="L11" s="311"/>
      <c r="M11" s="310"/>
      <c r="N11" s="310"/>
      <c r="O11" s="311"/>
      <c r="P11" s="311"/>
      <c r="Q11" s="310"/>
      <c r="R11" s="310"/>
      <c r="S11" s="312"/>
      <c r="T11" s="312"/>
      <c r="U11" s="312"/>
      <c r="V11" s="312"/>
      <c r="W11" s="308"/>
      <c r="X11" s="313"/>
      <c r="Y11" s="271" t="str">
        <f t="shared" si="1"/>
        <v/>
      </c>
      <c r="Z11" s="270">
        <f t="shared" si="2"/>
        <v>0</v>
      </c>
      <c r="AA11" s="270">
        <f t="shared" si="3"/>
        <v>0</v>
      </c>
      <c r="AB11" s="272">
        <f t="shared" si="4"/>
        <v>0</v>
      </c>
      <c r="AC11" s="260"/>
    </row>
    <row r="12" spans="1:29" ht="36" hidden="1" customHeight="1" x14ac:dyDescent="0.45">
      <c r="A12" s="302" t="str">
        <f>Horaire!A12</f>
        <v>PASSOT LA BARGE</v>
      </c>
      <c r="B12" s="303">
        <f>Horaire!B12</f>
        <v>0.22916666666666666</v>
      </c>
      <c r="C12" s="303" t="str">
        <f>Horaire!C12</f>
        <v>D1</v>
      </c>
      <c r="D12" s="268" t="str">
        <f>VLOOKUP(C12,'Liste chauffeur'!$B$5:$L$19,2,TRUE)&amp;" "&amp;VLOOKUP(C12,'Liste chauffeur'!$B$5:$L$19,3,TRUE)</f>
        <v>MOHAMED Ali (laglace)</v>
      </c>
      <c r="E12" s="314"/>
      <c r="F12" s="315">
        <f t="shared" ref="F12:F75" si="5">COUNTBLANK(E12)</f>
        <v>1</v>
      </c>
      <c r="G12" s="315"/>
      <c r="H12" s="316"/>
      <c r="I12" s="316"/>
      <c r="J12" s="316"/>
      <c r="K12" s="314"/>
      <c r="L12" s="314">
        <f t="shared" ref="L12:L47" si="6">K12-E12</f>
        <v>0</v>
      </c>
      <c r="M12" s="316"/>
      <c r="N12" s="316"/>
      <c r="O12" s="314"/>
      <c r="P12" s="314">
        <f>O12-K12</f>
        <v>0</v>
      </c>
      <c r="Q12" s="316"/>
      <c r="R12" s="316"/>
      <c r="S12" s="314"/>
      <c r="T12" s="314">
        <f>S12-O12</f>
        <v>0</v>
      </c>
      <c r="U12" s="316"/>
      <c r="V12" s="316" t="str">
        <f>IF(H12-I12+J12-M12+N12-Q12+R12=U12,"OK",H12-I12+J12-M12+N12-Q12+R12-U12)</f>
        <v>OK</v>
      </c>
      <c r="W12" s="314"/>
      <c r="X12" s="317"/>
      <c r="Y12" s="271" t="str">
        <f t="shared" ref="Y12:Y41" si="7">IF(F12=1,"",W12-E12)</f>
        <v/>
      </c>
      <c r="Z12" s="270">
        <f t="shared" ref="Z12:Z41" si="8">H12+J12-I12</f>
        <v>0</v>
      </c>
      <c r="AA12" s="270">
        <f t="shared" ref="AA12:AA41" si="9">IF(F12=1,0,AA$6)</f>
        <v>0</v>
      </c>
      <c r="AB12" s="272">
        <f t="shared" ref="AB12:AB41" si="10">IF(AA12=0,0,Z12/AA12)</f>
        <v>0</v>
      </c>
      <c r="AC12" s="260"/>
    </row>
    <row r="13" spans="1:29" ht="36" hidden="1" customHeight="1" x14ac:dyDescent="0.45">
      <c r="A13" s="302" t="str">
        <f>Horaire!A13</f>
        <v>DOUJANI</v>
      </c>
      <c r="B13" s="303">
        <f>Horaire!B13</f>
        <v>0.2361111111111111</v>
      </c>
      <c r="C13" s="303" t="str">
        <f>Horaire!C13</f>
        <v>D3</v>
      </c>
      <c r="D13" s="268" t="str">
        <f>VLOOKUP(C13,'Liste chauffeur'!$B$5:$L$19,2,TRUE)&amp;" "&amp;VLOOKUP(C13,'Liste chauffeur'!$B$5:$L$19,3,TRUE)</f>
        <v>ABDOURAHIM Mohamed</v>
      </c>
      <c r="E13" s="314"/>
      <c r="F13" s="315">
        <f t="shared" si="5"/>
        <v>1</v>
      </c>
      <c r="G13" s="315"/>
      <c r="H13" s="316"/>
      <c r="I13" s="316"/>
      <c r="J13" s="316"/>
      <c r="K13" s="314"/>
      <c r="L13" s="314">
        <f t="shared" si="6"/>
        <v>0</v>
      </c>
      <c r="M13" s="316"/>
      <c r="N13" s="316"/>
      <c r="O13" s="314"/>
      <c r="P13" s="314">
        <f t="shared" ref="P13:P33" si="11">O13-K13</f>
        <v>0</v>
      </c>
      <c r="Q13" s="316"/>
      <c r="R13" s="316"/>
      <c r="S13" s="314"/>
      <c r="T13" s="314">
        <f t="shared" ref="T13:T33" si="12">S13-O13</f>
        <v>0</v>
      </c>
      <c r="U13" s="316"/>
      <c r="V13" s="316"/>
      <c r="W13" s="314"/>
      <c r="X13" s="317"/>
      <c r="Y13" s="271" t="str">
        <f t="shared" si="7"/>
        <v/>
      </c>
      <c r="Z13" s="270">
        <f t="shared" si="8"/>
        <v>0</v>
      </c>
      <c r="AA13" s="270">
        <f t="shared" si="9"/>
        <v>0</v>
      </c>
      <c r="AB13" s="273">
        <f t="shared" si="10"/>
        <v>0</v>
      </c>
      <c r="AC13" s="260"/>
    </row>
    <row r="14" spans="1:29" ht="36" hidden="1" customHeight="1" x14ac:dyDescent="0.45">
      <c r="A14" s="302" t="str">
        <f>Horaire!A14</f>
        <v>PASSOT LA BARGE</v>
      </c>
      <c r="B14" s="303">
        <f>Horaire!B14</f>
        <v>0.2361111111111111</v>
      </c>
      <c r="C14" s="303" t="str">
        <f>Horaire!C14</f>
        <v>D12</v>
      </c>
      <c r="D14" s="268" t="str">
        <f>VLOOKUP(C14,'Liste chauffeur'!$B$5:$L$19,2,TRUE)&amp;" "&amp;VLOOKUP(C14,'Liste chauffeur'!$B$5:$L$19,3,TRUE)</f>
        <v>VELOU M'COLO M'Berou</v>
      </c>
      <c r="E14" s="314"/>
      <c r="F14" s="315">
        <f t="shared" si="5"/>
        <v>1</v>
      </c>
      <c r="G14" s="315"/>
      <c r="H14" s="316"/>
      <c r="I14" s="316"/>
      <c r="J14" s="316"/>
      <c r="K14" s="314"/>
      <c r="L14" s="314">
        <f t="shared" si="6"/>
        <v>0</v>
      </c>
      <c r="M14" s="316"/>
      <c r="N14" s="316"/>
      <c r="O14" s="314"/>
      <c r="P14" s="314">
        <f t="shared" si="11"/>
        <v>0</v>
      </c>
      <c r="Q14" s="316"/>
      <c r="R14" s="316"/>
      <c r="S14" s="314"/>
      <c r="T14" s="314">
        <f t="shared" si="12"/>
        <v>0</v>
      </c>
      <c r="U14" s="316"/>
      <c r="V14" s="316"/>
      <c r="W14" s="314"/>
      <c r="X14" s="317"/>
      <c r="Y14" s="271" t="str">
        <f t="shared" si="7"/>
        <v/>
      </c>
      <c r="Z14" s="270">
        <f t="shared" si="8"/>
        <v>0</v>
      </c>
      <c r="AA14" s="270">
        <f t="shared" si="9"/>
        <v>0</v>
      </c>
      <c r="AB14" s="273">
        <f t="shared" si="10"/>
        <v>0</v>
      </c>
      <c r="AC14" s="260"/>
    </row>
    <row r="15" spans="1:29" ht="36" hidden="1" customHeight="1" x14ac:dyDescent="0.45">
      <c r="A15" s="302" t="str">
        <f>Horaire!A15</f>
        <v>DOUJANI</v>
      </c>
      <c r="B15" s="303">
        <f>Horaire!B15</f>
        <v>0.24305555555555555</v>
      </c>
      <c r="C15" s="303" t="str">
        <f>Horaire!C15</f>
        <v>D10</v>
      </c>
      <c r="D15" s="268" t="str">
        <f>VLOOKUP(C15,'Liste chauffeur'!$B$5:$L$19,2,TRUE)&amp;" "&amp;VLOOKUP(C15,'Liste chauffeur'!$B$5:$L$19,3,TRUE)</f>
        <v>KAMARDINE Mansour (Salarié)</v>
      </c>
      <c r="E15" s="314"/>
      <c r="F15" s="315">
        <f t="shared" si="5"/>
        <v>1</v>
      </c>
      <c r="G15" s="315"/>
      <c r="H15" s="316"/>
      <c r="I15" s="316"/>
      <c r="J15" s="316"/>
      <c r="K15" s="314"/>
      <c r="L15" s="314">
        <f t="shared" si="6"/>
        <v>0</v>
      </c>
      <c r="M15" s="316"/>
      <c r="N15" s="316"/>
      <c r="O15" s="314"/>
      <c r="P15" s="314">
        <f t="shared" si="11"/>
        <v>0</v>
      </c>
      <c r="Q15" s="316"/>
      <c r="R15" s="316"/>
      <c r="S15" s="314"/>
      <c r="T15" s="314">
        <f t="shared" si="12"/>
        <v>0</v>
      </c>
      <c r="U15" s="316"/>
      <c r="V15" s="316"/>
      <c r="W15" s="314"/>
      <c r="X15" s="317"/>
      <c r="Y15" s="271" t="str">
        <f t="shared" si="7"/>
        <v/>
      </c>
      <c r="Z15" s="270">
        <f t="shared" si="8"/>
        <v>0</v>
      </c>
      <c r="AA15" s="270">
        <f t="shared" si="9"/>
        <v>0</v>
      </c>
      <c r="AB15" s="273">
        <f t="shared" si="10"/>
        <v>0</v>
      </c>
      <c r="AC15" s="260"/>
    </row>
    <row r="16" spans="1:29" ht="36" hidden="1" customHeight="1" x14ac:dyDescent="0.45">
      <c r="A16" s="302" t="str">
        <f>Horaire!A16</f>
        <v>PASSOT LA BARGE</v>
      </c>
      <c r="B16" s="303">
        <f>Horaire!B16</f>
        <v>0.24305555555555555</v>
      </c>
      <c r="C16" s="303" t="str">
        <f>Horaire!C16</f>
        <v>D5</v>
      </c>
      <c r="D16" s="268" t="str">
        <f>VLOOKUP(C16,'Liste chauffeur'!$B$5:$L$19,2,TRUE)&amp;" "&amp;VLOOKUP(C16,'Liste chauffeur'!$B$5:$L$19,3,TRUE)</f>
        <v>AMINA Selemani</v>
      </c>
      <c r="E16" s="314"/>
      <c r="F16" s="315">
        <f t="shared" si="5"/>
        <v>1</v>
      </c>
      <c r="G16" s="315"/>
      <c r="H16" s="316"/>
      <c r="I16" s="316"/>
      <c r="J16" s="316"/>
      <c r="K16" s="314"/>
      <c r="L16" s="314">
        <f t="shared" si="6"/>
        <v>0</v>
      </c>
      <c r="M16" s="316"/>
      <c r="N16" s="316"/>
      <c r="O16" s="314"/>
      <c r="P16" s="314">
        <f t="shared" si="11"/>
        <v>0</v>
      </c>
      <c r="Q16" s="316"/>
      <c r="R16" s="316"/>
      <c r="S16" s="314"/>
      <c r="T16" s="314">
        <f t="shared" si="12"/>
        <v>0</v>
      </c>
      <c r="U16" s="316"/>
      <c r="V16" s="316" t="str">
        <f t="shared" ref="V16:V46" si="13">IF(H16-I16+J16-M16+N16-Q16+R16=U16,"OK",H16-I16+J16-M16+N16-Q16+R16-U16)</f>
        <v>OK</v>
      </c>
      <c r="W16" s="314"/>
      <c r="X16" s="317"/>
      <c r="Y16" s="271" t="str">
        <f t="shared" si="7"/>
        <v/>
      </c>
      <c r="Z16" s="270">
        <f t="shared" si="8"/>
        <v>0</v>
      </c>
      <c r="AA16" s="270">
        <f t="shared" si="9"/>
        <v>0</v>
      </c>
      <c r="AB16" s="273">
        <f t="shared" si="10"/>
        <v>0</v>
      </c>
      <c r="AC16" s="260"/>
    </row>
    <row r="17" spans="1:29" ht="36" hidden="1" customHeight="1" x14ac:dyDescent="0.45">
      <c r="A17" s="302" t="str">
        <f>Horaire!A17</f>
        <v>DOUJANI</v>
      </c>
      <c r="B17" s="303">
        <f>Horaire!B17</f>
        <v>0.25</v>
      </c>
      <c r="C17" s="303" t="str">
        <f>Horaire!C17</f>
        <v>D1</v>
      </c>
      <c r="D17" s="268" t="str">
        <f>VLOOKUP(C17,'Liste chauffeur'!$B$5:$L$19,2,TRUE)&amp;" "&amp;VLOOKUP(C17,'Liste chauffeur'!$B$5:$L$19,3,TRUE)</f>
        <v>MOHAMED Ali (laglace)</v>
      </c>
      <c r="E17" s="314"/>
      <c r="F17" s="315">
        <f t="shared" si="5"/>
        <v>1</v>
      </c>
      <c r="G17" s="315"/>
      <c r="H17" s="316"/>
      <c r="I17" s="316"/>
      <c r="J17" s="316"/>
      <c r="K17" s="314"/>
      <c r="L17" s="314">
        <f t="shared" si="6"/>
        <v>0</v>
      </c>
      <c r="M17" s="316"/>
      <c r="N17" s="316"/>
      <c r="O17" s="314"/>
      <c r="P17" s="314">
        <f t="shared" si="11"/>
        <v>0</v>
      </c>
      <c r="Q17" s="316"/>
      <c r="R17" s="316"/>
      <c r="S17" s="314"/>
      <c r="T17" s="314">
        <f t="shared" si="12"/>
        <v>0</v>
      </c>
      <c r="U17" s="316"/>
      <c r="V17" s="316" t="str">
        <f t="shared" si="13"/>
        <v>OK</v>
      </c>
      <c r="W17" s="314"/>
      <c r="X17" s="317"/>
      <c r="Y17" s="271" t="str">
        <f t="shared" si="7"/>
        <v/>
      </c>
      <c r="Z17" s="270">
        <f t="shared" si="8"/>
        <v>0</v>
      </c>
      <c r="AA17" s="270">
        <f t="shared" si="9"/>
        <v>0</v>
      </c>
      <c r="AB17" s="273">
        <f t="shared" si="10"/>
        <v>0</v>
      </c>
      <c r="AC17" s="260"/>
    </row>
    <row r="18" spans="1:29" ht="36" hidden="1" customHeight="1" x14ac:dyDescent="0.45">
      <c r="A18" s="302" t="str">
        <f>Horaire!A18</f>
        <v>PASSOT LA BARGE</v>
      </c>
      <c r="B18" s="303">
        <f>Horaire!B18</f>
        <v>0.25</v>
      </c>
      <c r="C18" s="303" t="str">
        <f>Horaire!C18</f>
        <v>D13</v>
      </c>
      <c r="D18" s="268" t="str">
        <f>VLOOKUP(C18,'Liste chauffeur'!$B$5:$L$19,2,TRUE)&amp;" "&amp;VLOOKUP(C18,'Liste chauffeur'!$B$5:$L$19,3,TRUE)</f>
        <v>MOURIDI Aktoir</v>
      </c>
      <c r="E18" s="314"/>
      <c r="F18" s="315">
        <f t="shared" si="5"/>
        <v>1</v>
      </c>
      <c r="G18" s="315"/>
      <c r="H18" s="316"/>
      <c r="I18" s="316"/>
      <c r="J18" s="316"/>
      <c r="K18" s="314"/>
      <c r="L18" s="314"/>
      <c r="M18" s="316"/>
      <c r="N18" s="316"/>
      <c r="O18" s="314"/>
      <c r="P18" s="314"/>
      <c r="Q18" s="316"/>
      <c r="R18" s="316"/>
      <c r="S18" s="314"/>
      <c r="T18" s="314"/>
      <c r="U18" s="316"/>
      <c r="V18" s="316"/>
      <c r="W18" s="314"/>
      <c r="X18" s="317"/>
      <c r="Y18" s="271"/>
      <c r="Z18" s="270">
        <f t="shared" ref="Z18" si="14">H18+J18-I18</f>
        <v>0</v>
      </c>
      <c r="AA18" s="270">
        <f t="shared" ref="AA18" si="15">IF(F18=1,0,AA$6)</f>
        <v>0</v>
      </c>
      <c r="AB18" s="273">
        <f t="shared" ref="AB18" si="16">IF(AA18=0,0,Z18/AA18)</f>
        <v>0</v>
      </c>
      <c r="AC18" s="260"/>
    </row>
    <row r="19" spans="1:29" ht="36" hidden="1" customHeight="1" x14ac:dyDescent="0.45">
      <c r="A19" s="302" t="s">
        <v>527</v>
      </c>
      <c r="B19" s="303">
        <f>Horaire!B19</f>
        <v>0.25</v>
      </c>
      <c r="C19" s="303" t="str">
        <f>Horaire!C19</f>
        <v>D4</v>
      </c>
      <c r="D19" s="268" t="str">
        <f>VLOOKUP(C19,'Liste chauffeur'!$B$5:$L$19,2,TRUE)&amp;" "&amp;VLOOKUP(C19,'Liste chauffeur'!$B$5:$L$19,3,TRUE)</f>
        <v>AMBDI  Houmadi</v>
      </c>
      <c r="E19" s="314"/>
      <c r="F19" s="315">
        <f t="shared" si="5"/>
        <v>1</v>
      </c>
      <c r="G19" s="315"/>
      <c r="H19" s="316"/>
      <c r="I19" s="316"/>
      <c r="J19" s="316"/>
      <c r="K19" s="314"/>
      <c r="L19" s="314">
        <f t="shared" si="6"/>
        <v>0</v>
      </c>
      <c r="M19" s="316"/>
      <c r="N19" s="316"/>
      <c r="O19" s="314"/>
      <c r="P19" s="314">
        <f t="shared" si="11"/>
        <v>0</v>
      </c>
      <c r="Q19" s="316"/>
      <c r="R19" s="316"/>
      <c r="S19" s="314"/>
      <c r="T19" s="314">
        <f t="shared" si="12"/>
        <v>0</v>
      </c>
      <c r="U19" s="316"/>
      <c r="V19" s="316" t="str">
        <f t="shared" si="13"/>
        <v>OK</v>
      </c>
      <c r="W19" s="314"/>
      <c r="X19" s="317"/>
      <c r="Y19" s="271" t="str">
        <f t="shared" si="7"/>
        <v/>
      </c>
      <c r="Z19" s="270">
        <f t="shared" si="8"/>
        <v>0</v>
      </c>
      <c r="AA19" s="270">
        <f t="shared" si="9"/>
        <v>0</v>
      </c>
      <c r="AB19" s="273">
        <f t="shared" si="10"/>
        <v>0</v>
      </c>
      <c r="AC19" s="260"/>
    </row>
    <row r="20" spans="1:29" ht="36" hidden="1" customHeight="1" x14ac:dyDescent="0.45">
      <c r="A20" s="302" t="str">
        <f>Horaire!A20</f>
        <v>PASSOT LA BARGE</v>
      </c>
      <c r="B20" s="303">
        <f>Horaire!B20</f>
        <v>0.25</v>
      </c>
      <c r="C20" s="303" t="str">
        <f>Horaire!C20</f>
        <v>D11</v>
      </c>
      <c r="D20" s="268" t="str">
        <f>VLOOKUP(C20,'Liste chauffeur'!$B$5:$L$19,2,TRUE)&amp;" "&amp;VLOOKUP(C20,'Liste chauffeur'!$B$5:$L$19,3,TRUE)</f>
        <v>ALLAOUI  Soibrane</v>
      </c>
      <c r="E20" s="314"/>
      <c r="F20" s="315">
        <f t="shared" si="5"/>
        <v>1</v>
      </c>
      <c r="G20" s="315"/>
      <c r="H20" s="316"/>
      <c r="I20" s="316"/>
      <c r="J20" s="316"/>
      <c r="K20" s="314"/>
      <c r="L20" s="314">
        <f t="shared" si="6"/>
        <v>0</v>
      </c>
      <c r="M20" s="316"/>
      <c r="N20" s="316"/>
      <c r="O20" s="314"/>
      <c r="P20" s="314">
        <f t="shared" si="11"/>
        <v>0</v>
      </c>
      <c r="Q20" s="316"/>
      <c r="R20" s="316"/>
      <c r="S20" s="314"/>
      <c r="T20" s="314">
        <f t="shared" si="12"/>
        <v>0</v>
      </c>
      <c r="U20" s="316"/>
      <c r="V20" s="316" t="str">
        <f t="shared" si="13"/>
        <v>OK</v>
      </c>
      <c r="W20" s="314"/>
      <c r="X20" s="317"/>
      <c r="Y20" s="271" t="str">
        <f t="shared" si="7"/>
        <v/>
      </c>
      <c r="Z20" s="270">
        <f t="shared" si="8"/>
        <v>0</v>
      </c>
      <c r="AA20" s="270">
        <f t="shared" si="9"/>
        <v>0</v>
      </c>
      <c r="AB20" s="273">
        <f t="shared" si="10"/>
        <v>0</v>
      </c>
      <c r="AC20" s="260"/>
    </row>
    <row r="21" spans="1:29" ht="36" hidden="1" customHeight="1" x14ac:dyDescent="0.45">
      <c r="A21" s="302" t="str">
        <f>Horaire!A21</f>
        <v>DOUJANI</v>
      </c>
      <c r="B21" s="303">
        <f>Horaire!B21</f>
        <v>0.25694444444444442</v>
      </c>
      <c r="C21" s="303" t="str">
        <f>Horaire!C21</f>
        <v>D12</v>
      </c>
      <c r="D21" s="268" t="str">
        <f>VLOOKUP(C21,'Liste chauffeur'!$B$5:$L$19,2,TRUE)&amp;" "&amp;VLOOKUP(C21,'Liste chauffeur'!$B$5:$L$19,3,TRUE)</f>
        <v>VELOU M'COLO M'Berou</v>
      </c>
      <c r="E21" s="314"/>
      <c r="F21" s="315">
        <f t="shared" si="5"/>
        <v>1</v>
      </c>
      <c r="G21" s="315"/>
      <c r="H21" s="316"/>
      <c r="I21" s="316"/>
      <c r="J21" s="316"/>
      <c r="K21" s="314"/>
      <c r="L21" s="314">
        <f t="shared" si="6"/>
        <v>0</v>
      </c>
      <c r="M21" s="316"/>
      <c r="N21" s="316"/>
      <c r="O21" s="314"/>
      <c r="P21" s="314">
        <f t="shared" si="11"/>
        <v>0</v>
      </c>
      <c r="Q21" s="316"/>
      <c r="R21" s="316"/>
      <c r="S21" s="314"/>
      <c r="T21" s="314">
        <f t="shared" si="12"/>
        <v>0</v>
      </c>
      <c r="U21" s="316"/>
      <c r="V21" s="316" t="str">
        <f t="shared" si="13"/>
        <v>OK</v>
      </c>
      <c r="W21" s="314"/>
      <c r="X21" s="317"/>
      <c r="Y21" s="271" t="str">
        <f t="shared" si="7"/>
        <v/>
      </c>
      <c r="Z21" s="270">
        <f t="shared" si="8"/>
        <v>0</v>
      </c>
      <c r="AA21" s="270">
        <f t="shared" si="9"/>
        <v>0</v>
      </c>
      <c r="AB21" s="273">
        <f t="shared" si="10"/>
        <v>0</v>
      </c>
      <c r="AC21" s="260"/>
    </row>
    <row r="22" spans="1:29" ht="36" hidden="1" customHeight="1" x14ac:dyDescent="0.45">
      <c r="A22" s="302" t="str">
        <f>Horaire!A22</f>
        <v>PASSOT LA BARGE</v>
      </c>
      <c r="B22" s="303">
        <f>Horaire!B22</f>
        <v>0.25694444444444442</v>
      </c>
      <c r="C22" s="303" t="str">
        <f>Horaire!C22</f>
        <v>D3</v>
      </c>
      <c r="D22" s="268" t="str">
        <f>VLOOKUP(C22,'Liste chauffeur'!$B$5:$L$19,2,TRUE)&amp;" "&amp;VLOOKUP(C22,'Liste chauffeur'!$B$5:$L$19,3,TRUE)</f>
        <v>ABDOURAHIM Mohamed</v>
      </c>
      <c r="E22" s="314"/>
      <c r="F22" s="315">
        <f t="shared" si="5"/>
        <v>1</v>
      </c>
      <c r="G22" s="315"/>
      <c r="H22" s="316"/>
      <c r="I22" s="316"/>
      <c r="J22" s="316"/>
      <c r="K22" s="314"/>
      <c r="L22" s="314">
        <f t="shared" si="6"/>
        <v>0</v>
      </c>
      <c r="M22" s="316"/>
      <c r="N22" s="316"/>
      <c r="O22" s="314"/>
      <c r="P22" s="314">
        <f t="shared" si="11"/>
        <v>0</v>
      </c>
      <c r="Q22" s="316"/>
      <c r="R22" s="316"/>
      <c r="S22" s="314"/>
      <c r="T22" s="314">
        <f t="shared" si="12"/>
        <v>0</v>
      </c>
      <c r="U22" s="316"/>
      <c r="V22" s="316" t="str">
        <f t="shared" si="13"/>
        <v>OK</v>
      </c>
      <c r="W22" s="314"/>
      <c r="X22" s="317"/>
      <c r="Y22" s="271" t="str">
        <f t="shared" si="7"/>
        <v/>
      </c>
      <c r="Z22" s="270">
        <f t="shared" si="8"/>
        <v>0</v>
      </c>
      <c r="AA22" s="270">
        <f t="shared" si="9"/>
        <v>0</v>
      </c>
      <c r="AB22" s="273">
        <f t="shared" si="10"/>
        <v>0</v>
      </c>
      <c r="AC22" s="260"/>
    </row>
    <row r="23" spans="1:29" ht="36" hidden="1" customHeight="1" x14ac:dyDescent="0.45">
      <c r="A23" s="302" t="s">
        <v>527</v>
      </c>
      <c r="B23" s="303">
        <f>Horaire!B23</f>
        <v>0.25694444444444442</v>
      </c>
      <c r="C23" s="303" t="str">
        <f>Horaire!C23</f>
        <v>D5</v>
      </c>
      <c r="D23" s="268" t="str">
        <f>VLOOKUP(C23,'Liste chauffeur'!$B$5:$L$19,2,TRUE)&amp;" "&amp;VLOOKUP(C23,'Liste chauffeur'!$B$5:$L$19,3,TRUE)</f>
        <v>AMINA Selemani</v>
      </c>
      <c r="E23" s="314"/>
      <c r="F23" s="315">
        <f t="shared" si="5"/>
        <v>1</v>
      </c>
      <c r="G23" s="315"/>
      <c r="H23" s="316"/>
      <c r="I23" s="316"/>
      <c r="J23" s="316"/>
      <c r="K23" s="314"/>
      <c r="L23" s="314">
        <f t="shared" si="6"/>
        <v>0</v>
      </c>
      <c r="M23" s="316"/>
      <c r="N23" s="316"/>
      <c r="O23" s="314"/>
      <c r="P23" s="314">
        <f t="shared" si="11"/>
        <v>0</v>
      </c>
      <c r="Q23" s="316"/>
      <c r="R23" s="316"/>
      <c r="S23" s="314"/>
      <c r="T23" s="314">
        <f t="shared" si="12"/>
        <v>0</v>
      </c>
      <c r="U23" s="316"/>
      <c r="V23" s="316" t="str">
        <f t="shared" si="13"/>
        <v>OK</v>
      </c>
      <c r="W23" s="314"/>
      <c r="X23" s="317"/>
      <c r="Y23" s="271" t="str">
        <f t="shared" si="7"/>
        <v/>
      </c>
      <c r="Z23" s="270">
        <f t="shared" si="8"/>
        <v>0</v>
      </c>
      <c r="AA23" s="270">
        <f t="shared" si="9"/>
        <v>0</v>
      </c>
      <c r="AB23" s="273">
        <f t="shared" si="10"/>
        <v>0</v>
      </c>
      <c r="AC23" s="260"/>
    </row>
    <row r="24" spans="1:29" ht="36" hidden="1" customHeight="1" x14ac:dyDescent="0.45">
      <c r="A24" s="302" t="str">
        <f>Horaire!A24</f>
        <v>PASSOT LA BARGE</v>
      </c>
      <c r="B24" s="303">
        <f>Horaire!B24</f>
        <v>0.25694444444444442</v>
      </c>
      <c r="C24" s="303" t="str">
        <f>Horaire!C24</f>
        <v>D14</v>
      </c>
      <c r="D24" s="268" t="str">
        <f>VLOOKUP(C24,'Liste chauffeur'!$B$5:$L$19,2,TRUE)&amp;" "&amp;VLOOKUP(C24,'Liste chauffeur'!$B$5:$L$19,3,TRUE)</f>
        <v>AHAMADI Laydine</v>
      </c>
      <c r="E24" s="314"/>
      <c r="F24" s="315">
        <f t="shared" si="5"/>
        <v>1</v>
      </c>
      <c r="G24" s="315"/>
      <c r="H24" s="316"/>
      <c r="I24" s="316"/>
      <c r="J24" s="316"/>
      <c r="K24" s="314"/>
      <c r="L24" s="314">
        <f t="shared" si="6"/>
        <v>0</v>
      </c>
      <c r="M24" s="316"/>
      <c r="N24" s="316"/>
      <c r="O24" s="314"/>
      <c r="P24" s="314">
        <f t="shared" si="11"/>
        <v>0</v>
      </c>
      <c r="Q24" s="316"/>
      <c r="R24" s="316"/>
      <c r="S24" s="314"/>
      <c r="T24" s="314">
        <f t="shared" si="12"/>
        <v>0</v>
      </c>
      <c r="U24" s="316"/>
      <c r="V24" s="316" t="str">
        <f t="shared" si="13"/>
        <v>OK</v>
      </c>
      <c r="W24" s="314"/>
      <c r="X24" s="317"/>
      <c r="Y24" s="271" t="str">
        <f t="shared" si="7"/>
        <v/>
      </c>
      <c r="Z24" s="270">
        <f t="shared" si="8"/>
        <v>0</v>
      </c>
      <c r="AA24" s="270">
        <f t="shared" si="9"/>
        <v>0</v>
      </c>
      <c r="AB24" s="273">
        <f t="shared" si="10"/>
        <v>0</v>
      </c>
      <c r="AC24" s="260"/>
    </row>
    <row r="25" spans="1:29" ht="36" hidden="1" customHeight="1" x14ac:dyDescent="0.45">
      <c r="A25" s="302" t="str">
        <f>Horaire!A25</f>
        <v>DOUJANI</v>
      </c>
      <c r="B25" s="303">
        <f>Horaire!B25</f>
        <v>0.2638888888888889</v>
      </c>
      <c r="C25" s="303" t="str">
        <f>Horaire!C25</f>
        <v>D2</v>
      </c>
      <c r="D25" s="268" t="str">
        <f>VLOOKUP(C25,'Liste chauffeur'!$B$5:$L$19,2,TRUE)&amp;" "&amp;VLOOKUP(C25,'Liste chauffeur'!$B$5:$L$19,3,TRUE)</f>
        <v>BARAKA  Soumaila</v>
      </c>
      <c r="E25" s="314"/>
      <c r="F25" s="315">
        <f t="shared" si="5"/>
        <v>1</v>
      </c>
      <c r="G25" s="315"/>
      <c r="H25" s="316"/>
      <c r="I25" s="316"/>
      <c r="J25" s="316"/>
      <c r="K25" s="314"/>
      <c r="L25" s="314"/>
      <c r="M25" s="316"/>
      <c r="N25" s="316"/>
      <c r="O25" s="314"/>
      <c r="P25" s="314"/>
      <c r="Q25" s="316"/>
      <c r="R25" s="316"/>
      <c r="S25" s="314"/>
      <c r="T25" s="314"/>
      <c r="U25" s="316"/>
      <c r="V25" s="316"/>
      <c r="W25" s="314"/>
      <c r="X25" s="317"/>
      <c r="Y25" s="271"/>
      <c r="Z25" s="270">
        <f t="shared" ref="Z25" si="17">H25+J25-I25</f>
        <v>0</v>
      </c>
      <c r="AA25" s="270">
        <f t="shared" ref="AA25" si="18">IF(F25=1,0,AA$6)</f>
        <v>0</v>
      </c>
      <c r="AB25" s="273">
        <f t="shared" ref="AB25" si="19">IF(AA25=0,0,Z25/AA25)</f>
        <v>0</v>
      </c>
      <c r="AC25" s="260"/>
    </row>
    <row r="26" spans="1:29" ht="36" hidden="1" customHeight="1" x14ac:dyDescent="0.45">
      <c r="A26" s="302" t="str">
        <f>Horaire!A26</f>
        <v>PASSOT LA BARGE</v>
      </c>
      <c r="B26" s="303">
        <f>Horaire!B26</f>
        <v>0.2638888888888889</v>
      </c>
      <c r="C26" s="303" t="str">
        <f>Horaire!C26</f>
        <v>D10</v>
      </c>
      <c r="D26" s="268" t="str">
        <f>VLOOKUP(C26,'Liste chauffeur'!$B$5:$L$19,2,TRUE)&amp;" "&amp;VLOOKUP(C26,'Liste chauffeur'!$B$5:$L$19,3,TRUE)</f>
        <v>KAMARDINE Mansour (Salarié)</v>
      </c>
      <c r="E26" s="314"/>
      <c r="F26" s="315">
        <f t="shared" si="5"/>
        <v>1</v>
      </c>
      <c r="G26" s="315"/>
      <c r="H26" s="316"/>
      <c r="I26" s="316"/>
      <c r="J26" s="316"/>
      <c r="K26" s="314"/>
      <c r="L26" s="314">
        <f t="shared" si="6"/>
        <v>0</v>
      </c>
      <c r="M26" s="316"/>
      <c r="N26" s="316"/>
      <c r="O26" s="314"/>
      <c r="P26" s="314">
        <f t="shared" si="11"/>
        <v>0</v>
      </c>
      <c r="Q26" s="316"/>
      <c r="R26" s="316"/>
      <c r="S26" s="314"/>
      <c r="T26" s="314">
        <f t="shared" si="12"/>
        <v>0</v>
      </c>
      <c r="U26" s="316"/>
      <c r="V26" s="316" t="str">
        <f t="shared" si="13"/>
        <v>OK</v>
      </c>
      <c r="W26" s="314"/>
      <c r="X26" s="317"/>
      <c r="Y26" s="271" t="str">
        <f t="shared" si="7"/>
        <v/>
      </c>
      <c r="Z26" s="270">
        <f t="shared" si="8"/>
        <v>0</v>
      </c>
      <c r="AA26" s="270">
        <f t="shared" si="9"/>
        <v>0</v>
      </c>
      <c r="AB26" s="273">
        <f t="shared" si="10"/>
        <v>0</v>
      </c>
      <c r="AC26" s="260"/>
    </row>
    <row r="27" spans="1:29" ht="36" hidden="1" customHeight="1" x14ac:dyDescent="0.45">
      <c r="A27" s="302" t="s">
        <v>527</v>
      </c>
      <c r="B27" s="303">
        <f>Horaire!B27</f>
        <v>0.2638888888888889</v>
      </c>
      <c r="C27" s="303" t="str">
        <f>Horaire!C27</f>
        <v>D7</v>
      </c>
      <c r="D27" s="268" t="str">
        <f>VLOOKUP(C27,'Liste chauffeur'!$B$5:$L$19,2,TRUE)&amp;" "&amp;VLOOKUP(C27,'Liste chauffeur'!$B$5:$L$19,3,TRUE)</f>
        <v>COMBO  Said</v>
      </c>
      <c r="E27" s="314"/>
      <c r="F27" s="315">
        <f t="shared" si="5"/>
        <v>1</v>
      </c>
      <c r="G27" s="315"/>
      <c r="H27" s="316"/>
      <c r="I27" s="316"/>
      <c r="J27" s="316"/>
      <c r="K27" s="314"/>
      <c r="L27" s="314">
        <f t="shared" si="6"/>
        <v>0</v>
      </c>
      <c r="M27" s="316"/>
      <c r="N27" s="316"/>
      <c r="O27" s="314"/>
      <c r="P27" s="314">
        <f t="shared" si="11"/>
        <v>0</v>
      </c>
      <c r="Q27" s="316"/>
      <c r="R27" s="316"/>
      <c r="S27" s="314"/>
      <c r="T27" s="314">
        <f t="shared" si="12"/>
        <v>0</v>
      </c>
      <c r="U27" s="316"/>
      <c r="V27" s="316" t="str">
        <f t="shared" si="13"/>
        <v>OK</v>
      </c>
      <c r="W27" s="314"/>
      <c r="X27" s="317"/>
      <c r="Y27" s="271" t="str">
        <f t="shared" si="7"/>
        <v/>
      </c>
      <c r="Z27" s="270">
        <f t="shared" si="8"/>
        <v>0</v>
      </c>
      <c r="AA27" s="270">
        <f t="shared" si="9"/>
        <v>0</v>
      </c>
      <c r="AB27" s="273">
        <f t="shared" si="10"/>
        <v>0</v>
      </c>
      <c r="AC27" s="260"/>
    </row>
    <row r="28" spans="1:29" ht="36" hidden="1" customHeight="1" x14ac:dyDescent="0.45">
      <c r="A28" s="302" t="str">
        <f>Horaire!A28</f>
        <v>PASSOT LA BARGE</v>
      </c>
      <c r="B28" s="303">
        <f>Horaire!B28</f>
        <v>0.2638888888888889</v>
      </c>
      <c r="C28" s="303" t="str">
        <f>Horaire!C28</f>
        <v>D6</v>
      </c>
      <c r="D28" s="268" t="str">
        <f>VLOOKUP(C28,'Liste chauffeur'!$B$5:$L$19,2,TRUE)&amp;" "&amp;VLOOKUP(C28,'Liste chauffeur'!$B$5:$L$19,3,TRUE)</f>
        <v>ABDOU HAMIDOUNE Nassabia</v>
      </c>
      <c r="E28" s="314"/>
      <c r="F28" s="315">
        <f t="shared" si="5"/>
        <v>1</v>
      </c>
      <c r="G28" s="315"/>
      <c r="H28" s="316"/>
      <c r="I28" s="316"/>
      <c r="J28" s="316"/>
      <c r="K28" s="314"/>
      <c r="L28" s="314">
        <f t="shared" si="6"/>
        <v>0</v>
      </c>
      <c r="M28" s="316"/>
      <c r="N28" s="316"/>
      <c r="O28" s="314"/>
      <c r="P28" s="314">
        <f t="shared" si="11"/>
        <v>0</v>
      </c>
      <c r="Q28" s="316"/>
      <c r="R28" s="316"/>
      <c r="S28" s="314"/>
      <c r="T28" s="314">
        <f t="shared" si="12"/>
        <v>0</v>
      </c>
      <c r="U28" s="316"/>
      <c r="V28" s="316" t="str">
        <f t="shared" si="13"/>
        <v>OK</v>
      </c>
      <c r="W28" s="314"/>
      <c r="X28" s="317"/>
      <c r="Y28" s="271" t="str">
        <f t="shared" si="7"/>
        <v/>
      </c>
      <c r="Z28" s="270">
        <f t="shared" si="8"/>
        <v>0</v>
      </c>
      <c r="AA28" s="270">
        <f t="shared" si="9"/>
        <v>0</v>
      </c>
      <c r="AB28" s="273">
        <f t="shared" si="10"/>
        <v>0</v>
      </c>
      <c r="AC28" s="260"/>
    </row>
    <row r="29" spans="1:29" ht="36" hidden="1" customHeight="1" x14ac:dyDescent="0.45">
      <c r="A29" s="302" t="str">
        <f>Horaire!A29</f>
        <v>DOUJANI</v>
      </c>
      <c r="B29" s="303">
        <f>Horaire!B29</f>
        <v>0.27083333333333331</v>
      </c>
      <c r="C29" s="303" t="str">
        <f>Horaire!C29</f>
        <v>D13</v>
      </c>
      <c r="D29" s="268" t="str">
        <f>VLOOKUP(C29,'Liste chauffeur'!$B$5:$L$19,2,TRUE)&amp;" "&amp;VLOOKUP(C29,'Liste chauffeur'!$B$5:$L$19,3,TRUE)</f>
        <v>MOURIDI Aktoir</v>
      </c>
      <c r="E29" s="314"/>
      <c r="F29" s="315">
        <f t="shared" si="5"/>
        <v>1</v>
      </c>
      <c r="G29" s="315"/>
      <c r="H29" s="316"/>
      <c r="I29" s="316"/>
      <c r="J29" s="316"/>
      <c r="K29" s="314"/>
      <c r="L29" s="314">
        <f t="shared" si="6"/>
        <v>0</v>
      </c>
      <c r="M29" s="316"/>
      <c r="N29" s="316"/>
      <c r="O29" s="314"/>
      <c r="P29" s="314">
        <f t="shared" si="11"/>
        <v>0</v>
      </c>
      <c r="Q29" s="316"/>
      <c r="R29" s="316"/>
      <c r="S29" s="314"/>
      <c r="T29" s="314">
        <f t="shared" si="12"/>
        <v>0</v>
      </c>
      <c r="U29" s="316"/>
      <c r="V29" s="316" t="str">
        <f t="shared" si="13"/>
        <v>OK</v>
      </c>
      <c r="W29" s="314"/>
      <c r="X29" s="317"/>
      <c r="Y29" s="271" t="str">
        <f t="shared" si="7"/>
        <v/>
      </c>
      <c r="Z29" s="270">
        <f t="shared" si="8"/>
        <v>0</v>
      </c>
      <c r="AA29" s="270">
        <f t="shared" si="9"/>
        <v>0</v>
      </c>
      <c r="AB29" s="273">
        <f t="shared" si="10"/>
        <v>0</v>
      </c>
      <c r="AC29" s="260"/>
    </row>
    <row r="30" spans="1:29" ht="36" hidden="1" customHeight="1" x14ac:dyDescent="0.45">
      <c r="A30" s="302" t="str">
        <f>Horaire!A30</f>
        <v>PASSOT LA BARGE</v>
      </c>
      <c r="B30" s="303">
        <f>Horaire!B30</f>
        <v>0.27083333333333331</v>
      </c>
      <c r="C30" s="303" t="str">
        <f>Horaire!C30</f>
        <v>D1</v>
      </c>
      <c r="D30" s="268" t="str">
        <f>VLOOKUP(C30,'Liste chauffeur'!$B$5:$L$19,2,TRUE)&amp;" "&amp;VLOOKUP(C30,'Liste chauffeur'!$B$5:$L$19,3,TRUE)</f>
        <v>MOHAMED Ali (laglace)</v>
      </c>
      <c r="E30" s="314"/>
      <c r="F30" s="315">
        <f t="shared" si="5"/>
        <v>1</v>
      </c>
      <c r="G30" s="315"/>
      <c r="H30" s="316"/>
      <c r="I30" s="316"/>
      <c r="J30" s="316"/>
      <c r="K30" s="314"/>
      <c r="L30" s="314">
        <f t="shared" si="6"/>
        <v>0</v>
      </c>
      <c r="M30" s="316"/>
      <c r="N30" s="316"/>
      <c r="O30" s="314"/>
      <c r="P30" s="314">
        <f t="shared" si="11"/>
        <v>0</v>
      </c>
      <c r="Q30" s="316"/>
      <c r="R30" s="316"/>
      <c r="S30" s="314"/>
      <c r="T30" s="314">
        <f t="shared" si="12"/>
        <v>0</v>
      </c>
      <c r="U30" s="316"/>
      <c r="V30" s="316" t="str">
        <f t="shared" si="13"/>
        <v>OK</v>
      </c>
      <c r="W30" s="314"/>
      <c r="X30" s="317"/>
      <c r="Y30" s="271" t="str">
        <f t="shared" si="7"/>
        <v/>
      </c>
      <c r="Z30" s="270">
        <f t="shared" si="8"/>
        <v>0</v>
      </c>
      <c r="AA30" s="270">
        <f t="shared" si="9"/>
        <v>0</v>
      </c>
      <c r="AB30" s="273">
        <f t="shared" si="10"/>
        <v>0</v>
      </c>
      <c r="AC30" s="260"/>
    </row>
    <row r="31" spans="1:29" ht="36" hidden="1" customHeight="1" x14ac:dyDescent="0.45">
      <c r="A31" s="302" t="s">
        <v>527</v>
      </c>
      <c r="B31" s="303">
        <f>Horaire!B31</f>
        <v>0.27083333333333331</v>
      </c>
      <c r="C31" s="303" t="str">
        <f>Horaire!C31</f>
        <v>D11</v>
      </c>
      <c r="D31" s="268" t="str">
        <f>VLOOKUP(C31,'Liste chauffeur'!$B$5:$L$19,2,TRUE)&amp;" "&amp;VLOOKUP(C31,'Liste chauffeur'!$B$5:$L$19,3,TRUE)</f>
        <v>ALLAOUI  Soibrane</v>
      </c>
      <c r="E31" s="314"/>
      <c r="F31" s="315">
        <f t="shared" si="5"/>
        <v>1</v>
      </c>
      <c r="G31" s="315"/>
      <c r="H31" s="316"/>
      <c r="I31" s="316"/>
      <c r="J31" s="316"/>
      <c r="K31" s="314"/>
      <c r="L31" s="314">
        <f t="shared" si="6"/>
        <v>0</v>
      </c>
      <c r="M31" s="316"/>
      <c r="N31" s="316"/>
      <c r="O31" s="314"/>
      <c r="P31" s="314">
        <f t="shared" si="11"/>
        <v>0</v>
      </c>
      <c r="Q31" s="316"/>
      <c r="R31" s="316"/>
      <c r="S31" s="314"/>
      <c r="T31" s="314">
        <f t="shared" si="12"/>
        <v>0</v>
      </c>
      <c r="U31" s="316"/>
      <c r="V31" s="316" t="str">
        <f t="shared" si="13"/>
        <v>OK</v>
      </c>
      <c r="W31" s="314"/>
      <c r="X31" s="317"/>
      <c r="Y31" s="271" t="str">
        <f t="shared" si="7"/>
        <v/>
      </c>
      <c r="Z31" s="270">
        <f t="shared" si="8"/>
        <v>0</v>
      </c>
      <c r="AA31" s="270">
        <f t="shared" si="9"/>
        <v>0</v>
      </c>
      <c r="AB31" s="273">
        <f t="shared" si="10"/>
        <v>0</v>
      </c>
      <c r="AC31" s="260"/>
    </row>
    <row r="32" spans="1:29" ht="36" hidden="1" customHeight="1" x14ac:dyDescent="0.45">
      <c r="A32" s="302" t="str">
        <f>Horaire!A32</f>
        <v>PASSOT LA BARGE</v>
      </c>
      <c r="B32" s="303">
        <f>Horaire!B32</f>
        <v>0.27083333333333331</v>
      </c>
      <c r="C32" s="303" t="str">
        <f>Horaire!C32</f>
        <v>D4</v>
      </c>
      <c r="D32" s="268" t="str">
        <f>VLOOKUP(C32,'Liste chauffeur'!$B$5:$L$19,2,TRUE)&amp;" "&amp;VLOOKUP(C32,'Liste chauffeur'!$B$5:$L$19,3,TRUE)</f>
        <v>AMBDI  Houmadi</v>
      </c>
      <c r="E32" s="314"/>
      <c r="F32" s="315">
        <f t="shared" si="5"/>
        <v>1</v>
      </c>
      <c r="G32" s="315"/>
      <c r="H32" s="316"/>
      <c r="I32" s="316"/>
      <c r="J32" s="316"/>
      <c r="K32" s="314"/>
      <c r="L32" s="314"/>
      <c r="M32" s="316"/>
      <c r="N32" s="316"/>
      <c r="O32" s="314"/>
      <c r="P32" s="314"/>
      <c r="Q32" s="316"/>
      <c r="R32" s="316"/>
      <c r="S32" s="314"/>
      <c r="T32" s="314"/>
      <c r="U32" s="316"/>
      <c r="V32" s="316"/>
      <c r="W32" s="314"/>
      <c r="X32" s="317"/>
      <c r="Y32" s="271"/>
      <c r="Z32" s="270">
        <f t="shared" ref="Z32" si="20">H32+J32-I32</f>
        <v>0</v>
      </c>
      <c r="AA32" s="270">
        <f t="shared" ref="AA32" si="21">IF(F32=1,0,AA$6)</f>
        <v>0</v>
      </c>
      <c r="AB32" s="273">
        <f t="shared" ref="AB32" si="22">IF(AA32=0,0,Z32/AA32)</f>
        <v>0</v>
      </c>
      <c r="AC32" s="260"/>
    </row>
    <row r="33" spans="1:29" ht="36" hidden="1" customHeight="1" x14ac:dyDescent="0.45">
      <c r="A33" s="302" t="str">
        <f>Horaire!A33</f>
        <v>DOUJANI</v>
      </c>
      <c r="B33" s="303">
        <f>Horaire!B33</f>
        <v>0.27777777777777779</v>
      </c>
      <c r="C33" s="303" t="str">
        <f>Horaire!C33</f>
        <v>D3</v>
      </c>
      <c r="D33" s="268" t="str">
        <f>VLOOKUP(C33,'Liste chauffeur'!$B$5:$L$19,2,TRUE)&amp;" "&amp;VLOOKUP(C33,'Liste chauffeur'!$B$5:$L$19,3,TRUE)</f>
        <v>ABDOURAHIM Mohamed</v>
      </c>
      <c r="E33" s="314"/>
      <c r="F33" s="315">
        <f t="shared" si="5"/>
        <v>1</v>
      </c>
      <c r="G33" s="315"/>
      <c r="H33" s="316"/>
      <c r="I33" s="316"/>
      <c r="J33" s="316"/>
      <c r="K33" s="314"/>
      <c r="L33" s="314">
        <f t="shared" si="6"/>
        <v>0</v>
      </c>
      <c r="M33" s="316"/>
      <c r="N33" s="316"/>
      <c r="O33" s="314"/>
      <c r="P33" s="314">
        <f t="shared" si="11"/>
        <v>0</v>
      </c>
      <c r="Q33" s="316"/>
      <c r="R33" s="316"/>
      <c r="S33" s="314"/>
      <c r="T33" s="314">
        <f t="shared" si="12"/>
        <v>0</v>
      </c>
      <c r="U33" s="316"/>
      <c r="V33" s="316" t="str">
        <f t="shared" si="13"/>
        <v>OK</v>
      </c>
      <c r="W33" s="314"/>
      <c r="X33" s="317"/>
      <c r="Y33" s="271" t="str">
        <f t="shared" si="7"/>
        <v/>
      </c>
      <c r="Z33" s="270">
        <f t="shared" si="8"/>
        <v>0</v>
      </c>
      <c r="AA33" s="270">
        <f t="shared" si="9"/>
        <v>0</v>
      </c>
      <c r="AB33" s="273">
        <f t="shared" si="10"/>
        <v>0</v>
      </c>
      <c r="AC33" s="260"/>
    </row>
    <row r="34" spans="1:29" ht="36" hidden="1" customHeight="1" x14ac:dyDescent="0.45">
      <c r="A34" s="302" t="str">
        <f>Horaire!A34</f>
        <v>PASSOT LA BARGE</v>
      </c>
      <c r="B34" s="303">
        <f>Horaire!B34</f>
        <v>0.27777777777777779</v>
      </c>
      <c r="C34" s="303" t="str">
        <f>Horaire!C34</f>
        <v>D12</v>
      </c>
      <c r="D34" s="268" t="str">
        <f>VLOOKUP(C34,'Liste chauffeur'!$B$5:$L$19,2,TRUE)&amp;" "&amp;VLOOKUP(C34,'Liste chauffeur'!$B$5:$L$19,3,TRUE)</f>
        <v>VELOU M'COLO M'Berou</v>
      </c>
      <c r="E34" s="314"/>
      <c r="F34" s="315">
        <f t="shared" si="5"/>
        <v>1</v>
      </c>
      <c r="G34" s="315"/>
      <c r="H34" s="316"/>
      <c r="I34" s="316"/>
      <c r="J34" s="316"/>
      <c r="K34" s="314"/>
      <c r="L34" s="314">
        <f t="shared" si="6"/>
        <v>0</v>
      </c>
      <c r="M34" s="316"/>
      <c r="N34" s="316"/>
      <c r="O34" s="314"/>
      <c r="P34" s="314"/>
      <c r="Q34" s="316"/>
      <c r="R34" s="316"/>
      <c r="S34" s="314"/>
      <c r="T34" s="314"/>
      <c r="U34" s="316"/>
      <c r="V34" s="316" t="str">
        <f t="shared" si="13"/>
        <v>OK</v>
      </c>
      <c r="W34" s="314"/>
      <c r="X34" s="317"/>
      <c r="Y34" s="271" t="str">
        <f t="shared" si="7"/>
        <v/>
      </c>
      <c r="Z34" s="270">
        <f t="shared" si="8"/>
        <v>0</v>
      </c>
      <c r="AA34" s="270">
        <f t="shared" si="9"/>
        <v>0</v>
      </c>
      <c r="AB34" s="273">
        <f t="shared" si="10"/>
        <v>0</v>
      </c>
      <c r="AC34" s="260"/>
    </row>
    <row r="35" spans="1:29" ht="36" hidden="1" customHeight="1" x14ac:dyDescent="0.45">
      <c r="A35" s="302" t="s">
        <v>527</v>
      </c>
      <c r="B35" s="303">
        <f>Horaire!B35</f>
        <v>0.27777777777777779</v>
      </c>
      <c r="C35" s="303" t="str">
        <f>Horaire!C35</f>
        <v>D14</v>
      </c>
      <c r="D35" s="268" t="str">
        <f>VLOOKUP(C35,'Liste chauffeur'!$B$5:$L$19,2,TRUE)&amp;" "&amp;VLOOKUP(C35,'Liste chauffeur'!$B$5:$L$19,3,TRUE)</f>
        <v>AHAMADI Laydine</v>
      </c>
      <c r="E35" s="314"/>
      <c r="F35" s="315">
        <f t="shared" si="5"/>
        <v>1</v>
      </c>
      <c r="G35" s="315"/>
      <c r="H35" s="316"/>
      <c r="I35" s="316"/>
      <c r="J35" s="316"/>
      <c r="K35" s="314"/>
      <c r="L35" s="314">
        <f t="shared" si="6"/>
        <v>0</v>
      </c>
      <c r="M35" s="316"/>
      <c r="N35" s="316"/>
      <c r="O35" s="314"/>
      <c r="P35" s="314"/>
      <c r="Q35" s="316"/>
      <c r="R35" s="316"/>
      <c r="S35" s="314"/>
      <c r="T35" s="314"/>
      <c r="U35" s="316"/>
      <c r="V35" s="316" t="str">
        <f t="shared" si="13"/>
        <v>OK</v>
      </c>
      <c r="W35" s="314"/>
      <c r="X35" s="317"/>
      <c r="Y35" s="271" t="str">
        <f t="shared" si="7"/>
        <v/>
      </c>
      <c r="Z35" s="270">
        <f t="shared" si="8"/>
        <v>0</v>
      </c>
      <c r="AA35" s="270">
        <f t="shared" si="9"/>
        <v>0</v>
      </c>
      <c r="AB35" s="273">
        <f t="shared" si="10"/>
        <v>0</v>
      </c>
      <c r="AC35" s="260"/>
    </row>
    <row r="36" spans="1:29" ht="36" hidden="1" customHeight="1" x14ac:dyDescent="0.45">
      <c r="A36" s="302" t="str">
        <f>Horaire!A36</f>
        <v>PASSOT LA BARGE</v>
      </c>
      <c r="B36" s="303">
        <f>Horaire!B36</f>
        <v>0.27777777777777779</v>
      </c>
      <c r="C36" s="303" t="str">
        <f>Horaire!C36</f>
        <v>D5</v>
      </c>
      <c r="D36" s="268" t="str">
        <f>VLOOKUP(C36,'Liste chauffeur'!$B$5:$L$19,2,TRUE)&amp;" "&amp;VLOOKUP(C36,'Liste chauffeur'!$B$5:$L$19,3,TRUE)</f>
        <v>AMINA Selemani</v>
      </c>
      <c r="E36" s="314"/>
      <c r="F36" s="315">
        <f t="shared" si="5"/>
        <v>1</v>
      </c>
      <c r="G36" s="315"/>
      <c r="H36" s="316"/>
      <c r="I36" s="316"/>
      <c r="J36" s="316"/>
      <c r="K36" s="314"/>
      <c r="L36" s="314">
        <f t="shared" si="6"/>
        <v>0</v>
      </c>
      <c r="M36" s="316"/>
      <c r="N36" s="316"/>
      <c r="O36" s="314"/>
      <c r="P36" s="314"/>
      <c r="Q36" s="316"/>
      <c r="R36" s="316"/>
      <c r="S36" s="314"/>
      <c r="T36" s="314"/>
      <c r="U36" s="316"/>
      <c r="V36" s="316" t="str">
        <f t="shared" si="13"/>
        <v>OK</v>
      </c>
      <c r="W36" s="314"/>
      <c r="X36" s="317"/>
      <c r="Y36" s="271" t="str">
        <f t="shared" si="7"/>
        <v/>
      </c>
      <c r="Z36" s="270">
        <f t="shared" si="8"/>
        <v>0</v>
      </c>
      <c r="AA36" s="270">
        <f t="shared" si="9"/>
        <v>0</v>
      </c>
      <c r="AB36" s="273">
        <f t="shared" si="10"/>
        <v>0</v>
      </c>
      <c r="AC36" s="260"/>
    </row>
    <row r="37" spans="1:29" ht="36" hidden="1" customHeight="1" x14ac:dyDescent="0.45">
      <c r="A37" s="302" t="str">
        <f>Horaire!A37</f>
        <v>DOUJANI</v>
      </c>
      <c r="B37" s="303">
        <f>Horaire!B37</f>
        <v>0.28472222222222221</v>
      </c>
      <c r="C37" s="303" t="str">
        <f>Horaire!C37</f>
        <v>D10</v>
      </c>
      <c r="D37" s="268" t="str">
        <f>VLOOKUP(C37,'Liste chauffeur'!$B$5:$L$19,2,TRUE)&amp;" "&amp;VLOOKUP(C37,'Liste chauffeur'!$B$5:$L$19,3,TRUE)</f>
        <v>KAMARDINE Mansour (Salarié)</v>
      </c>
      <c r="E37" s="314"/>
      <c r="F37" s="315">
        <f t="shared" si="5"/>
        <v>1</v>
      </c>
      <c r="G37" s="315"/>
      <c r="H37" s="316"/>
      <c r="I37" s="316"/>
      <c r="J37" s="316"/>
      <c r="K37" s="314"/>
      <c r="L37" s="314">
        <f t="shared" si="6"/>
        <v>0</v>
      </c>
      <c r="M37" s="316"/>
      <c r="N37" s="316"/>
      <c r="O37" s="314"/>
      <c r="P37" s="314"/>
      <c r="Q37" s="316"/>
      <c r="R37" s="316"/>
      <c r="S37" s="314"/>
      <c r="T37" s="314"/>
      <c r="U37" s="316"/>
      <c r="V37" s="316" t="str">
        <f t="shared" si="13"/>
        <v>OK</v>
      </c>
      <c r="W37" s="314"/>
      <c r="X37" s="317"/>
      <c r="Y37" s="271" t="str">
        <f t="shared" si="7"/>
        <v/>
      </c>
      <c r="Z37" s="270">
        <f t="shared" si="8"/>
        <v>0</v>
      </c>
      <c r="AA37" s="270">
        <f t="shared" si="9"/>
        <v>0</v>
      </c>
      <c r="AB37" s="273">
        <f t="shared" si="10"/>
        <v>0</v>
      </c>
      <c r="AC37" s="260"/>
    </row>
    <row r="38" spans="1:29" ht="36" hidden="1" customHeight="1" x14ac:dyDescent="0.45">
      <c r="A38" s="302" t="str">
        <f>Horaire!A38</f>
        <v>PASSOT LA BARGE</v>
      </c>
      <c r="B38" s="303">
        <f>Horaire!B38</f>
        <v>0.28472222222222221</v>
      </c>
      <c r="C38" s="303" t="str">
        <f>Horaire!C38</f>
        <v>D2</v>
      </c>
      <c r="D38" s="268" t="str">
        <f>VLOOKUP(C38,'Liste chauffeur'!$B$5:$L$19,2,TRUE)&amp;" "&amp;VLOOKUP(C38,'Liste chauffeur'!$B$5:$L$19,3,TRUE)</f>
        <v>BARAKA  Soumaila</v>
      </c>
      <c r="E38" s="314"/>
      <c r="F38" s="315">
        <f t="shared" si="5"/>
        <v>1</v>
      </c>
      <c r="G38" s="315"/>
      <c r="H38" s="316"/>
      <c r="I38" s="316"/>
      <c r="J38" s="316"/>
      <c r="K38" s="314"/>
      <c r="L38" s="314">
        <f t="shared" si="6"/>
        <v>0</v>
      </c>
      <c r="M38" s="316"/>
      <c r="N38" s="316"/>
      <c r="O38" s="314"/>
      <c r="P38" s="314"/>
      <c r="Q38" s="316"/>
      <c r="R38" s="316"/>
      <c r="S38" s="314"/>
      <c r="T38" s="314"/>
      <c r="U38" s="316"/>
      <c r="V38" s="316" t="str">
        <f t="shared" si="13"/>
        <v>OK</v>
      </c>
      <c r="W38" s="314"/>
      <c r="X38" s="317"/>
      <c r="Y38" s="271" t="str">
        <f t="shared" si="7"/>
        <v/>
      </c>
      <c r="Z38" s="270">
        <f t="shared" si="8"/>
        <v>0</v>
      </c>
      <c r="AA38" s="270">
        <f t="shared" si="9"/>
        <v>0</v>
      </c>
      <c r="AB38" s="273">
        <f t="shared" si="10"/>
        <v>0</v>
      </c>
      <c r="AC38" s="260"/>
    </row>
    <row r="39" spans="1:29" ht="36" hidden="1" customHeight="1" x14ac:dyDescent="0.45">
      <c r="A39" s="302" t="s">
        <v>527</v>
      </c>
      <c r="B39" s="303">
        <f>Horaire!B39</f>
        <v>0.28472222222222221</v>
      </c>
      <c r="C39" s="303" t="str">
        <f>Horaire!C39</f>
        <v>D6</v>
      </c>
      <c r="D39" s="268" t="str">
        <f>VLOOKUP(C39,'Liste chauffeur'!$B$5:$L$19,2,TRUE)&amp;" "&amp;VLOOKUP(C39,'Liste chauffeur'!$B$5:$L$19,3,TRUE)</f>
        <v>ABDOU HAMIDOUNE Nassabia</v>
      </c>
      <c r="E39" s="314"/>
      <c r="F39" s="315">
        <f t="shared" si="5"/>
        <v>1</v>
      </c>
      <c r="G39" s="315"/>
      <c r="H39" s="316"/>
      <c r="I39" s="316"/>
      <c r="J39" s="316"/>
      <c r="K39" s="314"/>
      <c r="L39" s="314">
        <f t="shared" si="6"/>
        <v>0</v>
      </c>
      <c r="M39" s="316"/>
      <c r="N39" s="316"/>
      <c r="O39" s="314"/>
      <c r="P39" s="314"/>
      <c r="Q39" s="316"/>
      <c r="R39" s="316"/>
      <c r="S39" s="314"/>
      <c r="T39" s="314"/>
      <c r="U39" s="316"/>
      <c r="V39" s="316" t="str">
        <f t="shared" si="13"/>
        <v>OK</v>
      </c>
      <c r="W39" s="314"/>
      <c r="X39" s="317"/>
      <c r="Y39" s="271" t="str">
        <f t="shared" si="7"/>
        <v/>
      </c>
      <c r="Z39" s="270">
        <f t="shared" si="8"/>
        <v>0</v>
      </c>
      <c r="AA39" s="270">
        <f t="shared" si="9"/>
        <v>0</v>
      </c>
      <c r="AB39" s="273">
        <f t="shared" si="10"/>
        <v>0</v>
      </c>
      <c r="AC39" s="260"/>
    </row>
    <row r="40" spans="1:29" ht="36" hidden="1" customHeight="1" x14ac:dyDescent="0.45">
      <c r="A40" s="302" t="str">
        <f>Horaire!A40</f>
        <v>PASSOT LA BARGE</v>
      </c>
      <c r="B40" s="303">
        <f>Horaire!B40</f>
        <v>0.28472222222222221</v>
      </c>
      <c r="C40" s="303" t="str">
        <f>Horaire!C40</f>
        <v>D7</v>
      </c>
      <c r="D40" s="268" t="str">
        <f>VLOOKUP(C40,'Liste chauffeur'!$B$5:$L$19,2,TRUE)&amp;" "&amp;VLOOKUP(C40,'Liste chauffeur'!$B$5:$L$19,3,TRUE)</f>
        <v>COMBO  Said</v>
      </c>
      <c r="E40" s="314"/>
      <c r="F40" s="315">
        <f t="shared" si="5"/>
        <v>1</v>
      </c>
      <c r="G40" s="315"/>
      <c r="H40" s="316"/>
      <c r="I40" s="316"/>
      <c r="J40" s="316"/>
      <c r="K40" s="314"/>
      <c r="L40" s="314">
        <f t="shared" si="6"/>
        <v>0</v>
      </c>
      <c r="M40" s="316"/>
      <c r="N40" s="316"/>
      <c r="O40" s="314"/>
      <c r="P40" s="314"/>
      <c r="Q40" s="316"/>
      <c r="R40" s="316"/>
      <c r="S40" s="314"/>
      <c r="T40" s="314"/>
      <c r="U40" s="316"/>
      <c r="V40" s="316" t="str">
        <f t="shared" si="13"/>
        <v>OK</v>
      </c>
      <c r="W40" s="314"/>
      <c r="X40" s="317"/>
      <c r="Y40" s="271" t="str">
        <f t="shared" si="7"/>
        <v/>
      </c>
      <c r="Z40" s="270">
        <f t="shared" si="8"/>
        <v>0</v>
      </c>
      <c r="AA40" s="270">
        <f t="shared" si="9"/>
        <v>0</v>
      </c>
      <c r="AB40" s="273">
        <f t="shared" si="10"/>
        <v>0</v>
      </c>
      <c r="AC40" s="260"/>
    </row>
    <row r="41" spans="1:29" ht="36" hidden="1" customHeight="1" x14ac:dyDescent="0.45">
      <c r="A41" s="302" t="str">
        <f>Horaire!A41</f>
        <v>DOUJANI</v>
      </c>
      <c r="B41" s="303">
        <f>Horaire!B41</f>
        <v>0.29166666666666669</v>
      </c>
      <c r="C41" s="303" t="str">
        <f>Horaire!C41</f>
        <v>D1</v>
      </c>
      <c r="D41" s="268" t="str">
        <f>VLOOKUP(C41,'Liste chauffeur'!$B$5:$L$19,2,TRUE)&amp;" "&amp;VLOOKUP(C41,'Liste chauffeur'!$B$5:$L$19,3,TRUE)</f>
        <v>MOHAMED Ali (laglace)</v>
      </c>
      <c r="E41" s="314"/>
      <c r="F41" s="315">
        <f t="shared" si="5"/>
        <v>1</v>
      </c>
      <c r="G41" s="315"/>
      <c r="H41" s="316"/>
      <c r="I41" s="316"/>
      <c r="J41" s="316"/>
      <c r="K41" s="314"/>
      <c r="L41" s="314">
        <f t="shared" si="6"/>
        <v>0</v>
      </c>
      <c r="M41" s="316"/>
      <c r="N41" s="316"/>
      <c r="O41" s="314"/>
      <c r="P41" s="314"/>
      <c r="Q41" s="316"/>
      <c r="R41" s="316"/>
      <c r="S41" s="314"/>
      <c r="T41" s="314"/>
      <c r="U41" s="316"/>
      <c r="V41" s="316" t="str">
        <f t="shared" si="13"/>
        <v>OK</v>
      </c>
      <c r="W41" s="314"/>
      <c r="X41" s="317"/>
      <c r="Y41" s="271" t="str">
        <f t="shared" si="7"/>
        <v/>
      </c>
      <c r="Z41" s="270">
        <f t="shared" si="8"/>
        <v>0</v>
      </c>
      <c r="AA41" s="270">
        <f t="shared" si="9"/>
        <v>0</v>
      </c>
      <c r="AB41" s="273">
        <f t="shared" si="10"/>
        <v>0</v>
      </c>
      <c r="AC41" s="260"/>
    </row>
    <row r="42" spans="1:29" ht="36" hidden="1" customHeight="1" x14ac:dyDescent="0.45">
      <c r="A42" s="302" t="str">
        <f>Horaire!A42</f>
        <v>PASSOT LA BARGE</v>
      </c>
      <c r="B42" s="303">
        <f>Horaire!B42</f>
        <v>0.29166666666666669</v>
      </c>
      <c r="C42" s="303" t="str">
        <f>Horaire!C42</f>
        <v>D13</v>
      </c>
      <c r="D42" s="268" t="str">
        <f>VLOOKUP(C42,'Liste chauffeur'!$B$5:$L$19,2,TRUE)&amp;" "&amp;VLOOKUP(C42,'Liste chauffeur'!$B$5:$L$19,3,TRUE)</f>
        <v>MOURIDI Aktoir</v>
      </c>
      <c r="E42" s="314"/>
      <c r="F42" s="315">
        <f t="shared" si="5"/>
        <v>1</v>
      </c>
      <c r="G42" s="315"/>
      <c r="H42" s="316"/>
      <c r="I42" s="316"/>
      <c r="J42" s="316"/>
      <c r="K42" s="314"/>
      <c r="L42" s="314">
        <f t="shared" si="6"/>
        <v>0</v>
      </c>
      <c r="M42" s="316"/>
      <c r="N42" s="316"/>
      <c r="O42" s="314"/>
      <c r="P42" s="314"/>
      <c r="Q42" s="316"/>
      <c r="R42" s="316"/>
      <c r="S42" s="314"/>
      <c r="T42" s="314"/>
      <c r="U42" s="316"/>
      <c r="V42" s="316" t="str">
        <f t="shared" si="13"/>
        <v>OK</v>
      </c>
      <c r="W42" s="314"/>
      <c r="X42" s="317"/>
      <c r="Y42" s="271" t="str">
        <f>IF(F42=1,"",W42-E42)</f>
        <v/>
      </c>
      <c r="Z42" s="270">
        <f t="shared" ref="Z42" si="23">H42+J42-I42</f>
        <v>0</v>
      </c>
      <c r="AA42" s="270">
        <f>IF(F42=1,0,AA$6)</f>
        <v>0</v>
      </c>
      <c r="AB42" s="273">
        <f>IF(AA42=0,0,Z42/AA42)</f>
        <v>0</v>
      </c>
      <c r="AC42" s="260"/>
    </row>
    <row r="43" spans="1:29" ht="36" hidden="1" customHeight="1" x14ac:dyDescent="0.45">
      <c r="A43" s="302" t="s">
        <v>527</v>
      </c>
      <c r="B43" s="303">
        <f>Horaire!B43</f>
        <v>0.29166666666666669</v>
      </c>
      <c r="C43" s="303" t="str">
        <f>Horaire!C43</f>
        <v>D4</v>
      </c>
      <c r="D43" s="268" t="str">
        <f>VLOOKUP(C43,'Liste chauffeur'!$B$5:$L$19,2,TRUE)&amp;" "&amp;VLOOKUP(C43,'Liste chauffeur'!$B$5:$L$19,3,TRUE)</f>
        <v>AMBDI  Houmadi</v>
      </c>
      <c r="E43" s="314"/>
      <c r="F43" s="315">
        <f t="shared" si="5"/>
        <v>1</v>
      </c>
      <c r="G43" s="315"/>
      <c r="H43" s="316"/>
      <c r="I43" s="316"/>
      <c r="J43" s="316"/>
      <c r="K43" s="314"/>
      <c r="L43" s="314">
        <f t="shared" si="6"/>
        <v>0</v>
      </c>
      <c r="M43" s="316"/>
      <c r="N43" s="316"/>
      <c r="O43" s="314"/>
      <c r="P43" s="314"/>
      <c r="Q43" s="316"/>
      <c r="R43" s="316"/>
      <c r="S43" s="314"/>
      <c r="T43" s="314"/>
      <c r="U43" s="316"/>
      <c r="V43" s="316" t="str">
        <f t="shared" si="13"/>
        <v>OK</v>
      </c>
      <c r="W43" s="314"/>
      <c r="X43" s="317"/>
      <c r="Y43" s="271" t="str">
        <f t="shared" ref="Y43:Y55" si="24">IF(F43=1,"",W43-E43)</f>
        <v/>
      </c>
      <c r="Z43" s="270">
        <f t="shared" ref="Z43:Z55" si="25">H43+J43-I43</f>
        <v>0</v>
      </c>
      <c r="AA43" s="270">
        <f t="shared" ref="AA43:AA55" si="26">IF(F43=1,0,AA$6)</f>
        <v>0</v>
      </c>
      <c r="AB43" s="273">
        <f t="shared" ref="AB43:AB55" si="27">IF(AA43=0,0,Z43/AA43)</f>
        <v>0</v>
      </c>
      <c r="AC43" s="260"/>
    </row>
    <row r="44" spans="1:29" ht="36" hidden="1" customHeight="1" x14ac:dyDescent="0.45">
      <c r="A44" s="302" t="str">
        <f>Horaire!A44</f>
        <v>PASSOT LA BARGE</v>
      </c>
      <c r="B44" s="303">
        <f>Horaire!B44</f>
        <v>0.29166666666666669</v>
      </c>
      <c r="C44" s="303" t="str">
        <f>Horaire!C44</f>
        <v>D11</v>
      </c>
      <c r="D44" s="268" t="str">
        <f>VLOOKUP(C44,'Liste chauffeur'!$B$5:$L$19,2,TRUE)&amp;" "&amp;VLOOKUP(C44,'Liste chauffeur'!$B$5:$L$19,3,TRUE)</f>
        <v>ALLAOUI  Soibrane</v>
      </c>
      <c r="E44" s="314"/>
      <c r="F44" s="315">
        <f t="shared" si="5"/>
        <v>1</v>
      </c>
      <c r="G44" s="315"/>
      <c r="H44" s="316"/>
      <c r="I44" s="316"/>
      <c r="J44" s="316"/>
      <c r="K44" s="314"/>
      <c r="L44" s="314">
        <f t="shared" si="6"/>
        <v>0</v>
      </c>
      <c r="M44" s="316"/>
      <c r="N44" s="316"/>
      <c r="O44" s="314"/>
      <c r="P44" s="314"/>
      <c r="Q44" s="316"/>
      <c r="R44" s="316"/>
      <c r="S44" s="314"/>
      <c r="T44" s="314"/>
      <c r="U44" s="316"/>
      <c r="V44" s="316" t="str">
        <f t="shared" si="13"/>
        <v>OK</v>
      </c>
      <c r="W44" s="314"/>
      <c r="X44" s="317"/>
      <c r="Y44" s="271" t="str">
        <f t="shared" si="24"/>
        <v/>
      </c>
      <c r="Z44" s="270">
        <f t="shared" si="25"/>
        <v>0</v>
      </c>
      <c r="AA44" s="270">
        <f t="shared" si="26"/>
        <v>0</v>
      </c>
      <c r="AB44" s="273">
        <f t="shared" si="27"/>
        <v>0</v>
      </c>
      <c r="AC44" s="260"/>
    </row>
    <row r="45" spans="1:29" ht="36" hidden="1" customHeight="1" x14ac:dyDescent="0.45">
      <c r="A45" s="302" t="str">
        <f>Horaire!A45</f>
        <v>DOUJANI</v>
      </c>
      <c r="B45" s="303">
        <f>Horaire!B45</f>
        <v>0.2986111111111111</v>
      </c>
      <c r="C45" s="303" t="str">
        <f>Horaire!C45</f>
        <v>D12</v>
      </c>
      <c r="D45" s="268" t="str">
        <f>VLOOKUP(C45,'Liste chauffeur'!$B$5:$L$19,2,TRUE)&amp;" "&amp;VLOOKUP(C45,'Liste chauffeur'!$B$5:$L$19,3,TRUE)</f>
        <v>VELOU M'COLO M'Berou</v>
      </c>
      <c r="E45" s="314"/>
      <c r="F45" s="315">
        <f t="shared" si="5"/>
        <v>1</v>
      </c>
      <c r="G45" s="315"/>
      <c r="H45" s="316"/>
      <c r="I45" s="316"/>
      <c r="J45" s="316"/>
      <c r="K45" s="314"/>
      <c r="L45" s="314">
        <f t="shared" si="6"/>
        <v>0</v>
      </c>
      <c r="M45" s="316"/>
      <c r="N45" s="316"/>
      <c r="O45" s="314"/>
      <c r="P45" s="314"/>
      <c r="Q45" s="316"/>
      <c r="R45" s="316"/>
      <c r="S45" s="314"/>
      <c r="T45" s="314"/>
      <c r="U45" s="316"/>
      <c r="V45" s="316" t="str">
        <f t="shared" si="13"/>
        <v>OK</v>
      </c>
      <c r="W45" s="314"/>
      <c r="X45" s="317"/>
      <c r="Y45" s="271" t="str">
        <f t="shared" si="24"/>
        <v/>
      </c>
      <c r="Z45" s="270">
        <f t="shared" si="25"/>
        <v>0</v>
      </c>
      <c r="AA45" s="270">
        <f t="shared" si="26"/>
        <v>0</v>
      </c>
      <c r="AB45" s="273">
        <f t="shared" si="27"/>
        <v>0</v>
      </c>
      <c r="AC45" s="260"/>
    </row>
    <row r="46" spans="1:29" ht="36" hidden="1" customHeight="1" x14ac:dyDescent="0.45">
      <c r="A46" s="302" t="str">
        <f>Horaire!A46</f>
        <v>PASSOT LA BARGE</v>
      </c>
      <c r="B46" s="303">
        <f>Horaire!B46</f>
        <v>0.2986111111111111</v>
      </c>
      <c r="C46" s="303" t="str">
        <f>Horaire!C46</f>
        <v>D3</v>
      </c>
      <c r="D46" s="268" t="str">
        <f>VLOOKUP(C46,'Liste chauffeur'!$B$5:$L$19,2,TRUE)&amp;" "&amp;VLOOKUP(C46,'Liste chauffeur'!$B$5:$L$19,3,TRUE)</f>
        <v>ABDOURAHIM Mohamed</v>
      </c>
      <c r="E46" s="314"/>
      <c r="F46" s="315">
        <f t="shared" si="5"/>
        <v>1</v>
      </c>
      <c r="G46" s="315"/>
      <c r="H46" s="316"/>
      <c r="I46" s="316"/>
      <c r="J46" s="316"/>
      <c r="K46" s="314"/>
      <c r="L46" s="314">
        <f t="shared" si="6"/>
        <v>0</v>
      </c>
      <c r="M46" s="316"/>
      <c r="N46" s="316"/>
      <c r="O46" s="314"/>
      <c r="P46" s="314"/>
      <c r="Q46" s="316"/>
      <c r="R46" s="316"/>
      <c r="S46" s="314"/>
      <c r="T46" s="314"/>
      <c r="U46" s="316"/>
      <c r="V46" s="316" t="str">
        <f t="shared" si="13"/>
        <v>OK</v>
      </c>
      <c r="W46" s="314"/>
      <c r="X46" s="317"/>
      <c r="Y46" s="271" t="str">
        <f t="shared" si="24"/>
        <v/>
      </c>
      <c r="Z46" s="270">
        <f t="shared" si="25"/>
        <v>0</v>
      </c>
      <c r="AA46" s="270">
        <f t="shared" si="26"/>
        <v>0</v>
      </c>
      <c r="AB46" s="273">
        <f t="shared" si="27"/>
        <v>0</v>
      </c>
      <c r="AC46" s="260"/>
    </row>
    <row r="47" spans="1:29" ht="36" hidden="1" customHeight="1" x14ac:dyDescent="0.45">
      <c r="A47" s="302" t="s">
        <v>527</v>
      </c>
      <c r="B47" s="303">
        <f>Horaire!B47</f>
        <v>0.2986111111111111</v>
      </c>
      <c r="C47" s="303" t="str">
        <f>Horaire!C47</f>
        <v>D5</v>
      </c>
      <c r="D47" s="268" t="str">
        <f>VLOOKUP(C47,'Liste chauffeur'!$B$5:$L$19,2,TRUE)&amp;" "&amp;VLOOKUP(C47,'Liste chauffeur'!$B$5:$L$19,3,TRUE)</f>
        <v>AMINA Selemani</v>
      </c>
      <c r="E47" s="314"/>
      <c r="F47" s="315">
        <f t="shared" si="5"/>
        <v>1</v>
      </c>
      <c r="G47" s="315"/>
      <c r="H47" s="316"/>
      <c r="I47" s="316"/>
      <c r="J47" s="316"/>
      <c r="K47" s="314"/>
      <c r="L47" s="314">
        <f t="shared" si="6"/>
        <v>0</v>
      </c>
      <c r="M47" s="316"/>
      <c r="N47" s="316"/>
      <c r="O47" s="314"/>
      <c r="P47" s="314"/>
      <c r="Q47" s="316"/>
      <c r="R47" s="316"/>
      <c r="S47" s="314"/>
      <c r="T47" s="314"/>
      <c r="U47" s="316"/>
      <c r="V47" s="316"/>
      <c r="W47" s="314"/>
      <c r="X47" s="317"/>
      <c r="Y47" s="271" t="str">
        <f t="shared" si="24"/>
        <v/>
      </c>
      <c r="Z47" s="270">
        <f t="shared" si="25"/>
        <v>0</v>
      </c>
      <c r="AA47" s="270">
        <f t="shared" si="26"/>
        <v>0</v>
      </c>
      <c r="AB47" s="273">
        <f t="shared" si="27"/>
        <v>0</v>
      </c>
      <c r="AC47" s="260"/>
    </row>
    <row r="48" spans="1:29" ht="36" hidden="1" customHeight="1" x14ac:dyDescent="0.45">
      <c r="A48" s="302" t="str">
        <f>Horaire!A48</f>
        <v>PASSOT LA BARGE</v>
      </c>
      <c r="B48" s="303">
        <f>Horaire!B48</f>
        <v>0.2986111111111111</v>
      </c>
      <c r="C48" s="303" t="str">
        <f>Horaire!C48</f>
        <v>D14</v>
      </c>
      <c r="D48" s="268" t="str">
        <f>VLOOKUP(C48,'Liste chauffeur'!$B$5:$L$19,2,TRUE)&amp;" "&amp;VLOOKUP(C48,'Liste chauffeur'!$B$5:$L$19,3,TRUE)</f>
        <v>AHAMADI Laydine</v>
      </c>
      <c r="E48" s="314"/>
      <c r="F48" s="315">
        <f t="shared" si="5"/>
        <v>1</v>
      </c>
      <c r="G48" s="315"/>
      <c r="H48" s="316"/>
      <c r="I48" s="316"/>
      <c r="J48" s="316"/>
      <c r="K48" s="314"/>
      <c r="L48" s="314"/>
      <c r="M48" s="316"/>
      <c r="N48" s="316"/>
      <c r="O48" s="314"/>
      <c r="P48" s="314"/>
      <c r="Q48" s="316"/>
      <c r="R48" s="316"/>
      <c r="S48" s="314"/>
      <c r="T48" s="314"/>
      <c r="U48" s="316"/>
      <c r="V48" s="316"/>
      <c r="W48" s="314"/>
      <c r="X48" s="317"/>
      <c r="Y48" s="271" t="str">
        <f t="shared" si="24"/>
        <v/>
      </c>
      <c r="Z48" s="270">
        <f t="shared" si="25"/>
        <v>0</v>
      </c>
      <c r="AA48" s="270">
        <f t="shared" si="26"/>
        <v>0</v>
      </c>
      <c r="AB48" s="273">
        <f t="shared" si="27"/>
        <v>0</v>
      </c>
      <c r="AC48" s="260"/>
    </row>
    <row r="49" spans="1:29" ht="36" hidden="1" customHeight="1" x14ac:dyDescent="0.45">
      <c r="A49" s="302" t="str">
        <f>Horaire!A49</f>
        <v>DOUJANI</v>
      </c>
      <c r="B49" s="303">
        <f>Horaire!B49</f>
        <v>0.30555555555555558</v>
      </c>
      <c r="C49" s="303" t="str">
        <f>Horaire!C49</f>
        <v>D2</v>
      </c>
      <c r="D49" s="268" t="str">
        <f>VLOOKUP(C49,'Liste chauffeur'!$B$5:$L$19,2,TRUE)&amp;" "&amp;VLOOKUP(C49,'Liste chauffeur'!$B$5:$L$19,3,TRUE)</f>
        <v>BARAKA  Soumaila</v>
      </c>
      <c r="E49" s="314"/>
      <c r="F49" s="315">
        <f t="shared" si="5"/>
        <v>1</v>
      </c>
      <c r="G49" s="315"/>
      <c r="H49" s="316"/>
      <c r="I49" s="316"/>
      <c r="J49" s="316"/>
      <c r="K49" s="314"/>
      <c r="L49" s="314"/>
      <c r="M49" s="316"/>
      <c r="N49" s="316"/>
      <c r="O49" s="314"/>
      <c r="P49" s="314"/>
      <c r="Q49" s="316"/>
      <c r="R49" s="316"/>
      <c r="S49" s="314"/>
      <c r="T49" s="314"/>
      <c r="U49" s="316"/>
      <c r="V49" s="316"/>
      <c r="W49" s="314"/>
      <c r="X49" s="317"/>
      <c r="Y49" s="271" t="str">
        <f t="shared" si="24"/>
        <v/>
      </c>
      <c r="Z49" s="270">
        <f t="shared" si="25"/>
        <v>0</v>
      </c>
      <c r="AA49" s="270">
        <f t="shared" si="26"/>
        <v>0</v>
      </c>
      <c r="AB49" s="273">
        <f t="shared" si="27"/>
        <v>0</v>
      </c>
      <c r="AC49" s="260"/>
    </row>
    <row r="50" spans="1:29" ht="36" hidden="1" customHeight="1" x14ac:dyDescent="0.45">
      <c r="A50" s="302" t="str">
        <f>Horaire!A50</f>
        <v>PASSOT LA BARGE</v>
      </c>
      <c r="B50" s="303">
        <f>Horaire!B50</f>
        <v>0.30555555555555558</v>
      </c>
      <c r="C50" s="303" t="str">
        <f>Horaire!C50</f>
        <v>D10</v>
      </c>
      <c r="D50" s="268" t="str">
        <f>VLOOKUP(C50,'Liste chauffeur'!$B$5:$L$19,2,TRUE)&amp;" "&amp;VLOOKUP(C50,'Liste chauffeur'!$B$5:$L$19,3,TRUE)</f>
        <v>KAMARDINE Mansour (Salarié)</v>
      </c>
      <c r="E50" s="314"/>
      <c r="F50" s="315">
        <f t="shared" si="5"/>
        <v>1</v>
      </c>
      <c r="G50" s="315"/>
      <c r="H50" s="316"/>
      <c r="I50" s="316"/>
      <c r="J50" s="316"/>
      <c r="K50" s="314"/>
      <c r="L50" s="314"/>
      <c r="M50" s="316"/>
      <c r="N50" s="316"/>
      <c r="O50" s="314"/>
      <c r="P50" s="314"/>
      <c r="Q50" s="316"/>
      <c r="R50" s="316"/>
      <c r="S50" s="314"/>
      <c r="T50" s="314"/>
      <c r="U50" s="316"/>
      <c r="V50" s="316"/>
      <c r="W50" s="314"/>
      <c r="X50" s="317"/>
      <c r="Y50" s="271" t="str">
        <f t="shared" si="24"/>
        <v/>
      </c>
      <c r="Z50" s="270">
        <f t="shared" si="25"/>
        <v>0</v>
      </c>
      <c r="AA50" s="270">
        <f t="shared" si="26"/>
        <v>0</v>
      </c>
      <c r="AB50" s="273">
        <f t="shared" si="27"/>
        <v>0</v>
      </c>
      <c r="AC50" s="260"/>
    </row>
    <row r="51" spans="1:29" ht="36" hidden="1" customHeight="1" x14ac:dyDescent="0.45">
      <c r="A51" s="302" t="s">
        <v>527</v>
      </c>
      <c r="B51" s="303">
        <f>Horaire!B51</f>
        <v>0.30555555555555558</v>
      </c>
      <c r="C51" s="303" t="str">
        <f>Horaire!C51</f>
        <v>D7</v>
      </c>
      <c r="D51" s="268" t="str">
        <f>VLOOKUP(C51,'Liste chauffeur'!$B$5:$L$19,2,TRUE)&amp;" "&amp;VLOOKUP(C51,'Liste chauffeur'!$B$5:$L$19,3,TRUE)</f>
        <v>COMBO  Said</v>
      </c>
      <c r="E51" s="314"/>
      <c r="F51" s="315">
        <f t="shared" si="5"/>
        <v>1</v>
      </c>
      <c r="G51" s="315"/>
      <c r="H51" s="316"/>
      <c r="I51" s="316"/>
      <c r="J51" s="316"/>
      <c r="K51" s="314"/>
      <c r="L51" s="314"/>
      <c r="M51" s="316"/>
      <c r="N51" s="316"/>
      <c r="O51" s="314"/>
      <c r="P51" s="314"/>
      <c r="Q51" s="316"/>
      <c r="R51" s="316"/>
      <c r="S51" s="314"/>
      <c r="T51" s="314"/>
      <c r="U51" s="316"/>
      <c r="V51" s="316"/>
      <c r="W51" s="314"/>
      <c r="X51" s="317"/>
      <c r="Y51" s="271" t="str">
        <f t="shared" si="24"/>
        <v/>
      </c>
      <c r="Z51" s="270">
        <f t="shared" si="25"/>
        <v>0</v>
      </c>
      <c r="AA51" s="270">
        <f t="shared" si="26"/>
        <v>0</v>
      </c>
      <c r="AB51" s="273">
        <f t="shared" si="27"/>
        <v>0</v>
      </c>
      <c r="AC51" s="260"/>
    </row>
    <row r="52" spans="1:29" ht="36" hidden="1" customHeight="1" x14ac:dyDescent="0.45">
      <c r="A52" s="302" t="str">
        <f>Horaire!A52</f>
        <v>PASSOT LA BARGE</v>
      </c>
      <c r="B52" s="303">
        <f>Horaire!B52</f>
        <v>0.30555555555555558</v>
      </c>
      <c r="C52" s="303" t="str">
        <f>Horaire!C52</f>
        <v>D6</v>
      </c>
      <c r="D52" s="268" t="str">
        <f>VLOOKUP(C52,'Liste chauffeur'!$B$5:$L$19,2,TRUE)&amp;" "&amp;VLOOKUP(C52,'Liste chauffeur'!$B$5:$L$19,3,TRUE)</f>
        <v>ABDOU HAMIDOUNE Nassabia</v>
      </c>
      <c r="E52" s="314"/>
      <c r="F52" s="315">
        <f t="shared" si="5"/>
        <v>1</v>
      </c>
      <c r="G52" s="315"/>
      <c r="H52" s="316"/>
      <c r="I52" s="316"/>
      <c r="J52" s="316"/>
      <c r="K52" s="314"/>
      <c r="L52" s="314"/>
      <c r="M52" s="316"/>
      <c r="N52" s="316"/>
      <c r="O52" s="314"/>
      <c r="P52" s="314"/>
      <c r="Q52" s="316"/>
      <c r="R52" s="316"/>
      <c r="S52" s="314"/>
      <c r="T52" s="314"/>
      <c r="U52" s="316"/>
      <c r="V52" s="316"/>
      <c r="W52" s="314"/>
      <c r="X52" s="317"/>
      <c r="Y52" s="271" t="str">
        <f t="shared" si="24"/>
        <v/>
      </c>
      <c r="Z52" s="270">
        <f t="shared" si="25"/>
        <v>0</v>
      </c>
      <c r="AA52" s="270">
        <f t="shared" si="26"/>
        <v>0</v>
      </c>
      <c r="AB52" s="273">
        <f t="shared" si="27"/>
        <v>0</v>
      </c>
      <c r="AC52" s="260"/>
    </row>
    <row r="53" spans="1:29" ht="36" hidden="1" customHeight="1" x14ac:dyDescent="0.45">
      <c r="A53" s="302" t="str">
        <f>Horaire!A53</f>
        <v>DOUJANI</v>
      </c>
      <c r="B53" s="303">
        <f>Horaire!B53</f>
        <v>0.3125</v>
      </c>
      <c r="C53" s="303" t="str">
        <f>Horaire!C53</f>
        <v>D13</v>
      </c>
      <c r="D53" s="268" t="str">
        <f>VLOOKUP(C53,'Liste chauffeur'!$B$5:$L$19,2,TRUE)&amp;" "&amp;VLOOKUP(C53,'Liste chauffeur'!$B$5:$L$19,3,TRUE)</f>
        <v>MOURIDI Aktoir</v>
      </c>
      <c r="E53" s="314"/>
      <c r="F53" s="315">
        <f t="shared" si="5"/>
        <v>1</v>
      </c>
      <c r="G53" s="315"/>
      <c r="H53" s="316"/>
      <c r="I53" s="316"/>
      <c r="J53" s="316"/>
      <c r="K53" s="314"/>
      <c r="L53" s="314"/>
      <c r="M53" s="316"/>
      <c r="N53" s="316"/>
      <c r="O53" s="314"/>
      <c r="P53" s="314"/>
      <c r="Q53" s="316"/>
      <c r="R53" s="316"/>
      <c r="S53" s="314"/>
      <c r="T53" s="314"/>
      <c r="U53" s="316"/>
      <c r="V53" s="316"/>
      <c r="W53" s="314"/>
      <c r="X53" s="317"/>
      <c r="Y53" s="271" t="str">
        <f t="shared" si="24"/>
        <v/>
      </c>
      <c r="Z53" s="270">
        <f t="shared" si="25"/>
        <v>0</v>
      </c>
      <c r="AA53" s="270">
        <f t="shared" si="26"/>
        <v>0</v>
      </c>
      <c r="AB53" s="273">
        <f t="shared" si="27"/>
        <v>0</v>
      </c>
      <c r="AC53" s="260"/>
    </row>
    <row r="54" spans="1:29" ht="36" hidden="1" customHeight="1" x14ac:dyDescent="0.45">
      <c r="A54" s="302" t="str">
        <f>Horaire!A54</f>
        <v>PASSOT LA BARGE</v>
      </c>
      <c r="B54" s="303">
        <f>Horaire!B54</f>
        <v>0.3125</v>
      </c>
      <c r="C54" s="303" t="str">
        <f>Horaire!C54</f>
        <v>D1</v>
      </c>
      <c r="D54" s="268" t="str">
        <f>VLOOKUP(C54,'Liste chauffeur'!$B$5:$L$19,2,TRUE)&amp;" "&amp;VLOOKUP(C54,'Liste chauffeur'!$B$5:$L$19,3,TRUE)</f>
        <v>MOHAMED Ali (laglace)</v>
      </c>
      <c r="E54" s="314"/>
      <c r="F54" s="315">
        <f t="shared" si="5"/>
        <v>1</v>
      </c>
      <c r="G54" s="315"/>
      <c r="H54" s="316"/>
      <c r="I54" s="316"/>
      <c r="J54" s="316"/>
      <c r="K54" s="314"/>
      <c r="L54" s="314"/>
      <c r="M54" s="316"/>
      <c r="N54" s="316"/>
      <c r="O54" s="314"/>
      <c r="P54" s="314"/>
      <c r="Q54" s="316"/>
      <c r="R54" s="316"/>
      <c r="S54" s="314"/>
      <c r="T54" s="314"/>
      <c r="U54" s="316"/>
      <c r="V54" s="316"/>
      <c r="W54" s="314"/>
      <c r="X54" s="317"/>
      <c r="Y54" s="271" t="str">
        <f t="shared" si="24"/>
        <v/>
      </c>
      <c r="Z54" s="270">
        <f t="shared" si="25"/>
        <v>0</v>
      </c>
      <c r="AA54" s="270">
        <f t="shared" si="26"/>
        <v>0</v>
      </c>
      <c r="AB54" s="273">
        <f t="shared" si="27"/>
        <v>0</v>
      </c>
      <c r="AC54" s="260"/>
    </row>
    <row r="55" spans="1:29" ht="36" hidden="1" customHeight="1" x14ac:dyDescent="0.45">
      <c r="A55" s="302" t="s">
        <v>527</v>
      </c>
      <c r="B55" s="303">
        <f>Horaire!B55</f>
        <v>0.3125</v>
      </c>
      <c r="C55" s="303" t="str">
        <f>Horaire!C55</f>
        <v>D11</v>
      </c>
      <c r="D55" s="268" t="str">
        <f>VLOOKUP(C55,'Liste chauffeur'!$B$5:$L$19,2,TRUE)&amp;" "&amp;VLOOKUP(C55,'Liste chauffeur'!$B$5:$L$19,3,TRUE)</f>
        <v>ALLAOUI  Soibrane</v>
      </c>
      <c r="E55" s="314"/>
      <c r="F55" s="315">
        <f t="shared" si="5"/>
        <v>1</v>
      </c>
      <c r="G55" s="315"/>
      <c r="H55" s="316"/>
      <c r="I55" s="316"/>
      <c r="J55" s="316"/>
      <c r="K55" s="314"/>
      <c r="L55" s="314"/>
      <c r="M55" s="316"/>
      <c r="N55" s="316"/>
      <c r="O55" s="314"/>
      <c r="P55" s="314"/>
      <c r="Q55" s="316"/>
      <c r="R55" s="316"/>
      <c r="S55" s="314"/>
      <c r="T55" s="314"/>
      <c r="U55" s="316"/>
      <c r="V55" s="316"/>
      <c r="W55" s="314"/>
      <c r="X55" s="317"/>
      <c r="Y55" s="271" t="str">
        <f t="shared" si="24"/>
        <v/>
      </c>
      <c r="Z55" s="270">
        <f t="shared" si="25"/>
        <v>0</v>
      </c>
      <c r="AA55" s="270">
        <f t="shared" si="26"/>
        <v>0</v>
      </c>
      <c r="AB55" s="273">
        <f t="shared" si="27"/>
        <v>0</v>
      </c>
      <c r="AC55" s="260"/>
    </row>
    <row r="56" spans="1:29" ht="36" hidden="1" customHeight="1" x14ac:dyDescent="0.45">
      <c r="A56" s="302" t="str">
        <f>Horaire!A56</f>
        <v>PASSOT LA BARGE</v>
      </c>
      <c r="B56" s="303">
        <f>Horaire!B56</f>
        <v>0.3125</v>
      </c>
      <c r="C56" s="303" t="str">
        <f>Horaire!C56</f>
        <v>D4</v>
      </c>
      <c r="D56" s="268" t="str">
        <f>VLOOKUP(C56,'Liste chauffeur'!$B$5:$L$19,2,TRUE)&amp;" "&amp;VLOOKUP(C56,'Liste chauffeur'!$B$5:$L$19,3,TRUE)</f>
        <v>AMBDI  Houmadi</v>
      </c>
      <c r="E56" s="314"/>
      <c r="F56" s="315">
        <f t="shared" si="5"/>
        <v>1</v>
      </c>
      <c r="G56" s="315"/>
      <c r="H56" s="316"/>
      <c r="I56" s="316"/>
      <c r="J56" s="316"/>
      <c r="K56" s="314"/>
      <c r="L56" s="314"/>
      <c r="M56" s="316"/>
      <c r="N56" s="316"/>
      <c r="O56" s="314"/>
      <c r="P56" s="314"/>
      <c r="Q56" s="316"/>
      <c r="R56" s="316"/>
      <c r="S56" s="314"/>
      <c r="T56" s="314"/>
      <c r="U56" s="316"/>
      <c r="V56" s="316"/>
      <c r="W56" s="314"/>
      <c r="X56" s="317"/>
      <c r="Y56" s="271"/>
      <c r="Z56" s="270">
        <f t="shared" ref="Z56:Z120" si="28">H56+J56-I56</f>
        <v>0</v>
      </c>
      <c r="AA56" s="270">
        <f t="shared" ref="AA56:AA120" si="29">IF(F56=1,0,AA$6)</f>
        <v>0</v>
      </c>
      <c r="AB56" s="273">
        <f t="shared" ref="AB56:AB120" si="30">IF(AA56=0,0,Z56/AA56)</f>
        <v>0</v>
      </c>
      <c r="AC56" s="260"/>
    </row>
    <row r="57" spans="1:29" ht="36" hidden="1" customHeight="1" x14ac:dyDescent="0.45">
      <c r="A57" s="302" t="str">
        <f>Horaire!A57</f>
        <v>DOUJANI</v>
      </c>
      <c r="B57" s="303">
        <f>Horaire!B57</f>
        <v>0.31944444444444442</v>
      </c>
      <c r="C57" s="303" t="str">
        <f>Horaire!C57</f>
        <v>D3</v>
      </c>
      <c r="D57" s="268" t="str">
        <f>VLOOKUP(C57,'Liste chauffeur'!$B$5:$L$19,2,TRUE)&amp;" "&amp;VLOOKUP(C57,'Liste chauffeur'!$B$5:$L$19,3,TRUE)</f>
        <v>ABDOURAHIM Mohamed</v>
      </c>
      <c r="E57" s="314"/>
      <c r="F57" s="315">
        <f t="shared" si="5"/>
        <v>1</v>
      </c>
      <c r="G57" s="315"/>
      <c r="H57" s="316"/>
      <c r="I57" s="316"/>
      <c r="J57" s="316"/>
      <c r="K57" s="314"/>
      <c r="L57" s="314"/>
      <c r="M57" s="316"/>
      <c r="N57" s="316"/>
      <c r="O57" s="314"/>
      <c r="P57" s="314"/>
      <c r="Q57" s="316"/>
      <c r="R57" s="316"/>
      <c r="S57" s="314"/>
      <c r="T57" s="314"/>
      <c r="U57" s="316"/>
      <c r="V57" s="316"/>
      <c r="W57" s="314"/>
      <c r="X57" s="317"/>
      <c r="Y57" s="271"/>
      <c r="Z57" s="270">
        <f t="shared" si="28"/>
        <v>0</v>
      </c>
      <c r="AA57" s="270">
        <f t="shared" si="29"/>
        <v>0</v>
      </c>
      <c r="AB57" s="273">
        <f t="shared" si="30"/>
        <v>0</v>
      </c>
      <c r="AC57" s="260"/>
    </row>
    <row r="58" spans="1:29" ht="36" hidden="1" customHeight="1" x14ac:dyDescent="0.45">
      <c r="A58" s="302" t="str">
        <f>Horaire!A58</f>
        <v>PASSOT LA BARGE</v>
      </c>
      <c r="B58" s="303">
        <f>Horaire!B58</f>
        <v>0.31944444444444442</v>
      </c>
      <c r="C58" s="303" t="str">
        <f>Horaire!C58</f>
        <v>D12</v>
      </c>
      <c r="D58" s="268" t="str">
        <f>VLOOKUP(C58,'Liste chauffeur'!$B$5:$L$19,2,TRUE)&amp;" "&amp;VLOOKUP(C58,'Liste chauffeur'!$B$5:$L$19,3,TRUE)</f>
        <v>VELOU M'COLO M'Berou</v>
      </c>
      <c r="E58" s="314"/>
      <c r="F58" s="315">
        <f t="shared" si="5"/>
        <v>1</v>
      </c>
      <c r="G58" s="315"/>
      <c r="H58" s="316"/>
      <c r="I58" s="316"/>
      <c r="J58" s="316"/>
      <c r="K58" s="314"/>
      <c r="L58" s="314"/>
      <c r="M58" s="316"/>
      <c r="N58" s="316"/>
      <c r="O58" s="314"/>
      <c r="P58" s="314"/>
      <c r="Q58" s="316"/>
      <c r="R58" s="316"/>
      <c r="S58" s="314"/>
      <c r="T58" s="314"/>
      <c r="U58" s="316"/>
      <c r="V58" s="316"/>
      <c r="W58" s="314"/>
      <c r="X58" s="317"/>
      <c r="Y58" s="271"/>
      <c r="Z58" s="270">
        <f t="shared" si="28"/>
        <v>0</v>
      </c>
      <c r="AA58" s="270">
        <f t="shared" si="29"/>
        <v>0</v>
      </c>
      <c r="AB58" s="273">
        <f t="shared" si="30"/>
        <v>0</v>
      </c>
      <c r="AC58" s="260"/>
    </row>
    <row r="59" spans="1:29" ht="36" hidden="1" customHeight="1" x14ac:dyDescent="0.45">
      <c r="A59" s="302" t="s">
        <v>527</v>
      </c>
      <c r="B59" s="303">
        <f>Horaire!B59</f>
        <v>0.31944444444444442</v>
      </c>
      <c r="C59" s="303" t="str">
        <f>Horaire!C59</f>
        <v>D14</v>
      </c>
      <c r="D59" s="268" t="str">
        <f>VLOOKUP(C59,'Liste chauffeur'!$B$5:$L$19,2,TRUE)&amp;" "&amp;VLOOKUP(C59,'Liste chauffeur'!$B$5:$L$19,3,TRUE)</f>
        <v>AHAMADI Laydine</v>
      </c>
      <c r="E59" s="314"/>
      <c r="F59" s="315">
        <f t="shared" si="5"/>
        <v>1</v>
      </c>
      <c r="G59" s="315"/>
      <c r="H59" s="316"/>
      <c r="I59" s="316"/>
      <c r="J59" s="316"/>
      <c r="K59" s="314"/>
      <c r="L59" s="314"/>
      <c r="M59" s="316"/>
      <c r="N59" s="316"/>
      <c r="O59" s="314"/>
      <c r="P59" s="314"/>
      <c r="Q59" s="316"/>
      <c r="R59" s="316"/>
      <c r="S59" s="314"/>
      <c r="T59" s="314"/>
      <c r="U59" s="316"/>
      <c r="V59" s="316"/>
      <c r="W59" s="314"/>
      <c r="X59" s="317"/>
      <c r="Y59" s="271"/>
      <c r="Z59" s="270">
        <f t="shared" si="28"/>
        <v>0</v>
      </c>
      <c r="AA59" s="270">
        <f t="shared" si="29"/>
        <v>0</v>
      </c>
      <c r="AB59" s="273">
        <f t="shared" si="30"/>
        <v>0</v>
      </c>
      <c r="AC59" s="260"/>
    </row>
    <row r="60" spans="1:29" ht="36" hidden="1" customHeight="1" x14ac:dyDescent="0.45">
      <c r="A60" s="302" t="str">
        <f>Horaire!A60</f>
        <v>PASSOT LA BARGE</v>
      </c>
      <c r="B60" s="303">
        <f>Horaire!B60</f>
        <v>0.31944444444444442</v>
      </c>
      <c r="C60" s="303" t="str">
        <f>Horaire!C60</f>
        <v>D5</v>
      </c>
      <c r="D60" s="268" t="str">
        <f>VLOOKUP(C60,'Liste chauffeur'!$B$5:$L$19,2,TRUE)&amp;" "&amp;VLOOKUP(C60,'Liste chauffeur'!$B$5:$L$19,3,TRUE)</f>
        <v>AMINA Selemani</v>
      </c>
      <c r="E60" s="314"/>
      <c r="F60" s="315">
        <f t="shared" si="5"/>
        <v>1</v>
      </c>
      <c r="G60" s="315"/>
      <c r="H60" s="316"/>
      <c r="I60" s="316"/>
      <c r="J60" s="316"/>
      <c r="K60" s="314"/>
      <c r="L60" s="314"/>
      <c r="M60" s="316"/>
      <c r="N60" s="316"/>
      <c r="O60" s="314"/>
      <c r="P60" s="314"/>
      <c r="Q60" s="316"/>
      <c r="R60" s="316"/>
      <c r="S60" s="314"/>
      <c r="T60" s="314"/>
      <c r="U60" s="316"/>
      <c r="V60" s="316"/>
      <c r="W60" s="314"/>
      <c r="X60" s="317"/>
      <c r="Y60" s="271"/>
      <c r="Z60" s="270">
        <f t="shared" si="28"/>
        <v>0</v>
      </c>
      <c r="AA60" s="270">
        <f t="shared" si="29"/>
        <v>0</v>
      </c>
      <c r="AB60" s="273">
        <f t="shared" si="30"/>
        <v>0</v>
      </c>
      <c r="AC60" s="260"/>
    </row>
    <row r="61" spans="1:29" ht="36" hidden="1" customHeight="1" x14ac:dyDescent="0.45">
      <c r="A61" s="302" t="str">
        <f>Horaire!A61</f>
        <v>DOUJANI</v>
      </c>
      <c r="B61" s="303">
        <f>Horaire!B61</f>
        <v>0.3263888888888889</v>
      </c>
      <c r="C61" s="303" t="str">
        <f>Horaire!C61</f>
        <v>D10</v>
      </c>
      <c r="D61" s="268" t="str">
        <f>VLOOKUP(C61,'Liste chauffeur'!$B$5:$L$19,2,TRUE)&amp;" "&amp;VLOOKUP(C61,'Liste chauffeur'!$B$5:$L$19,3,TRUE)</f>
        <v>KAMARDINE Mansour (Salarié)</v>
      </c>
      <c r="E61" s="314"/>
      <c r="F61" s="315">
        <f t="shared" si="5"/>
        <v>1</v>
      </c>
      <c r="G61" s="315"/>
      <c r="H61" s="316"/>
      <c r="I61" s="316"/>
      <c r="J61" s="316"/>
      <c r="K61" s="314"/>
      <c r="L61" s="314"/>
      <c r="M61" s="316"/>
      <c r="N61" s="316"/>
      <c r="O61" s="314"/>
      <c r="P61" s="314"/>
      <c r="Q61" s="316"/>
      <c r="R61" s="316"/>
      <c r="S61" s="314"/>
      <c r="T61" s="314"/>
      <c r="U61" s="316"/>
      <c r="V61" s="316"/>
      <c r="W61" s="314"/>
      <c r="X61" s="317"/>
      <c r="Y61" s="271"/>
      <c r="Z61" s="270">
        <f t="shared" si="28"/>
        <v>0</v>
      </c>
      <c r="AA61" s="270">
        <f t="shared" si="29"/>
        <v>0</v>
      </c>
      <c r="AB61" s="273">
        <f t="shared" si="30"/>
        <v>0</v>
      </c>
      <c r="AC61" s="260"/>
    </row>
    <row r="62" spans="1:29" ht="36" hidden="1" customHeight="1" x14ac:dyDescent="0.45">
      <c r="A62" s="302" t="str">
        <f>Horaire!A62</f>
        <v>PASSOT LA BARGE</v>
      </c>
      <c r="B62" s="303">
        <f>Horaire!B62</f>
        <v>0.3263888888888889</v>
      </c>
      <c r="C62" s="303" t="str">
        <f>Horaire!C62</f>
        <v>D2</v>
      </c>
      <c r="D62" s="268" t="str">
        <f>VLOOKUP(C62,'Liste chauffeur'!$B$5:$L$19,2,TRUE)&amp;" "&amp;VLOOKUP(C62,'Liste chauffeur'!$B$5:$L$19,3,TRUE)</f>
        <v>BARAKA  Soumaila</v>
      </c>
      <c r="E62" s="314"/>
      <c r="F62" s="315">
        <f t="shared" si="5"/>
        <v>1</v>
      </c>
      <c r="G62" s="315"/>
      <c r="H62" s="316"/>
      <c r="I62" s="316"/>
      <c r="J62" s="316"/>
      <c r="K62" s="314"/>
      <c r="L62" s="314"/>
      <c r="M62" s="316"/>
      <c r="N62" s="316"/>
      <c r="O62" s="314"/>
      <c r="P62" s="314"/>
      <c r="Q62" s="316"/>
      <c r="R62" s="316"/>
      <c r="S62" s="314"/>
      <c r="T62" s="314"/>
      <c r="U62" s="316"/>
      <c r="V62" s="316"/>
      <c r="W62" s="314"/>
      <c r="X62" s="317"/>
      <c r="Y62" s="271"/>
      <c r="Z62" s="270">
        <f t="shared" si="28"/>
        <v>0</v>
      </c>
      <c r="AA62" s="270">
        <f t="shared" si="29"/>
        <v>0</v>
      </c>
      <c r="AB62" s="273">
        <f t="shared" si="30"/>
        <v>0</v>
      </c>
      <c r="AC62" s="260"/>
    </row>
    <row r="63" spans="1:29" ht="36" hidden="1" customHeight="1" x14ac:dyDescent="0.45">
      <c r="A63" s="302" t="s">
        <v>527</v>
      </c>
      <c r="B63" s="303">
        <f>Horaire!B63</f>
        <v>0.3263888888888889</v>
      </c>
      <c r="C63" s="303" t="str">
        <f>Horaire!C63</f>
        <v>D6</v>
      </c>
      <c r="D63" s="268" t="str">
        <f>VLOOKUP(C63,'Liste chauffeur'!$B$5:$L$19,2,TRUE)&amp;" "&amp;VLOOKUP(C63,'Liste chauffeur'!$B$5:$L$19,3,TRUE)</f>
        <v>ABDOU HAMIDOUNE Nassabia</v>
      </c>
      <c r="E63" s="314"/>
      <c r="F63" s="315">
        <f t="shared" si="5"/>
        <v>1</v>
      </c>
      <c r="G63" s="315"/>
      <c r="H63" s="316"/>
      <c r="I63" s="316"/>
      <c r="J63" s="316"/>
      <c r="K63" s="314"/>
      <c r="L63" s="314"/>
      <c r="M63" s="316"/>
      <c r="N63" s="316"/>
      <c r="O63" s="314"/>
      <c r="P63" s="314"/>
      <c r="Q63" s="316"/>
      <c r="R63" s="316"/>
      <c r="S63" s="314"/>
      <c r="T63" s="314"/>
      <c r="U63" s="316"/>
      <c r="V63" s="316"/>
      <c r="W63" s="314"/>
      <c r="X63" s="317"/>
      <c r="Y63" s="271"/>
      <c r="Z63" s="270">
        <f t="shared" si="28"/>
        <v>0</v>
      </c>
      <c r="AA63" s="270">
        <f t="shared" si="29"/>
        <v>0</v>
      </c>
      <c r="AB63" s="273">
        <f t="shared" si="30"/>
        <v>0</v>
      </c>
      <c r="AC63" s="260"/>
    </row>
    <row r="64" spans="1:29" ht="36" hidden="1" customHeight="1" x14ac:dyDescent="0.45">
      <c r="A64" s="302" t="str">
        <f>Horaire!A64</f>
        <v>PASSOT LA BARGE</v>
      </c>
      <c r="B64" s="303">
        <f>Horaire!B64</f>
        <v>0.3263888888888889</v>
      </c>
      <c r="C64" s="303" t="str">
        <f>Horaire!C64</f>
        <v>D7</v>
      </c>
      <c r="D64" s="268" t="str">
        <f>VLOOKUP(C64,'Liste chauffeur'!$B$5:$L$19,2,TRUE)&amp;" "&amp;VLOOKUP(C64,'Liste chauffeur'!$B$5:$L$19,3,TRUE)</f>
        <v>COMBO  Said</v>
      </c>
      <c r="E64" s="314"/>
      <c r="F64" s="315">
        <f t="shared" si="5"/>
        <v>1</v>
      </c>
      <c r="G64" s="315"/>
      <c r="H64" s="316"/>
      <c r="I64" s="316"/>
      <c r="J64" s="316"/>
      <c r="K64" s="314"/>
      <c r="L64" s="314"/>
      <c r="M64" s="316"/>
      <c r="N64" s="316"/>
      <c r="O64" s="314"/>
      <c r="P64" s="314"/>
      <c r="Q64" s="316"/>
      <c r="R64" s="316"/>
      <c r="S64" s="314"/>
      <c r="T64" s="314"/>
      <c r="U64" s="316"/>
      <c r="V64" s="316"/>
      <c r="W64" s="314"/>
      <c r="X64" s="317"/>
      <c r="Y64" s="271"/>
      <c r="Z64" s="270">
        <f t="shared" si="28"/>
        <v>0</v>
      </c>
      <c r="AA64" s="270">
        <f t="shared" si="29"/>
        <v>0</v>
      </c>
      <c r="AB64" s="273">
        <f t="shared" si="30"/>
        <v>0</v>
      </c>
      <c r="AC64" s="260"/>
    </row>
    <row r="65" spans="1:29" ht="36" hidden="1" customHeight="1" x14ac:dyDescent="0.45">
      <c r="A65" s="302" t="str">
        <f>Horaire!A65</f>
        <v>DOUJANI</v>
      </c>
      <c r="B65" s="303">
        <f>Horaire!B65</f>
        <v>0.33333333333333331</v>
      </c>
      <c r="C65" s="303" t="str">
        <f>Horaire!C65</f>
        <v>D1</v>
      </c>
      <c r="D65" s="268" t="str">
        <f>VLOOKUP(C65,'Liste chauffeur'!$B$5:$L$19,2,TRUE)&amp;" "&amp;VLOOKUP(C65,'Liste chauffeur'!$B$5:$L$19,3,TRUE)</f>
        <v>MOHAMED Ali (laglace)</v>
      </c>
      <c r="E65" s="314"/>
      <c r="F65" s="315">
        <f t="shared" si="5"/>
        <v>1</v>
      </c>
      <c r="G65" s="315"/>
      <c r="H65" s="316"/>
      <c r="I65" s="316"/>
      <c r="J65" s="316"/>
      <c r="K65" s="314"/>
      <c r="L65" s="314"/>
      <c r="M65" s="316"/>
      <c r="N65" s="316"/>
      <c r="O65" s="314"/>
      <c r="P65" s="314"/>
      <c r="Q65" s="316"/>
      <c r="R65" s="316"/>
      <c r="S65" s="314"/>
      <c r="T65" s="314"/>
      <c r="U65" s="316"/>
      <c r="V65" s="316"/>
      <c r="W65" s="314"/>
      <c r="X65" s="317"/>
      <c r="Y65" s="271"/>
      <c r="Z65" s="270">
        <f t="shared" si="28"/>
        <v>0</v>
      </c>
      <c r="AA65" s="270">
        <f t="shared" si="29"/>
        <v>0</v>
      </c>
      <c r="AB65" s="273">
        <f t="shared" si="30"/>
        <v>0</v>
      </c>
      <c r="AC65" s="260"/>
    </row>
    <row r="66" spans="1:29" ht="36" hidden="1" customHeight="1" x14ac:dyDescent="0.45">
      <c r="A66" s="302" t="str">
        <f>Horaire!A66</f>
        <v>PASSOT LA BARGE</v>
      </c>
      <c r="B66" s="303">
        <f>Horaire!B66</f>
        <v>0.33333333333333331</v>
      </c>
      <c r="C66" s="303" t="str">
        <f>Horaire!C66</f>
        <v>D13</v>
      </c>
      <c r="D66" s="268" t="str">
        <f>VLOOKUP(C66,'Liste chauffeur'!$B$5:$L$19,2,TRUE)&amp;" "&amp;VLOOKUP(C66,'Liste chauffeur'!$B$5:$L$19,3,TRUE)</f>
        <v>MOURIDI Aktoir</v>
      </c>
      <c r="E66" s="314"/>
      <c r="F66" s="315">
        <f t="shared" si="5"/>
        <v>1</v>
      </c>
      <c r="G66" s="315"/>
      <c r="H66" s="316"/>
      <c r="I66" s="316"/>
      <c r="J66" s="316"/>
      <c r="K66" s="314"/>
      <c r="L66" s="314"/>
      <c r="M66" s="316"/>
      <c r="N66" s="316"/>
      <c r="O66" s="314"/>
      <c r="P66" s="314"/>
      <c r="Q66" s="316"/>
      <c r="R66" s="316"/>
      <c r="S66" s="314"/>
      <c r="T66" s="314"/>
      <c r="U66" s="316"/>
      <c r="V66" s="316"/>
      <c r="W66" s="314"/>
      <c r="X66" s="317"/>
      <c r="Y66" s="271"/>
      <c r="Z66" s="270">
        <f t="shared" si="28"/>
        <v>0</v>
      </c>
      <c r="AA66" s="270">
        <f t="shared" si="29"/>
        <v>0</v>
      </c>
      <c r="AB66" s="273">
        <f t="shared" si="30"/>
        <v>0</v>
      </c>
      <c r="AC66" s="260"/>
    </row>
    <row r="67" spans="1:29" ht="36" hidden="1" customHeight="1" x14ac:dyDescent="0.45">
      <c r="A67" s="302" t="s">
        <v>527</v>
      </c>
      <c r="B67" s="303">
        <f>Horaire!B67</f>
        <v>0.33333333333333331</v>
      </c>
      <c r="C67" s="303" t="str">
        <f>Horaire!C67</f>
        <v>D4</v>
      </c>
      <c r="D67" s="268" t="str">
        <f>VLOOKUP(C67,'Liste chauffeur'!$B$5:$L$19,2,TRUE)&amp;" "&amp;VLOOKUP(C67,'Liste chauffeur'!$B$5:$L$19,3,TRUE)</f>
        <v>AMBDI  Houmadi</v>
      </c>
      <c r="E67" s="314"/>
      <c r="F67" s="315">
        <f t="shared" si="5"/>
        <v>1</v>
      </c>
      <c r="G67" s="315"/>
      <c r="H67" s="316"/>
      <c r="I67" s="316"/>
      <c r="J67" s="316"/>
      <c r="K67" s="314"/>
      <c r="L67" s="314"/>
      <c r="M67" s="316"/>
      <c r="N67" s="316"/>
      <c r="O67" s="314"/>
      <c r="P67" s="314"/>
      <c r="Q67" s="316"/>
      <c r="R67" s="316"/>
      <c r="S67" s="314"/>
      <c r="T67" s="314"/>
      <c r="U67" s="316"/>
      <c r="V67" s="316"/>
      <c r="W67" s="314"/>
      <c r="X67" s="317"/>
      <c r="Y67" s="271"/>
      <c r="Z67" s="270">
        <f t="shared" si="28"/>
        <v>0</v>
      </c>
      <c r="AA67" s="270">
        <f t="shared" si="29"/>
        <v>0</v>
      </c>
      <c r="AB67" s="273">
        <f t="shared" si="30"/>
        <v>0</v>
      </c>
      <c r="AC67" s="260"/>
    </row>
    <row r="68" spans="1:29" ht="36" hidden="1" customHeight="1" x14ac:dyDescent="0.45">
      <c r="A68" s="302" t="str">
        <f>Horaire!A68</f>
        <v>PASSOT LA BARGE</v>
      </c>
      <c r="B68" s="303">
        <f>Horaire!B68</f>
        <v>0.33333333333333331</v>
      </c>
      <c r="C68" s="303" t="str">
        <f>Horaire!C68</f>
        <v>D11</v>
      </c>
      <c r="D68" s="268" t="str">
        <f>VLOOKUP(C68,'Liste chauffeur'!$B$5:$L$19,2,TRUE)&amp;" "&amp;VLOOKUP(C68,'Liste chauffeur'!$B$5:$L$19,3,TRUE)</f>
        <v>ALLAOUI  Soibrane</v>
      </c>
      <c r="E68" s="314"/>
      <c r="F68" s="315">
        <f t="shared" si="5"/>
        <v>1</v>
      </c>
      <c r="G68" s="315"/>
      <c r="H68" s="316"/>
      <c r="I68" s="316"/>
      <c r="J68" s="316"/>
      <c r="K68" s="314"/>
      <c r="L68" s="314"/>
      <c r="M68" s="316"/>
      <c r="N68" s="316"/>
      <c r="O68" s="314"/>
      <c r="P68" s="314"/>
      <c r="Q68" s="316"/>
      <c r="R68" s="316"/>
      <c r="S68" s="314"/>
      <c r="T68" s="314"/>
      <c r="U68" s="316"/>
      <c r="V68" s="316"/>
      <c r="W68" s="314"/>
      <c r="X68" s="317"/>
      <c r="Y68" s="271"/>
      <c r="Z68" s="270">
        <f t="shared" si="28"/>
        <v>0</v>
      </c>
      <c r="AA68" s="270">
        <f t="shared" si="29"/>
        <v>0</v>
      </c>
      <c r="AB68" s="273">
        <f t="shared" si="30"/>
        <v>0</v>
      </c>
      <c r="AC68" s="260"/>
    </row>
    <row r="69" spans="1:29" ht="36" hidden="1" customHeight="1" x14ac:dyDescent="0.45">
      <c r="A69" s="302" t="str">
        <f>Horaire!A69</f>
        <v>DOUJANI</v>
      </c>
      <c r="B69" s="303">
        <f>Horaire!B69</f>
        <v>0.34722222222222221</v>
      </c>
      <c r="C69" s="303" t="str">
        <f>Horaire!C69</f>
        <v>D2</v>
      </c>
      <c r="D69" s="268" t="str">
        <f>VLOOKUP(C69,'Liste chauffeur'!$B$5:$L$19,2,TRUE)&amp;" "&amp;VLOOKUP(C69,'Liste chauffeur'!$B$5:$L$19,3,TRUE)</f>
        <v>BARAKA  Soumaila</v>
      </c>
      <c r="E69" s="314"/>
      <c r="F69" s="315">
        <f t="shared" si="5"/>
        <v>1</v>
      </c>
      <c r="G69" s="315"/>
      <c r="H69" s="316"/>
      <c r="I69" s="316"/>
      <c r="J69" s="316"/>
      <c r="K69" s="314"/>
      <c r="L69" s="314"/>
      <c r="M69" s="316"/>
      <c r="N69" s="316"/>
      <c r="O69" s="314"/>
      <c r="P69" s="314"/>
      <c r="Q69" s="316"/>
      <c r="R69" s="316"/>
      <c r="S69" s="314"/>
      <c r="T69" s="314"/>
      <c r="U69" s="316"/>
      <c r="V69" s="316"/>
      <c r="W69" s="314"/>
      <c r="X69" s="317"/>
      <c r="Y69" s="271"/>
      <c r="Z69" s="270">
        <f t="shared" si="28"/>
        <v>0</v>
      </c>
      <c r="AA69" s="270">
        <f t="shared" si="29"/>
        <v>0</v>
      </c>
      <c r="AB69" s="273">
        <f t="shared" si="30"/>
        <v>0</v>
      </c>
      <c r="AC69" s="260"/>
    </row>
    <row r="70" spans="1:29" ht="36" hidden="1" customHeight="1" x14ac:dyDescent="0.45">
      <c r="A70" s="302" t="str">
        <f>Horaire!A70</f>
        <v>PASSOT LA BARGE</v>
      </c>
      <c r="B70" s="303">
        <f>Horaire!B70</f>
        <v>0.34722222222222221</v>
      </c>
      <c r="C70" s="303" t="str">
        <f>Horaire!C70</f>
        <v>D10</v>
      </c>
      <c r="D70" s="268" t="str">
        <f>VLOOKUP(C70,'Liste chauffeur'!$B$5:$L$19,2,TRUE)&amp;" "&amp;VLOOKUP(C70,'Liste chauffeur'!$B$5:$L$19,3,TRUE)</f>
        <v>KAMARDINE Mansour (Salarié)</v>
      </c>
      <c r="E70" s="314"/>
      <c r="F70" s="315">
        <f t="shared" si="5"/>
        <v>1</v>
      </c>
      <c r="G70" s="315"/>
      <c r="H70" s="316"/>
      <c r="I70" s="316"/>
      <c r="J70" s="316"/>
      <c r="K70" s="314"/>
      <c r="L70" s="314"/>
      <c r="M70" s="316"/>
      <c r="N70" s="316"/>
      <c r="O70" s="314"/>
      <c r="P70" s="314"/>
      <c r="Q70" s="316"/>
      <c r="R70" s="316"/>
      <c r="S70" s="314"/>
      <c r="T70" s="314"/>
      <c r="U70" s="316"/>
      <c r="V70" s="316"/>
      <c r="W70" s="314"/>
      <c r="X70" s="317"/>
      <c r="Y70" s="271"/>
      <c r="Z70" s="270">
        <f t="shared" si="28"/>
        <v>0</v>
      </c>
      <c r="AA70" s="270">
        <f t="shared" si="29"/>
        <v>0</v>
      </c>
      <c r="AB70" s="273">
        <f t="shared" si="30"/>
        <v>0</v>
      </c>
      <c r="AC70" s="260"/>
    </row>
    <row r="71" spans="1:29" ht="36" hidden="1" customHeight="1" x14ac:dyDescent="0.45">
      <c r="A71" s="302" t="str">
        <f>Horaire!A71</f>
        <v>DOUJANI</v>
      </c>
      <c r="B71" s="303">
        <f>Horaire!B71</f>
        <v>0.3611111111111111</v>
      </c>
      <c r="C71" s="303" t="str">
        <f>Horaire!C71</f>
        <v>D11</v>
      </c>
      <c r="D71" s="268" t="str">
        <f>VLOOKUP(C71,'Liste chauffeur'!$B$5:$L$19,2,TRUE)&amp;" "&amp;VLOOKUP(C71,'Liste chauffeur'!$B$5:$L$19,3,TRUE)</f>
        <v>ALLAOUI  Soibrane</v>
      </c>
      <c r="E71" s="314"/>
      <c r="F71" s="315">
        <f t="shared" si="5"/>
        <v>1</v>
      </c>
      <c r="G71" s="315"/>
      <c r="H71" s="316"/>
      <c r="I71" s="316"/>
      <c r="J71" s="316"/>
      <c r="K71" s="314"/>
      <c r="L71" s="314"/>
      <c r="M71" s="316"/>
      <c r="N71" s="316"/>
      <c r="O71" s="314"/>
      <c r="P71" s="314"/>
      <c r="Q71" s="316"/>
      <c r="R71" s="316"/>
      <c r="S71" s="314"/>
      <c r="T71" s="314"/>
      <c r="U71" s="316"/>
      <c r="V71" s="316"/>
      <c r="W71" s="314"/>
      <c r="X71" s="317"/>
      <c r="Y71" s="271"/>
      <c r="Z71" s="270">
        <f t="shared" si="28"/>
        <v>0</v>
      </c>
      <c r="AA71" s="270">
        <f t="shared" si="29"/>
        <v>0</v>
      </c>
      <c r="AB71" s="273">
        <f t="shared" si="30"/>
        <v>0</v>
      </c>
      <c r="AC71" s="260"/>
    </row>
    <row r="72" spans="1:29" ht="36" hidden="1" customHeight="1" x14ac:dyDescent="0.45">
      <c r="A72" s="302" t="str">
        <f>Horaire!A72</f>
        <v>PASSOT LA BARGE</v>
      </c>
      <c r="B72" s="303">
        <f>Horaire!B72</f>
        <v>0.3611111111111111</v>
      </c>
      <c r="C72" s="303" t="str">
        <f>Horaire!C72</f>
        <v>D4</v>
      </c>
      <c r="D72" s="268" t="str">
        <f>VLOOKUP(C72,'Liste chauffeur'!$B$5:$L$19,2,TRUE)&amp;" "&amp;VLOOKUP(C72,'Liste chauffeur'!$B$5:$L$19,3,TRUE)</f>
        <v>AMBDI  Houmadi</v>
      </c>
      <c r="E72" s="314"/>
      <c r="F72" s="315">
        <f t="shared" si="5"/>
        <v>1</v>
      </c>
      <c r="G72" s="315"/>
      <c r="H72" s="316"/>
      <c r="I72" s="316"/>
      <c r="J72" s="316"/>
      <c r="K72" s="314"/>
      <c r="L72" s="314"/>
      <c r="M72" s="316"/>
      <c r="N72" s="316"/>
      <c r="O72" s="314"/>
      <c r="P72" s="314"/>
      <c r="Q72" s="316"/>
      <c r="R72" s="316"/>
      <c r="S72" s="314"/>
      <c r="T72" s="314"/>
      <c r="U72" s="316"/>
      <c r="V72" s="316"/>
      <c r="W72" s="314"/>
      <c r="X72" s="317"/>
      <c r="Y72" s="271"/>
      <c r="Z72" s="270">
        <f t="shared" si="28"/>
        <v>0</v>
      </c>
      <c r="AA72" s="270">
        <f t="shared" si="29"/>
        <v>0</v>
      </c>
      <c r="AB72" s="273">
        <f t="shared" si="30"/>
        <v>0</v>
      </c>
      <c r="AC72" s="260"/>
    </row>
    <row r="73" spans="1:29" ht="36" hidden="1" customHeight="1" x14ac:dyDescent="0.45">
      <c r="A73" s="302" t="str">
        <f>Horaire!A73</f>
        <v>DOUJANI</v>
      </c>
      <c r="B73" s="303">
        <f>Horaire!B73</f>
        <v>0.375</v>
      </c>
      <c r="C73" s="303" t="str">
        <f>Horaire!C73</f>
        <v>D10</v>
      </c>
      <c r="D73" s="268" t="str">
        <f>VLOOKUP(C73,'Liste chauffeur'!$B$5:$L$19,2,TRUE)&amp;" "&amp;VLOOKUP(C73,'Liste chauffeur'!$B$5:$L$19,3,TRUE)</f>
        <v>KAMARDINE Mansour (Salarié)</v>
      </c>
      <c r="E73" s="314"/>
      <c r="F73" s="315">
        <f t="shared" si="5"/>
        <v>1</v>
      </c>
      <c r="G73" s="315"/>
      <c r="H73" s="316"/>
      <c r="I73" s="316"/>
      <c r="J73" s="316"/>
      <c r="K73" s="314"/>
      <c r="L73" s="314"/>
      <c r="M73" s="316"/>
      <c r="N73" s="316"/>
      <c r="O73" s="314"/>
      <c r="P73" s="314"/>
      <c r="Q73" s="316"/>
      <c r="R73" s="316"/>
      <c r="S73" s="314"/>
      <c r="T73" s="314"/>
      <c r="U73" s="316"/>
      <c r="V73" s="316"/>
      <c r="W73" s="314"/>
      <c r="X73" s="317"/>
      <c r="Y73" s="271"/>
      <c r="Z73" s="270">
        <f t="shared" si="28"/>
        <v>0</v>
      </c>
      <c r="AA73" s="270">
        <f t="shared" si="29"/>
        <v>0</v>
      </c>
      <c r="AB73" s="273">
        <f t="shared" si="30"/>
        <v>0</v>
      </c>
      <c r="AC73" s="260"/>
    </row>
    <row r="74" spans="1:29" ht="36" hidden="1" customHeight="1" x14ac:dyDescent="0.45">
      <c r="A74" s="302" t="str">
        <f>Horaire!A74</f>
        <v>PASSOT LA BARGE</v>
      </c>
      <c r="B74" s="303">
        <f>Horaire!B74</f>
        <v>0.375</v>
      </c>
      <c r="C74" s="303" t="str">
        <f>Horaire!C74</f>
        <v>D2</v>
      </c>
      <c r="D74" s="268" t="str">
        <f>VLOOKUP(C74,'Liste chauffeur'!$B$5:$L$19,2,TRUE)&amp;" "&amp;VLOOKUP(C74,'Liste chauffeur'!$B$5:$L$19,3,TRUE)</f>
        <v>BARAKA  Soumaila</v>
      </c>
      <c r="E74" s="314"/>
      <c r="F74" s="315">
        <f t="shared" si="5"/>
        <v>1</v>
      </c>
      <c r="G74" s="315"/>
      <c r="H74" s="316"/>
      <c r="I74" s="316"/>
      <c r="J74" s="316"/>
      <c r="K74" s="314"/>
      <c r="L74" s="314"/>
      <c r="M74" s="316"/>
      <c r="N74" s="316"/>
      <c r="O74" s="314"/>
      <c r="P74" s="314"/>
      <c r="Q74" s="316"/>
      <c r="R74" s="316"/>
      <c r="S74" s="314"/>
      <c r="T74" s="314"/>
      <c r="U74" s="316"/>
      <c r="V74" s="316"/>
      <c r="W74" s="314"/>
      <c r="X74" s="317"/>
      <c r="Y74" s="271"/>
      <c r="Z74" s="270">
        <f t="shared" si="28"/>
        <v>0</v>
      </c>
      <c r="AA74" s="270">
        <f t="shared" si="29"/>
        <v>0</v>
      </c>
      <c r="AB74" s="273">
        <f t="shared" si="30"/>
        <v>0</v>
      </c>
      <c r="AC74" s="260"/>
    </row>
    <row r="75" spans="1:29" ht="36" hidden="1" customHeight="1" x14ac:dyDescent="0.45">
      <c r="A75" s="302" t="str">
        <f>Horaire!A75</f>
        <v>DOUJANI</v>
      </c>
      <c r="B75" s="303">
        <f>Horaire!B75</f>
        <v>0.3888888888888889</v>
      </c>
      <c r="C75" s="303" t="str">
        <f>Horaire!C75</f>
        <v>D4</v>
      </c>
      <c r="D75" s="268" t="str">
        <f>VLOOKUP(C75,'Liste chauffeur'!$B$5:$L$19,2,TRUE)&amp;" "&amp;VLOOKUP(C75,'Liste chauffeur'!$B$5:$L$19,3,TRUE)</f>
        <v>AMBDI  Houmadi</v>
      </c>
      <c r="E75" s="314"/>
      <c r="F75" s="315">
        <f t="shared" si="5"/>
        <v>1</v>
      </c>
      <c r="G75" s="315"/>
      <c r="H75" s="316"/>
      <c r="I75" s="316"/>
      <c r="J75" s="316"/>
      <c r="K75" s="314"/>
      <c r="L75" s="314"/>
      <c r="M75" s="316"/>
      <c r="N75" s="316"/>
      <c r="O75" s="314"/>
      <c r="P75" s="314"/>
      <c r="Q75" s="316"/>
      <c r="R75" s="316"/>
      <c r="S75" s="314"/>
      <c r="T75" s="314"/>
      <c r="U75" s="316"/>
      <c r="V75" s="316"/>
      <c r="W75" s="314"/>
      <c r="X75" s="317"/>
      <c r="Y75" s="271"/>
      <c r="Z75" s="270">
        <f t="shared" si="28"/>
        <v>0</v>
      </c>
      <c r="AA75" s="270">
        <f t="shared" si="29"/>
        <v>0</v>
      </c>
      <c r="AB75" s="273">
        <f t="shared" si="30"/>
        <v>0</v>
      </c>
      <c r="AC75" s="260"/>
    </row>
    <row r="76" spans="1:29" ht="36" hidden="1" customHeight="1" x14ac:dyDescent="0.45">
      <c r="A76" s="302" t="str">
        <f>Horaire!A76</f>
        <v>PASSOT LA BARGE</v>
      </c>
      <c r="B76" s="303">
        <f>Horaire!B76</f>
        <v>0.3888888888888889</v>
      </c>
      <c r="C76" s="303" t="str">
        <f>Horaire!C76</f>
        <v>D11</v>
      </c>
      <c r="D76" s="268" t="str">
        <f>VLOOKUP(C76,'Liste chauffeur'!$B$5:$L$19,2,TRUE)&amp;" "&amp;VLOOKUP(C76,'Liste chauffeur'!$B$5:$L$19,3,TRUE)</f>
        <v>ALLAOUI  Soibrane</v>
      </c>
      <c r="E76" s="314"/>
      <c r="F76" s="315">
        <f t="shared" ref="F76:F140" si="31">COUNTBLANK(E76)</f>
        <v>1</v>
      </c>
      <c r="G76" s="315"/>
      <c r="H76" s="316"/>
      <c r="I76" s="316"/>
      <c r="J76" s="316"/>
      <c r="K76" s="314"/>
      <c r="L76" s="314"/>
      <c r="M76" s="316"/>
      <c r="N76" s="316"/>
      <c r="O76" s="314"/>
      <c r="P76" s="314"/>
      <c r="Q76" s="316"/>
      <c r="R76" s="316"/>
      <c r="S76" s="314"/>
      <c r="T76" s="314"/>
      <c r="U76" s="316"/>
      <c r="V76" s="316"/>
      <c r="W76" s="314"/>
      <c r="X76" s="317"/>
      <c r="Y76" s="271"/>
      <c r="Z76" s="270">
        <f t="shared" si="28"/>
        <v>0</v>
      </c>
      <c r="AA76" s="270">
        <f t="shared" si="29"/>
        <v>0</v>
      </c>
      <c r="AB76" s="273">
        <f t="shared" si="30"/>
        <v>0</v>
      </c>
      <c r="AC76" s="260"/>
    </row>
    <row r="77" spans="1:29" ht="36" hidden="1" customHeight="1" x14ac:dyDescent="0.45">
      <c r="A77" s="302" t="str">
        <f>Horaire!A77</f>
        <v>DOUJANI</v>
      </c>
      <c r="B77" s="303">
        <f>Horaire!B77</f>
        <v>0.40277777777777779</v>
      </c>
      <c r="C77" s="303" t="str">
        <f>Horaire!C77</f>
        <v>D2</v>
      </c>
      <c r="D77" s="268" t="str">
        <f>VLOOKUP(C77,'Liste chauffeur'!$B$5:$L$19,2,TRUE)&amp;" "&amp;VLOOKUP(C77,'Liste chauffeur'!$B$5:$L$19,3,TRUE)</f>
        <v>BARAKA  Soumaila</v>
      </c>
      <c r="E77" s="314"/>
      <c r="F77" s="315">
        <f t="shared" si="31"/>
        <v>1</v>
      </c>
      <c r="G77" s="315"/>
      <c r="H77" s="316"/>
      <c r="I77" s="316"/>
      <c r="J77" s="316"/>
      <c r="K77" s="314"/>
      <c r="L77" s="314"/>
      <c r="M77" s="316"/>
      <c r="N77" s="316"/>
      <c r="O77" s="314"/>
      <c r="P77" s="314"/>
      <c r="Q77" s="316"/>
      <c r="R77" s="316"/>
      <c r="S77" s="314"/>
      <c r="T77" s="314"/>
      <c r="U77" s="316"/>
      <c r="V77" s="316"/>
      <c r="W77" s="314"/>
      <c r="X77" s="317"/>
      <c r="Y77" s="271"/>
      <c r="Z77" s="270">
        <f t="shared" si="28"/>
        <v>0</v>
      </c>
      <c r="AA77" s="270">
        <f t="shared" si="29"/>
        <v>0</v>
      </c>
      <c r="AB77" s="273">
        <f t="shared" si="30"/>
        <v>0</v>
      </c>
      <c r="AC77" s="260"/>
    </row>
    <row r="78" spans="1:29" ht="36" hidden="1" customHeight="1" x14ac:dyDescent="0.45">
      <c r="A78" s="302" t="str">
        <f>Horaire!A78</f>
        <v>PASSOT LA BARGE</v>
      </c>
      <c r="B78" s="303">
        <f>Horaire!B78</f>
        <v>0.40277777777777779</v>
      </c>
      <c r="C78" s="303" t="str">
        <f>Horaire!C78</f>
        <v>D10</v>
      </c>
      <c r="D78" s="268" t="str">
        <f>VLOOKUP(C78,'Liste chauffeur'!$B$5:$L$19,2,TRUE)&amp;" "&amp;VLOOKUP(C78,'Liste chauffeur'!$B$5:$L$19,3,TRUE)</f>
        <v>KAMARDINE Mansour (Salarié)</v>
      </c>
      <c r="E78" s="314"/>
      <c r="F78" s="315">
        <f t="shared" si="31"/>
        <v>1</v>
      </c>
      <c r="G78" s="315"/>
      <c r="H78" s="316"/>
      <c r="I78" s="316"/>
      <c r="J78" s="316"/>
      <c r="K78" s="314"/>
      <c r="L78" s="314"/>
      <c r="M78" s="316"/>
      <c r="N78" s="316"/>
      <c r="O78" s="314"/>
      <c r="P78" s="314"/>
      <c r="Q78" s="316"/>
      <c r="R78" s="316"/>
      <c r="S78" s="314"/>
      <c r="T78" s="314"/>
      <c r="U78" s="316"/>
      <c r="V78" s="316"/>
      <c r="W78" s="314"/>
      <c r="X78" s="317"/>
      <c r="Y78" s="271"/>
      <c r="Z78" s="270">
        <f t="shared" si="28"/>
        <v>0</v>
      </c>
      <c r="AA78" s="270">
        <f t="shared" si="29"/>
        <v>0</v>
      </c>
      <c r="AB78" s="273">
        <f t="shared" si="30"/>
        <v>0</v>
      </c>
      <c r="AC78" s="260"/>
    </row>
    <row r="79" spans="1:29" ht="36" hidden="1" customHeight="1" x14ac:dyDescent="0.45">
      <c r="A79" s="302" t="str">
        <f>Horaire!A79</f>
        <v>DOUJANI</v>
      </c>
      <c r="B79" s="303">
        <f>Horaire!B79</f>
        <v>0.41666666666666669</v>
      </c>
      <c r="C79" s="303" t="str">
        <f>Horaire!C79</f>
        <v>D11</v>
      </c>
      <c r="D79" s="268" t="str">
        <f>VLOOKUP(C79,'Liste chauffeur'!$B$5:$L$19,2,TRUE)&amp;" "&amp;VLOOKUP(C79,'Liste chauffeur'!$B$5:$L$19,3,TRUE)</f>
        <v>ALLAOUI  Soibrane</v>
      </c>
      <c r="E79" s="314"/>
      <c r="F79" s="315">
        <f t="shared" si="31"/>
        <v>1</v>
      </c>
      <c r="G79" s="315"/>
      <c r="H79" s="316"/>
      <c r="I79" s="316"/>
      <c r="J79" s="316"/>
      <c r="K79" s="314"/>
      <c r="L79" s="314"/>
      <c r="M79" s="316"/>
      <c r="N79" s="316"/>
      <c r="O79" s="314"/>
      <c r="P79" s="314"/>
      <c r="Q79" s="316"/>
      <c r="R79" s="316"/>
      <c r="S79" s="314"/>
      <c r="T79" s="314"/>
      <c r="U79" s="316"/>
      <c r="V79" s="316"/>
      <c r="W79" s="314"/>
      <c r="X79" s="317"/>
      <c r="Y79" s="271"/>
      <c r="Z79" s="270">
        <f t="shared" si="28"/>
        <v>0</v>
      </c>
      <c r="AA79" s="270">
        <f t="shared" si="29"/>
        <v>0</v>
      </c>
      <c r="AB79" s="273">
        <f t="shared" si="30"/>
        <v>0</v>
      </c>
      <c r="AC79" s="260"/>
    </row>
    <row r="80" spans="1:29" ht="36" hidden="1" customHeight="1" x14ac:dyDescent="0.45">
      <c r="A80" s="302" t="str">
        <f>Horaire!A80</f>
        <v>PASSOT LA BARGE</v>
      </c>
      <c r="B80" s="303">
        <f>Horaire!B80</f>
        <v>0.41666666666666669</v>
      </c>
      <c r="C80" s="303" t="str">
        <f>Horaire!C80</f>
        <v>D4</v>
      </c>
      <c r="D80" s="268" t="str">
        <f>VLOOKUP(C80,'Liste chauffeur'!$B$5:$L$19,2,TRUE)&amp;" "&amp;VLOOKUP(C80,'Liste chauffeur'!$B$5:$L$19,3,TRUE)</f>
        <v>AMBDI  Houmadi</v>
      </c>
      <c r="E80" s="314"/>
      <c r="F80" s="315">
        <f t="shared" si="31"/>
        <v>1</v>
      </c>
      <c r="G80" s="315"/>
      <c r="H80" s="316"/>
      <c r="I80" s="316"/>
      <c r="J80" s="316"/>
      <c r="K80" s="314"/>
      <c r="L80" s="314"/>
      <c r="M80" s="316"/>
      <c r="N80" s="316"/>
      <c r="O80" s="314"/>
      <c r="P80" s="314"/>
      <c r="Q80" s="316"/>
      <c r="R80" s="316"/>
      <c r="S80" s="314"/>
      <c r="T80" s="314"/>
      <c r="U80" s="316"/>
      <c r="V80" s="316"/>
      <c r="W80" s="314"/>
      <c r="X80" s="317"/>
      <c r="Y80" s="271"/>
      <c r="Z80" s="270">
        <f t="shared" si="28"/>
        <v>0</v>
      </c>
      <c r="AA80" s="270">
        <f t="shared" si="29"/>
        <v>0</v>
      </c>
      <c r="AB80" s="273">
        <f t="shared" si="30"/>
        <v>0</v>
      </c>
      <c r="AC80" s="260"/>
    </row>
    <row r="81" spans="1:29" ht="36" hidden="1" customHeight="1" x14ac:dyDescent="0.45">
      <c r="A81" s="302" t="str">
        <f>Horaire!A81</f>
        <v>DOUJANI</v>
      </c>
      <c r="B81" s="303">
        <f>Horaire!B81</f>
        <v>0.43055555555555558</v>
      </c>
      <c r="C81" s="303" t="str">
        <f>Horaire!C81</f>
        <v>D10</v>
      </c>
      <c r="D81" s="268" t="str">
        <f>VLOOKUP(C81,'Liste chauffeur'!$B$5:$L$19,2,TRUE)&amp;" "&amp;VLOOKUP(C81,'Liste chauffeur'!$B$5:$L$19,3,TRUE)</f>
        <v>KAMARDINE Mansour (Salarié)</v>
      </c>
      <c r="E81" s="314"/>
      <c r="F81" s="315">
        <f t="shared" si="31"/>
        <v>1</v>
      </c>
      <c r="G81" s="315"/>
      <c r="H81" s="316"/>
      <c r="I81" s="316"/>
      <c r="J81" s="316"/>
      <c r="K81" s="314"/>
      <c r="L81" s="314"/>
      <c r="M81" s="316"/>
      <c r="N81" s="316"/>
      <c r="O81" s="314"/>
      <c r="P81" s="314"/>
      <c r="Q81" s="316"/>
      <c r="R81" s="316"/>
      <c r="S81" s="314"/>
      <c r="T81" s="314"/>
      <c r="U81" s="316"/>
      <c r="V81" s="316"/>
      <c r="W81" s="314"/>
      <c r="X81" s="317"/>
      <c r="Y81" s="271"/>
      <c r="Z81" s="270">
        <f t="shared" si="28"/>
        <v>0</v>
      </c>
      <c r="AA81" s="270">
        <f t="shared" si="29"/>
        <v>0</v>
      </c>
      <c r="AB81" s="273">
        <f t="shared" si="30"/>
        <v>0</v>
      </c>
      <c r="AC81" s="260"/>
    </row>
    <row r="82" spans="1:29" ht="36" hidden="1" customHeight="1" x14ac:dyDescent="0.45">
      <c r="A82" s="302" t="str">
        <f>Horaire!A82</f>
        <v>PASSOT LA BARGE</v>
      </c>
      <c r="B82" s="303">
        <f>Horaire!B82</f>
        <v>0.43055555555555558</v>
      </c>
      <c r="C82" s="303" t="str">
        <f>Horaire!C82</f>
        <v>D2</v>
      </c>
      <c r="D82" s="268" t="str">
        <f>VLOOKUP(C82,'Liste chauffeur'!$B$5:$L$19,2,TRUE)&amp;" "&amp;VLOOKUP(C82,'Liste chauffeur'!$B$5:$L$19,3,TRUE)</f>
        <v>BARAKA  Soumaila</v>
      </c>
      <c r="E82" s="314"/>
      <c r="F82" s="315">
        <f t="shared" si="31"/>
        <v>1</v>
      </c>
      <c r="G82" s="315"/>
      <c r="H82" s="316"/>
      <c r="I82" s="316"/>
      <c r="J82" s="316"/>
      <c r="K82" s="314"/>
      <c r="L82" s="314"/>
      <c r="M82" s="316"/>
      <c r="N82" s="316"/>
      <c r="O82" s="314"/>
      <c r="P82" s="314"/>
      <c r="Q82" s="316"/>
      <c r="R82" s="316"/>
      <c r="S82" s="314"/>
      <c r="T82" s="314"/>
      <c r="U82" s="316"/>
      <c r="V82" s="316"/>
      <c r="W82" s="314"/>
      <c r="X82" s="317"/>
      <c r="Y82" s="271"/>
      <c r="Z82" s="270">
        <f t="shared" si="28"/>
        <v>0</v>
      </c>
      <c r="AA82" s="270">
        <f t="shared" si="29"/>
        <v>0</v>
      </c>
      <c r="AB82" s="273">
        <f t="shared" si="30"/>
        <v>0</v>
      </c>
      <c r="AC82" s="260"/>
    </row>
    <row r="83" spans="1:29" ht="36" hidden="1" customHeight="1" x14ac:dyDescent="0.45">
      <c r="A83" s="302" t="str">
        <f>Horaire!A83</f>
        <v>DOUJANI</v>
      </c>
      <c r="B83" s="303">
        <f>Horaire!B83</f>
        <v>0.44444444444444442</v>
      </c>
      <c r="C83" s="303" t="str">
        <f>Horaire!C83</f>
        <v>D4</v>
      </c>
      <c r="D83" s="268" t="str">
        <f>VLOOKUP(C83,'Liste chauffeur'!$B$5:$L$19,2,TRUE)&amp;" "&amp;VLOOKUP(C83,'Liste chauffeur'!$B$5:$L$19,3,TRUE)</f>
        <v>AMBDI  Houmadi</v>
      </c>
      <c r="E83" s="314"/>
      <c r="F83" s="315">
        <f t="shared" si="31"/>
        <v>1</v>
      </c>
      <c r="G83" s="315"/>
      <c r="H83" s="316"/>
      <c r="I83" s="316"/>
      <c r="J83" s="316"/>
      <c r="K83" s="314"/>
      <c r="L83" s="314"/>
      <c r="M83" s="316"/>
      <c r="N83" s="316"/>
      <c r="O83" s="314"/>
      <c r="P83" s="314"/>
      <c r="Q83" s="316"/>
      <c r="R83" s="316"/>
      <c r="S83" s="314"/>
      <c r="T83" s="314"/>
      <c r="U83" s="316"/>
      <c r="V83" s="316"/>
      <c r="W83" s="314"/>
      <c r="X83" s="317"/>
      <c r="Y83" s="271"/>
      <c r="Z83" s="270">
        <f t="shared" si="28"/>
        <v>0</v>
      </c>
      <c r="AA83" s="270">
        <f t="shared" si="29"/>
        <v>0</v>
      </c>
      <c r="AB83" s="273">
        <f t="shared" si="30"/>
        <v>0</v>
      </c>
      <c r="AC83" s="260"/>
    </row>
    <row r="84" spans="1:29" ht="36" hidden="1" customHeight="1" x14ac:dyDescent="0.45">
      <c r="A84" s="302" t="str">
        <f>Horaire!A84</f>
        <v>PASSOT LA BARGE</v>
      </c>
      <c r="B84" s="303">
        <f>Horaire!B84</f>
        <v>0.44444444444444442</v>
      </c>
      <c r="C84" s="303" t="str">
        <f>Horaire!C84</f>
        <v>D11</v>
      </c>
      <c r="D84" s="268" t="str">
        <f>VLOOKUP(C84,'Liste chauffeur'!$B$5:$L$19,2,TRUE)&amp;" "&amp;VLOOKUP(C84,'Liste chauffeur'!$B$5:$L$19,3,TRUE)</f>
        <v>ALLAOUI  Soibrane</v>
      </c>
      <c r="E84" s="314"/>
      <c r="F84" s="315">
        <f t="shared" si="31"/>
        <v>1</v>
      </c>
      <c r="G84" s="315"/>
      <c r="H84" s="316"/>
      <c r="I84" s="316"/>
      <c r="J84" s="316"/>
      <c r="K84" s="314"/>
      <c r="L84" s="314"/>
      <c r="M84" s="316"/>
      <c r="N84" s="316"/>
      <c r="O84" s="314"/>
      <c r="P84" s="314"/>
      <c r="Q84" s="316"/>
      <c r="R84" s="316"/>
      <c r="S84" s="314"/>
      <c r="T84" s="314"/>
      <c r="U84" s="316"/>
      <c r="V84" s="316"/>
      <c r="W84" s="314"/>
      <c r="X84" s="317"/>
      <c r="Y84" s="271"/>
      <c r="Z84" s="270">
        <f t="shared" si="28"/>
        <v>0</v>
      </c>
      <c r="AA84" s="270">
        <f t="shared" si="29"/>
        <v>0</v>
      </c>
      <c r="AB84" s="273">
        <f t="shared" si="30"/>
        <v>0</v>
      </c>
      <c r="AC84" s="260"/>
    </row>
    <row r="85" spans="1:29" ht="36" hidden="1" customHeight="1" x14ac:dyDescent="0.45">
      <c r="A85" s="302" t="str">
        <f>Horaire!A85</f>
        <v>DOUJANI</v>
      </c>
      <c r="B85" s="303">
        <f>Horaire!B85</f>
        <v>0.45833333333333331</v>
      </c>
      <c r="C85" s="303" t="str">
        <f>Horaire!C85</f>
        <v>D2</v>
      </c>
      <c r="D85" s="268" t="str">
        <f>VLOOKUP(C85,'Liste chauffeur'!$B$5:$L$19,2,TRUE)&amp;" "&amp;VLOOKUP(C85,'Liste chauffeur'!$B$5:$L$19,3,TRUE)</f>
        <v>BARAKA  Soumaila</v>
      </c>
      <c r="E85" s="314"/>
      <c r="F85" s="315">
        <f t="shared" si="31"/>
        <v>1</v>
      </c>
      <c r="G85" s="315"/>
      <c r="H85" s="316"/>
      <c r="I85" s="316"/>
      <c r="J85" s="316"/>
      <c r="K85" s="314"/>
      <c r="L85" s="314"/>
      <c r="M85" s="316"/>
      <c r="N85" s="316"/>
      <c r="O85" s="314"/>
      <c r="P85" s="314"/>
      <c r="Q85" s="316"/>
      <c r="R85" s="316"/>
      <c r="S85" s="314"/>
      <c r="T85" s="314"/>
      <c r="U85" s="316"/>
      <c r="V85" s="316"/>
      <c r="W85" s="314"/>
      <c r="X85" s="317"/>
      <c r="Y85" s="271"/>
      <c r="Z85" s="270">
        <f t="shared" si="28"/>
        <v>0</v>
      </c>
      <c r="AA85" s="270">
        <f t="shared" si="29"/>
        <v>0</v>
      </c>
      <c r="AB85" s="273">
        <f t="shared" si="30"/>
        <v>0</v>
      </c>
      <c r="AC85" s="260"/>
    </row>
    <row r="86" spans="1:29" ht="36" hidden="1" customHeight="1" x14ac:dyDescent="0.45">
      <c r="A86" s="302" t="str">
        <f>Horaire!A86</f>
        <v>PASSOT LA BARGE</v>
      </c>
      <c r="B86" s="303">
        <f>Horaire!B86</f>
        <v>0.45833333333333331</v>
      </c>
      <c r="C86" s="303" t="str">
        <f>Horaire!C86</f>
        <v>D10</v>
      </c>
      <c r="D86" s="268" t="str">
        <f>VLOOKUP(C86,'Liste chauffeur'!$B$5:$L$19,2,TRUE)&amp;" "&amp;VLOOKUP(C86,'Liste chauffeur'!$B$5:$L$19,3,TRUE)</f>
        <v>KAMARDINE Mansour (Salarié)</v>
      </c>
      <c r="E86" s="314"/>
      <c r="F86" s="315">
        <f t="shared" si="31"/>
        <v>1</v>
      </c>
      <c r="G86" s="315"/>
      <c r="H86" s="316"/>
      <c r="I86" s="316"/>
      <c r="J86" s="316"/>
      <c r="K86" s="314"/>
      <c r="L86" s="314"/>
      <c r="M86" s="316"/>
      <c r="N86" s="316"/>
      <c r="O86" s="314"/>
      <c r="P86" s="314"/>
      <c r="Q86" s="316"/>
      <c r="R86" s="316"/>
      <c r="S86" s="314"/>
      <c r="T86" s="314"/>
      <c r="U86" s="316"/>
      <c r="V86" s="316"/>
      <c r="W86" s="314"/>
      <c r="X86" s="317"/>
      <c r="Y86" s="271"/>
      <c r="Z86" s="270">
        <f t="shared" si="28"/>
        <v>0</v>
      </c>
      <c r="AA86" s="270">
        <f t="shared" si="29"/>
        <v>0</v>
      </c>
      <c r="AB86" s="273">
        <f t="shared" si="30"/>
        <v>0</v>
      </c>
      <c r="AC86" s="260"/>
    </row>
    <row r="87" spans="1:29" ht="36" hidden="1" customHeight="1" x14ac:dyDescent="0.45">
      <c r="A87" s="302" t="str">
        <f>Horaire!A87</f>
        <v>DOUJANI</v>
      </c>
      <c r="B87" s="303">
        <f>Horaire!B87</f>
        <v>0.47222222222222221</v>
      </c>
      <c r="C87" s="303" t="str">
        <f>Horaire!C87</f>
        <v>D11</v>
      </c>
      <c r="D87" s="268" t="str">
        <f>VLOOKUP(C87,'Liste chauffeur'!$B$5:$L$19,2,TRUE)&amp;" "&amp;VLOOKUP(C87,'Liste chauffeur'!$B$5:$L$19,3,TRUE)</f>
        <v>ALLAOUI  Soibrane</v>
      </c>
      <c r="E87" s="314"/>
      <c r="F87" s="315">
        <f t="shared" si="31"/>
        <v>1</v>
      </c>
      <c r="G87" s="315"/>
      <c r="H87" s="316"/>
      <c r="I87" s="316"/>
      <c r="J87" s="316"/>
      <c r="K87" s="314"/>
      <c r="L87" s="314"/>
      <c r="M87" s="316"/>
      <c r="N87" s="316"/>
      <c r="O87" s="314"/>
      <c r="P87" s="314"/>
      <c r="Q87" s="316"/>
      <c r="R87" s="316"/>
      <c r="S87" s="314"/>
      <c r="T87" s="314"/>
      <c r="U87" s="316"/>
      <c r="V87" s="316"/>
      <c r="W87" s="314"/>
      <c r="X87" s="317"/>
      <c r="Y87" s="271"/>
      <c r="Z87" s="270">
        <f t="shared" si="28"/>
        <v>0</v>
      </c>
      <c r="AA87" s="270">
        <f t="shared" si="29"/>
        <v>0</v>
      </c>
      <c r="AB87" s="273">
        <f t="shared" si="30"/>
        <v>0</v>
      </c>
      <c r="AC87" s="260"/>
    </row>
    <row r="88" spans="1:29" ht="36" hidden="1" customHeight="1" x14ac:dyDescent="0.45">
      <c r="A88" s="302" t="str">
        <f>Horaire!A88</f>
        <v>PASSOT LA BARGE</v>
      </c>
      <c r="B88" s="303">
        <f>Horaire!B88</f>
        <v>0.47222222222222221</v>
      </c>
      <c r="C88" s="303" t="str">
        <f>Horaire!C88</f>
        <v>D4</v>
      </c>
      <c r="D88" s="268" t="str">
        <f>VLOOKUP(C88,'Liste chauffeur'!$B$5:$L$19,2,TRUE)&amp;" "&amp;VLOOKUP(C88,'Liste chauffeur'!$B$5:$L$19,3,TRUE)</f>
        <v>AMBDI  Houmadi</v>
      </c>
      <c r="E88" s="314"/>
      <c r="F88" s="315">
        <f t="shared" si="31"/>
        <v>1</v>
      </c>
      <c r="G88" s="315"/>
      <c r="H88" s="316"/>
      <c r="I88" s="316"/>
      <c r="J88" s="316"/>
      <c r="K88" s="314"/>
      <c r="L88" s="314"/>
      <c r="M88" s="316"/>
      <c r="N88" s="316"/>
      <c r="O88" s="314"/>
      <c r="P88" s="314"/>
      <c r="Q88" s="316"/>
      <c r="R88" s="316"/>
      <c r="S88" s="314"/>
      <c r="T88" s="314"/>
      <c r="U88" s="316"/>
      <c r="V88" s="316"/>
      <c r="W88" s="314"/>
      <c r="X88" s="317"/>
      <c r="Y88" s="271"/>
      <c r="Z88" s="270">
        <f t="shared" si="28"/>
        <v>0</v>
      </c>
      <c r="AA88" s="270">
        <f t="shared" si="29"/>
        <v>0</v>
      </c>
      <c r="AB88" s="273">
        <f t="shared" si="30"/>
        <v>0</v>
      </c>
      <c r="AC88" s="260"/>
    </row>
    <row r="89" spans="1:29" ht="36" hidden="1" customHeight="1" x14ac:dyDescent="0.45">
      <c r="A89" s="302" t="str">
        <f>Horaire!A89</f>
        <v>DOUJANI</v>
      </c>
      <c r="B89" s="303">
        <f>Horaire!B89</f>
        <v>0.4861111111111111</v>
      </c>
      <c r="C89" s="303" t="str">
        <f>Horaire!C89</f>
        <v>D10</v>
      </c>
      <c r="D89" s="268" t="str">
        <f>VLOOKUP(C89,'Liste chauffeur'!$B$5:$L$19,2,TRUE)&amp;" "&amp;VLOOKUP(C89,'Liste chauffeur'!$B$5:$L$19,3,TRUE)</f>
        <v>KAMARDINE Mansour (Salarié)</v>
      </c>
      <c r="E89" s="314"/>
      <c r="F89" s="315">
        <f t="shared" si="31"/>
        <v>1</v>
      </c>
      <c r="G89" s="315"/>
      <c r="H89" s="316"/>
      <c r="I89" s="316"/>
      <c r="J89" s="316"/>
      <c r="K89" s="314"/>
      <c r="L89" s="314"/>
      <c r="M89" s="316"/>
      <c r="N89" s="316"/>
      <c r="O89" s="314"/>
      <c r="P89" s="314"/>
      <c r="Q89" s="316"/>
      <c r="R89" s="316"/>
      <c r="S89" s="314"/>
      <c r="T89" s="314"/>
      <c r="U89" s="316"/>
      <c r="V89" s="316"/>
      <c r="W89" s="314"/>
      <c r="X89" s="317"/>
      <c r="Y89" s="271"/>
      <c r="Z89" s="270">
        <f t="shared" si="28"/>
        <v>0</v>
      </c>
      <c r="AA89" s="270">
        <f t="shared" si="29"/>
        <v>0</v>
      </c>
      <c r="AB89" s="273">
        <f t="shared" si="30"/>
        <v>0</v>
      </c>
      <c r="AC89" s="260"/>
    </row>
    <row r="90" spans="1:29" ht="36" hidden="1" customHeight="1" x14ac:dyDescent="0.45">
      <c r="A90" s="302" t="str">
        <f>Horaire!A90</f>
        <v>PASSOT LA BARGE</v>
      </c>
      <c r="B90" s="303">
        <f>Horaire!B90</f>
        <v>0.4861111111111111</v>
      </c>
      <c r="C90" s="303" t="str">
        <f>Horaire!C90</f>
        <v>D2</v>
      </c>
      <c r="D90" s="268" t="str">
        <f>VLOOKUP(C90,'Liste chauffeur'!$B$5:$L$19,2,TRUE)&amp;" "&amp;VLOOKUP(C90,'Liste chauffeur'!$B$5:$L$19,3,TRUE)</f>
        <v>BARAKA  Soumaila</v>
      </c>
      <c r="E90" s="314"/>
      <c r="F90" s="315">
        <f t="shared" si="31"/>
        <v>1</v>
      </c>
      <c r="G90" s="315"/>
      <c r="H90" s="316"/>
      <c r="I90" s="316"/>
      <c r="J90" s="316"/>
      <c r="K90" s="314"/>
      <c r="L90" s="314"/>
      <c r="M90" s="316"/>
      <c r="N90" s="316"/>
      <c r="O90" s="314"/>
      <c r="P90" s="314"/>
      <c r="Q90" s="316"/>
      <c r="R90" s="316"/>
      <c r="S90" s="314"/>
      <c r="T90" s="314"/>
      <c r="U90" s="316"/>
      <c r="V90" s="316"/>
      <c r="W90" s="314"/>
      <c r="X90" s="317"/>
      <c r="Y90" s="271"/>
      <c r="Z90" s="270">
        <f t="shared" si="28"/>
        <v>0</v>
      </c>
      <c r="AA90" s="270">
        <f t="shared" si="29"/>
        <v>0</v>
      </c>
      <c r="AB90" s="273">
        <f t="shared" si="30"/>
        <v>0</v>
      </c>
      <c r="AC90" s="260"/>
    </row>
    <row r="91" spans="1:29" ht="36" hidden="1" customHeight="1" x14ac:dyDescent="0.45">
      <c r="A91" s="302" t="str">
        <f>Horaire!A91</f>
        <v>DOUJANI</v>
      </c>
      <c r="B91" s="303">
        <f>Horaire!B91</f>
        <v>0.5</v>
      </c>
      <c r="C91" s="303" t="str">
        <f>Horaire!C91</f>
        <v>D4</v>
      </c>
      <c r="D91" s="268" t="str">
        <f>VLOOKUP(C91,'Liste chauffeur'!$B$5:$L$19,2,TRUE)&amp;" "&amp;VLOOKUP(C91,'Liste chauffeur'!$B$5:$L$19,3,TRUE)</f>
        <v>AMBDI  Houmadi</v>
      </c>
      <c r="E91" s="314"/>
      <c r="F91" s="315">
        <f t="shared" si="31"/>
        <v>1</v>
      </c>
      <c r="G91" s="315"/>
      <c r="H91" s="316"/>
      <c r="I91" s="316"/>
      <c r="J91" s="316"/>
      <c r="K91" s="314"/>
      <c r="L91" s="314"/>
      <c r="M91" s="316"/>
      <c r="N91" s="316"/>
      <c r="O91" s="314"/>
      <c r="P91" s="314"/>
      <c r="Q91" s="316"/>
      <c r="R91" s="316"/>
      <c r="S91" s="314"/>
      <c r="T91" s="314"/>
      <c r="U91" s="316"/>
      <c r="V91" s="316"/>
      <c r="W91" s="314"/>
      <c r="X91" s="317"/>
      <c r="Y91" s="271"/>
      <c r="Z91" s="270">
        <f t="shared" si="28"/>
        <v>0</v>
      </c>
      <c r="AA91" s="270">
        <f t="shared" si="29"/>
        <v>0</v>
      </c>
      <c r="AB91" s="273">
        <f t="shared" si="30"/>
        <v>0</v>
      </c>
      <c r="AC91" s="260"/>
    </row>
    <row r="92" spans="1:29" ht="36" hidden="1" customHeight="1" x14ac:dyDescent="0.45">
      <c r="A92" s="302" t="str">
        <f>Horaire!A92</f>
        <v>PASSOT LA BARGE</v>
      </c>
      <c r="B92" s="303">
        <f>Horaire!B92</f>
        <v>0.5</v>
      </c>
      <c r="C92" s="303" t="str">
        <f>Horaire!C92</f>
        <v>D11</v>
      </c>
      <c r="D92" s="268" t="str">
        <f>VLOOKUP(C92,'Liste chauffeur'!$B$5:$L$19,2,TRUE)&amp;" "&amp;VLOOKUP(C92,'Liste chauffeur'!$B$5:$L$19,3,TRUE)</f>
        <v>ALLAOUI  Soibrane</v>
      </c>
      <c r="E92" s="314"/>
      <c r="F92" s="315">
        <f t="shared" si="31"/>
        <v>1</v>
      </c>
      <c r="G92" s="315"/>
      <c r="H92" s="316"/>
      <c r="I92" s="316"/>
      <c r="J92" s="316"/>
      <c r="K92" s="314"/>
      <c r="L92" s="314"/>
      <c r="M92" s="316"/>
      <c r="N92" s="316"/>
      <c r="O92" s="314"/>
      <c r="P92" s="314"/>
      <c r="Q92" s="316"/>
      <c r="R92" s="316"/>
      <c r="S92" s="314"/>
      <c r="T92" s="314"/>
      <c r="U92" s="316"/>
      <c r="V92" s="316"/>
      <c r="W92" s="314"/>
      <c r="X92" s="317"/>
      <c r="Y92" s="271"/>
      <c r="Z92" s="270">
        <f t="shared" si="28"/>
        <v>0</v>
      </c>
      <c r="AA92" s="270">
        <f t="shared" si="29"/>
        <v>0</v>
      </c>
      <c r="AB92" s="273">
        <f t="shared" si="30"/>
        <v>0</v>
      </c>
      <c r="AC92" s="260"/>
    </row>
    <row r="93" spans="1:29" ht="36" hidden="1" customHeight="1" x14ac:dyDescent="0.45">
      <c r="A93" s="302"/>
      <c r="B93" s="447" t="s">
        <v>567</v>
      </c>
      <c r="C93" s="447"/>
      <c r="D93" s="282"/>
      <c r="E93" s="448"/>
      <c r="F93" s="449">
        <f>SUM(F8:F92)</f>
        <v>85</v>
      </c>
      <c r="G93" s="449">
        <f>SUM(G8:G92)</f>
        <v>0</v>
      </c>
      <c r="H93" s="450"/>
      <c r="I93" s="450"/>
      <c r="J93" s="450"/>
      <c r="K93" s="448"/>
      <c r="L93" s="448"/>
      <c r="M93" s="450"/>
      <c r="N93" s="450"/>
      <c r="O93" s="448"/>
      <c r="P93" s="448"/>
      <c r="Q93" s="450"/>
      <c r="R93" s="450"/>
      <c r="S93" s="448"/>
      <c r="T93" s="448"/>
      <c r="U93" s="450"/>
      <c r="V93" s="450"/>
      <c r="W93" s="448"/>
      <c r="X93" s="451"/>
      <c r="Y93" s="276" t="e">
        <f>AVERAGE(Y8:Y92)</f>
        <v>#DIV/0!</v>
      </c>
      <c r="Z93" s="258">
        <f>SUM(Z8:Z92)</f>
        <v>0</v>
      </c>
      <c r="AA93" s="258">
        <f>SUM(AA8:AA92)</f>
        <v>0</v>
      </c>
      <c r="AB93" s="452" t="e">
        <f>Z93/AA93</f>
        <v>#DIV/0!</v>
      </c>
      <c r="AC93" s="274"/>
    </row>
    <row r="94" spans="1:29" ht="36" hidden="1" customHeight="1" x14ac:dyDescent="0.45">
      <c r="A94" s="302" t="str">
        <f>Horaire!A93</f>
        <v>DOUJANI</v>
      </c>
      <c r="B94" s="303">
        <f>Horaire!B93</f>
        <v>0.51388888888888884</v>
      </c>
      <c r="C94" s="303" t="str">
        <f>Horaire!C93</f>
        <v>D2</v>
      </c>
      <c r="D94" s="268" t="str">
        <f>VLOOKUP(C94,'Liste chauffeur'!$B$5:$L$19,2,TRUE)&amp;" "&amp;VLOOKUP(C94,'Liste chauffeur'!$B$5:$L$19,3,TRUE)</f>
        <v>BARAKA  Soumaila</v>
      </c>
      <c r="E94" s="314"/>
      <c r="F94" s="315">
        <f t="shared" si="31"/>
        <v>1</v>
      </c>
      <c r="G94" s="315"/>
      <c r="H94" s="316"/>
      <c r="I94" s="316"/>
      <c r="J94" s="316"/>
      <c r="K94" s="314"/>
      <c r="L94" s="314"/>
      <c r="M94" s="316"/>
      <c r="N94" s="316"/>
      <c r="O94" s="314"/>
      <c r="P94" s="314"/>
      <c r="Q94" s="316"/>
      <c r="R94" s="316"/>
      <c r="S94" s="314"/>
      <c r="T94" s="314"/>
      <c r="U94" s="316"/>
      <c r="V94" s="316"/>
      <c r="W94" s="314"/>
      <c r="X94" s="317"/>
      <c r="Y94" s="271"/>
      <c r="Z94" s="270">
        <f t="shared" si="28"/>
        <v>0</v>
      </c>
      <c r="AA94" s="270">
        <f t="shared" si="29"/>
        <v>0</v>
      </c>
      <c r="AB94" s="273">
        <f t="shared" si="30"/>
        <v>0</v>
      </c>
      <c r="AC94" s="260"/>
    </row>
    <row r="95" spans="1:29" ht="36" hidden="1" customHeight="1" x14ac:dyDescent="0.45">
      <c r="A95" s="302" t="str">
        <f>Horaire!A94</f>
        <v>PASSOT LA BARGE</v>
      </c>
      <c r="B95" s="303">
        <f>Horaire!B94</f>
        <v>0.51388888888888884</v>
      </c>
      <c r="C95" s="303" t="str">
        <f>Horaire!C94</f>
        <v>D10</v>
      </c>
      <c r="D95" s="268" t="str">
        <f>VLOOKUP(C95,'Liste chauffeur'!$B$5:$L$19,2,TRUE)&amp;" "&amp;VLOOKUP(C95,'Liste chauffeur'!$B$5:$L$19,3,TRUE)</f>
        <v>KAMARDINE Mansour (Salarié)</v>
      </c>
      <c r="E95" s="314"/>
      <c r="F95" s="315">
        <f t="shared" si="31"/>
        <v>1</v>
      </c>
      <c r="G95" s="315"/>
      <c r="H95" s="316"/>
      <c r="I95" s="316"/>
      <c r="J95" s="316"/>
      <c r="K95" s="314"/>
      <c r="L95" s="314"/>
      <c r="M95" s="316"/>
      <c r="N95" s="316"/>
      <c r="O95" s="314"/>
      <c r="P95" s="314"/>
      <c r="Q95" s="316"/>
      <c r="R95" s="316"/>
      <c r="S95" s="314"/>
      <c r="T95" s="314"/>
      <c r="U95" s="316"/>
      <c r="V95" s="316"/>
      <c r="W95" s="314"/>
      <c r="X95" s="317"/>
      <c r="Y95" s="271"/>
      <c r="Z95" s="270">
        <f t="shared" si="28"/>
        <v>0</v>
      </c>
      <c r="AA95" s="270">
        <f t="shared" si="29"/>
        <v>0</v>
      </c>
      <c r="AB95" s="273">
        <f t="shared" si="30"/>
        <v>0</v>
      </c>
      <c r="AC95" s="260"/>
    </row>
    <row r="96" spans="1:29" ht="36" hidden="1" customHeight="1" x14ac:dyDescent="0.45">
      <c r="A96" s="302" t="str">
        <f>Horaire!A95</f>
        <v>DOUJANI</v>
      </c>
      <c r="B96" s="303">
        <f>Horaire!B95</f>
        <v>0.52777777777777779</v>
      </c>
      <c r="C96" s="303" t="str">
        <f>Horaire!C95</f>
        <v>D11</v>
      </c>
      <c r="D96" s="268" t="str">
        <f>VLOOKUP(C96,'Liste chauffeur'!$B$5:$L$19,2,TRUE)&amp;" "&amp;VLOOKUP(C96,'Liste chauffeur'!$B$5:$L$19,3,TRUE)</f>
        <v>ALLAOUI  Soibrane</v>
      </c>
      <c r="E96" s="314"/>
      <c r="F96" s="315">
        <f t="shared" si="31"/>
        <v>1</v>
      </c>
      <c r="G96" s="315"/>
      <c r="H96" s="316"/>
      <c r="I96" s="316"/>
      <c r="J96" s="316"/>
      <c r="K96" s="314"/>
      <c r="L96" s="314"/>
      <c r="M96" s="316"/>
      <c r="N96" s="316"/>
      <c r="O96" s="314"/>
      <c r="P96" s="314"/>
      <c r="Q96" s="316"/>
      <c r="R96" s="316"/>
      <c r="S96" s="314"/>
      <c r="T96" s="314"/>
      <c r="U96" s="316"/>
      <c r="V96" s="316"/>
      <c r="W96" s="314"/>
      <c r="X96" s="317"/>
      <c r="Y96" s="271"/>
      <c r="Z96" s="270">
        <f t="shared" si="28"/>
        <v>0</v>
      </c>
      <c r="AA96" s="270">
        <f t="shared" si="29"/>
        <v>0</v>
      </c>
      <c r="AB96" s="273">
        <f t="shared" si="30"/>
        <v>0</v>
      </c>
      <c r="AC96" s="260"/>
    </row>
    <row r="97" spans="1:29" ht="36" hidden="1" customHeight="1" x14ac:dyDescent="0.45">
      <c r="A97" s="302" t="str">
        <f>Horaire!A96</f>
        <v>PASSOT LA BARGE</v>
      </c>
      <c r="B97" s="303">
        <f>Horaire!B96</f>
        <v>0.52777777777777779</v>
      </c>
      <c r="C97" s="303" t="str">
        <f>Horaire!C96</f>
        <v>D4</v>
      </c>
      <c r="D97" s="268" t="str">
        <f>VLOOKUP(C97,'Liste chauffeur'!$B$5:$L$19,2,TRUE)&amp;" "&amp;VLOOKUP(C97,'Liste chauffeur'!$B$5:$L$19,3,TRUE)</f>
        <v>AMBDI  Houmadi</v>
      </c>
      <c r="E97" s="314"/>
      <c r="F97" s="315">
        <f t="shared" si="31"/>
        <v>1</v>
      </c>
      <c r="G97" s="315"/>
      <c r="H97" s="316"/>
      <c r="I97" s="316"/>
      <c r="J97" s="316"/>
      <c r="K97" s="314"/>
      <c r="L97" s="314"/>
      <c r="M97" s="316"/>
      <c r="N97" s="316"/>
      <c r="O97" s="314"/>
      <c r="P97" s="314"/>
      <c r="Q97" s="316"/>
      <c r="R97" s="316"/>
      <c r="S97" s="314"/>
      <c r="T97" s="314"/>
      <c r="U97" s="316"/>
      <c r="V97" s="316"/>
      <c r="W97" s="314"/>
      <c r="X97" s="317"/>
      <c r="Y97" s="271"/>
      <c r="Z97" s="270">
        <f t="shared" si="28"/>
        <v>0</v>
      </c>
      <c r="AA97" s="270">
        <f t="shared" si="29"/>
        <v>0</v>
      </c>
      <c r="AB97" s="273">
        <f t="shared" si="30"/>
        <v>0</v>
      </c>
      <c r="AC97" s="260"/>
    </row>
    <row r="98" spans="1:29" ht="36" hidden="1" customHeight="1" x14ac:dyDescent="0.45">
      <c r="A98" s="302" t="str">
        <f>Horaire!A97</f>
        <v>DOUJANI</v>
      </c>
      <c r="B98" s="303">
        <f>Horaire!B97</f>
        <v>0.54166666666666663</v>
      </c>
      <c r="C98" s="303" t="str">
        <f>Horaire!C97</f>
        <v>D10</v>
      </c>
      <c r="D98" s="268" t="str">
        <f>VLOOKUP(C98,'Liste chauffeur'!$B$5:$L$19,2,TRUE)&amp;" "&amp;VLOOKUP(C98,'Liste chauffeur'!$B$5:$L$19,3,TRUE)</f>
        <v>KAMARDINE Mansour (Salarié)</v>
      </c>
      <c r="E98" s="314"/>
      <c r="F98" s="315">
        <f t="shared" si="31"/>
        <v>1</v>
      </c>
      <c r="G98" s="315"/>
      <c r="H98" s="316"/>
      <c r="I98" s="316"/>
      <c r="J98" s="316"/>
      <c r="K98" s="314"/>
      <c r="L98" s="314"/>
      <c r="M98" s="316"/>
      <c r="N98" s="316"/>
      <c r="O98" s="314"/>
      <c r="P98" s="314"/>
      <c r="Q98" s="316"/>
      <c r="R98" s="316"/>
      <c r="S98" s="314"/>
      <c r="T98" s="314"/>
      <c r="U98" s="316"/>
      <c r="V98" s="316"/>
      <c r="W98" s="314"/>
      <c r="X98" s="317"/>
      <c r="Y98" s="271"/>
      <c r="Z98" s="270">
        <f t="shared" si="28"/>
        <v>0</v>
      </c>
      <c r="AA98" s="270">
        <f t="shared" si="29"/>
        <v>0</v>
      </c>
      <c r="AB98" s="273">
        <f t="shared" si="30"/>
        <v>0</v>
      </c>
      <c r="AC98" s="260"/>
    </row>
    <row r="99" spans="1:29" ht="36" hidden="1" customHeight="1" x14ac:dyDescent="0.45">
      <c r="A99" s="302" t="str">
        <f>Horaire!A98</f>
        <v>PASSOT LA BARGE</v>
      </c>
      <c r="B99" s="303">
        <f>Horaire!B98</f>
        <v>0.54166666666666663</v>
      </c>
      <c r="C99" s="303" t="str">
        <f>Horaire!C98</f>
        <v>D2</v>
      </c>
      <c r="D99" s="268" t="str">
        <f>VLOOKUP(C99,'Liste chauffeur'!$B$5:$L$19,2,TRUE)&amp;" "&amp;VLOOKUP(C99,'Liste chauffeur'!$B$5:$L$19,3,TRUE)</f>
        <v>BARAKA  Soumaila</v>
      </c>
      <c r="E99" s="314"/>
      <c r="F99" s="315">
        <f t="shared" si="31"/>
        <v>1</v>
      </c>
      <c r="G99" s="315"/>
      <c r="H99" s="316"/>
      <c r="I99" s="316"/>
      <c r="J99" s="316"/>
      <c r="K99" s="314"/>
      <c r="L99" s="314"/>
      <c r="M99" s="316"/>
      <c r="N99" s="316"/>
      <c r="O99" s="314"/>
      <c r="P99" s="314"/>
      <c r="Q99" s="316"/>
      <c r="R99" s="316"/>
      <c r="S99" s="314"/>
      <c r="T99" s="314"/>
      <c r="U99" s="316"/>
      <c r="V99" s="316"/>
      <c r="W99" s="314"/>
      <c r="X99" s="317"/>
      <c r="Y99" s="271"/>
      <c r="Z99" s="270">
        <f t="shared" si="28"/>
        <v>0</v>
      </c>
      <c r="AA99" s="270">
        <f t="shared" si="29"/>
        <v>0</v>
      </c>
      <c r="AB99" s="273">
        <f t="shared" si="30"/>
        <v>0</v>
      </c>
      <c r="AC99" s="260"/>
    </row>
    <row r="100" spans="1:29" ht="36" hidden="1" customHeight="1" x14ac:dyDescent="0.45">
      <c r="A100" s="302" t="str">
        <f>Horaire!A99</f>
        <v>DOUJANI</v>
      </c>
      <c r="B100" s="303">
        <f>Horaire!B99</f>
        <v>0.55555555555555558</v>
      </c>
      <c r="C100" s="303" t="str">
        <f>Horaire!C99</f>
        <v>D4</v>
      </c>
      <c r="D100" s="268" t="str">
        <f>VLOOKUP(C100,'Liste chauffeur'!$B$5:$L$19,2,TRUE)&amp;" "&amp;VLOOKUP(C100,'Liste chauffeur'!$B$5:$L$19,3,TRUE)</f>
        <v>AMBDI  Houmadi</v>
      </c>
      <c r="E100" s="314"/>
      <c r="F100" s="315">
        <f t="shared" si="31"/>
        <v>1</v>
      </c>
      <c r="G100" s="315"/>
      <c r="H100" s="316"/>
      <c r="I100" s="316"/>
      <c r="J100" s="316"/>
      <c r="K100" s="314"/>
      <c r="L100" s="314"/>
      <c r="M100" s="316"/>
      <c r="N100" s="316"/>
      <c r="O100" s="314"/>
      <c r="P100" s="314"/>
      <c r="Q100" s="316"/>
      <c r="R100" s="316"/>
      <c r="S100" s="314"/>
      <c r="T100" s="314"/>
      <c r="U100" s="316"/>
      <c r="V100" s="316"/>
      <c r="W100" s="314"/>
      <c r="X100" s="317"/>
      <c r="Y100" s="271"/>
      <c r="Z100" s="270">
        <f t="shared" si="28"/>
        <v>0</v>
      </c>
      <c r="AA100" s="270">
        <f t="shared" si="29"/>
        <v>0</v>
      </c>
      <c r="AB100" s="273">
        <f t="shared" si="30"/>
        <v>0</v>
      </c>
      <c r="AC100" s="260"/>
    </row>
    <row r="101" spans="1:29" ht="36" hidden="1" customHeight="1" x14ac:dyDescent="0.45">
      <c r="A101" s="302" t="str">
        <f>Horaire!A100</f>
        <v>PASSOT LA BARGE</v>
      </c>
      <c r="B101" s="303">
        <f>Horaire!B100</f>
        <v>0.55555555555555558</v>
      </c>
      <c r="C101" s="303" t="str">
        <f>Horaire!C100</f>
        <v>D11</v>
      </c>
      <c r="D101" s="268" t="str">
        <f>VLOOKUP(C101,'Liste chauffeur'!$B$5:$L$19,2,TRUE)&amp;" "&amp;VLOOKUP(C101,'Liste chauffeur'!$B$5:$L$19,3,TRUE)</f>
        <v>ALLAOUI  Soibrane</v>
      </c>
      <c r="E101" s="314"/>
      <c r="F101" s="315">
        <f t="shared" si="31"/>
        <v>1</v>
      </c>
      <c r="G101" s="315"/>
      <c r="H101" s="316"/>
      <c r="I101" s="316"/>
      <c r="J101" s="316"/>
      <c r="K101" s="314"/>
      <c r="L101" s="314"/>
      <c r="M101" s="316"/>
      <c r="N101" s="316"/>
      <c r="O101" s="314"/>
      <c r="P101" s="314"/>
      <c r="Q101" s="316"/>
      <c r="R101" s="316"/>
      <c r="S101" s="314"/>
      <c r="T101" s="314"/>
      <c r="U101" s="316"/>
      <c r="V101" s="316"/>
      <c r="W101" s="314"/>
      <c r="X101" s="317"/>
      <c r="Y101" s="271"/>
      <c r="Z101" s="270">
        <f t="shared" si="28"/>
        <v>0</v>
      </c>
      <c r="AA101" s="270">
        <f t="shared" si="29"/>
        <v>0</v>
      </c>
      <c r="AB101" s="273">
        <f t="shared" si="30"/>
        <v>0</v>
      </c>
      <c r="AC101" s="260"/>
    </row>
    <row r="102" spans="1:29" ht="36" hidden="1" customHeight="1" x14ac:dyDescent="0.45">
      <c r="A102" s="302" t="str">
        <f>Horaire!A101</f>
        <v>DOUJANI</v>
      </c>
      <c r="B102" s="303">
        <f>Horaire!B101</f>
        <v>0.56944444444444442</v>
      </c>
      <c r="C102" s="303" t="str">
        <f>Horaire!C101</f>
        <v>D2</v>
      </c>
      <c r="D102" s="268" t="str">
        <f>VLOOKUP(C102,'Liste chauffeur'!$B$5:$L$19,2,TRUE)&amp;" "&amp;VLOOKUP(C102,'Liste chauffeur'!$B$5:$L$19,3,TRUE)</f>
        <v>BARAKA  Soumaila</v>
      </c>
      <c r="E102" s="314"/>
      <c r="F102" s="315">
        <f t="shared" si="31"/>
        <v>1</v>
      </c>
      <c r="G102" s="315"/>
      <c r="H102" s="316"/>
      <c r="I102" s="316"/>
      <c r="J102" s="316"/>
      <c r="K102" s="314"/>
      <c r="L102" s="314"/>
      <c r="M102" s="316"/>
      <c r="N102" s="316"/>
      <c r="O102" s="314"/>
      <c r="P102" s="314"/>
      <c r="Q102" s="316"/>
      <c r="R102" s="316"/>
      <c r="S102" s="314"/>
      <c r="T102" s="314"/>
      <c r="U102" s="316"/>
      <c r="V102" s="316"/>
      <c r="W102" s="314"/>
      <c r="X102" s="317"/>
      <c r="Y102" s="271"/>
      <c r="Z102" s="270">
        <f t="shared" si="28"/>
        <v>0</v>
      </c>
      <c r="AA102" s="270">
        <f t="shared" si="29"/>
        <v>0</v>
      </c>
      <c r="AB102" s="273">
        <f t="shared" si="30"/>
        <v>0</v>
      </c>
      <c r="AC102" s="260"/>
    </row>
    <row r="103" spans="1:29" ht="36" hidden="1" customHeight="1" x14ac:dyDescent="0.45">
      <c r="A103" s="302" t="str">
        <f>Horaire!A102</f>
        <v>PASSOT LA BARGE</v>
      </c>
      <c r="B103" s="303">
        <f>Horaire!B102</f>
        <v>0.56944444444444442</v>
      </c>
      <c r="C103" s="303" t="str">
        <f>Horaire!C102</f>
        <v>D10</v>
      </c>
      <c r="D103" s="268" t="str">
        <f>VLOOKUP(C103,'Liste chauffeur'!$B$5:$L$19,2,TRUE)&amp;" "&amp;VLOOKUP(C103,'Liste chauffeur'!$B$5:$L$19,3,TRUE)</f>
        <v>KAMARDINE Mansour (Salarié)</v>
      </c>
      <c r="E103" s="314"/>
      <c r="F103" s="315">
        <f t="shared" si="31"/>
        <v>1</v>
      </c>
      <c r="G103" s="315"/>
      <c r="H103" s="316"/>
      <c r="I103" s="316"/>
      <c r="J103" s="316"/>
      <c r="K103" s="314"/>
      <c r="L103" s="314"/>
      <c r="M103" s="316"/>
      <c r="N103" s="316"/>
      <c r="O103" s="314"/>
      <c r="P103" s="314"/>
      <c r="Q103" s="316"/>
      <c r="R103" s="316"/>
      <c r="S103" s="314"/>
      <c r="T103" s="314"/>
      <c r="U103" s="316"/>
      <c r="V103" s="316"/>
      <c r="W103" s="314"/>
      <c r="X103" s="317"/>
      <c r="Y103" s="271"/>
      <c r="Z103" s="270">
        <f t="shared" si="28"/>
        <v>0</v>
      </c>
      <c r="AA103" s="270">
        <f t="shared" si="29"/>
        <v>0</v>
      </c>
      <c r="AB103" s="273">
        <f t="shared" si="30"/>
        <v>0</v>
      </c>
      <c r="AC103" s="260"/>
    </row>
    <row r="104" spans="1:29" ht="36" hidden="1" customHeight="1" x14ac:dyDescent="0.45">
      <c r="A104" s="302" t="str">
        <f>Horaire!A103</f>
        <v>DOUJANI</v>
      </c>
      <c r="B104" s="303">
        <f>Horaire!B103</f>
        <v>0.58333333333333304</v>
      </c>
      <c r="C104" s="303" t="str">
        <f>Horaire!C103</f>
        <v>D1</v>
      </c>
      <c r="D104" s="268" t="str">
        <f>VLOOKUP(C104,'Liste chauffeur'!$B$5:$L$19,2,TRUE)&amp;" "&amp;VLOOKUP(C104,'Liste chauffeur'!$B$5:$L$19,3,TRUE)</f>
        <v>MOHAMED Ali (laglace)</v>
      </c>
      <c r="E104" s="314"/>
      <c r="F104" s="315">
        <f t="shared" si="31"/>
        <v>1</v>
      </c>
      <c r="G104" s="315"/>
      <c r="H104" s="316"/>
      <c r="I104" s="316"/>
      <c r="J104" s="316"/>
      <c r="K104" s="314"/>
      <c r="L104" s="314"/>
      <c r="M104" s="316"/>
      <c r="N104" s="316"/>
      <c r="O104" s="314"/>
      <c r="P104" s="314"/>
      <c r="Q104" s="316"/>
      <c r="R104" s="316"/>
      <c r="S104" s="314"/>
      <c r="T104" s="314"/>
      <c r="U104" s="316"/>
      <c r="V104" s="316"/>
      <c r="W104" s="314"/>
      <c r="X104" s="317"/>
      <c r="Y104" s="271"/>
      <c r="Z104" s="270">
        <f t="shared" si="28"/>
        <v>0</v>
      </c>
      <c r="AA104" s="270">
        <f t="shared" si="29"/>
        <v>0</v>
      </c>
      <c r="AB104" s="273">
        <f t="shared" si="30"/>
        <v>0</v>
      </c>
      <c r="AC104" s="260"/>
    </row>
    <row r="105" spans="1:29" ht="36" hidden="1" customHeight="1" x14ac:dyDescent="0.45">
      <c r="A105" s="302" t="str">
        <f>Horaire!A104</f>
        <v>PASSOT LA BARGE</v>
      </c>
      <c r="B105" s="303">
        <f>Horaire!B104</f>
        <v>0.58333333333333337</v>
      </c>
      <c r="C105" s="303" t="str">
        <f>Horaire!C104</f>
        <v>D4</v>
      </c>
      <c r="D105" s="268" t="str">
        <f>VLOOKUP(C105,'Liste chauffeur'!$B$5:$L$19,2,TRUE)&amp;" "&amp;VLOOKUP(C105,'Liste chauffeur'!$B$5:$L$19,3,TRUE)</f>
        <v>AMBDI  Houmadi</v>
      </c>
      <c r="E105" s="314"/>
      <c r="F105" s="315">
        <f t="shared" si="31"/>
        <v>1</v>
      </c>
      <c r="G105" s="315"/>
      <c r="H105" s="316"/>
      <c r="I105" s="316"/>
      <c r="J105" s="316"/>
      <c r="K105" s="314"/>
      <c r="L105" s="314"/>
      <c r="M105" s="316"/>
      <c r="N105" s="316"/>
      <c r="O105" s="314"/>
      <c r="P105" s="314"/>
      <c r="Q105" s="316"/>
      <c r="R105" s="316"/>
      <c r="S105" s="314"/>
      <c r="T105" s="314"/>
      <c r="U105" s="316"/>
      <c r="V105" s="316"/>
      <c r="W105" s="314"/>
      <c r="X105" s="317"/>
      <c r="Y105" s="271"/>
      <c r="Z105" s="270">
        <f t="shared" si="28"/>
        <v>0</v>
      </c>
      <c r="AA105" s="270">
        <f t="shared" si="29"/>
        <v>0</v>
      </c>
      <c r="AB105" s="273">
        <f t="shared" si="30"/>
        <v>0</v>
      </c>
      <c r="AC105" s="260"/>
    </row>
    <row r="106" spans="1:29" ht="36" customHeight="1" x14ac:dyDescent="0.45">
      <c r="A106" s="302" t="str">
        <f>Horaire!A105</f>
        <v>DOUJANI</v>
      </c>
      <c r="B106" s="303">
        <f>Horaire!B105</f>
        <v>0.59722222222222199</v>
      </c>
      <c r="C106" s="303" t="str">
        <f>Horaire!C105</f>
        <v>D8</v>
      </c>
      <c r="D106" s="268" t="str">
        <f>VLOOKUP(C106,'Liste chauffeur'!$B$5:$L$19,2,TRUE)&amp;" "&amp;VLOOKUP(C106,'Liste chauffeur'!$B$5:$L$19,3,TRUE)</f>
        <v>ISSOUF Dailami</v>
      </c>
      <c r="E106" s="314"/>
      <c r="F106" s="315">
        <f t="shared" si="31"/>
        <v>1</v>
      </c>
      <c r="G106" s="315"/>
      <c r="H106" s="316"/>
      <c r="I106" s="316"/>
      <c r="J106" s="316"/>
      <c r="K106" s="314"/>
      <c r="L106" s="314"/>
      <c r="M106" s="316"/>
      <c r="N106" s="316"/>
      <c r="O106" s="314"/>
      <c r="P106" s="314"/>
      <c r="Q106" s="316"/>
      <c r="R106" s="316"/>
      <c r="S106" s="314"/>
      <c r="T106" s="314"/>
      <c r="U106" s="316"/>
      <c r="V106" s="316"/>
      <c r="W106" s="314"/>
      <c r="X106" s="317"/>
      <c r="Y106" s="271"/>
      <c r="Z106" s="270">
        <f t="shared" si="28"/>
        <v>0</v>
      </c>
      <c r="AA106" s="270">
        <f t="shared" si="29"/>
        <v>0</v>
      </c>
      <c r="AB106" s="273">
        <f t="shared" si="30"/>
        <v>0</v>
      </c>
      <c r="AC106" s="260"/>
    </row>
    <row r="107" spans="1:29" ht="36" hidden="1" customHeight="1" x14ac:dyDescent="0.45">
      <c r="A107" s="302" t="str">
        <f>Horaire!A106</f>
        <v>PASSOT LA BARGE</v>
      </c>
      <c r="B107" s="303">
        <f>Horaire!B106</f>
        <v>0.59722222222222221</v>
      </c>
      <c r="C107" s="303" t="str">
        <f>Horaire!C106</f>
        <v>D2</v>
      </c>
      <c r="D107" s="268" t="str">
        <f>VLOOKUP(C107,'Liste chauffeur'!$B$5:$L$19,2,TRUE)&amp;" "&amp;VLOOKUP(C107,'Liste chauffeur'!$B$5:$L$19,3,TRUE)</f>
        <v>BARAKA  Soumaila</v>
      </c>
      <c r="E107" s="314"/>
      <c r="F107" s="315">
        <f t="shared" si="31"/>
        <v>1</v>
      </c>
      <c r="G107" s="315"/>
      <c r="H107" s="316"/>
      <c r="I107" s="316"/>
      <c r="J107" s="316"/>
      <c r="K107" s="314"/>
      <c r="L107" s="314"/>
      <c r="M107" s="316"/>
      <c r="N107" s="316"/>
      <c r="O107" s="314"/>
      <c r="P107" s="314"/>
      <c r="Q107" s="316"/>
      <c r="R107" s="316"/>
      <c r="S107" s="314"/>
      <c r="T107" s="314"/>
      <c r="U107" s="316"/>
      <c r="V107" s="316"/>
      <c r="W107" s="314"/>
      <c r="X107" s="317"/>
      <c r="Y107" s="271"/>
      <c r="Z107" s="270">
        <f t="shared" si="28"/>
        <v>0</v>
      </c>
      <c r="AA107" s="270">
        <f t="shared" si="29"/>
        <v>0</v>
      </c>
      <c r="AB107" s="273">
        <f t="shared" si="30"/>
        <v>0</v>
      </c>
      <c r="AC107" s="260"/>
    </row>
    <row r="108" spans="1:29" ht="36" hidden="1" customHeight="1" x14ac:dyDescent="0.45">
      <c r="A108" s="302" t="str">
        <f>Horaire!A107</f>
        <v>DOUJANI</v>
      </c>
      <c r="B108" s="303">
        <f>Horaire!B107</f>
        <v>0.61111111111111105</v>
      </c>
      <c r="C108" s="303" t="str">
        <f>Horaire!C107</f>
        <v>D3</v>
      </c>
      <c r="D108" s="268" t="str">
        <f>VLOOKUP(C108,'Liste chauffeur'!$B$5:$L$19,2,TRUE)&amp;" "&amp;VLOOKUP(C108,'Liste chauffeur'!$B$5:$L$19,3,TRUE)</f>
        <v>ABDOURAHIM Mohamed</v>
      </c>
      <c r="E108" s="314"/>
      <c r="F108" s="315">
        <f t="shared" si="31"/>
        <v>1</v>
      </c>
      <c r="G108" s="315"/>
      <c r="H108" s="316"/>
      <c r="I108" s="316"/>
      <c r="J108" s="316"/>
      <c r="K108" s="314"/>
      <c r="L108" s="314"/>
      <c r="M108" s="316"/>
      <c r="N108" s="316"/>
      <c r="O108" s="314"/>
      <c r="P108" s="314"/>
      <c r="Q108" s="316"/>
      <c r="R108" s="316"/>
      <c r="S108" s="314"/>
      <c r="T108" s="314"/>
      <c r="U108" s="316"/>
      <c r="V108" s="316"/>
      <c r="W108" s="314"/>
      <c r="X108" s="317"/>
      <c r="Y108" s="271"/>
      <c r="Z108" s="270">
        <f t="shared" si="28"/>
        <v>0</v>
      </c>
      <c r="AA108" s="270">
        <f t="shared" si="29"/>
        <v>0</v>
      </c>
      <c r="AB108" s="273">
        <f t="shared" si="30"/>
        <v>0</v>
      </c>
      <c r="AC108" s="260"/>
    </row>
    <row r="109" spans="1:29" ht="36" hidden="1" customHeight="1" x14ac:dyDescent="0.45">
      <c r="A109" s="302" t="str">
        <f>Horaire!A108</f>
        <v>PASSOT LA BARGE</v>
      </c>
      <c r="B109" s="303">
        <f>Horaire!B108</f>
        <v>0.61111111111111116</v>
      </c>
      <c r="C109" s="303" t="str">
        <f>Horaire!C108</f>
        <v>D1</v>
      </c>
      <c r="D109" s="268" t="str">
        <f>VLOOKUP(C109,'Liste chauffeur'!$B$5:$L$19,2,TRUE)&amp;" "&amp;VLOOKUP(C109,'Liste chauffeur'!$B$5:$L$19,3,TRUE)</f>
        <v>MOHAMED Ali (laglace)</v>
      </c>
      <c r="E109" s="314"/>
      <c r="F109" s="315">
        <f t="shared" si="31"/>
        <v>1</v>
      </c>
      <c r="G109" s="315"/>
      <c r="H109" s="316"/>
      <c r="I109" s="316"/>
      <c r="J109" s="316"/>
      <c r="K109" s="314"/>
      <c r="L109" s="314"/>
      <c r="M109" s="316"/>
      <c r="N109" s="316"/>
      <c r="O109" s="314"/>
      <c r="P109" s="314"/>
      <c r="Q109" s="316"/>
      <c r="R109" s="316"/>
      <c r="S109" s="314"/>
      <c r="T109" s="314"/>
      <c r="U109" s="316"/>
      <c r="V109" s="316"/>
      <c r="W109" s="314"/>
      <c r="X109" s="317"/>
      <c r="Y109" s="271"/>
      <c r="Z109" s="270">
        <f t="shared" si="28"/>
        <v>0</v>
      </c>
      <c r="AA109" s="270">
        <f t="shared" si="29"/>
        <v>0</v>
      </c>
      <c r="AB109" s="273">
        <f t="shared" si="30"/>
        <v>0</v>
      </c>
      <c r="AC109" s="260"/>
    </row>
    <row r="110" spans="1:29" ht="36" hidden="1" customHeight="1" x14ac:dyDescent="0.45">
      <c r="A110" s="302" t="str">
        <f>Horaire!A109</f>
        <v>DOUJANI</v>
      </c>
      <c r="B110" s="303">
        <f>Horaire!B109</f>
        <v>0.625</v>
      </c>
      <c r="C110" s="303" t="str">
        <f>Horaire!C109</f>
        <v>D6</v>
      </c>
      <c r="D110" s="268" t="str">
        <f>VLOOKUP(C110,'Liste chauffeur'!$B$5:$L$19,2,TRUE)&amp;" "&amp;VLOOKUP(C110,'Liste chauffeur'!$B$5:$L$19,3,TRUE)</f>
        <v>ABDOU HAMIDOUNE Nassabia</v>
      </c>
      <c r="E110" s="314"/>
      <c r="F110" s="315">
        <f t="shared" si="31"/>
        <v>1</v>
      </c>
      <c r="G110" s="315"/>
      <c r="H110" s="316"/>
      <c r="I110" s="316"/>
      <c r="J110" s="316"/>
      <c r="K110" s="314"/>
      <c r="L110" s="314"/>
      <c r="M110" s="316"/>
      <c r="N110" s="316"/>
      <c r="O110" s="314"/>
      <c r="P110" s="314"/>
      <c r="Q110" s="316"/>
      <c r="R110" s="316"/>
      <c r="S110" s="314"/>
      <c r="T110" s="314"/>
      <c r="U110" s="316"/>
      <c r="V110" s="316"/>
      <c r="W110" s="314"/>
      <c r="X110" s="317"/>
      <c r="Y110" s="271"/>
      <c r="Z110" s="270">
        <f t="shared" si="28"/>
        <v>0</v>
      </c>
      <c r="AA110" s="270">
        <f t="shared" si="29"/>
        <v>0</v>
      </c>
      <c r="AB110" s="273">
        <f t="shared" si="30"/>
        <v>0</v>
      </c>
      <c r="AC110" s="260"/>
    </row>
    <row r="111" spans="1:29" ht="36" customHeight="1" x14ac:dyDescent="0.45">
      <c r="A111" s="302" t="str">
        <f>Horaire!A110</f>
        <v>PASSOT LA BARGE</v>
      </c>
      <c r="B111" s="303">
        <f>Horaire!B110</f>
        <v>0.625</v>
      </c>
      <c r="C111" s="303" t="str">
        <f>Horaire!C110</f>
        <v>D8</v>
      </c>
      <c r="D111" s="268" t="str">
        <f>VLOOKUP(C111,'Liste chauffeur'!$B$5:$L$19,2,TRUE)&amp;" "&amp;VLOOKUP(C111,'Liste chauffeur'!$B$5:$L$19,3,TRUE)</f>
        <v>ISSOUF Dailami</v>
      </c>
      <c r="E111" s="314"/>
      <c r="F111" s="315">
        <f t="shared" si="31"/>
        <v>1</v>
      </c>
      <c r="G111" s="315"/>
      <c r="H111" s="316"/>
      <c r="I111" s="316"/>
      <c r="J111" s="316"/>
      <c r="K111" s="314"/>
      <c r="L111" s="314"/>
      <c r="M111" s="316"/>
      <c r="N111" s="316"/>
      <c r="O111" s="314"/>
      <c r="P111" s="314"/>
      <c r="Q111" s="316"/>
      <c r="R111" s="316"/>
      <c r="S111" s="314"/>
      <c r="T111" s="314"/>
      <c r="U111" s="316"/>
      <c r="V111" s="316"/>
      <c r="W111" s="314"/>
      <c r="X111" s="317"/>
      <c r="Y111" s="271"/>
      <c r="Z111" s="270">
        <f t="shared" si="28"/>
        <v>0</v>
      </c>
      <c r="AA111" s="270">
        <f t="shared" si="29"/>
        <v>0</v>
      </c>
      <c r="AB111" s="273">
        <f t="shared" si="30"/>
        <v>0</v>
      </c>
      <c r="AC111" s="260"/>
    </row>
    <row r="112" spans="1:29" ht="36" hidden="1" customHeight="1" x14ac:dyDescent="0.45">
      <c r="A112" s="302" t="str">
        <f>Horaire!A111</f>
        <v>DOUJANI</v>
      </c>
      <c r="B112" s="303">
        <f>Horaire!B111</f>
        <v>0.63194444444444442</v>
      </c>
      <c r="C112" s="303" t="str">
        <f>Horaire!C111</f>
        <v>D1</v>
      </c>
      <c r="D112" s="268" t="str">
        <f>VLOOKUP(C112,'Liste chauffeur'!$B$5:$L$19,2,TRUE)&amp;" "&amp;VLOOKUP(C112,'Liste chauffeur'!$B$5:$L$19,3,TRUE)</f>
        <v>MOHAMED Ali (laglace)</v>
      </c>
      <c r="E112" s="314"/>
      <c r="F112" s="315">
        <f t="shared" si="31"/>
        <v>1</v>
      </c>
      <c r="G112" s="315"/>
      <c r="H112" s="316"/>
      <c r="I112" s="316"/>
      <c r="J112" s="316"/>
      <c r="K112" s="314"/>
      <c r="L112" s="314"/>
      <c r="M112" s="316"/>
      <c r="N112" s="316"/>
      <c r="O112" s="314"/>
      <c r="P112" s="314"/>
      <c r="Q112" s="316"/>
      <c r="R112" s="316"/>
      <c r="S112" s="314"/>
      <c r="T112" s="314"/>
      <c r="U112" s="316"/>
      <c r="V112" s="316"/>
      <c r="W112" s="314"/>
      <c r="X112" s="317"/>
      <c r="Y112" s="271"/>
      <c r="Z112" s="270">
        <f t="shared" si="28"/>
        <v>0</v>
      </c>
      <c r="AA112" s="270">
        <f t="shared" si="29"/>
        <v>0</v>
      </c>
      <c r="AB112" s="273">
        <f t="shared" si="30"/>
        <v>0</v>
      </c>
      <c r="AC112" s="260"/>
    </row>
    <row r="113" spans="1:29" ht="36" hidden="1" customHeight="1" x14ac:dyDescent="0.45">
      <c r="A113" s="302" t="str">
        <f>Horaire!A112</f>
        <v>PASSOT LA BARGE</v>
      </c>
      <c r="B113" s="303">
        <f>Horaire!B112</f>
        <v>0.63194444444444442</v>
      </c>
      <c r="C113" s="303" t="str">
        <f>Horaire!C112</f>
        <v>D3</v>
      </c>
      <c r="D113" s="268" t="str">
        <f>VLOOKUP(C113,'Liste chauffeur'!$B$5:$L$19,2,TRUE)&amp;" "&amp;VLOOKUP(C113,'Liste chauffeur'!$B$5:$L$19,3,TRUE)</f>
        <v>ABDOURAHIM Mohamed</v>
      </c>
      <c r="E113" s="314"/>
      <c r="F113" s="315">
        <f t="shared" si="31"/>
        <v>1</v>
      </c>
      <c r="G113" s="315"/>
      <c r="H113" s="316"/>
      <c r="I113" s="316"/>
      <c r="J113" s="316"/>
      <c r="K113" s="314"/>
      <c r="L113" s="314"/>
      <c r="M113" s="316"/>
      <c r="N113" s="316"/>
      <c r="O113" s="314"/>
      <c r="P113" s="314"/>
      <c r="Q113" s="316"/>
      <c r="R113" s="316"/>
      <c r="S113" s="314"/>
      <c r="T113" s="314"/>
      <c r="U113" s="316"/>
      <c r="V113" s="316"/>
      <c r="W113" s="314"/>
      <c r="X113" s="317"/>
      <c r="Y113" s="271"/>
      <c r="Z113" s="270">
        <f t="shared" si="28"/>
        <v>0</v>
      </c>
      <c r="AA113" s="270">
        <f t="shared" si="29"/>
        <v>0</v>
      </c>
      <c r="AB113" s="273">
        <f t="shared" si="30"/>
        <v>0</v>
      </c>
      <c r="AC113" s="260"/>
    </row>
    <row r="114" spans="1:29" ht="36" hidden="1" customHeight="1" x14ac:dyDescent="0.45">
      <c r="A114" s="302" t="str">
        <f>Horaire!A113</f>
        <v>DOUJANI</v>
      </c>
      <c r="B114" s="303">
        <f>Horaire!B113</f>
        <v>0.63888888888888884</v>
      </c>
      <c r="C114" s="303" t="str">
        <f>Horaire!C113</f>
        <v>D5</v>
      </c>
      <c r="D114" s="268" t="str">
        <f>VLOOKUP(C114,'Liste chauffeur'!$B$5:$L$19,2,TRUE)&amp;" "&amp;VLOOKUP(C114,'Liste chauffeur'!$B$5:$L$19,3,TRUE)</f>
        <v>AMINA Selemani</v>
      </c>
      <c r="E114" s="314"/>
      <c r="F114" s="315">
        <f t="shared" si="31"/>
        <v>1</v>
      </c>
      <c r="G114" s="315"/>
      <c r="H114" s="316"/>
      <c r="I114" s="316"/>
      <c r="J114" s="316"/>
      <c r="K114" s="314"/>
      <c r="L114" s="314"/>
      <c r="M114" s="316"/>
      <c r="N114" s="316"/>
      <c r="O114" s="314"/>
      <c r="P114" s="314"/>
      <c r="Q114" s="316"/>
      <c r="R114" s="316"/>
      <c r="S114" s="314"/>
      <c r="T114" s="314"/>
      <c r="U114" s="316"/>
      <c r="V114" s="316"/>
      <c r="W114" s="314"/>
      <c r="X114" s="317"/>
      <c r="Y114" s="271"/>
      <c r="Z114" s="270">
        <f t="shared" si="28"/>
        <v>0</v>
      </c>
      <c r="AA114" s="270">
        <f t="shared" si="29"/>
        <v>0</v>
      </c>
      <c r="AB114" s="273">
        <f t="shared" si="30"/>
        <v>0</v>
      </c>
      <c r="AC114" s="260"/>
    </row>
    <row r="115" spans="1:29" ht="36" hidden="1" customHeight="1" x14ac:dyDescent="0.45">
      <c r="A115" s="302" t="str">
        <f>Horaire!A114</f>
        <v>PASSOT LA BARGE</v>
      </c>
      <c r="B115" s="303">
        <f>Horaire!B114</f>
        <v>0.63888888888888884</v>
      </c>
      <c r="C115" s="303" t="str">
        <f>Horaire!C114</f>
        <v>D9</v>
      </c>
      <c r="D115" s="268" t="str">
        <f>VLOOKUP(C115,'Liste chauffeur'!$B$5:$L$19,2,TRUE)&amp;" "&amp;VLOOKUP(C115,'Liste chauffeur'!$B$5:$L$19,3,TRUE)</f>
        <v>RENEE Assanati</v>
      </c>
      <c r="E115" s="314"/>
      <c r="F115" s="315">
        <f t="shared" si="31"/>
        <v>1</v>
      </c>
      <c r="G115" s="315"/>
      <c r="H115" s="316"/>
      <c r="I115" s="316"/>
      <c r="J115" s="316"/>
      <c r="K115" s="314"/>
      <c r="L115" s="314"/>
      <c r="M115" s="316"/>
      <c r="N115" s="316"/>
      <c r="O115" s="314"/>
      <c r="P115" s="314"/>
      <c r="Q115" s="316"/>
      <c r="R115" s="316"/>
      <c r="S115" s="314"/>
      <c r="T115" s="314"/>
      <c r="U115" s="316"/>
      <c r="V115" s="316"/>
      <c r="W115" s="314"/>
      <c r="X115" s="317"/>
      <c r="Y115" s="271"/>
      <c r="Z115" s="270">
        <f t="shared" si="28"/>
        <v>0</v>
      </c>
      <c r="AA115" s="270">
        <f t="shared" si="29"/>
        <v>0</v>
      </c>
      <c r="AB115" s="273">
        <f t="shared" si="30"/>
        <v>0</v>
      </c>
      <c r="AC115" s="260"/>
    </row>
    <row r="116" spans="1:29" ht="36" customHeight="1" x14ac:dyDescent="0.45">
      <c r="A116" s="302" t="str">
        <f>Horaire!A115</f>
        <v>DOUJANI</v>
      </c>
      <c r="B116" s="303">
        <f>Horaire!B115</f>
        <v>0.64583333333333337</v>
      </c>
      <c r="C116" s="303" t="str">
        <f>Horaire!C115</f>
        <v>D8</v>
      </c>
      <c r="D116" s="268" t="str">
        <f>VLOOKUP(C116,'Liste chauffeur'!$B$5:$L$19,2,TRUE)&amp;" "&amp;VLOOKUP(C116,'Liste chauffeur'!$B$5:$L$19,3,TRUE)</f>
        <v>ISSOUF Dailami</v>
      </c>
      <c r="E116" s="314"/>
      <c r="F116" s="315">
        <f t="shared" si="31"/>
        <v>1</v>
      </c>
      <c r="G116" s="315"/>
      <c r="H116" s="316"/>
      <c r="I116" s="316"/>
      <c r="J116" s="316"/>
      <c r="K116" s="314"/>
      <c r="L116" s="314"/>
      <c r="M116" s="316"/>
      <c r="N116" s="316"/>
      <c r="O116" s="314"/>
      <c r="P116" s="314"/>
      <c r="Q116" s="316"/>
      <c r="R116" s="316"/>
      <c r="S116" s="314"/>
      <c r="T116" s="314"/>
      <c r="U116" s="316"/>
      <c r="V116" s="316"/>
      <c r="W116" s="314"/>
      <c r="X116" s="317"/>
      <c r="Y116" s="271"/>
      <c r="Z116" s="270">
        <f t="shared" si="28"/>
        <v>0</v>
      </c>
      <c r="AA116" s="270">
        <f t="shared" si="29"/>
        <v>0</v>
      </c>
      <c r="AB116" s="273">
        <f t="shared" si="30"/>
        <v>0</v>
      </c>
      <c r="AC116" s="260"/>
    </row>
    <row r="117" spans="1:29" ht="36" hidden="1" customHeight="1" x14ac:dyDescent="0.45">
      <c r="A117" s="302" t="str">
        <f>Horaire!A116</f>
        <v>PASSOT LA BARGE</v>
      </c>
      <c r="B117" s="303">
        <f>Horaire!B116</f>
        <v>0.64583333333333337</v>
      </c>
      <c r="C117" s="303" t="str">
        <f>Horaire!C116</f>
        <v>D6</v>
      </c>
      <c r="D117" s="268" t="str">
        <f>VLOOKUP(C117,'Liste chauffeur'!$B$5:$L$19,2,TRUE)&amp;" "&amp;VLOOKUP(C117,'Liste chauffeur'!$B$5:$L$19,3,TRUE)</f>
        <v>ABDOU HAMIDOUNE Nassabia</v>
      </c>
      <c r="E117" s="314"/>
      <c r="F117" s="315">
        <f t="shared" si="31"/>
        <v>1</v>
      </c>
      <c r="G117" s="315"/>
      <c r="H117" s="316"/>
      <c r="I117" s="316"/>
      <c r="J117" s="316"/>
      <c r="K117" s="314"/>
      <c r="L117" s="314"/>
      <c r="M117" s="316"/>
      <c r="N117" s="316"/>
      <c r="O117" s="314"/>
      <c r="P117" s="314"/>
      <c r="Q117" s="316"/>
      <c r="R117" s="316"/>
      <c r="S117" s="314"/>
      <c r="T117" s="314"/>
      <c r="U117" s="316"/>
      <c r="V117" s="316"/>
      <c r="W117" s="314"/>
      <c r="X117" s="317"/>
      <c r="Y117" s="271"/>
      <c r="Z117" s="270">
        <f t="shared" si="28"/>
        <v>0</v>
      </c>
      <c r="AA117" s="270">
        <f t="shared" si="29"/>
        <v>0</v>
      </c>
      <c r="AB117" s="273">
        <f t="shared" si="30"/>
        <v>0</v>
      </c>
      <c r="AC117" s="260"/>
    </row>
    <row r="118" spans="1:29" ht="36" hidden="1" customHeight="1" x14ac:dyDescent="0.45">
      <c r="A118" s="302" t="str">
        <f>Horaire!A117</f>
        <v>DOUJANI</v>
      </c>
      <c r="B118" s="303">
        <f>Horaire!B117</f>
        <v>0.65277777777777779</v>
      </c>
      <c r="C118" s="303" t="str">
        <f>Horaire!C117</f>
        <v>D3</v>
      </c>
      <c r="D118" s="268" t="str">
        <f>VLOOKUP(C118,'Liste chauffeur'!$B$5:$L$19,2,TRUE)&amp;" "&amp;VLOOKUP(C118,'Liste chauffeur'!$B$5:$L$19,3,TRUE)</f>
        <v>ABDOURAHIM Mohamed</v>
      </c>
      <c r="E118" s="314"/>
      <c r="F118" s="315">
        <f t="shared" si="31"/>
        <v>1</v>
      </c>
      <c r="G118" s="315"/>
      <c r="H118" s="316"/>
      <c r="I118" s="316"/>
      <c r="J118" s="316"/>
      <c r="K118" s="314"/>
      <c r="L118" s="314"/>
      <c r="M118" s="316"/>
      <c r="N118" s="316"/>
      <c r="O118" s="314"/>
      <c r="P118" s="314"/>
      <c r="Q118" s="316"/>
      <c r="R118" s="316"/>
      <c r="S118" s="314"/>
      <c r="T118" s="314"/>
      <c r="U118" s="316"/>
      <c r="V118" s="316"/>
      <c r="W118" s="314"/>
      <c r="X118" s="317"/>
      <c r="Y118" s="271"/>
      <c r="Z118" s="270">
        <f t="shared" si="28"/>
        <v>0</v>
      </c>
      <c r="AA118" s="270">
        <f t="shared" si="29"/>
        <v>0</v>
      </c>
      <c r="AB118" s="273">
        <f t="shared" si="30"/>
        <v>0</v>
      </c>
      <c r="AC118" s="260"/>
    </row>
    <row r="119" spans="1:29" ht="36" hidden="1" customHeight="1" x14ac:dyDescent="0.45">
      <c r="A119" s="302" t="str">
        <f>Horaire!A118</f>
        <v>PASSOT LA BARGE</v>
      </c>
      <c r="B119" s="303">
        <f>Horaire!B118</f>
        <v>0.65277777777777779</v>
      </c>
      <c r="C119" s="303" t="str">
        <f>Horaire!C118</f>
        <v>D1</v>
      </c>
      <c r="D119" s="268" t="str">
        <f>VLOOKUP(C119,'Liste chauffeur'!$B$5:$L$19,2,TRUE)&amp;" "&amp;VLOOKUP(C119,'Liste chauffeur'!$B$5:$L$19,3,TRUE)</f>
        <v>MOHAMED Ali (laglace)</v>
      </c>
      <c r="E119" s="314"/>
      <c r="F119" s="315">
        <f t="shared" si="31"/>
        <v>1</v>
      </c>
      <c r="G119" s="315"/>
      <c r="H119" s="316"/>
      <c r="I119" s="316"/>
      <c r="J119" s="316"/>
      <c r="K119" s="314"/>
      <c r="L119" s="314"/>
      <c r="M119" s="316"/>
      <c r="N119" s="316"/>
      <c r="O119" s="314"/>
      <c r="P119" s="314"/>
      <c r="Q119" s="316"/>
      <c r="R119" s="316"/>
      <c r="S119" s="314"/>
      <c r="T119" s="314"/>
      <c r="U119" s="316"/>
      <c r="V119" s="316"/>
      <c r="W119" s="314"/>
      <c r="X119" s="317"/>
      <c r="Y119" s="271"/>
      <c r="Z119" s="270">
        <f t="shared" si="28"/>
        <v>0</v>
      </c>
      <c r="AA119" s="270">
        <f t="shared" si="29"/>
        <v>0</v>
      </c>
      <c r="AB119" s="273">
        <f t="shared" si="30"/>
        <v>0</v>
      </c>
      <c r="AC119" s="260"/>
    </row>
    <row r="120" spans="1:29" ht="36" hidden="1" customHeight="1" x14ac:dyDescent="0.45">
      <c r="A120" s="302" t="str">
        <f>Horaire!A119</f>
        <v>DOUJANI</v>
      </c>
      <c r="B120" s="303">
        <f>Horaire!B119</f>
        <v>0.65972222222222221</v>
      </c>
      <c r="C120" s="303" t="str">
        <f>Horaire!C119</f>
        <v>D9</v>
      </c>
      <c r="D120" s="268" t="str">
        <f>VLOOKUP(C120,'Liste chauffeur'!$B$5:$L$19,2,TRUE)&amp;" "&amp;VLOOKUP(C120,'Liste chauffeur'!$B$5:$L$19,3,TRUE)</f>
        <v>RENEE Assanati</v>
      </c>
      <c r="E120" s="314"/>
      <c r="F120" s="315">
        <f t="shared" si="31"/>
        <v>1</v>
      </c>
      <c r="G120" s="315"/>
      <c r="H120" s="316"/>
      <c r="I120" s="316"/>
      <c r="J120" s="316"/>
      <c r="K120" s="314"/>
      <c r="L120" s="314"/>
      <c r="M120" s="316"/>
      <c r="N120" s="316"/>
      <c r="O120" s="314"/>
      <c r="P120" s="314"/>
      <c r="Q120" s="316"/>
      <c r="R120" s="316"/>
      <c r="S120" s="314"/>
      <c r="T120" s="314"/>
      <c r="U120" s="316"/>
      <c r="V120" s="316"/>
      <c r="W120" s="314"/>
      <c r="X120" s="317"/>
      <c r="Y120" s="271"/>
      <c r="Z120" s="270">
        <f t="shared" si="28"/>
        <v>0</v>
      </c>
      <c r="AA120" s="270">
        <f t="shared" si="29"/>
        <v>0</v>
      </c>
      <c r="AB120" s="273">
        <f t="shared" si="30"/>
        <v>0</v>
      </c>
      <c r="AC120" s="260"/>
    </row>
    <row r="121" spans="1:29" ht="36" hidden="1" customHeight="1" x14ac:dyDescent="0.45">
      <c r="A121" s="302" t="str">
        <f>Horaire!A120</f>
        <v>PASSOT LA BARGE</v>
      </c>
      <c r="B121" s="303">
        <f>Horaire!B120</f>
        <v>0.65972222222222221</v>
      </c>
      <c r="C121" s="303" t="str">
        <f>Horaire!C120</f>
        <v>D5</v>
      </c>
      <c r="D121" s="268" t="str">
        <f>VLOOKUP(C121,'Liste chauffeur'!$B$5:$L$19,2,TRUE)&amp;" "&amp;VLOOKUP(C121,'Liste chauffeur'!$B$5:$L$19,3,TRUE)</f>
        <v>AMINA Selemani</v>
      </c>
      <c r="E121" s="314"/>
      <c r="F121" s="315">
        <f t="shared" si="31"/>
        <v>1</v>
      </c>
      <c r="G121" s="315"/>
      <c r="H121" s="316"/>
      <c r="I121" s="316"/>
      <c r="J121" s="316"/>
      <c r="K121" s="314"/>
      <c r="L121" s="314"/>
      <c r="M121" s="316"/>
      <c r="N121" s="316"/>
      <c r="O121" s="314"/>
      <c r="P121" s="314"/>
      <c r="Q121" s="316"/>
      <c r="R121" s="316"/>
      <c r="S121" s="314"/>
      <c r="T121" s="314"/>
      <c r="U121" s="316"/>
      <c r="V121" s="316"/>
      <c r="W121" s="314"/>
      <c r="X121" s="317"/>
      <c r="Y121" s="271"/>
      <c r="Z121" s="270">
        <f t="shared" ref="Z121:Z163" si="32">H121+J121-I121</f>
        <v>0</v>
      </c>
      <c r="AA121" s="270">
        <f t="shared" ref="AA121:AA163" si="33">IF(F121=1,0,AA$6)</f>
        <v>0</v>
      </c>
      <c r="AB121" s="273">
        <f t="shared" ref="AB121:AB163" si="34">IF(AA121=0,0,Z121/AA121)</f>
        <v>0</v>
      </c>
      <c r="AC121" s="260"/>
    </row>
    <row r="122" spans="1:29" ht="36" hidden="1" customHeight="1" x14ac:dyDescent="0.45">
      <c r="A122" s="302" t="str">
        <f>Horaire!A121</f>
        <v>DOUJANI</v>
      </c>
      <c r="B122" s="303">
        <f>Horaire!B121</f>
        <v>0.66666666666666663</v>
      </c>
      <c r="C122" s="303" t="str">
        <f>Horaire!C121</f>
        <v>D6</v>
      </c>
      <c r="D122" s="268" t="str">
        <f>VLOOKUP(C122,'Liste chauffeur'!$B$5:$L$19,2,TRUE)&amp;" "&amp;VLOOKUP(C122,'Liste chauffeur'!$B$5:$L$19,3,TRUE)</f>
        <v>ABDOU HAMIDOUNE Nassabia</v>
      </c>
      <c r="E122" s="314"/>
      <c r="F122" s="315">
        <f t="shared" si="31"/>
        <v>1</v>
      </c>
      <c r="G122" s="315"/>
      <c r="H122" s="316"/>
      <c r="I122" s="316"/>
      <c r="J122" s="316"/>
      <c r="K122" s="314"/>
      <c r="L122" s="314"/>
      <c r="M122" s="316"/>
      <c r="N122" s="316"/>
      <c r="O122" s="314"/>
      <c r="P122" s="314"/>
      <c r="Q122" s="316"/>
      <c r="R122" s="316"/>
      <c r="S122" s="314"/>
      <c r="T122" s="314"/>
      <c r="U122" s="316"/>
      <c r="V122" s="316"/>
      <c r="W122" s="314"/>
      <c r="X122" s="317"/>
      <c r="Y122" s="271"/>
      <c r="Z122" s="270">
        <f t="shared" si="32"/>
        <v>0</v>
      </c>
      <c r="AA122" s="270">
        <f t="shared" si="33"/>
        <v>0</v>
      </c>
      <c r="AB122" s="273">
        <f t="shared" si="34"/>
        <v>0</v>
      </c>
      <c r="AC122" s="260"/>
    </row>
    <row r="123" spans="1:29" ht="36" customHeight="1" x14ac:dyDescent="0.45">
      <c r="A123" s="302" t="str">
        <f>Horaire!A122</f>
        <v>PASSOT LA BARGE</v>
      </c>
      <c r="B123" s="303">
        <f>Horaire!B122</f>
        <v>0.66666666666666663</v>
      </c>
      <c r="C123" s="303" t="str">
        <f>Horaire!C122</f>
        <v>D8</v>
      </c>
      <c r="D123" s="268" t="str">
        <f>VLOOKUP(C123,'Liste chauffeur'!$B$5:$L$19,2,TRUE)&amp;" "&amp;VLOOKUP(C123,'Liste chauffeur'!$B$5:$L$19,3,TRUE)</f>
        <v>ISSOUF Dailami</v>
      </c>
      <c r="E123" s="314"/>
      <c r="F123" s="315">
        <f t="shared" si="31"/>
        <v>1</v>
      </c>
      <c r="G123" s="315"/>
      <c r="H123" s="316"/>
      <c r="I123" s="316"/>
      <c r="J123" s="316"/>
      <c r="K123" s="314"/>
      <c r="L123" s="314"/>
      <c r="M123" s="316"/>
      <c r="N123" s="316"/>
      <c r="O123" s="314"/>
      <c r="P123" s="314"/>
      <c r="Q123" s="316"/>
      <c r="R123" s="316"/>
      <c r="S123" s="314"/>
      <c r="T123" s="314"/>
      <c r="U123" s="316"/>
      <c r="V123" s="316"/>
      <c r="W123" s="314"/>
      <c r="X123" s="317"/>
      <c r="Y123" s="271"/>
      <c r="Z123" s="270">
        <f t="shared" si="32"/>
        <v>0</v>
      </c>
      <c r="AA123" s="270">
        <f t="shared" si="33"/>
        <v>0</v>
      </c>
      <c r="AB123" s="273">
        <f t="shared" si="34"/>
        <v>0</v>
      </c>
      <c r="AC123" s="260"/>
    </row>
    <row r="124" spans="1:29" ht="36" hidden="1" customHeight="1" x14ac:dyDescent="0.45">
      <c r="A124" s="302" t="str">
        <f>Horaire!A123</f>
        <v>DOUJANI</v>
      </c>
      <c r="B124" s="303">
        <f>Horaire!B123</f>
        <v>0.67361111111111116</v>
      </c>
      <c r="C124" s="303" t="str">
        <f>Horaire!C123</f>
        <v>D1</v>
      </c>
      <c r="D124" s="268" t="str">
        <f>VLOOKUP(C124,'Liste chauffeur'!$B$5:$L$19,2,TRUE)&amp;" "&amp;VLOOKUP(C124,'Liste chauffeur'!$B$5:$L$19,3,TRUE)</f>
        <v>MOHAMED Ali (laglace)</v>
      </c>
      <c r="E124" s="314"/>
      <c r="F124" s="315">
        <f t="shared" si="31"/>
        <v>1</v>
      </c>
      <c r="G124" s="315"/>
      <c r="H124" s="316"/>
      <c r="I124" s="316"/>
      <c r="J124" s="316"/>
      <c r="K124" s="314"/>
      <c r="L124" s="314"/>
      <c r="M124" s="316"/>
      <c r="N124" s="316"/>
      <c r="O124" s="314"/>
      <c r="P124" s="314"/>
      <c r="Q124" s="316"/>
      <c r="R124" s="316"/>
      <c r="S124" s="314"/>
      <c r="T124" s="314"/>
      <c r="U124" s="316"/>
      <c r="V124" s="316"/>
      <c r="W124" s="314"/>
      <c r="X124" s="317"/>
      <c r="Y124" s="271"/>
      <c r="Z124" s="270">
        <f t="shared" si="32"/>
        <v>0</v>
      </c>
      <c r="AA124" s="270">
        <f t="shared" si="33"/>
        <v>0</v>
      </c>
      <c r="AB124" s="273">
        <f t="shared" si="34"/>
        <v>0</v>
      </c>
      <c r="AC124" s="260"/>
    </row>
    <row r="125" spans="1:29" ht="36" hidden="1" customHeight="1" x14ac:dyDescent="0.45">
      <c r="A125" s="302" t="str">
        <f>Horaire!A124</f>
        <v>PASSOT LA BARGE</v>
      </c>
      <c r="B125" s="303">
        <f>Horaire!B124</f>
        <v>0.67361111111111116</v>
      </c>
      <c r="C125" s="303" t="str">
        <f>Horaire!C124</f>
        <v>D3</v>
      </c>
      <c r="D125" s="268" t="str">
        <f>VLOOKUP(C125,'Liste chauffeur'!$B$5:$L$19,2,TRUE)&amp;" "&amp;VLOOKUP(C125,'Liste chauffeur'!$B$5:$L$19,3,TRUE)</f>
        <v>ABDOURAHIM Mohamed</v>
      </c>
      <c r="E125" s="314"/>
      <c r="F125" s="315">
        <f t="shared" si="31"/>
        <v>1</v>
      </c>
      <c r="G125" s="315"/>
      <c r="H125" s="316"/>
      <c r="I125" s="316"/>
      <c r="J125" s="316"/>
      <c r="K125" s="314"/>
      <c r="L125" s="314"/>
      <c r="M125" s="316"/>
      <c r="N125" s="316"/>
      <c r="O125" s="314"/>
      <c r="P125" s="314"/>
      <c r="Q125" s="316"/>
      <c r="R125" s="316"/>
      <c r="S125" s="314"/>
      <c r="T125" s="314"/>
      <c r="U125" s="316"/>
      <c r="V125" s="316"/>
      <c r="W125" s="314"/>
      <c r="X125" s="317"/>
      <c r="Y125" s="271"/>
      <c r="Z125" s="270">
        <f t="shared" si="32"/>
        <v>0</v>
      </c>
      <c r="AA125" s="270">
        <f t="shared" si="33"/>
        <v>0</v>
      </c>
      <c r="AB125" s="273">
        <f t="shared" si="34"/>
        <v>0</v>
      </c>
      <c r="AC125" s="260"/>
    </row>
    <row r="126" spans="1:29" ht="36" hidden="1" customHeight="1" x14ac:dyDescent="0.45">
      <c r="A126" s="302" t="str">
        <f>Horaire!A125</f>
        <v>DOUJANI</v>
      </c>
      <c r="B126" s="303">
        <f>Horaire!B125</f>
        <v>0.68055555555555558</v>
      </c>
      <c r="C126" s="303" t="str">
        <f>Horaire!C125</f>
        <v>D5</v>
      </c>
      <c r="D126" s="268" t="str">
        <f>VLOOKUP(C126,'Liste chauffeur'!$B$5:$L$19,2,TRUE)&amp;" "&amp;VLOOKUP(C126,'Liste chauffeur'!$B$5:$L$19,3,TRUE)</f>
        <v>AMINA Selemani</v>
      </c>
      <c r="E126" s="314"/>
      <c r="F126" s="315">
        <f t="shared" si="31"/>
        <v>1</v>
      </c>
      <c r="G126" s="315"/>
      <c r="H126" s="316"/>
      <c r="I126" s="316"/>
      <c r="J126" s="316"/>
      <c r="K126" s="314"/>
      <c r="L126" s="314"/>
      <c r="M126" s="316"/>
      <c r="N126" s="316"/>
      <c r="O126" s="314"/>
      <c r="P126" s="314"/>
      <c r="Q126" s="316"/>
      <c r="R126" s="316"/>
      <c r="S126" s="314"/>
      <c r="T126" s="314"/>
      <c r="U126" s="316"/>
      <c r="V126" s="316"/>
      <c r="W126" s="314"/>
      <c r="X126" s="317"/>
      <c r="Y126" s="271"/>
      <c r="Z126" s="270">
        <f t="shared" si="32"/>
        <v>0</v>
      </c>
      <c r="AA126" s="270">
        <f t="shared" si="33"/>
        <v>0</v>
      </c>
      <c r="AB126" s="273">
        <f t="shared" si="34"/>
        <v>0</v>
      </c>
      <c r="AC126" s="260"/>
    </row>
    <row r="127" spans="1:29" ht="36" hidden="1" customHeight="1" x14ac:dyDescent="0.45">
      <c r="A127" s="302" t="str">
        <f>Horaire!A126</f>
        <v>PASSOT LA BARGE</v>
      </c>
      <c r="B127" s="303">
        <f>Horaire!B126</f>
        <v>0.68055555555555558</v>
      </c>
      <c r="C127" s="303" t="str">
        <f>Horaire!C126</f>
        <v>D9</v>
      </c>
      <c r="D127" s="268" t="str">
        <f>VLOOKUP(C127,'Liste chauffeur'!$B$5:$L$19,2,TRUE)&amp;" "&amp;VLOOKUP(C127,'Liste chauffeur'!$B$5:$L$19,3,TRUE)</f>
        <v>RENEE Assanati</v>
      </c>
      <c r="E127" s="314"/>
      <c r="F127" s="315">
        <f t="shared" si="31"/>
        <v>1</v>
      </c>
      <c r="G127" s="315"/>
      <c r="H127" s="316"/>
      <c r="I127" s="316"/>
      <c r="J127" s="316"/>
      <c r="K127" s="314"/>
      <c r="L127" s="314"/>
      <c r="M127" s="316"/>
      <c r="N127" s="316"/>
      <c r="O127" s="314"/>
      <c r="P127" s="314"/>
      <c r="Q127" s="316"/>
      <c r="R127" s="316"/>
      <c r="S127" s="314"/>
      <c r="T127" s="314"/>
      <c r="U127" s="316"/>
      <c r="V127" s="316"/>
      <c r="W127" s="314"/>
      <c r="X127" s="317"/>
      <c r="Y127" s="271"/>
      <c r="Z127" s="270">
        <f t="shared" si="32"/>
        <v>0</v>
      </c>
      <c r="AA127" s="270">
        <f t="shared" si="33"/>
        <v>0</v>
      </c>
      <c r="AB127" s="273">
        <f t="shared" si="34"/>
        <v>0</v>
      </c>
      <c r="AC127" s="260"/>
    </row>
    <row r="128" spans="1:29" ht="36" customHeight="1" x14ac:dyDescent="0.45">
      <c r="A128" s="302" t="str">
        <f>Horaire!A127</f>
        <v>DOUJANI</v>
      </c>
      <c r="B128" s="303">
        <f>Horaire!B127</f>
        <v>0.6875</v>
      </c>
      <c r="C128" s="303" t="str">
        <f>Horaire!C127</f>
        <v>D8</v>
      </c>
      <c r="D128" s="268" t="str">
        <f>VLOOKUP(C128,'Liste chauffeur'!$B$5:$L$19,2,TRUE)&amp;" "&amp;VLOOKUP(C128,'Liste chauffeur'!$B$5:$L$19,3,TRUE)</f>
        <v>ISSOUF Dailami</v>
      </c>
      <c r="E128" s="314"/>
      <c r="F128" s="315">
        <f t="shared" si="31"/>
        <v>1</v>
      </c>
      <c r="G128" s="315"/>
      <c r="H128" s="316"/>
      <c r="I128" s="316"/>
      <c r="J128" s="316"/>
      <c r="K128" s="314"/>
      <c r="L128" s="314"/>
      <c r="M128" s="316"/>
      <c r="N128" s="316"/>
      <c r="O128" s="314"/>
      <c r="P128" s="314"/>
      <c r="Q128" s="316"/>
      <c r="R128" s="316"/>
      <c r="S128" s="314"/>
      <c r="T128" s="314"/>
      <c r="U128" s="316"/>
      <c r="V128" s="316"/>
      <c r="W128" s="314"/>
      <c r="X128" s="317"/>
      <c r="Y128" s="271"/>
      <c r="Z128" s="270">
        <f t="shared" si="32"/>
        <v>0</v>
      </c>
      <c r="AA128" s="270">
        <f t="shared" si="33"/>
        <v>0</v>
      </c>
      <c r="AB128" s="273">
        <f t="shared" si="34"/>
        <v>0</v>
      </c>
      <c r="AC128" s="260"/>
    </row>
    <row r="129" spans="1:29" ht="36" hidden="1" customHeight="1" x14ac:dyDescent="0.45">
      <c r="A129" s="302" t="str">
        <f>Horaire!A128</f>
        <v>PASSOT LA BARGE</v>
      </c>
      <c r="B129" s="303">
        <f>Horaire!B128</f>
        <v>0.6875</v>
      </c>
      <c r="C129" s="303" t="str">
        <f>Horaire!C128</f>
        <v>D6</v>
      </c>
      <c r="D129" s="268" t="str">
        <f>VLOOKUP(C129,'Liste chauffeur'!$B$5:$L$19,2,TRUE)&amp;" "&amp;VLOOKUP(C129,'Liste chauffeur'!$B$5:$L$19,3,TRUE)</f>
        <v>ABDOU HAMIDOUNE Nassabia</v>
      </c>
      <c r="E129" s="314"/>
      <c r="F129" s="315">
        <f t="shared" si="31"/>
        <v>1</v>
      </c>
      <c r="G129" s="315"/>
      <c r="H129" s="316"/>
      <c r="I129" s="316"/>
      <c r="J129" s="316"/>
      <c r="K129" s="314"/>
      <c r="L129" s="314"/>
      <c r="M129" s="316"/>
      <c r="N129" s="316"/>
      <c r="O129" s="314"/>
      <c r="P129" s="314"/>
      <c r="Q129" s="316"/>
      <c r="R129" s="316"/>
      <c r="S129" s="314"/>
      <c r="T129" s="314"/>
      <c r="U129" s="316"/>
      <c r="V129" s="316"/>
      <c r="W129" s="314"/>
      <c r="X129" s="317"/>
      <c r="Y129" s="271"/>
      <c r="Z129" s="270">
        <f t="shared" si="32"/>
        <v>0</v>
      </c>
      <c r="AA129" s="270">
        <f t="shared" si="33"/>
        <v>0</v>
      </c>
      <c r="AB129" s="273">
        <f t="shared" si="34"/>
        <v>0</v>
      </c>
      <c r="AC129" s="260"/>
    </row>
    <row r="130" spans="1:29" ht="36" hidden="1" customHeight="1" x14ac:dyDescent="0.45">
      <c r="A130" s="302" t="str">
        <f>Horaire!A129</f>
        <v>DOUJANI</v>
      </c>
      <c r="B130" s="303">
        <f>Horaire!B129</f>
        <v>0.69444444444444442</v>
      </c>
      <c r="C130" s="303" t="str">
        <f>Horaire!C129</f>
        <v>D3</v>
      </c>
      <c r="D130" s="268" t="str">
        <f>VLOOKUP(C130,'Liste chauffeur'!$B$5:$L$19,2,TRUE)&amp;" "&amp;VLOOKUP(C130,'Liste chauffeur'!$B$5:$L$19,3,TRUE)</f>
        <v>ABDOURAHIM Mohamed</v>
      </c>
      <c r="E130" s="314"/>
      <c r="F130" s="315">
        <f t="shared" si="31"/>
        <v>1</v>
      </c>
      <c r="G130" s="315"/>
      <c r="H130" s="316"/>
      <c r="I130" s="316"/>
      <c r="J130" s="316"/>
      <c r="K130" s="314"/>
      <c r="L130" s="314"/>
      <c r="M130" s="316"/>
      <c r="N130" s="316"/>
      <c r="O130" s="314"/>
      <c r="P130" s="314"/>
      <c r="Q130" s="316"/>
      <c r="R130" s="316"/>
      <c r="S130" s="314"/>
      <c r="T130" s="314"/>
      <c r="U130" s="316"/>
      <c r="V130" s="316"/>
      <c r="W130" s="314"/>
      <c r="X130" s="317"/>
      <c r="Y130" s="271"/>
      <c r="Z130" s="270">
        <f t="shared" si="32"/>
        <v>0</v>
      </c>
      <c r="AA130" s="270">
        <f t="shared" si="33"/>
        <v>0</v>
      </c>
      <c r="AB130" s="273">
        <f t="shared" si="34"/>
        <v>0</v>
      </c>
      <c r="AC130" s="260"/>
    </row>
    <row r="131" spans="1:29" ht="36" hidden="1" customHeight="1" x14ac:dyDescent="0.45">
      <c r="A131" s="302" t="str">
        <f>Horaire!A130</f>
        <v>PASSOT LA BARGE</v>
      </c>
      <c r="B131" s="303">
        <f>Horaire!B130</f>
        <v>0.69444444444444442</v>
      </c>
      <c r="C131" s="303" t="str">
        <f>Horaire!C130</f>
        <v>D1</v>
      </c>
      <c r="D131" s="268" t="str">
        <f>VLOOKUP(C131,'Liste chauffeur'!$B$5:$L$19,2,TRUE)&amp;" "&amp;VLOOKUP(C131,'Liste chauffeur'!$B$5:$L$19,3,TRUE)</f>
        <v>MOHAMED Ali (laglace)</v>
      </c>
      <c r="E131" s="314"/>
      <c r="F131" s="315">
        <f t="shared" si="31"/>
        <v>1</v>
      </c>
      <c r="G131" s="315"/>
      <c r="H131" s="316"/>
      <c r="I131" s="316"/>
      <c r="J131" s="316"/>
      <c r="K131" s="314"/>
      <c r="L131" s="314"/>
      <c r="M131" s="316"/>
      <c r="N131" s="316"/>
      <c r="O131" s="314"/>
      <c r="P131" s="314"/>
      <c r="Q131" s="316"/>
      <c r="R131" s="316"/>
      <c r="S131" s="314"/>
      <c r="T131" s="314"/>
      <c r="U131" s="316"/>
      <c r="V131" s="316"/>
      <c r="W131" s="314"/>
      <c r="X131" s="317"/>
      <c r="Y131" s="271"/>
      <c r="Z131" s="270">
        <f t="shared" si="32"/>
        <v>0</v>
      </c>
      <c r="AA131" s="270">
        <f t="shared" si="33"/>
        <v>0</v>
      </c>
      <c r="AB131" s="273">
        <f t="shared" si="34"/>
        <v>0</v>
      </c>
      <c r="AC131" s="260"/>
    </row>
    <row r="132" spans="1:29" ht="36" hidden="1" customHeight="1" x14ac:dyDescent="0.45">
      <c r="A132" s="302" t="str">
        <f>Horaire!A131</f>
        <v>DOUJANI</v>
      </c>
      <c r="B132" s="303">
        <f>Horaire!B131</f>
        <v>0.70138888888888884</v>
      </c>
      <c r="C132" s="303" t="str">
        <f>Horaire!C131</f>
        <v>D9</v>
      </c>
      <c r="D132" s="268" t="str">
        <f>VLOOKUP(C132,'Liste chauffeur'!$B$5:$L$19,2,TRUE)&amp;" "&amp;VLOOKUP(C132,'Liste chauffeur'!$B$5:$L$19,3,TRUE)</f>
        <v>RENEE Assanati</v>
      </c>
      <c r="E132" s="314"/>
      <c r="F132" s="315">
        <f t="shared" si="31"/>
        <v>1</v>
      </c>
      <c r="G132" s="315"/>
      <c r="H132" s="316"/>
      <c r="I132" s="316"/>
      <c r="J132" s="316"/>
      <c r="K132" s="314"/>
      <c r="L132" s="314"/>
      <c r="M132" s="316"/>
      <c r="N132" s="316"/>
      <c r="O132" s="314"/>
      <c r="P132" s="314"/>
      <c r="Q132" s="316"/>
      <c r="R132" s="316"/>
      <c r="S132" s="314"/>
      <c r="T132" s="314"/>
      <c r="U132" s="316"/>
      <c r="V132" s="316"/>
      <c r="W132" s="314"/>
      <c r="X132" s="317"/>
      <c r="Y132" s="271"/>
      <c r="Z132" s="270">
        <f t="shared" si="32"/>
        <v>0</v>
      </c>
      <c r="AA132" s="270">
        <f t="shared" si="33"/>
        <v>0</v>
      </c>
      <c r="AB132" s="273">
        <f t="shared" si="34"/>
        <v>0</v>
      </c>
      <c r="AC132" s="260"/>
    </row>
    <row r="133" spans="1:29" ht="36" hidden="1" customHeight="1" x14ac:dyDescent="0.45">
      <c r="A133" s="302" t="str">
        <f>Horaire!A132</f>
        <v>PASSOT LA BARGE</v>
      </c>
      <c r="B133" s="303">
        <f>Horaire!B132</f>
        <v>0.70138888888888884</v>
      </c>
      <c r="C133" s="303" t="str">
        <f>Horaire!C132</f>
        <v>D5</v>
      </c>
      <c r="D133" s="268" t="str">
        <f>VLOOKUP(C133,'Liste chauffeur'!$B$5:$L$19,2,TRUE)&amp;" "&amp;VLOOKUP(C133,'Liste chauffeur'!$B$5:$L$19,3,TRUE)</f>
        <v>AMINA Selemani</v>
      </c>
      <c r="E133" s="314"/>
      <c r="F133" s="315">
        <f t="shared" si="31"/>
        <v>1</v>
      </c>
      <c r="G133" s="315"/>
      <c r="H133" s="316"/>
      <c r="I133" s="316"/>
      <c r="J133" s="316"/>
      <c r="K133" s="314"/>
      <c r="L133" s="314"/>
      <c r="M133" s="316"/>
      <c r="N133" s="316"/>
      <c r="O133" s="314"/>
      <c r="P133" s="314"/>
      <c r="Q133" s="316"/>
      <c r="R133" s="316"/>
      <c r="S133" s="314"/>
      <c r="T133" s="314"/>
      <c r="U133" s="316"/>
      <c r="V133" s="316"/>
      <c r="W133" s="314"/>
      <c r="X133" s="317"/>
      <c r="Y133" s="271"/>
      <c r="Z133" s="270">
        <f t="shared" si="32"/>
        <v>0</v>
      </c>
      <c r="AA133" s="270">
        <f t="shared" si="33"/>
        <v>0</v>
      </c>
      <c r="AB133" s="273">
        <f t="shared" si="34"/>
        <v>0</v>
      </c>
      <c r="AC133" s="260"/>
    </row>
    <row r="134" spans="1:29" ht="36" hidden="1" customHeight="1" x14ac:dyDescent="0.45">
      <c r="A134" s="302" t="str">
        <f>Horaire!A133</f>
        <v>DOUJANI</v>
      </c>
      <c r="B134" s="303">
        <f>Horaire!B133</f>
        <v>0.70833333333333337</v>
      </c>
      <c r="C134" s="303" t="str">
        <f>Horaire!C133</f>
        <v>D6</v>
      </c>
      <c r="D134" s="268" t="str">
        <f>VLOOKUP(C134,'Liste chauffeur'!$B$5:$L$19,2,TRUE)&amp;" "&amp;VLOOKUP(C134,'Liste chauffeur'!$B$5:$L$19,3,TRUE)</f>
        <v>ABDOU HAMIDOUNE Nassabia</v>
      </c>
      <c r="E134" s="314"/>
      <c r="F134" s="315">
        <f t="shared" si="31"/>
        <v>1</v>
      </c>
      <c r="G134" s="315"/>
      <c r="H134" s="316"/>
      <c r="I134" s="316"/>
      <c r="J134" s="316"/>
      <c r="K134" s="314"/>
      <c r="L134" s="314"/>
      <c r="M134" s="316"/>
      <c r="N134" s="316"/>
      <c r="O134" s="314"/>
      <c r="P134" s="314"/>
      <c r="Q134" s="316"/>
      <c r="R134" s="316"/>
      <c r="S134" s="314"/>
      <c r="T134" s="314"/>
      <c r="U134" s="316"/>
      <c r="V134" s="316"/>
      <c r="W134" s="314"/>
      <c r="X134" s="317"/>
      <c r="Y134" s="271"/>
      <c r="Z134" s="270">
        <f t="shared" si="32"/>
        <v>0</v>
      </c>
      <c r="AA134" s="270">
        <f t="shared" si="33"/>
        <v>0</v>
      </c>
      <c r="AB134" s="273">
        <f t="shared" si="34"/>
        <v>0</v>
      </c>
      <c r="AC134" s="260"/>
    </row>
    <row r="135" spans="1:29" ht="36" customHeight="1" x14ac:dyDescent="0.45">
      <c r="A135" s="302" t="str">
        <f>Horaire!A134</f>
        <v>PASSOT LA BARGE</v>
      </c>
      <c r="B135" s="303">
        <f>Horaire!B134</f>
        <v>0.70833333333333337</v>
      </c>
      <c r="C135" s="303" t="str">
        <f>Horaire!C134</f>
        <v>D8</v>
      </c>
      <c r="D135" s="268" t="str">
        <f>VLOOKUP(C135,'Liste chauffeur'!$B$5:$L$19,2,TRUE)&amp;" "&amp;VLOOKUP(C135,'Liste chauffeur'!$B$5:$L$19,3,TRUE)</f>
        <v>ISSOUF Dailami</v>
      </c>
      <c r="E135" s="314"/>
      <c r="F135" s="315">
        <f t="shared" si="31"/>
        <v>1</v>
      </c>
      <c r="G135" s="315"/>
      <c r="H135" s="316"/>
      <c r="I135" s="316"/>
      <c r="J135" s="316"/>
      <c r="K135" s="314"/>
      <c r="L135" s="314"/>
      <c r="M135" s="316"/>
      <c r="N135" s="316"/>
      <c r="O135" s="314"/>
      <c r="P135" s="314"/>
      <c r="Q135" s="316"/>
      <c r="R135" s="316"/>
      <c r="S135" s="314"/>
      <c r="T135" s="314"/>
      <c r="U135" s="316"/>
      <c r="V135" s="316"/>
      <c r="W135" s="314"/>
      <c r="X135" s="317"/>
      <c r="Y135" s="271"/>
      <c r="Z135" s="270">
        <f t="shared" si="32"/>
        <v>0</v>
      </c>
      <c r="AA135" s="270">
        <f t="shared" si="33"/>
        <v>0</v>
      </c>
      <c r="AB135" s="273">
        <f t="shared" si="34"/>
        <v>0</v>
      </c>
      <c r="AC135" s="260"/>
    </row>
    <row r="136" spans="1:29" ht="36" hidden="1" customHeight="1" x14ac:dyDescent="0.45">
      <c r="A136" s="302" t="str">
        <f>Horaire!A135</f>
        <v>DOUJANI</v>
      </c>
      <c r="B136" s="303">
        <f>Horaire!B135</f>
        <v>0.71527777777777779</v>
      </c>
      <c r="C136" s="303" t="str">
        <f>Horaire!C135</f>
        <v>D1</v>
      </c>
      <c r="D136" s="268" t="str">
        <f>VLOOKUP(C136,'Liste chauffeur'!$B$5:$L$19,2,TRUE)&amp;" "&amp;VLOOKUP(C136,'Liste chauffeur'!$B$5:$L$19,3,TRUE)</f>
        <v>MOHAMED Ali (laglace)</v>
      </c>
      <c r="E136" s="314"/>
      <c r="F136" s="315">
        <f t="shared" si="31"/>
        <v>1</v>
      </c>
      <c r="G136" s="315"/>
      <c r="H136" s="316"/>
      <c r="I136" s="316"/>
      <c r="J136" s="316"/>
      <c r="K136" s="314"/>
      <c r="L136" s="314"/>
      <c r="M136" s="316"/>
      <c r="N136" s="316"/>
      <c r="O136" s="314"/>
      <c r="P136" s="314"/>
      <c r="Q136" s="316"/>
      <c r="R136" s="316"/>
      <c r="S136" s="314"/>
      <c r="T136" s="314"/>
      <c r="U136" s="316"/>
      <c r="V136" s="316"/>
      <c r="W136" s="314"/>
      <c r="X136" s="317"/>
      <c r="Y136" s="271"/>
      <c r="Z136" s="270">
        <f t="shared" si="32"/>
        <v>0</v>
      </c>
      <c r="AA136" s="270">
        <f t="shared" si="33"/>
        <v>0</v>
      </c>
      <c r="AB136" s="273">
        <f t="shared" si="34"/>
        <v>0</v>
      </c>
      <c r="AC136" s="260"/>
    </row>
    <row r="137" spans="1:29" ht="36" hidden="1" customHeight="1" x14ac:dyDescent="0.45">
      <c r="A137" s="302" t="str">
        <f>Horaire!A136</f>
        <v>PASSOT LA BARGE</v>
      </c>
      <c r="B137" s="303">
        <f>Horaire!B136</f>
        <v>0.71527777777777779</v>
      </c>
      <c r="C137" s="303" t="str">
        <f>Horaire!C136</f>
        <v>D3</v>
      </c>
      <c r="D137" s="268" t="str">
        <f>VLOOKUP(C137,'Liste chauffeur'!$B$5:$L$19,2,TRUE)&amp;" "&amp;VLOOKUP(C137,'Liste chauffeur'!$B$5:$L$19,3,TRUE)</f>
        <v>ABDOURAHIM Mohamed</v>
      </c>
      <c r="E137" s="314"/>
      <c r="F137" s="315">
        <f t="shared" si="31"/>
        <v>1</v>
      </c>
      <c r="G137" s="315"/>
      <c r="H137" s="316"/>
      <c r="I137" s="316"/>
      <c r="J137" s="316"/>
      <c r="K137" s="314"/>
      <c r="L137" s="314"/>
      <c r="M137" s="316"/>
      <c r="N137" s="316"/>
      <c r="O137" s="314"/>
      <c r="P137" s="314"/>
      <c r="Q137" s="316"/>
      <c r="R137" s="316"/>
      <c r="S137" s="314"/>
      <c r="T137" s="314"/>
      <c r="U137" s="316"/>
      <c r="V137" s="316"/>
      <c r="W137" s="314"/>
      <c r="X137" s="317"/>
      <c r="Y137" s="271"/>
      <c r="Z137" s="270">
        <f t="shared" si="32"/>
        <v>0</v>
      </c>
      <c r="AA137" s="270">
        <f t="shared" si="33"/>
        <v>0</v>
      </c>
      <c r="AB137" s="273">
        <f t="shared" si="34"/>
        <v>0</v>
      </c>
      <c r="AC137" s="260"/>
    </row>
    <row r="138" spans="1:29" ht="36" hidden="1" customHeight="1" x14ac:dyDescent="0.45">
      <c r="A138" s="302" t="str">
        <f>Horaire!A137</f>
        <v>DOUJANI</v>
      </c>
      <c r="B138" s="303">
        <f>Horaire!B137</f>
        <v>0.72222222222223398</v>
      </c>
      <c r="C138" s="303" t="str">
        <f>Horaire!C137</f>
        <v>D5</v>
      </c>
      <c r="D138" s="268" t="str">
        <f>VLOOKUP(C138,'Liste chauffeur'!$B$5:$L$19,2,TRUE)&amp;" "&amp;VLOOKUP(C138,'Liste chauffeur'!$B$5:$L$19,3,TRUE)</f>
        <v>AMINA Selemani</v>
      </c>
      <c r="E138" s="314"/>
      <c r="F138" s="315">
        <f t="shared" si="31"/>
        <v>1</v>
      </c>
      <c r="G138" s="315"/>
      <c r="H138" s="316"/>
      <c r="I138" s="316"/>
      <c r="J138" s="316"/>
      <c r="K138" s="314"/>
      <c r="L138" s="314"/>
      <c r="M138" s="316"/>
      <c r="N138" s="316"/>
      <c r="O138" s="314"/>
      <c r="P138" s="314"/>
      <c r="Q138" s="316"/>
      <c r="R138" s="316"/>
      <c r="S138" s="314"/>
      <c r="T138" s="314"/>
      <c r="U138" s="316"/>
      <c r="V138" s="316"/>
      <c r="W138" s="314"/>
      <c r="X138" s="317"/>
      <c r="Y138" s="271"/>
      <c r="Z138" s="270">
        <f t="shared" si="32"/>
        <v>0</v>
      </c>
      <c r="AA138" s="270">
        <f t="shared" si="33"/>
        <v>0</v>
      </c>
      <c r="AB138" s="273">
        <f t="shared" si="34"/>
        <v>0</v>
      </c>
      <c r="AC138" s="260"/>
    </row>
    <row r="139" spans="1:29" ht="36" hidden="1" customHeight="1" x14ac:dyDescent="0.45">
      <c r="A139" s="302" t="str">
        <f>Horaire!A138</f>
        <v>PASSOT LA BARGE</v>
      </c>
      <c r="B139" s="303">
        <f>Horaire!B138</f>
        <v>0.72222222222222221</v>
      </c>
      <c r="C139" s="303" t="str">
        <f>Horaire!C138</f>
        <v>D9</v>
      </c>
      <c r="D139" s="268" t="str">
        <f>VLOOKUP(C139,'Liste chauffeur'!$B$5:$L$19,2,TRUE)&amp;" "&amp;VLOOKUP(C139,'Liste chauffeur'!$B$5:$L$19,3,TRUE)</f>
        <v>RENEE Assanati</v>
      </c>
      <c r="E139" s="314"/>
      <c r="F139" s="315">
        <f t="shared" si="31"/>
        <v>1</v>
      </c>
      <c r="G139" s="315"/>
      <c r="H139" s="316"/>
      <c r="I139" s="316"/>
      <c r="J139" s="316"/>
      <c r="K139" s="314"/>
      <c r="L139" s="314"/>
      <c r="M139" s="316"/>
      <c r="N139" s="316"/>
      <c r="O139" s="314"/>
      <c r="P139" s="314"/>
      <c r="Q139" s="316"/>
      <c r="R139" s="316"/>
      <c r="S139" s="314"/>
      <c r="T139" s="314"/>
      <c r="U139" s="316"/>
      <c r="V139" s="316"/>
      <c r="W139" s="314"/>
      <c r="X139" s="317"/>
      <c r="Y139" s="271"/>
      <c r="Z139" s="270">
        <f t="shared" si="32"/>
        <v>0</v>
      </c>
      <c r="AA139" s="270">
        <f t="shared" si="33"/>
        <v>0</v>
      </c>
      <c r="AB139" s="273">
        <f t="shared" si="34"/>
        <v>0</v>
      </c>
      <c r="AC139" s="260"/>
    </row>
    <row r="140" spans="1:29" ht="36" customHeight="1" x14ac:dyDescent="0.45">
      <c r="A140" s="302" t="str">
        <f>Horaire!A139</f>
        <v>DOUJANI</v>
      </c>
      <c r="B140" s="303">
        <f>Horaire!B139</f>
        <v>0.72916666666666663</v>
      </c>
      <c r="C140" s="303" t="str">
        <f>Horaire!C139</f>
        <v>D8</v>
      </c>
      <c r="D140" s="268" t="str">
        <f>VLOOKUP(C140,'Liste chauffeur'!$B$5:$L$19,2,TRUE)&amp;" "&amp;VLOOKUP(C140,'Liste chauffeur'!$B$5:$L$19,3,TRUE)</f>
        <v>ISSOUF Dailami</v>
      </c>
      <c r="E140" s="314"/>
      <c r="F140" s="315">
        <f t="shared" si="31"/>
        <v>1</v>
      </c>
      <c r="G140" s="315"/>
      <c r="H140" s="316"/>
      <c r="I140" s="316"/>
      <c r="J140" s="316"/>
      <c r="K140" s="314"/>
      <c r="L140" s="314"/>
      <c r="M140" s="316"/>
      <c r="N140" s="316"/>
      <c r="O140" s="314"/>
      <c r="P140" s="314"/>
      <c r="Q140" s="316"/>
      <c r="R140" s="316"/>
      <c r="S140" s="314"/>
      <c r="T140" s="314"/>
      <c r="U140" s="316"/>
      <c r="V140" s="316"/>
      <c r="W140" s="314"/>
      <c r="X140" s="317"/>
      <c r="Y140" s="271"/>
      <c r="Z140" s="270">
        <f t="shared" si="32"/>
        <v>0</v>
      </c>
      <c r="AA140" s="270">
        <f t="shared" si="33"/>
        <v>0</v>
      </c>
      <c r="AB140" s="273">
        <f t="shared" si="34"/>
        <v>0</v>
      </c>
      <c r="AC140" s="260"/>
    </row>
    <row r="141" spans="1:29" ht="36" hidden="1" customHeight="1" x14ac:dyDescent="0.45">
      <c r="A141" s="302" t="str">
        <f>Horaire!A140</f>
        <v>PASSOT LA BARGE</v>
      </c>
      <c r="B141" s="303">
        <f>Horaire!B140</f>
        <v>0.72916666666666663</v>
      </c>
      <c r="C141" s="303" t="str">
        <f>Horaire!C140</f>
        <v>D6</v>
      </c>
      <c r="D141" s="268" t="str">
        <f>VLOOKUP(C141,'Liste chauffeur'!$B$5:$L$19,2,TRUE)&amp;" "&amp;VLOOKUP(C141,'Liste chauffeur'!$B$5:$L$19,3,TRUE)</f>
        <v>ABDOU HAMIDOUNE Nassabia</v>
      </c>
      <c r="E141" s="314"/>
      <c r="F141" s="315">
        <f t="shared" ref="F141:F163" si="35">COUNTBLANK(E141)</f>
        <v>1</v>
      </c>
      <c r="G141" s="315"/>
      <c r="H141" s="316"/>
      <c r="I141" s="316"/>
      <c r="J141" s="316"/>
      <c r="K141" s="314"/>
      <c r="L141" s="314"/>
      <c r="M141" s="316"/>
      <c r="N141" s="316"/>
      <c r="O141" s="314"/>
      <c r="P141" s="314"/>
      <c r="Q141" s="316"/>
      <c r="R141" s="316"/>
      <c r="S141" s="314"/>
      <c r="T141" s="314"/>
      <c r="U141" s="316"/>
      <c r="V141" s="316"/>
      <c r="W141" s="314"/>
      <c r="X141" s="317"/>
      <c r="Y141" s="271"/>
      <c r="Z141" s="270">
        <f t="shared" si="32"/>
        <v>0</v>
      </c>
      <c r="AA141" s="270">
        <f t="shared" si="33"/>
        <v>0</v>
      </c>
      <c r="AB141" s="273">
        <f t="shared" si="34"/>
        <v>0</v>
      </c>
      <c r="AC141" s="260"/>
    </row>
    <row r="142" spans="1:29" ht="36" hidden="1" customHeight="1" x14ac:dyDescent="0.45">
      <c r="A142" s="302" t="str">
        <f>Horaire!A141</f>
        <v>DOUJANI</v>
      </c>
      <c r="B142" s="303">
        <f>Horaire!B141</f>
        <v>0.73611111111112504</v>
      </c>
      <c r="C142" s="303" t="str">
        <f>Horaire!C141</f>
        <v>D3</v>
      </c>
      <c r="D142" s="268" t="str">
        <f>VLOOKUP(C142,'Liste chauffeur'!$B$5:$L$19,2,TRUE)&amp;" "&amp;VLOOKUP(C142,'Liste chauffeur'!$B$5:$L$19,3,TRUE)</f>
        <v>ABDOURAHIM Mohamed</v>
      </c>
      <c r="E142" s="314"/>
      <c r="F142" s="315">
        <f t="shared" si="35"/>
        <v>1</v>
      </c>
      <c r="G142" s="315"/>
      <c r="H142" s="316"/>
      <c r="I142" s="316"/>
      <c r="J142" s="316"/>
      <c r="K142" s="314"/>
      <c r="L142" s="314"/>
      <c r="M142" s="316"/>
      <c r="N142" s="316"/>
      <c r="O142" s="314"/>
      <c r="P142" s="314"/>
      <c r="Q142" s="316"/>
      <c r="R142" s="316"/>
      <c r="S142" s="314"/>
      <c r="T142" s="314"/>
      <c r="U142" s="316"/>
      <c r="V142" s="316"/>
      <c r="W142" s="314"/>
      <c r="X142" s="317"/>
      <c r="Y142" s="271"/>
      <c r="Z142" s="270">
        <f t="shared" si="32"/>
        <v>0</v>
      </c>
      <c r="AA142" s="270">
        <f t="shared" si="33"/>
        <v>0</v>
      </c>
      <c r="AB142" s="273">
        <f t="shared" si="34"/>
        <v>0</v>
      </c>
      <c r="AC142" s="260"/>
    </row>
    <row r="143" spans="1:29" ht="36" hidden="1" customHeight="1" x14ac:dyDescent="0.45">
      <c r="A143" s="302" t="str">
        <f>Horaire!A142</f>
        <v>PASSOT LA BARGE</v>
      </c>
      <c r="B143" s="303">
        <f>Horaire!B142</f>
        <v>0.73611111111111116</v>
      </c>
      <c r="C143" s="303" t="str">
        <f>Horaire!C142</f>
        <v>D1</v>
      </c>
      <c r="D143" s="268" t="str">
        <f>VLOOKUP(C143,'Liste chauffeur'!$B$5:$L$19,2,TRUE)&amp;" "&amp;VLOOKUP(C143,'Liste chauffeur'!$B$5:$L$19,3,TRUE)</f>
        <v>MOHAMED Ali (laglace)</v>
      </c>
      <c r="E143" s="314"/>
      <c r="F143" s="315">
        <f t="shared" si="35"/>
        <v>1</v>
      </c>
      <c r="G143" s="315"/>
      <c r="H143" s="316"/>
      <c r="I143" s="316"/>
      <c r="J143" s="316"/>
      <c r="K143" s="314"/>
      <c r="L143" s="314"/>
      <c r="M143" s="316"/>
      <c r="N143" s="316"/>
      <c r="O143" s="314"/>
      <c r="P143" s="314"/>
      <c r="Q143" s="316"/>
      <c r="R143" s="316"/>
      <c r="S143" s="314"/>
      <c r="T143" s="314"/>
      <c r="U143" s="316"/>
      <c r="V143" s="316"/>
      <c r="W143" s="314"/>
      <c r="X143" s="317"/>
      <c r="Y143" s="271"/>
      <c r="Z143" s="270">
        <f t="shared" si="32"/>
        <v>0</v>
      </c>
      <c r="AA143" s="270">
        <f t="shared" si="33"/>
        <v>0</v>
      </c>
      <c r="AB143" s="273">
        <f t="shared" si="34"/>
        <v>0</v>
      </c>
      <c r="AC143" s="260"/>
    </row>
    <row r="144" spans="1:29" ht="36" hidden="1" customHeight="1" x14ac:dyDescent="0.45">
      <c r="A144" s="302" t="str">
        <f>Horaire!A143</f>
        <v>DOUJANI</v>
      </c>
      <c r="B144" s="303">
        <f>Horaire!B143</f>
        <v>0.74305555555555558</v>
      </c>
      <c r="C144" s="303" t="str">
        <f>Horaire!C143</f>
        <v>D9</v>
      </c>
      <c r="D144" s="268" t="str">
        <f>VLOOKUP(C144,'Liste chauffeur'!$B$5:$L$19,2,TRUE)&amp;" "&amp;VLOOKUP(C144,'Liste chauffeur'!$B$5:$L$19,3,TRUE)</f>
        <v>RENEE Assanati</v>
      </c>
      <c r="E144" s="314"/>
      <c r="F144" s="315">
        <f t="shared" si="35"/>
        <v>1</v>
      </c>
      <c r="G144" s="315"/>
      <c r="H144" s="316"/>
      <c r="I144" s="316"/>
      <c r="J144" s="316"/>
      <c r="K144" s="314"/>
      <c r="L144" s="314"/>
      <c r="M144" s="316"/>
      <c r="N144" s="316"/>
      <c r="O144" s="314"/>
      <c r="P144" s="314"/>
      <c r="Q144" s="316"/>
      <c r="R144" s="316"/>
      <c r="S144" s="314"/>
      <c r="T144" s="314"/>
      <c r="U144" s="316"/>
      <c r="V144" s="316"/>
      <c r="W144" s="314"/>
      <c r="X144" s="317"/>
      <c r="Y144" s="271"/>
      <c r="Z144" s="270">
        <f t="shared" si="32"/>
        <v>0</v>
      </c>
      <c r="AA144" s="270">
        <f t="shared" si="33"/>
        <v>0</v>
      </c>
      <c r="AB144" s="273">
        <f t="shared" si="34"/>
        <v>0</v>
      </c>
      <c r="AC144" s="260"/>
    </row>
    <row r="145" spans="1:29" ht="36" hidden="1" customHeight="1" x14ac:dyDescent="0.45">
      <c r="A145" s="302" t="str">
        <f>Horaire!A144</f>
        <v>PASSOT LA BARGE</v>
      </c>
      <c r="B145" s="303">
        <f>Horaire!B144</f>
        <v>0.74305555555555558</v>
      </c>
      <c r="C145" s="303" t="str">
        <f>Horaire!C144</f>
        <v>D7</v>
      </c>
      <c r="D145" s="268" t="str">
        <f>VLOOKUP(C145,'Liste chauffeur'!$B$5:$L$19,2,TRUE)&amp;" "&amp;VLOOKUP(C145,'Liste chauffeur'!$B$5:$L$19,3,TRUE)</f>
        <v>COMBO  Said</v>
      </c>
      <c r="E145" s="314"/>
      <c r="F145" s="315">
        <f t="shared" si="35"/>
        <v>1</v>
      </c>
      <c r="G145" s="315"/>
      <c r="H145" s="316"/>
      <c r="I145" s="316"/>
      <c r="J145" s="316"/>
      <c r="K145" s="314"/>
      <c r="L145" s="314"/>
      <c r="M145" s="316"/>
      <c r="N145" s="316"/>
      <c r="O145" s="314"/>
      <c r="P145" s="314"/>
      <c r="Q145" s="316"/>
      <c r="R145" s="316"/>
      <c r="S145" s="314"/>
      <c r="T145" s="314"/>
      <c r="U145" s="316"/>
      <c r="V145" s="316"/>
      <c r="W145" s="314"/>
      <c r="X145" s="317"/>
      <c r="Y145" s="271"/>
      <c r="Z145" s="270">
        <f t="shared" si="32"/>
        <v>0</v>
      </c>
      <c r="AA145" s="270">
        <f t="shared" si="33"/>
        <v>0</v>
      </c>
      <c r="AB145" s="273">
        <f t="shared" si="34"/>
        <v>0</v>
      </c>
      <c r="AC145" s="260"/>
    </row>
    <row r="146" spans="1:29" ht="36" hidden="1" customHeight="1" x14ac:dyDescent="0.45">
      <c r="A146" s="302" t="str">
        <f>Horaire!A145</f>
        <v>DOUJANI</v>
      </c>
      <c r="B146" s="303">
        <f>Horaire!B145</f>
        <v>0.75000000000001699</v>
      </c>
      <c r="C146" s="303" t="str">
        <f>Horaire!C145</f>
        <v>D6</v>
      </c>
      <c r="D146" s="268" t="str">
        <f>VLOOKUP(C146,'Liste chauffeur'!$B$5:$L$19,2,TRUE)&amp;" "&amp;VLOOKUP(C146,'Liste chauffeur'!$B$5:$L$19,3,TRUE)</f>
        <v>ABDOU HAMIDOUNE Nassabia</v>
      </c>
      <c r="E146" s="314"/>
      <c r="F146" s="315">
        <f t="shared" si="35"/>
        <v>1</v>
      </c>
      <c r="G146" s="315"/>
      <c r="H146" s="316"/>
      <c r="I146" s="316"/>
      <c r="J146" s="316"/>
      <c r="K146" s="314"/>
      <c r="L146" s="314"/>
      <c r="M146" s="316"/>
      <c r="N146" s="316"/>
      <c r="O146" s="314"/>
      <c r="P146" s="314"/>
      <c r="Q146" s="316"/>
      <c r="R146" s="316"/>
      <c r="S146" s="314"/>
      <c r="T146" s="314"/>
      <c r="U146" s="316"/>
      <c r="V146" s="316"/>
      <c r="W146" s="314"/>
      <c r="X146" s="317"/>
      <c r="Y146" s="271"/>
      <c r="Z146" s="270">
        <f t="shared" si="32"/>
        <v>0</v>
      </c>
      <c r="AA146" s="270">
        <f t="shared" si="33"/>
        <v>0</v>
      </c>
      <c r="AB146" s="273">
        <f t="shared" si="34"/>
        <v>0</v>
      </c>
      <c r="AC146" s="260"/>
    </row>
    <row r="147" spans="1:29" ht="36" customHeight="1" x14ac:dyDescent="0.45">
      <c r="A147" s="302" t="str">
        <f>Horaire!A146</f>
        <v>PASSOT LA BARGE</v>
      </c>
      <c r="B147" s="303">
        <f>Horaire!B146</f>
        <v>0.75</v>
      </c>
      <c r="C147" s="303" t="str">
        <f>Horaire!C146</f>
        <v>D8</v>
      </c>
      <c r="D147" s="268" t="str">
        <f>VLOOKUP(C147,'Liste chauffeur'!$B$5:$L$19,2,TRUE)&amp;" "&amp;VLOOKUP(C147,'Liste chauffeur'!$B$5:$L$19,3,TRUE)</f>
        <v>ISSOUF Dailami</v>
      </c>
      <c r="E147" s="314"/>
      <c r="F147" s="315">
        <f t="shared" si="35"/>
        <v>1</v>
      </c>
      <c r="G147" s="315"/>
      <c r="H147" s="316"/>
      <c r="I147" s="316"/>
      <c r="J147" s="316"/>
      <c r="K147" s="314"/>
      <c r="L147" s="314"/>
      <c r="M147" s="316"/>
      <c r="N147" s="316"/>
      <c r="O147" s="314"/>
      <c r="P147" s="314"/>
      <c r="Q147" s="316"/>
      <c r="R147" s="316"/>
      <c r="S147" s="314"/>
      <c r="T147" s="314"/>
      <c r="U147" s="316"/>
      <c r="V147" s="316"/>
      <c r="W147" s="314"/>
      <c r="X147" s="317"/>
      <c r="Y147" s="271"/>
      <c r="Z147" s="270">
        <f t="shared" si="32"/>
        <v>0</v>
      </c>
      <c r="AA147" s="270">
        <f t="shared" si="33"/>
        <v>0</v>
      </c>
      <c r="AB147" s="273">
        <f t="shared" si="34"/>
        <v>0</v>
      </c>
      <c r="AC147" s="260"/>
    </row>
    <row r="148" spans="1:29" ht="36" hidden="1" customHeight="1" x14ac:dyDescent="0.45">
      <c r="A148" s="302" t="str">
        <f>Horaire!A147</f>
        <v>DOUJANI</v>
      </c>
      <c r="B148" s="303">
        <f>Horaire!B147</f>
        <v>0.76388888888888884</v>
      </c>
      <c r="C148" s="303" t="str">
        <f>Horaire!C147</f>
        <v>D7</v>
      </c>
      <c r="D148" s="268" t="str">
        <f>VLOOKUP(C148,'Liste chauffeur'!$B$5:$L$19,2,TRUE)&amp;" "&amp;VLOOKUP(C148,'Liste chauffeur'!$B$5:$L$19,3,TRUE)</f>
        <v>COMBO  Said</v>
      </c>
      <c r="E148" s="314"/>
      <c r="F148" s="315">
        <f t="shared" si="35"/>
        <v>1</v>
      </c>
      <c r="G148" s="315"/>
      <c r="H148" s="316"/>
      <c r="I148" s="316"/>
      <c r="J148" s="316"/>
      <c r="K148" s="314"/>
      <c r="L148" s="314"/>
      <c r="M148" s="316"/>
      <c r="N148" s="316"/>
      <c r="O148" s="314"/>
      <c r="P148" s="314"/>
      <c r="Q148" s="316"/>
      <c r="R148" s="316"/>
      <c r="S148" s="314"/>
      <c r="T148" s="314"/>
      <c r="U148" s="316"/>
      <c r="V148" s="316"/>
      <c r="W148" s="314"/>
      <c r="X148" s="317"/>
      <c r="Y148" s="271"/>
      <c r="Z148" s="270">
        <f t="shared" si="32"/>
        <v>0</v>
      </c>
      <c r="AA148" s="270">
        <f t="shared" si="33"/>
        <v>0</v>
      </c>
      <c r="AB148" s="273">
        <f t="shared" si="34"/>
        <v>0</v>
      </c>
      <c r="AC148" s="260"/>
    </row>
    <row r="149" spans="1:29" ht="36" hidden="1" customHeight="1" x14ac:dyDescent="0.45">
      <c r="A149" s="302" t="str">
        <f>Horaire!A148</f>
        <v>PASSOT LA BARGE</v>
      </c>
      <c r="B149" s="303">
        <f>Horaire!B148</f>
        <v>0.76388888888888884</v>
      </c>
      <c r="C149" s="303" t="str">
        <f>Horaire!C148</f>
        <v>D9</v>
      </c>
      <c r="D149" s="268" t="str">
        <f>VLOOKUP(C149,'Liste chauffeur'!$B$5:$L$19,2,TRUE)&amp;" "&amp;VLOOKUP(C149,'Liste chauffeur'!$B$5:$L$19,3,TRUE)</f>
        <v>RENEE Assanati</v>
      </c>
      <c r="E149" s="314"/>
      <c r="F149" s="315">
        <f t="shared" si="35"/>
        <v>1</v>
      </c>
      <c r="G149" s="315"/>
      <c r="H149" s="316"/>
      <c r="I149" s="316"/>
      <c r="J149" s="316"/>
      <c r="K149" s="314"/>
      <c r="L149" s="314"/>
      <c r="M149" s="316"/>
      <c r="N149" s="316"/>
      <c r="O149" s="314"/>
      <c r="P149" s="314"/>
      <c r="Q149" s="316"/>
      <c r="R149" s="316"/>
      <c r="S149" s="314"/>
      <c r="T149" s="314"/>
      <c r="U149" s="316"/>
      <c r="V149" s="316"/>
      <c r="W149" s="314"/>
      <c r="X149" s="317"/>
      <c r="Y149" s="271"/>
      <c r="Z149" s="270">
        <f t="shared" si="32"/>
        <v>0</v>
      </c>
      <c r="AA149" s="270">
        <f t="shared" si="33"/>
        <v>0</v>
      </c>
      <c r="AB149" s="273">
        <f t="shared" si="34"/>
        <v>0</v>
      </c>
      <c r="AC149" s="260"/>
    </row>
    <row r="150" spans="1:29" ht="36" customHeight="1" x14ac:dyDescent="0.45">
      <c r="A150" s="302" t="str">
        <f>Horaire!A149</f>
        <v>DOUJANI</v>
      </c>
      <c r="B150" s="303">
        <f>Horaire!B149</f>
        <v>0.77777777777777779</v>
      </c>
      <c r="C150" s="303" t="str">
        <f>Horaire!C149</f>
        <v>D8</v>
      </c>
      <c r="D150" s="268" t="str">
        <f>VLOOKUP(C150,'Liste chauffeur'!$B$5:$L$19,2,TRUE)&amp;" "&amp;VLOOKUP(C150,'Liste chauffeur'!$B$5:$L$19,3,TRUE)</f>
        <v>ISSOUF Dailami</v>
      </c>
      <c r="E150" s="314"/>
      <c r="F150" s="315">
        <f t="shared" si="35"/>
        <v>1</v>
      </c>
      <c r="G150" s="315"/>
      <c r="H150" s="316"/>
      <c r="I150" s="316"/>
      <c r="J150" s="316"/>
      <c r="K150" s="314"/>
      <c r="L150" s="314"/>
      <c r="M150" s="316"/>
      <c r="N150" s="316"/>
      <c r="O150" s="314"/>
      <c r="P150" s="314"/>
      <c r="Q150" s="316"/>
      <c r="R150" s="316"/>
      <c r="S150" s="314"/>
      <c r="T150" s="314"/>
      <c r="U150" s="316"/>
      <c r="V150" s="316"/>
      <c r="W150" s="314"/>
      <c r="X150" s="317"/>
      <c r="Y150" s="271"/>
      <c r="Z150" s="270">
        <f t="shared" si="32"/>
        <v>0</v>
      </c>
      <c r="AA150" s="270">
        <f t="shared" si="33"/>
        <v>0</v>
      </c>
      <c r="AB150" s="273">
        <f t="shared" si="34"/>
        <v>0</v>
      </c>
      <c r="AC150" s="260"/>
    </row>
    <row r="151" spans="1:29" ht="36" hidden="1" customHeight="1" x14ac:dyDescent="0.45">
      <c r="A151" s="302" t="str">
        <f>Horaire!A150</f>
        <v>PASSOT LA BARGE</v>
      </c>
      <c r="B151" s="303">
        <f>Horaire!B150</f>
        <v>0.77777777777777779</v>
      </c>
      <c r="C151" s="303" t="str">
        <f>Horaire!C150</f>
        <v>D6</v>
      </c>
      <c r="D151" s="268" t="str">
        <f>VLOOKUP(C151,'Liste chauffeur'!$B$5:$L$19,2,TRUE)&amp;" "&amp;VLOOKUP(C151,'Liste chauffeur'!$B$5:$L$19,3,TRUE)</f>
        <v>ABDOU HAMIDOUNE Nassabia</v>
      </c>
      <c r="E151" s="314"/>
      <c r="F151" s="315">
        <f t="shared" si="35"/>
        <v>1</v>
      </c>
      <c r="G151" s="315"/>
      <c r="H151" s="316"/>
      <c r="I151" s="316"/>
      <c r="J151" s="316"/>
      <c r="K151" s="314"/>
      <c r="L151" s="314"/>
      <c r="M151" s="316"/>
      <c r="N151" s="316"/>
      <c r="O151" s="314"/>
      <c r="P151" s="314"/>
      <c r="Q151" s="316"/>
      <c r="R151" s="316"/>
      <c r="S151" s="314"/>
      <c r="T151" s="314"/>
      <c r="U151" s="316"/>
      <c r="V151" s="316"/>
      <c r="W151" s="314"/>
      <c r="X151" s="317"/>
      <c r="Y151" s="271"/>
      <c r="Z151" s="270">
        <f t="shared" si="32"/>
        <v>0</v>
      </c>
      <c r="AA151" s="270">
        <f t="shared" si="33"/>
        <v>0</v>
      </c>
      <c r="AB151" s="273">
        <f t="shared" si="34"/>
        <v>0</v>
      </c>
      <c r="AC151" s="260"/>
    </row>
    <row r="152" spans="1:29" ht="36" hidden="1" customHeight="1" x14ac:dyDescent="0.45">
      <c r="A152" s="302" t="str">
        <f>Horaire!A151</f>
        <v>DOUJANI</v>
      </c>
      <c r="B152" s="303">
        <f>Horaire!B151</f>
        <v>0.79166666666666663</v>
      </c>
      <c r="C152" s="303" t="str">
        <f>Horaire!C151</f>
        <v>D9</v>
      </c>
      <c r="D152" s="268" t="str">
        <f>VLOOKUP(C152,'Liste chauffeur'!$B$5:$L$19,2,TRUE)&amp;" "&amp;VLOOKUP(C152,'Liste chauffeur'!$B$5:$L$19,3,TRUE)</f>
        <v>RENEE Assanati</v>
      </c>
      <c r="E152" s="314"/>
      <c r="F152" s="315">
        <f t="shared" si="35"/>
        <v>1</v>
      </c>
      <c r="G152" s="315"/>
      <c r="H152" s="316"/>
      <c r="I152" s="316"/>
      <c r="J152" s="316"/>
      <c r="K152" s="314"/>
      <c r="L152" s="314"/>
      <c r="M152" s="316"/>
      <c r="N152" s="316"/>
      <c r="O152" s="314"/>
      <c r="P152" s="314"/>
      <c r="Q152" s="316"/>
      <c r="R152" s="316"/>
      <c r="S152" s="314"/>
      <c r="T152" s="314"/>
      <c r="U152" s="316"/>
      <c r="V152" s="316"/>
      <c r="W152" s="314"/>
      <c r="X152" s="317"/>
      <c r="Y152" s="271"/>
      <c r="Z152" s="270">
        <f t="shared" si="32"/>
        <v>0</v>
      </c>
      <c r="AA152" s="270">
        <f t="shared" si="33"/>
        <v>0</v>
      </c>
      <c r="AB152" s="273">
        <f t="shared" si="34"/>
        <v>0</v>
      </c>
      <c r="AC152" s="260"/>
    </row>
    <row r="153" spans="1:29" ht="36" hidden="1" customHeight="1" x14ac:dyDescent="0.45">
      <c r="A153" s="302" t="str">
        <f>Horaire!A152</f>
        <v>PASSOT LA BARGE</v>
      </c>
      <c r="B153" s="303">
        <f>Horaire!B152</f>
        <v>0.79166666666666663</v>
      </c>
      <c r="C153" s="303" t="str">
        <f>Horaire!C152</f>
        <v>D7</v>
      </c>
      <c r="D153" s="268" t="str">
        <f>VLOOKUP(C153,'Liste chauffeur'!$B$5:$L$19,2,TRUE)&amp;" "&amp;VLOOKUP(C153,'Liste chauffeur'!$B$5:$L$19,3,TRUE)</f>
        <v>COMBO  Said</v>
      </c>
      <c r="E153" s="314"/>
      <c r="F153" s="315">
        <f t="shared" si="35"/>
        <v>1</v>
      </c>
      <c r="G153" s="315"/>
      <c r="H153" s="316"/>
      <c r="I153" s="316"/>
      <c r="J153" s="316"/>
      <c r="K153" s="314"/>
      <c r="L153" s="314"/>
      <c r="M153" s="316"/>
      <c r="N153" s="316"/>
      <c r="O153" s="314"/>
      <c r="P153" s="314"/>
      <c r="Q153" s="316"/>
      <c r="R153" s="316"/>
      <c r="S153" s="314"/>
      <c r="T153" s="314"/>
      <c r="U153" s="316"/>
      <c r="V153" s="316"/>
      <c r="W153" s="314"/>
      <c r="X153" s="317"/>
      <c r="Y153" s="271"/>
      <c r="Z153" s="270">
        <f t="shared" si="32"/>
        <v>0</v>
      </c>
      <c r="AA153" s="270">
        <f t="shared" si="33"/>
        <v>0</v>
      </c>
      <c r="AB153" s="273">
        <f t="shared" si="34"/>
        <v>0</v>
      </c>
      <c r="AC153" s="260"/>
    </row>
    <row r="154" spans="1:29" ht="36" hidden="1" customHeight="1" x14ac:dyDescent="0.45">
      <c r="A154" s="302" t="str">
        <f>Horaire!A153</f>
        <v>DOUJANI</v>
      </c>
      <c r="B154" s="303">
        <f>Horaire!B153</f>
        <v>0.80555555555555558</v>
      </c>
      <c r="C154" s="303" t="str">
        <f>Horaire!C153</f>
        <v>D6</v>
      </c>
      <c r="D154" s="268" t="str">
        <f>VLOOKUP(C154,'Liste chauffeur'!$B$5:$L$19,2,TRUE)&amp;" "&amp;VLOOKUP(C154,'Liste chauffeur'!$B$5:$L$19,3,TRUE)</f>
        <v>ABDOU HAMIDOUNE Nassabia</v>
      </c>
      <c r="E154" s="314"/>
      <c r="F154" s="315">
        <f t="shared" si="35"/>
        <v>1</v>
      </c>
      <c r="G154" s="315"/>
      <c r="H154" s="316"/>
      <c r="I154" s="316"/>
      <c r="J154" s="316"/>
      <c r="K154" s="314"/>
      <c r="L154" s="314"/>
      <c r="M154" s="316"/>
      <c r="N154" s="316"/>
      <c r="O154" s="314"/>
      <c r="P154" s="314"/>
      <c r="Q154" s="316"/>
      <c r="R154" s="316"/>
      <c r="S154" s="314"/>
      <c r="T154" s="314"/>
      <c r="U154" s="316"/>
      <c r="V154" s="316"/>
      <c r="W154" s="314"/>
      <c r="X154" s="317"/>
      <c r="Y154" s="271"/>
      <c r="Z154" s="270">
        <f t="shared" si="32"/>
        <v>0</v>
      </c>
      <c r="AA154" s="270">
        <f t="shared" si="33"/>
        <v>0</v>
      </c>
      <c r="AB154" s="273">
        <f t="shared" si="34"/>
        <v>0</v>
      </c>
      <c r="AC154" s="260"/>
    </row>
    <row r="155" spans="1:29" ht="36" customHeight="1" x14ac:dyDescent="0.45">
      <c r="A155" s="302" t="str">
        <f>Horaire!A154</f>
        <v>PASSOT LA BARGE</v>
      </c>
      <c r="B155" s="303">
        <f>Horaire!B154</f>
        <v>0.80555555555555558</v>
      </c>
      <c r="C155" s="303" t="str">
        <f>Horaire!C154</f>
        <v>D8</v>
      </c>
      <c r="D155" s="268" t="str">
        <f>VLOOKUP(C155,'Liste chauffeur'!$B$5:$L$19,2,TRUE)&amp;" "&amp;VLOOKUP(C155,'Liste chauffeur'!$B$5:$L$19,3,TRUE)</f>
        <v>ISSOUF Dailami</v>
      </c>
      <c r="E155" s="314"/>
      <c r="F155" s="315">
        <f t="shared" si="35"/>
        <v>1</v>
      </c>
      <c r="G155" s="315"/>
      <c r="H155" s="316"/>
      <c r="I155" s="316"/>
      <c r="J155" s="316"/>
      <c r="K155" s="314"/>
      <c r="L155" s="314"/>
      <c r="M155" s="316"/>
      <c r="N155" s="316"/>
      <c r="O155" s="314"/>
      <c r="P155" s="314"/>
      <c r="Q155" s="316"/>
      <c r="R155" s="316"/>
      <c r="S155" s="314"/>
      <c r="T155" s="314"/>
      <c r="U155" s="316"/>
      <c r="V155" s="316"/>
      <c r="W155" s="314"/>
      <c r="X155" s="317"/>
      <c r="Y155" s="271"/>
      <c r="Z155" s="270">
        <f t="shared" si="32"/>
        <v>0</v>
      </c>
      <c r="AA155" s="270">
        <f t="shared" si="33"/>
        <v>0</v>
      </c>
      <c r="AB155" s="273">
        <f t="shared" si="34"/>
        <v>0</v>
      </c>
      <c r="AC155" s="260"/>
    </row>
    <row r="156" spans="1:29" ht="36" hidden="1" customHeight="1" x14ac:dyDescent="0.45">
      <c r="A156" s="302" t="str">
        <f>Horaire!A155</f>
        <v>DOUJANI</v>
      </c>
      <c r="B156" s="303">
        <f>Horaire!B155</f>
        <v>0.81944444444444442</v>
      </c>
      <c r="C156" s="303" t="str">
        <f>Horaire!C155</f>
        <v>D7</v>
      </c>
      <c r="D156" s="268" t="str">
        <f>VLOOKUP(C156,'Liste chauffeur'!$B$5:$L$19,2,TRUE)&amp;" "&amp;VLOOKUP(C156,'Liste chauffeur'!$B$5:$L$19,3,TRUE)</f>
        <v>COMBO  Said</v>
      </c>
      <c r="E156" s="314"/>
      <c r="F156" s="315">
        <f t="shared" si="35"/>
        <v>1</v>
      </c>
      <c r="G156" s="315"/>
      <c r="H156" s="316"/>
      <c r="I156" s="316"/>
      <c r="J156" s="316"/>
      <c r="K156" s="314"/>
      <c r="L156" s="314"/>
      <c r="M156" s="316"/>
      <c r="N156" s="316"/>
      <c r="O156" s="314"/>
      <c r="P156" s="314"/>
      <c r="Q156" s="316"/>
      <c r="R156" s="316"/>
      <c r="S156" s="314"/>
      <c r="T156" s="314"/>
      <c r="U156" s="316"/>
      <c r="V156" s="316"/>
      <c r="W156" s="314"/>
      <c r="X156" s="317"/>
      <c r="Y156" s="271"/>
      <c r="Z156" s="270">
        <f t="shared" si="32"/>
        <v>0</v>
      </c>
      <c r="AA156" s="270">
        <f t="shared" si="33"/>
        <v>0</v>
      </c>
      <c r="AB156" s="273">
        <f t="shared" si="34"/>
        <v>0</v>
      </c>
      <c r="AC156" s="260"/>
    </row>
    <row r="157" spans="1:29" ht="36" hidden="1" customHeight="1" x14ac:dyDescent="0.45">
      <c r="A157" s="302" t="str">
        <f>Horaire!A156</f>
        <v>PASSOT LA BARGE</v>
      </c>
      <c r="B157" s="303">
        <f>Horaire!B156</f>
        <v>0.81944444444444442</v>
      </c>
      <c r="C157" s="303" t="str">
        <f>Horaire!C156</f>
        <v>D9</v>
      </c>
      <c r="D157" s="268" t="str">
        <f>VLOOKUP(C157,'Liste chauffeur'!$B$5:$L$19,2,TRUE)&amp;" "&amp;VLOOKUP(C157,'Liste chauffeur'!$B$5:$L$19,3,TRUE)</f>
        <v>RENEE Assanati</v>
      </c>
      <c r="E157" s="314"/>
      <c r="F157" s="315">
        <f t="shared" si="35"/>
        <v>1</v>
      </c>
      <c r="G157" s="315"/>
      <c r="H157" s="316"/>
      <c r="I157" s="316"/>
      <c r="J157" s="316"/>
      <c r="K157" s="314"/>
      <c r="L157" s="314"/>
      <c r="M157" s="316"/>
      <c r="N157" s="316"/>
      <c r="O157" s="314"/>
      <c r="P157" s="314"/>
      <c r="Q157" s="316"/>
      <c r="R157" s="316"/>
      <c r="S157" s="314"/>
      <c r="T157" s="314"/>
      <c r="U157" s="316"/>
      <c r="V157" s="316"/>
      <c r="W157" s="314"/>
      <c r="X157" s="317"/>
      <c r="Y157" s="271"/>
      <c r="Z157" s="270">
        <f t="shared" si="32"/>
        <v>0</v>
      </c>
      <c r="AA157" s="270">
        <f t="shared" si="33"/>
        <v>0</v>
      </c>
      <c r="AB157" s="273">
        <f t="shared" si="34"/>
        <v>0</v>
      </c>
      <c r="AC157" s="260"/>
    </row>
    <row r="158" spans="1:29" ht="36" customHeight="1" x14ac:dyDescent="0.45">
      <c r="A158" s="302" t="str">
        <f>Horaire!A157</f>
        <v>DOUJANI</v>
      </c>
      <c r="B158" s="303">
        <f>Horaire!B157</f>
        <v>0.83333333333333337</v>
      </c>
      <c r="C158" s="303" t="str">
        <f>Horaire!C157</f>
        <v>D8</v>
      </c>
      <c r="D158" s="268" t="str">
        <f>VLOOKUP(C158,'Liste chauffeur'!$B$5:$L$19,2,TRUE)&amp;" "&amp;VLOOKUP(C158,'Liste chauffeur'!$B$5:$L$19,3,TRUE)</f>
        <v>ISSOUF Dailami</v>
      </c>
      <c r="E158" s="314"/>
      <c r="F158" s="315">
        <f t="shared" si="35"/>
        <v>1</v>
      </c>
      <c r="G158" s="315"/>
      <c r="H158" s="316"/>
      <c r="I158" s="316"/>
      <c r="J158" s="316"/>
      <c r="K158" s="314"/>
      <c r="L158" s="314"/>
      <c r="M158" s="316"/>
      <c r="N158" s="316"/>
      <c r="O158" s="314"/>
      <c r="P158" s="314"/>
      <c r="Q158" s="316"/>
      <c r="R158" s="316"/>
      <c r="S158" s="314"/>
      <c r="T158" s="314"/>
      <c r="U158" s="316"/>
      <c r="V158" s="316"/>
      <c r="W158" s="314"/>
      <c r="X158" s="317"/>
      <c r="Y158" s="271"/>
      <c r="Z158" s="270">
        <f t="shared" si="32"/>
        <v>0</v>
      </c>
      <c r="AA158" s="270">
        <f t="shared" si="33"/>
        <v>0</v>
      </c>
      <c r="AB158" s="273">
        <f t="shared" si="34"/>
        <v>0</v>
      </c>
      <c r="AC158" s="260"/>
    </row>
    <row r="159" spans="1:29" ht="36" hidden="1" customHeight="1" x14ac:dyDescent="0.45">
      <c r="A159" s="302" t="str">
        <f>Horaire!A158</f>
        <v>PASSOT LA BARGE</v>
      </c>
      <c r="B159" s="303">
        <f>Horaire!B158</f>
        <v>0.83333333333333337</v>
      </c>
      <c r="C159" s="303" t="str">
        <f>Horaire!C158</f>
        <v>D6</v>
      </c>
      <c r="D159" s="268" t="str">
        <f>VLOOKUP(C159,'Liste chauffeur'!$B$5:$L$19,2,TRUE)&amp;" "&amp;VLOOKUP(C159,'Liste chauffeur'!$B$5:$L$19,3,TRUE)</f>
        <v>ABDOU HAMIDOUNE Nassabia</v>
      </c>
      <c r="E159" s="314"/>
      <c r="F159" s="315">
        <f t="shared" si="35"/>
        <v>1</v>
      </c>
      <c r="G159" s="315"/>
      <c r="H159" s="316"/>
      <c r="I159" s="316"/>
      <c r="J159" s="316"/>
      <c r="K159" s="314"/>
      <c r="L159" s="314"/>
      <c r="M159" s="316"/>
      <c r="N159" s="316"/>
      <c r="O159" s="314"/>
      <c r="P159" s="314"/>
      <c r="Q159" s="316"/>
      <c r="R159" s="316"/>
      <c r="S159" s="314"/>
      <c r="T159" s="314"/>
      <c r="U159" s="316"/>
      <c r="V159" s="316"/>
      <c r="W159" s="314"/>
      <c r="X159" s="317"/>
      <c r="Y159" s="271"/>
      <c r="Z159" s="270">
        <f t="shared" si="32"/>
        <v>0</v>
      </c>
      <c r="AA159" s="270">
        <f t="shared" si="33"/>
        <v>0</v>
      </c>
      <c r="AB159" s="273">
        <f t="shared" si="34"/>
        <v>0</v>
      </c>
      <c r="AC159" s="260"/>
    </row>
    <row r="160" spans="1:29" ht="36" hidden="1" customHeight="1" x14ac:dyDescent="0.45">
      <c r="A160" s="302" t="str">
        <f>Horaire!A159</f>
        <v>DOUJANI</v>
      </c>
      <c r="B160" s="303">
        <f>Horaire!B159</f>
        <v>0.84722222222222221</v>
      </c>
      <c r="C160" s="303" t="str">
        <f>Horaire!C159</f>
        <v>D9</v>
      </c>
      <c r="D160" s="268" t="str">
        <f>VLOOKUP(C160,'Liste chauffeur'!$B$5:$L$19,2,TRUE)&amp;" "&amp;VLOOKUP(C160,'Liste chauffeur'!$B$5:$L$19,3,TRUE)</f>
        <v>RENEE Assanati</v>
      </c>
      <c r="E160" s="314"/>
      <c r="F160" s="315">
        <f t="shared" si="35"/>
        <v>1</v>
      </c>
      <c r="G160" s="315"/>
      <c r="H160" s="316"/>
      <c r="I160" s="316"/>
      <c r="J160" s="316"/>
      <c r="K160" s="314"/>
      <c r="L160" s="314"/>
      <c r="M160" s="316"/>
      <c r="N160" s="316"/>
      <c r="O160" s="314"/>
      <c r="P160" s="314"/>
      <c r="Q160" s="316"/>
      <c r="R160" s="316"/>
      <c r="S160" s="314"/>
      <c r="T160" s="314"/>
      <c r="U160" s="316"/>
      <c r="V160" s="316"/>
      <c r="W160" s="314"/>
      <c r="X160" s="317"/>
      <c r="Y160" s="271"/>
      <c r="Z160" s="270">
        <f t="shared" si="32"/>
        <v>0</v>
      </c>
      <c r="AA160" s="270">
        <f t="shared" si="33"/>
        <v>0</v>
      </c>
      <c r="AB160" s="273">
        <f t="shared" si="34"/>
        <v>0</v>
      </c>
      <c r="AC160" s="260"/>
    </row>
    <row r="161" spans="1:29" ht="36" hidden="1" customHeight="1" x14ac:dyDescent="0.45">
      <c r="A161" s="302" t="str">
        <f>Horaire!A160</f>
        <v>PASSOT LA BARGE</v>
      </c>
      <c r="B161" s="303">
        <f>Horaire!B160</f>
        <v>0.84722222222222221</v>
      </c>
      <c r="C161" s="303" t="str">
        <f>Horaire!C160</f>
        <v>D7</v>
      </c>
      <c r="D161" s="268" t="str">
        <f>VLOOKUP(C161,'Liste chauffeur'!$B$5:$L$19,2,TRUE)&amp;" "&amp;VLOOKUP(C161,'Liste chauffeur'!$B$5:$L$19,3,TRUE)</f>
        <v>COMBO  Said</v>
      </c>
      <c r="E161" s="314"/>
      <c r="F161" s="315">
        <f t="shared" si="35"/>
        <v>1</v>
      </c>
      <c r="G161" s="315"/>
      <c r="H161" s="316"/>
      <c r="I161" s="316"/>
      <c r="J161" s="316"/>
      <c r="K161" s="314"/>
      <c r="L161" s="314"/>
      <c r="M161" s="316"/>
      <c r="N161" s="316"/>
      <c r="O161" s="314"/>
      <c r="P161" s="314"/>
      <c r="Q161" s="316"/>
      <c r="R161" s="316"/>
      <c r="S161" s="314"/>
      <c r="T161" s="314"/>
      <c r="U161" s="316"/>
      <c r="V161" s="316"/>
      <c r="W161" s="314"/>
      <c r="X161" s="317"/>
      <c r="Y161" s="271"/>
      <c r="Z161" s="270">
        <f t="shared" si="32"/>
        <v>0</v>
      </c>
      <c r="AA161" s="270">
        <f t="shared" si="33"/>
        <v>0</v>
      </c>
      <c r="AB161" s="273">
        <f t="shared" si="34"/>
        <v>0</v>
      </c>
      <c r="AC161" s="260"/>
    </row>
    <row r="162" spans="1:29" ht="36" customHeight="1" x14ac:dyDescent="0.45">
      <c r="A162" s="302" t="str">
        <f>Horaire!A161</f>
        <v>PASSOT LA BARGE</v>
      </c>
      <c r="B162" s="303">
        <f>Horaire!B161</f>
        <v>0.86111111111111116</v>
      </c>
      <c r="C162" s="303" t="str">
        <f>Horaire!C161</f>
        <v>D8</v>
      </c>
      <c r="D162" s="268" t="str">
        <f>VLOOKUP(C162,'Liste chauffeur'!$B$5:$L$19,2,TRUE)&amp;" "&amp;VLOOKUP(C162,'Liste chauffeur'!$B$5:$L$19,3,TRUE)</f>
        <v>ISSOUF Dailami</v>
      </c>
      <c r="E162" s="314"/>
      <c r="F162" s="315">
        <f t="shared" si="35"/>
        <v>1</v>
      </c>
      <c r="G162" s="315"/>
      <c r="H162" s="316"/>
      <c r="I162" s="316"/>
      <c r="J162" s="316"/>
      <c r="K162" s="314"/>
      <c r="L162" s="314"/>
      <c r="M162" s="316"/>
      <c r="N162" s="316"/>
      <c r="O162" s="314"/>
      <c r="P162" s="314"/>
      <c r="Q162" s="316"/>
      <c r="R162" s="316"/>
      <c r="S162" s="314"/>
      <c r="T162" s="314"/>
      <c r="U162" s="316"/>
      <c r="V162" s="316"/>
      <c r="W162" s="314"/>
      <c r="X162" s="317"/>
      <c r="Y162" s="271"/>
      <c r="Z162" s="270">
        <f t="shared" si="32"/>
        <v>0</v>
      </c>
      <c r="AA162" s="270">
        <f t="shared" si="33"/>
        <v>0</v>
      </c>
      <c r="AB162" s="273">
        <f t="shared" si="34"/>
        <v>0</v>
      </c>
      <c r="AC162" s="260"/>
    </row>
    <row r="163" spans="1:29" ht="36" hidden="1" customHeight="1" x14ac:dyDescent="0.45">
      <c r="A163" s="302" t="str">
        <f>Horaire!A162</f>
        <v>PASSOT LA BARGE</v>
      </c>
      <c r="B163" s="303">
        <f>Horaire!B162</f>
        <v>0.875</v>
      </c>
      <c r="C163" s="303" t="str">
        <f>Horaire!C162</f>
        <v>D9</v>
      </c>
      <c r="D163" s="268" t="str">
        <f>VLOOKUP(C163,'Liste chauffeur'!$B$5:$L$19,2,TRUE)&amp;" "&amp;VLOOKUP(C163,'Liste chauffeur'!$B$5:$L$19,3,TRUE)</f>
        <v>RENEE Assanati</v>
      </c>
      <c r="E163" s="314"/>
      <c r="F163" s="315">
        <f t="shared" si="35"/>
        <v>1</v>
      </c>
      <c r="G163" s="315"/>
      <c r="H163" s="316"/>
      <c r="I163" s="316"/>
      <c r="J163" s="316"/>
      <c r="K163" s="314"/>
      <c r="L163" s="314"/>
      <c r="M163" s="316"/>
      <c r="N163" s="316"/>
      <c r="O163" s="314"/>
      <c r="P163" s="314"/>
      <c r="Q163" s="316"/>
      <c r="R163" s="316"/>
      <c r="S163" s="314"/>
      <c r="T163" s="314"/>
      <c r="U163" s="316"/>
      <c r="V163" s="316"/>
      <c r="W163" s="314"/>
      <c r="X163" s="317"/>
      <c r="Y163" s="271"/>
      <c r="Z163" s="270">
        <f t="shared" si="32"/>
        <v>0</v>
      </c>
      <c r="AA163" s="270">
        <f t="shared" si="33"/>
        <v>0</v>
      </c>
      <c r="AB163" s="273">
        <f t="shared" si="34"/>
        <v>0</v>
      </c>
      <c r="AC163" s="260"/>
    </row>
    <row r="164" spans="1:29" ht="15" hidden="1" customHeight="1" x14ac:dyDescent="0.45">
      <c r="A164" s="280"/>
      <c r="B164" s="281" t="s">
        <v>568</v>
      </c>
      <c r="C164" s="281" t="s">
        <v>351</v>
      </c>
      <c r="D164" s="282"/>
      <c r="E164" s="275"/>
      <c r="F164" s="306">
        <f>SUM(F94:F163)</f>
        <v>70</v>
      </c>
      <c r="G164" s="306">
        <f>SUM(G94:G163)</f>
        <v>0</v>
      </c>
      <c r="H164" s="258"/>
      <c r="I164" s="258"/>
      <c r="J164" s="258"/>
      <c r="K164" s="275"/>
      <c r="L164" s="275"/>
      <c r="M164" s="258"/>
      <c r="N164" s="258"/>
      <c r="O164" s="275"/>
      <c r="P164" s="275"/>
      <c r="Q164" s="258"/>
      <c r="R164" s="258"/>
      <c r="S164" s="275"/>
      <c r="T164" s="275"/>
      <c r="U164" s="258"/>
      <c r="V164" s="258"/>
      <c r="W164" s="275"/>
      <c r="X164" s="274"/>
      <c r="Y164" s="276" t="e">
        <f>AVERAGE(Y94:Y163)</f>
        <v>#DIV/0!</v>
      </c>
      <c r="Z164" s="306">
        <f>SUM(Z94:Z163)</f>
        <v>0</v>
      </c>
      <c r="AA164" s="306">
        <f>SUM(AA94:AA163)</f>
        <v>0</v>
      </c>
      <c r="AB164" s="278">
        <f t="shared" ref="AB164" si="36">IF(AA164=0,0,Z164/AA164)</f>
        <v>0</v>
      </c>
      <c r="AC164" s="260"/>
    </row>
    <row r="165" spans="1:29" ht="15" hidden="1" customHeight="1" x14ac:dyDescent="0.45">
      <c r="A165" s="280"/>
      <c r="B165" s="281" t="s">
        <v>352</v>
      </c>
      <c r="C165" s="281" t="s">
        <v>351</v>
      </c>
      <c r="D165" s="282"/>
      <c r="E165" s="275"/>
      <c r="F165" s="306">
        <f>F93+F164</f>
        <v>155</v>
      </c>
      <c r="G165" s="306">
        <f>G93+G164</f>
        <v>0</v>
      </c>
      <c r="H165" s="258"/>
      <c r="I165" s="258"/>
      <c r="J165" s="258"/>
      <c r="K165" s="275"/>
      <c r="L165" s="275"/>
      <c r="M165" s="258"/>
      <c r="N165" s="258"/>
      <c r="O165" s="275"/>
      <c r="P165" s="275"/>
      <c r="Q165" s="258"/>
      <c r="R165" s="258"/>
      <c r="S165" s="275"/>
      <c r="T165" s="275"/>
      <c r="U165" s="258"/>
      <c r="V165" s="258"/>
      <c r="W165" s="275"/>
      <c r="X165" s="274"/>
      <c r="Y165" s="276" t="e">
        <f>AVERAGE(Y8:Y92,Y94:Y163)</f>
        <v>#DIV/0!</v>
      </c>
      <c r="Z165" s="306">
        <f>Z93+Z164</f>
        <v>0</v>
      </c>
      <c r="AA165" s="306">
        <f>AA93+AA164</f>
        <v>0</v>
      </c>
      <c r="AB165" s="278" t="e">
        <f>Z165/AA165</f>
        <v>#DIV/0!</v>
      </c>
      <c r="AC165" s="260"/>
    </row>
    <row r="166" spans="1:29" ht="29" hidden="1" customHeight="1" x14ac:dyDescent="0.45">
      <c r="A166" s="279" t="s">
        <v>349</v>
      </c>
      <c r="B166" s="267"/>
      <c r="C166" s="267" t="s">
        <v>423</v>
      </c>
      <c r="D166" s="268"/>
      <c r="E166" s="269"/>
      <c r="F166" s="270"/>
      <c r="G166" s="270"/>
      <c r="H166" s="270"/>
      <c r="I166" s="270"/>
      <c r="J166" s="277"/>
      <c r="K166" s="270"/>
      <c r="L166" s="270"/>
      <c r="M166" s="269"/>
      <c r="N166" s="260"/>
      <c r="O166" s="271"/>
      <c r="P166" s="270"/>
      <c r="Q166" s="270"/>
      <c r="R166" s="273"/>
      <c r="S166" s="260"/>
      <c r="T166" s="260"/>
      <c r="U166" s="260"/>
      <c r="V166" s="260"/>
      <c r="W166" s="269"/>
      <c r="X166" s="260"/>
      <c r="Y166" s="271"/>
      <c r="Z166" s="270"/>
      <c r="AA166" s="270"/>
      <c r="AB166" s="273"/>
      <c r="AC166" s="260"/>
    </row>
    <row r="167" spans="1:29" ht="29" hidden="1" customHeight="1" x14ac:dyDescent="0.45">
      <c r="A167" s="279" t="s">
        <v>349</v>
      </c>
      <c r="B167" s="267"/>
      <c r="C167" s="267" t="s">
        <v>423</v>
      </c>
      <c r="D167" s="268"/>
      <c r="E167" s="269"/>
      <c r="F167" s="270"/>
      <c r="G167" s="270"/>
      <c r="H167" s="270"/>
      <c r="I167" s="270"/>
      <c r="J167" s="277"/>
      <c r="K167" s="270"/>
      <c r="L167" s="270"/>
      <c r="M167" s="269"/>
      <c r="N167" s="260"/>
      <c r="O167" s="271"/>
      <c r="P167" s="270"/>
      <c r="Q167" s="270"/>
      <c r="R167" s="273"/>
      <c r="S167" s="260"/>
      <c r="T167" s="260"/>
      <c r="U167" s="260"/>
      <c r="V167" s="260"/>
      <c r="W167" s="269"/>
      <c r="X167" s="260"/>
      <c r="Y167" s="271"/>
      <c r="Z167" s="270"/>
      <c r="AA167" s="270"/>
      <c r="AB167" s="273"/>
      <c r="AC167" s="260"/>
    </row>
    <row r="168" spans="1:29" ht="29" hidden="1" customHeight="1" x14ac:dyDescent="0.45">
      <c r="A168" s="279" t="s">
        <v>349</v>
      </c>
      <c r="B168" s="267"/>
      <c r="C168" s="267" t="s">
        <v>423</v>
      </c>
      <c r="D168" s="268"/>
      <c r="E168" s="269"/>
      <c r="F168" s="270"/>
      <c r="G168" s="270"/>
      <c r="H168" s="277"/>
      <c r="I168" s="269"/>
      <c r="J168" s="260"/>
      <c r="K168" s="270"/>
      <c r="L168" s="270"/>
      <c r="M168" s="269"/>
      <c r="N168" s="260"/>
      <c r="O168" s="271"/>
      <c r="P168" s="270"/>
      <c r="Q168" s="270"/>
      <c r="R168" s="273"/>
      <c r="S168" s="260"/>
      <c r="T168" s="260"/>
      <c r="U168" s="260"/>
      <c r="V168" s="260"/>
      <c r="W168" s="269"/>
      <c r="X168" s="260"/>
      <c r="Y168" s="271"/>
      <c r="Z168" s="270"/>
      <c r="AA168" s="270"/>
      <c r="AB168" s="273"/>
      <c r="AC168" s="260"/>
    </row>
    <row r="169" spans="1:29" ht="29" hidden="1" customHeight="1" x14ac:dyDescent="0.45">
      <c r="A169" s="279" t="s">
        <v>349</v>
      </c>
      <c r="B169" s="267"/>
      <c r="C169" s="267" t="s">
        <v>423</v>
      </c>
      <c r="D169" s="268"/>
      <c r="E169" s="269"/>
      <c r="F169" s="270"/>
      <c r="G169" s="270"/>
      <c r="H169" s="270"/>
      <c r="I169" s="270"/>
      <c r="J169" s="277"/>
      <c r="K169" s="270"/>
      <c r="L169" s="270"/>
      <c r="M169" s="269"/>
      <c r="N169" s="260"/>
      <c r="O169" s="271" t="e">
        <f t="shared" ref="O169:O170" si="37">M169-#REF!</f>
        <v>#REF!</v>
      </c>
      <c r="P169" s="270" t="e">
        <f t="shared" ref="P169:P170" si="38">#REF!+#REF!-#REF!</f>
        <v>#REF!</v>
      </c>
      <c r="Q169" s="270"/>
      <c r="R169" s="273"/>
      <c r="S169" s="260"/>
      <c r="T169" s="260"/>
      <c r="U169" s="260"/>
      <c r="V169" s="260"/>
      <c r="W169" s="269"/>
      <c r="X169" s="260"/>
      <c r="Y169" s="271"/>
      <c r="Z169" s="270"/>
      <c r="AA169" s="270"/>
      <c r="AB169" s="273"/>
      <c r="AC169" s="260"/>
    </row>
    <row r="170" spans="1:29" ht="29" hidden="1" customHeight="1" x14ac:dyDescent="0.45">
      <c r="A170" s="279" t="s">
        <v>349</v>
      </c>
      <c r="B170" s="267"/>
      <c r="C170" s="267" t="s">
        <v>423</v>
      </c>
      <c r="D170" s="268"/>
      <c r="E170" s="269"/>
      <c r="F170" s="270"/>
      <c r="G170" s="270"/>
      <c r="H170" s="270"/>
      <c r="I170" s="270"/>
      <c r="J170" s="277"/>
      <c r="K170" s="270"/>
      <c r="L170" s="270"/>
      <c r="M170" s="269"/>
      <c r="N170" s="260"/>
      <c r="O170" s="271" t="e">
        <f t="shared" si="37"/>
        <v>#REF!</v>
      </c>
      <c r="P170" s="270" t="e">
        <f t="shared" si="38"/>
        <v>#REF!</v>
      </c>
      <c r="Q170" s="270"/>
      <c r="R170" s="273"/>
      <c r="S170" s="260"/>
      <c r="T170" s="260"/>
      <c r="U170" s="260"/>
      <c r="V170" s="260"/>
      <c r="W170" s="269"/>
      <c r="X170" s="260"/>
      <c r="Y170" s="271"/>
      <c r="Z170" s="270"/>
      <c r="AA170" s="270"/>
      <c r="AB170" s="273"/>
      <c r="AC170" s="260"/>
    </row>
    <row r="172" spans="1:29" x14ac:dyDescent="0.45">
      <c r="E172" s="137" t="s">
        <v>15</v>
      </c>
      <c r="I172" s="137" t="s">
        <v>16</v>
      </c>
    </row>
    <row r="174" spans="1:29" x14ac:dyDescent="0.45">
      <c r="C174" s="252"/>
    </row>
    <row r="175" spans="1:29" ht="57" x14ac:dyDescent="0.45">
      <c r="B175" s="137" t="s">
        <v>373</v>
      </c>
      <c r="C175" s="137" t="s">
        <v>374</v>
      </c>
      <c r="D175" s="137" t="s">
        <v>375</v>
      </c>
      <c r="E175" s="215" t="s">
        <v>376</v>
      </c>
      <c r="F175" s="215" t="s">
        <v>573</v>
      </c>
    </row>
    <row r="176" spans="1:29" x14ac:dyDescent="0.45">
      <c r="B176" s="137" t="s">
        <v>384</v>
      </c>
      <c r="C176" s="305">
        <f>COUNTIF($B$8:$C$163,B176)</f>
        <v>15</v>
      </c>
      <c r="D176" s="453">
        <f>C176-(COUNTIFS(C$8:C$163,B176,X$8:X$163,""))</f>
        <v>0</v>
      </c>
      <c r="E176" s="189">
        <f>COUNTIFS(X$8:X$163,$B176)</f>
        <v>0</v>
      </c>
      <c r="F176" s="189">
        <f>COUNTIFS(G$8:G$163,$B176)</f>
        <v>0</v>
      </c>
    </row>
    <row r="177" spans="2:6" x14ac:dyDescent="0.45">
      <c r="B177" s="137" t="s">
        <v>392</v>
      </c>
      <c r="C177" s="305">
        <f t="shared" ref="C177:C198" si="39">COUNTIF($B$8:$C$163,B177)</f>
        <v>14</v>
      </c>
      <c r="D177" s="453">
        <f t="shared" ref="D177:D198" si="40">C177-(COUNTIFS(C$8:C$163,B177,X$8:X$163,""))</f>
        <v>0</v>
      </c>
      <c r="E177" s="189">
        <f t="shared" ref="E177:E198" si="41">COUNTIFS(X$8:X$163,$B177)</f>
        <v>0</v>
      </c>
      <c r="F177" s="189">
        <f t="shared" ref="F177:F198" si="42">COUNTIFS(G$8:G$163,$B177)</f>
        <v>0</v>
      </c>
    </row>
    <row r="178" spans="2:6" x14ac:dyDescent="0.45">
      <c r="B178" s="137" t="s">
        <v>393</v>
      </c>
      <c r="C178" s="305">
        <f t="shared" si="39"/>
        <v>12</v>
      </c>
      <c r="D178" s="453">
        <f t="shared" si="40"/>
        <v>0</v>
      </c>
      <c r="E178" s="189">
        <f t="shared" si="41"/>
        <v>0</v>
      </c>
      <c r="F178" s="189">
        <f t="shared" si="42"/>
        <v>0</v>
      </c>
    </row>
    <row r="179" spans="2:6" x14ac:dyDescent="0.45">
      <c r="B179" s="137" t="s">
        <v>394</v>
      </c>
      <c r="C179" s="305">
        <f t="shared" si="39"/>
        <v>14</v>
      </c>
      <c r="D179" s="453">
        <f t="shared" si="40"/>
        <v>0</v>
      </c>
      <c r="E179" s="189">
        <f t="shared" si="41"/>
        <v>0</v>
      </c>
      <c r="F179" s="189">
        <f t="shared" si="42"/>
        <v>0</v>
      </c>
    </row>
    <row r="180" spans="2:6" x14ac:dyDescent="0.45">
      <c r="B180" s="137" t="s">
        <v>395</v>
      </c>
      <c r="C180" s="305">
        <f t="shared" si="39"/>
        <v>11</v>
      </c>
      <c r="D180" s="453">
        <f t="shared" si="40"/>
        <v>0</v>
      </c>
      <c r="E180" s="189">
        <f t="shared" si="41"/>
        <v>0</v>
      </c>
      <c r="F180" s="189">
        <f t="shared" si="42"/>
        <v>0</v>
      </c>
    </row>
    <row r="181" spans="2:6" x14ac:dyDescent="0.45">
      <c r="B181" s="137" t="s">
        <v>398</v>
      </c>
      <c r="C181" s="305">
        <f t="shared" si="39"/>
        <v>14</v>
      </c>
      <c r="D181" s="453">
        <f t="shared" si="40"/>
        <v>0</v>
      </c>
      <c r="E181" s="189">
        <f t="shared" si="41"/>
        <v>0</v>
      </c>
      <c r="F181" s="189">
        <f t="shared" si="42"/>
        <v>0</v>
      </c>
    </row>
    <row r="182" spans="2:6" x14ac:dyDescent="0.45">
      <c r="B182" s="137" t="s">
        <v>399</v>
      </c>
      <c r="C182" s="305">
        <f t="shared" si="39"/>
        <v>9</v>
      </c>
      <c r="D182" s="453">
        <f t="shared" si="40"/>
        <v>0</v>
      </c>
      <c r="E182" s="189">
        <f t="shared" si="41"/>
        <v>0</v>
      </c>
      <c r="F182" s="189">
        <f t="shared" si="42"/>
        <v>0</v>
      </c>
    </row>
    <row r="183" spans="2:6" x14ac:dyDescent="0.45">
      <c r="B183" s="137" t="s">
        <v>400</v>
      </c>
      <c r="C183" s="305">
        <f t="shared" si="39"/>
        <v>12</v>
      </c>
      <c r="D183" s="453">
        <f t="shared" si="40"/>
        <v>0</v>
      </c>
      <c r="E183" s="189">
        <f t="shared" si="41"/>
        <v>0</v>
      </c>
      <c r="F183" s="189">
        <f t="shared" si="42"/>
        <v>0</v>
      </c>
    </row>
    <row r="184" spans="2:6" x14ac:dyDescent="0.45">
      <c r="B184" s="137" t="s">
        <v>401</v>
      </c>
      <c r="C184" s="305">
        <f t="shared" si="39"/>
        <v>11</v>
      </c>
      <c r="D184" s="453">
        <f t="shared" si="40"/>
        <v>0</v>
      </c>
      <c r="E184" s="189">
        <f t="shared" si="41"/>
        <v>0</v>
      </c>
      <c r="F184" s="189">
        <f t="shared" si="42"/>
        <v>0</v>
      </c>
    </row>
    <row r="185" spans="2:6" x14ac:dyDescent="0.45">
      <c r="B185" s="137" t="s">
        <v>385</v>
      </c>
      <c r="C185" s="305">
        <f t="shared" si="39"/>
        <v>14</v>
      </c>
      <c r="D185" s="453">
        <f t="shared" si="40"/>
        <v>0</v>
      </c>
      <c r="E185" s="189">
        <f t="shared" si="41"/>
        <v>0</v>
      </c>
      <c r="F185" s="189">
        <f t="shared" si="42"/>
        <v>0</v>
      </c>
    </row>
    <row r="186" spans="2:6" x14ac:dyDescent="0.45">
      <c r="B186" s="137" t="s">
        <v>386</v>
      </c>
      <c r="C186" s="305">
        <f t="shared" si="39"/>
        <v>13</v>
      </c>
      <c r="D186" s="453">
        <f t="shared" si="40"/>
        <v>0</v>
      </c>
      <c r="E186" s="189">
        <f t="shared" si="41"/>
        <v>0</v>
      </c>
      <c r="F186" s="189">
        <f t="shared" si="42"/>
        <v>0</v>
      </c>
    </row>
    <row r="187" spans="2:6" x14ac:dyDescent="0.45">
      <c r="B187" s="137" t="s">
        <v>387</v>
      </c>
      <c r="C187" s="305">
        <f t="shared" si="39"/>
        <v>6</v>
      </c>
      <c r="D187" s="453">
        <f t="shared" si="40"/>
        <v>0</v>
      </c>
      <c r="E187" s="189">
        <f t="shared" si="41"/>
        <v>0</v>
      </c>
      <c r="F187" s="189">
        <f t="shared" si="42"/>
        <v>0</v>
      </c>
    </row>
    <row r="188" spans="2:6" x14ac:dyDescent="0.45">
      <c r="B188" s="137" t="s">
        <v>388</v>
      </c>
      <c r="C188" s="305">
        <f t="shared" si="39"/>
        <v>6</v>
      </c>
      <c r="D188" s="453">
        <f t="shared" si="40"/>
        <v>0</v>
      </c>
      <c r="E188" s="189">
        <f t="shared" si="41"/>
        <v>0</v>
      </c>
      <c r="F188" s="189">
        <f t="shared" si="42"/>
        <v>0</v>
      </c>
    </row>
    <row r="189" spans="2:6" x14ac:dyDescent="0.45">
      <c r="B189" s="137" t="s">
        <v>390</v>
      </c>
      <c r="C189" s="305">
        <f t="shared" si="39"/>
        <v>4</v>
      </c>
      <c r="D189" s="453">
        <f t="shared" si="40"/>
        <v>0</v>
      </c>
      <c r="E189" s="189">
        <f t="shared" si="41"/>
        <v>0</v>
      </c>
      <c r="F189" s="189">
        <f t="shared" si="42"/>
        <v>0</v>
      </c>
    </row>
    <row r="190" spans="2:6" x14ac:dyDescent="0.45">
      <c r="B190" s="137" t="s">
        <v>391</v>
      </c>
      <c r="C190" s="305">
        <f t="shared" si="39"/>
        <v>0</v>
      </c>
      <c r="D190" s="453">
        <f t="shared" si="40"/>
        <v>0</v>
      </c>
      <c r="E190" s="189">
        <f t="shared" si="41"/>
        <v>0</v>
      </c>
      <c r="F190" s="189">
        <f t="shared" si="42"/>
        <v>0</v>
      </c>
    </row>
    <row r="191" spans="2:6" x14ac:dyDescent="0.45">
      <c r="B191" s="137" t="s">
        <v>419</v>
      </c>
      <c r="C191" s="305">
        <f t="shared" si="39"/>
        <v>0</v>
      </c>
      <c r="D191" s="453">
        <f t="shared" si="40"/>
        <v>0</v>
      </c>
      <c r="E191" s="189">
        <f t="shared" si="41"/>
        <v>0</v>
      </c>
      <c r="F191" s="189">
        <f t="shared" si="42"/>
        <v>0</v>
      </c>
    </row>
    <row r="192" spans="2:6" x14ac:dyDescent="0.45">
      <c r="B192" s="137" t="s">
        <v>420</v>
      </c>
      <c r="C192" s="305">
        <f t="shared" si="39"/>
        <v>0</v>
      </c>
      <c r="D192" s="453">
        <f t="shared" si="40"/>
        <v>0</v>
      </c>
      <c r="E192" s="189">
        <f t="shared" si="41"/>
        <v>0</v>
      </c>
      <c r="F192" s="189">
        <f t="shared" si="42"/>
        <v>0</v>
      </c>
    </row>
    <row r="193" spans="2:6" x14ac:dyDescent="0.45">
      <c r="B193" s="137" t="s">
        <v>421</v>
      </c>
      <c r="C193" s="305">
        <f t="shared" si="39"/>
        <v>0</v>
      </c>
      <c r="D193" s="453">
        <f t="shared" si="40"/>
        <v>0</v>
      </c>
      <c r="E193" s="189">
        <f t="shared" si="41"/>
        <v>0</v>
      </c>
      <c r="F193" s="189">
        <f t="shared" si="42"/>
        <v>0</v>
      </c>
    </row>
    <row r="194" spans="2:6" x14ac:dyDescent="0.45">
      <c r="B194" s="137" t="s">
        <v>422</v>
      </c>
      <c r="C194" s="305">
        <f t="shared" si="39"/>
        <v>0</v>
      </c>
      <c r="D194" s="453">
        <f t="shared" si="40"/>
        <v>0</v>
      </c>
      <c r="E194" s="189">
        <f t="shared" si="41"/>
        <v>0</v>
      </c>
      <c r="F194" s="189">
        <f t="shared" si="42"/>
        <v>0</v>
      </c>
    </row>
    <row r="195" spans="2:6" x14ac:dyDescent="0.45">
      <c r="B195" s="137" t="s">
        <v>569</v>
      </c>
      <c r="C195" s="305">
        <f t="shared" si="39"/>
        <v>0</v>
      </c>
      <c r="D195" s="453">
        <f t="shared" si="40"/>
        <v>0</v>
      </c>
      <c r="E195" s="189">
        <f t="shared" si="41"/>
        <v>0</v>
      </c>
      <c r="F195" s="189">
        <f t="shared" si="42"/>
        <v>0</v>
      </c>
    </row>
    <row r="196" spans="2:6" x14ac:dyDescent="0.45">
      <c r="B196" s="137" t="s">
        <v>570</v>
      </c>
      <c r="C196" s="305">
        <f t="shared" si="39"/>
        <v>0</v>
      </c>
      <c r="D196" s="453">
        <f t="shared" si="40"/>
        <v>0</v>
      </c>
      <c r="E196" s="189">
        <f t="shared" si="41"/>
        <v>0</v>
      </c>
      <c r="F196" s="189">
        <f t="shared" si="42"/>
        <v>0</v>
      </c>
    </row>
    <row r="197" spans="2:6" x14ac:dyDescent="0.45">
      <c r="B197" s="137" t="s">
        <v>571</v>
      </c>
      <c r="C197" s="305">
        <f t="shared" si="39"/>
        <v>0</v>
      </c>
      <c r="D197" s="453">
        <f t="shared" si="40"/>
        <v>0</v>
      </c>
      <c r="E197" s="189">
        <f t="shared" si="41"/>
        <v>0</v>
      </c>
      <c r="F197" s="189">
        <f t="shared" si="42"/>
        <v>0</v>
      </c>
    </row>
    <row r="198" spans="2:6" x14ac:dyDescent="0.45">
      <c r="B198" s="137" t="s">
        <v>572</v>
      </c>
      <c r="C198" s="305">
        <f t="shared" si="39"/>
        <v>0</v>
      </c>
      <c r="D198" s="453">
        <f t="shared" si="40"/>
        <v>0</v>
      </c>
      <c r="E198" s="189">
        <f t="shared" si="41"/>
        <v>0</v>
      </c>
      <c r="F198" s="189">
        <f t="shared" si="42"/>
        <v>0</v>
      </c>
    </row>
    <row r="199" spans="2:6" x14ac:dyDescent="0.45">
      <c r="C199" s="305">
        <f>SUM(C176:C198)</f>
        <v>155</v>
      </c>
      <c r="D199" s="453">
        <f t="shared" ref="D199:F199" si="43">SUM(D176:D198)</f>
        <v>0</v>
      </c>
      <c r="E199" s="453">
        <f t="shared" si="43"/>
        <v>0</v>
      </c>
      <c r="F199" s="453">
        <f t="shared" si="43"/>
        <v>0</v>
      </c>
    </row>
    <row r="200" spans="2:6" x14ac:dyDescent="0.45">
      <c r="E200" s="189">
        <f>D199-E199</f>
        <v>0</v>
      </c>
      <c r="F200" s="189" t="str">
        <f>IF(E200=F199,"OK","ERREUR")</f>
        <v>OK</v>
      </c>
    </row>
  </sheetData>
  <sheetProtection formatCells="0" formatColumns="0" formatRows="0" autoFilter="0"/>
  <autoFilter ref="A7:AB170" xr:uid="{5B5BBBDE-33E3-4462-B288-63EC9F5FA152}">
    <filterColumn colId="2">
      <filters>
        <filter val="D8"/>
      </filters>
    </filterColumn>
  </autoFilter>
  <mergeCells count="4">
    <mergeCell ref="M6:O6"/>
    <mergeCell ref="Q6:S6"/>
    <mergeCell ref="B3:D3"/>
    <mergeCell ref="I6:J6"/>
  </mergeCells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1" orientation="portrait" copies="1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5EC7-987F-4067-B596-EA757FF3C156}">
  <sheetPr>
    <pageSetUpPr fitToPage="1"/>
  </sheetPr>
  <dimension ref="A2:AE133"/>
  <sheetViews>
    <sheetView showGridLines="0" topLeftCell="B69" workbookViewId="0">
      <selection activeCell="B97" sqref="B97:C97"/>
    </sheetView>
  </sheetViews>
  <sheetFormatPr baseColWidth="10" defaultColWidth="10.796875" defaultRowHeight="14.25" outlineLevelCol="1" x14ac:dyDescent="0.45"/>
  <cols>
    <col min="1" max="1" width="20.1992187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16384" width="10.796875" style="137"/>
  </cols>
  <sheetData>
    <row r="2" spans="1:29" ht="23.25" x14ac:dyDescent="0.45">
      <c r="A2" s="137" t="s">
        <v>18</v>
      </c>
      <c r="B2" s="251" t="s">
        <v>391</v>
      </c>
      <c r="C2" s="238"/>
      <c r="D2" s="238"/>
    </row>
    <row r="3" spans="1:29" ht="22.5" hidden="1" customHeight="1" x14ac:dyDescent="0.45">
      <c r="A3" s="137" t="s">
        <v>14</v>
      </c>
      <c r="B3" s="460">
        <v>45627</v>
      </c>
      <c r="C3" s="461"/>
      <c r="D3" s="461"/>
      <c r="E3" s="249"/>
      <c r="F3" s="249"/>
      <c r="G3" s="249"/>
      <c r="H3" s="140"/>
    </row>
    <row r="4" spans="1:29" ht="28.5" customHeight="1" x14ac:dyDescent="0.45">
      <c r="A4" s="137" t="s">
        <v>13</v>
      </c>
      <c r="B4" s="284" t="str">
        <f>VLOOKUP(B2,'Liste chauffeur'!$B$5:$L$19,2,TRUE)&amp;" "&amp;VLOOKUP(B2,'Liste chauffeur'!$B$5:$L$19,3,TRUE)</f>
        <v xml:space="preserve">KAMARDINE Mansour  </v>
      </c>
      <c r="C4" s="250"/>
      <c r="D4" s="250"/>
      <c r="E4" s="139"/>
      <c r="F4" s="139"/>
      <c r="G4" s="139"/>
      <c r="H4" s="140"/>
      <c r="J4" s="252"/>
      <c r="M4" s="252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62" t="s">
        <v>2</v>
      </c>
      <c r="J6" s="463"/>
      <c r="K6" s="319"/>
      <c r="L6" s="256"/>
      <c r="M6" s="459" t="s">
        <v>6</v>
      </c>
      <c r="N6" s="459"/>
      <c r="O6" s="459"/>
      <c r="P6" s="256"/>
      <c r="Q6" s="459" t="s">
        <v>7</v>
      </c>
      <c r="R6" s="459"/>
      <c r="S6" s="459"/>
      <c r="T6" s="256"/>
      <c r="U6" s="257"/>
      <c r="V6" s="283"/>
      <c r="W6" s="283" t="s">
        <v>350</v>
      </c>
      <c r="X6" s="257"/>
      <c r="Y6" s="257"/>
      <c r="Z6" s="257"/>
      <c r="AA6" s="257">
        <v>8</v>
      </c>
      <c r="AB6" s="257"/>
    </row>
    <row r="7" spans="1:29" ht="69.75" x14ac:dyDescent="0.45">
      <c r="A7" s="260"/>
      <c r="B7" s="261" t="s">
        <v>0</v>
      </c>
      <c r="C7" s="261" t="s">
        <v>334</v>
      </c>
      <c r="D7" s="261" t="s">
        <v>335</v>
      </c>
      <c r="E7" s="261" t="s">
        <v>1</v>
      </c>
      <c r="F7" s="261" t="s">
        <v>336</v>
      </c>
      <c r="G7" s="261" t="s">
        <v>337</v>
      </c>
      <c r="H7" s="261" t="s">
        <v>23</v>
      </c>
      <c r="I7" s="262" t="s">
        <v>130</v>
      </c>
      <c r="J7" s="262" t="s">
        <v>328</v>
      </c>
      <c r="K7" s="263" t="s">
        <v>5</v>
      </c>
      <c r="L7" s="263" t="s">
        <v>19</v>
      </c>
      <c r="M7" s="262" t="s">
        <v>130</v>
      </c>
      <c r="N7" s="262" t="s">
        <v>328</v>
      </c>
      <c r="O7" s="263" t="s">
        <v>9</v>
      </c>
      <c r="P7" s="263" t="s">
        <v>19</v>
      </c>
      <c r="Q7" s="262" t="s">
        <v>130</v>
      </c>
      <c r="R7" s="262" t="s">
        <v>328</v>
      </c>
      <c r="S7" s="264" t="s">
        <v>10</v>
      </c>
      <c r="T7" s="264" t="s">
        <v>19</v>
      </c>
      <c r="U7" s="264" t="s">
        <v>22</v>
      </c>
      <c r="V7" s="264"/>
      <c r="W7" s="261" t="s">
        <v>17</v>
      </c>
      <c r="X7" s="265" t="s">
        <v>12</v>
      </c>
      <c r="Y7" s="260" t="s">
        <v>20</v>
      </c>
      <c r="Z7" s="266" t="s">
        <v>38</v>
      </c>
      <c r="AA7" s="266" t="s">
        <v>39</v>
      </c>
      <c r="AB7" s="266" t="s">
        <v>40</v>
      </c>
      <c r="AC7" s="260"/>
    </row>
    <row r="8" spans="1:29" ht="23.25" x14ac:dyDescent="0.45">
      <c r="A8" s="302" t="str">
        <f>'Horaire samedi'!A8</f>
        <v>DOUJANI</v>
      </c>
      <c r="B8" s="303">
        <f>'Horaire samedi'!B8</f>
        <v>0.25</v>
      </c>
      <c r="C8" s="303" t="str">
        <f>'Horaire samedi'!C8</f>
        <v>D12</v>
      </c>
      <c r="D8" s="268" t="str">
        <f>VLOOKUP(C8,'Liste chauffeur'!$B$5:$L$18,2,TRUE)&amp;" "&amp;VLOOKUP(C8,'Liste chauffeur'!$B$5:$L$18,3,TRUE)</f>
        <v>VELOU M'COLO M'Berou</v>
      </c>
      <c r="E8" s="308"/>
      <c r="F8" s="315">
        <f t="shared" ref="F8:F72" si="0">COUNTBLANK(E8)</f>
        <v>1</v>
      </c>
      <c r="G8" s="309"/>
      <c r="H8" s="308"/>
      <c r="I8" s="310"/>
      <c r="J8" s="310"/>
      <c r="K8" s="311"/>
      <c r="L8" s="311"/>
      <c r="M8" s="310"/>
      <c r="N8" s="310"/>
      <c r="O8" s="311"/>
      <c r="P8" s="311"/>
      <c r="Q8" s="310"/>
      <c r="R8" s="310"/>
      <c r="S8" s="312"/>
      <c r="T8" s="312"/>
      <c r="U8" s="312"/>
      <c r="V8" s="312"/>
      <c r="W8" s="308"/>
      <c r="X8" s="313"/>
      <c r="Y8" s="271" t="str">
        <f t="shared" ref="Y8:Y11" si="1">IF(F8=1,"",W8-E8)</f>
        <v/>
      </c>
      <c r="Z8" s="270">
        <f t="shared" ref="Z8:Z72" si="2">H8+J8-I8</f>
        <v>0</v>
      </c>
      <c r="AA8" s="270">
        <f t="shared" ref="AA8:AA41" si="3">IF(F8=1,0,AA$6)</f>
        <v>0</v>
      </c>
      <c r="AB8" s="272">
        <f t="shared" ref="AB8:AB41" si="4">IF(AA8=0,0,Z8/AA8)</f>
        <v>0</v>
      </c>
      <c r="AC8" s="260"/>
    </row>
    <row r="9" spans="1:29" ht="33" customHeight="1" x14ac:dyDescent="0.45">
      <c r="A9" s="302" t="str">
        <f>'Horaire samedi'!A9</f>
        <v>DOUJANI</v>
      </c>
      <c r="B9" s="303">
        <f>'Horaire samedi'!B9</f>
        <v>0.2638888888888889</v>
      </c>
      <c r="C9" s="303" t="str">
        <f>'Horaire samedi'!C9</f>
        <v>D13</v>
      </c>
      <c r="D9" s="268" t="str">
        <f>VLOOKUP(C9,'Liste chauffeur'!$B$5:$L$18,2,TRUE)&amp;" "&amp;VLOOKUP(C9,'Liste chauffeur'!$B$5:$L$18,3,TRUE)</f>
        <v>MOURIDI Aktoir</v>
      </c>
      <c r="E9" s="308"/>
      <c r="F9" s="315">
        <f t="shared" si="0"/>
        <v>1</v>
      </c>
      <c r="G9" s="309"/>
      <c r="H9" s="308"/>
      <c r="I9" s="310"/>
      <c r="J9" s="310"/>
      <c r="K9" s="311"/>
      <c r="L9" s="311"/>
      <c r="M9" s="310"/>
      <c r="N9" s="310"/>
      <c r="O9" s="311"/>
      <c r="P9" s="311"/>
      <c r="Q9" s="310"/>
      <c r="R9" s="310"/>
      <c r="S9" s="312"/>
      <c r="T9" s="312"/>
      <c r="U9" s="312"/>
      <c r="V9" s="312"/>
      <c r="W9" s="308"/>
      <c r="X9" s="313"/>
      <c r="Y9" s="271" t="str">
        <f t="shared" si="1"/>
        <v/>
      </c>
      <c r="Z9" s="270">
        <f>H9+J9-I9</f>
        <v>0</v>
      </c>
      <c r="AA9" s="270">
        <f t="shared" si="3"/>
        <v>0</v>
      </c>
      <c r="AB9" s="272">
        <f t="shared" si="4"/>
        <v>0</v>
      </c>
      <c r="AC9" s="260"/>
    </row>
    <row r="10" spans="1:29" ht="29" customHeight="1" x14ac:dyDescent="0.45">
      <c r="A10" s="302" t="str">
        <f>'Horaire samedi'!A10</f>
        <v>PASSOT LA BARGE</v>
      </c>
      <c r="B10" s="303">
        <f>'Horaire samedi'!B10</f>
        <v>0.27083333333333331</v>
      </c>
      <c r="C10" s="303" t="str">
        <f>'Horaire samedi'!C10</f>
        <v>D12</v>
      </c>
      <c r="D10" s="268" t="str">
        <f>VLOOKUP(C10,'Liste chauffeur'!$B$5:$L$18,2,TRUE)&amp;" "&amp;VLOOKUP(C10,'Liste chauffeur'!$B$5:$L$18,3,TRUE)</f>
        <v>VELOU M'COLO M'Berou</v>
      </c>
      <c r="E10" s="308"/>
      <c r="F10" s="315">
        <f t="shared" si="0"/>
        <v>1</v>
      </c>
      <c r="G10" s="309"/>
      <c r="H10" s="308"/>
      <c r="I10" s="310"/>
      <c r="J10" s="310"/>
      <c r="K10" s="311"/>
      <c r="L10" s="311"/>
      <c r="M10" s="310"/>
      <c r="N10" s="310"/>
      <c r="O10" s="311"/>
      <c r="P10" s="311"/>
      <c r="Q10" s="310"/>
      <c r="R10" s="310"/>
      <c r="S10" s="312"/>
      <c r="T10" s="312"/>
      <c r="U10" s="312"/>
      <c r="V10" s="312"/>
      <c r="W10" s="308"/>
      <c r="X10" s="313"/>
      <c r="Y10" s="271" t="str">
        <f t="shared" si="1"/>
        <v/>
      </c>
      <c r="Z10" s="270">
        <f t="shared" si="2"/>
        <v>0</v>
      </c>
      <c r="AA10" s="270">
        <f t="shared" si="3"/>
        <v>0</v>
      </c>
      <c r="AB10" s="272">
        <f t="shared" si="4"/>
        <v>0</v>
      </c>
      <c r="AC10" s="260"/>
    </row>
    <row r="11" spans="1:29" ht="35.25" customHeight="1" x14ac:dyDescent="0.45">
      <c r="A11" s="302" t="str">
        <f>'Horaire samedi'!A11</f>
        <v>DOUJANI</v>
      </c>
      <c r="B11" s="303">
        <f>'Horaire samedi'!B11</f>
        <v>0.27777777777777779</v>
      </c>
      <c r="C11" s="303" t="str">
        <f>'Horaire samedi'!C11</f>
        <v>D5</v>
      </c>
      <c r="D11" s="268" t="str">
        <f>VLOOKUP(C11,'Liste chauffeur'!$B$5:$L$18,2,TRUE)&amp;" "&amp;VLOOKUP(C11,'Liste chauffeur'!$B$5:$L$18,3,TRUE)</f>
        <v>AMINA Selemani</v>
      </c>
      <c r="E11" s="308"/>
      <c r="F11" s="315">
        <f t="shared" si="0"/>
        <v>1</v>
      </c>
      <c r="G11" s="309"/>
      <c r="H11" s="308"/>
      <c r="I11" s="310"/>
      <c r="J11" s="310"/>
      <c r="K11" s="311"/>
      <c r="L11" s="311"/>
      <c r="M11" s="310"/>
      <c r="N11" s="310"/>
      <c r="O11" s="311"/>
      <c r="P11" s="311"/>
      <c r="Q11" s="310"/>
      <c r="R11" s="310"/>
      <c r="S11" s="312"/>
      <c r="T11" s="312"/>
      <c r="U11" s="312"/>
      <c r="V11" s="312"/>
      <c r="W11" s="308"/>
      <c r="X11" s="313"/>
      <c r="Y11" s="271" t="str">
        <f t="shared" si="1"/>
        <v/>
      </c>
      <c r="Z11" s="270">
        <f t="shared" si="2"/>
        <v>0</v>
      </c>
      <c r="AA11" s="270">
        <f t="shared" si="3"/>
        <v>0</v>
      </c>
      <c r="AB11" s="272">
        <f t="shared" si="4"/>
        <v>0</v>
      </c>
      <c r="AC11" s="260"/>
    </row>
    <row r="12" spans="1:29" ht="40.049999999999997" customHeight="1" x14ac:dyDescent="0.45">
      <c r="A12" s="302" t="str">
        <f>'Horaire samedi'!A12</f>
        <v>PASSOT LA BARGE</v>
      </c>
      <c r="B12" s="303">
        <f>'Horaire samedi'!B12</f>
        <v>0.28472222222222221</v>
      </c>
      <c r="C12" s="303" t="str">
        <f>'Horaire samedi'!C12</f>
        <v>D13</v>
      </c>
      <c r="D12" s="268" t="str">
        <f>VLOOKUP(C12,'Liste chauffeur'!$B$5:$L$18,2,TRUE)&amp;" "&amp;VLOOKUP(C12,'Liste chauffeur'!$B$5:$L$18,3,TRUE)</f>
        <v>MOURIDI Aktoir</v>
      </c>
      <c r="E12" s="314"/>
      <c r="F12" s="315">
        <f t="shared" si="0"/>
        <v>1</v>
      </c>
      <c r="G12" s="315"/>
      <c r="H12" s="316"/>
      <c r="I12" s="316"/>
      <c r="J12" s="316"/>
      <c r="K12" s="314"/>
      <c r="L12" s="314">
        <f t="shared" ref="L12:L48" si="5">K12-E12</f>
        <v>0</v>
      </c>
      <c r="M12" s="316"/>
      <c r="N12" s="316"/>
      <c r="O12" s="314"/>
      <c r="P12" s="314">
        <f>O12-K12</f>
        <v>0</v>
      </c>
      <c r="Q12" s="316"/>
      <c r="R12" s="316"/>
      <c r="S12" s="314"/>
      <c r="T12" s="314">
        <f>S12-O12</f>
        <v>0</v>
      </c>
      <c r="U12" s="316"/>
      <c r="V12" s="316" t="str">
        <f>IF(H12-I12+J12-M12+N12-Q12+R12=U12,"OK",H12-I12+J12-M12+N12-Q12+R12-U12)</f>
        <v>OK</v>
      </c>
      <c r="W12" s="314"/>
      <c r="X12" s="317"/>
      <c r="Y12" s="271" t="str">
        <f t="shared" ref="Y12:Y41" si="6">IF(F12=1,"",W12-E12)</f>
        <v/>
      </c>
      <c r="Z12" s="270">
        <f t="shared" si="2"/>
        <v>0</v>
      </c>
      <c r="AA12" s="270">
        <f t="shared" si="3"/>
        <v>0</v>
      </c>
      <c r="AB12" s="272">
        <f t="shared" si="4"/>
        <v>0</v>
      </c>
      <c r="AC12" s="260"/>
    </row>
    <row r="13" spans="1:29" ht="40.049999999999997" customHeight="1" x14ac:dyDescent="0.45">
      <c r="A13" s="302" t="str">
        <f>'Horaire samedi'!A13</f>
        <v>DOUJANI</v>
      </c>
      <c r="B13" s="303">
        <f>'Horaire samedi'!B13</f>
        <v>0.29166666666666669</v>
      </c>
      <c r="C13" s="303" t="str">
        <f>'Horaire samedi'!C13</f>
        <v>D12</v>
      </c>
      <c r="D13" s="268" t="str">
        <f>VLOOKUP(C13,'Liste chauffeur'!$B$5:$L$18,2,TRUE)&amp;" "&amp;VLOOKUP(C13,'Liste chauffeur'!$B$5:$L$18,3,TRUE)</f>
        <v>VELOU M'COLO M'Berou</v>
      </c>
      <c r="E13" s="314"/>
      <c r="F13" s="315">
        <f t="shared" si="0"/>
        <v>1</v>
      </c>
      <c r="G13" s="315"/>
      <c r="H13" s="316"/>
      <c r="I13" s="316"/>
      <c r="J13" s="316"/>
      <c r="K13" s="314"/>
      <c r="L13" s="314">
        <f t="shared" si="5"/>
        <v>0</v>
      </c>
      <c r="M13" s="316"/>
      <c r="N13" s="316"/>
      <c r="O13" s="314"/>
      <c r="P13" s="314">
        <f t="shared" ref="P13:P33" si="7">O13-K13</f>
        <v>0</v>
      </c>
      <c r="Q13" s="316"/>
      <c r="R13" s="316"/>
      <c r="S13" s="314"/>
      <c r="T13" s="314">
        <f t="shared" ref="T13:T33" si="8">S13-O13</f>
        <v>0</v>
      </c>
      <c r="U13" s="316"/>
      <c r="V13" s="316"/>
      <c r="W13" s="314"/>
      <c r="X13" s="317"/>
      <c r="Y13" s="271" t="str">
        <f t="shared" si="6"/>
        <v/>
      </c>
      <c r="Z13" s="270">
        <f t="shared" si="2"/>
        <v>0</v>
      </c>
      <c r="AA13" s="270">
        <f t="shared" si="3"/>
        <v>0</v>
      </c>
      <c r="AB13" s="273">
        <f t="shared" si="4"/>
        <v>0</v>
      </c>
      <c r="AC13" s="260"/>
    </row>
    <row r="14" spans="1:29" ht="40.049999999999997" customHeight="1" x14ac:dyDescent="0.45">
      <c r="A14" s="302" t="str">
        <f>'Horaire samedi'!A14</f>
        <v>PASSOT LA BARGE</v>
      </c>
      <c r="B14" s="303">
        <f>'Horaire samedi'!B14</f>
        <v>0.2986111111111111</v>
      </c>
      <c r="C14" s="303" t="str">
        <f>'Horaire samedi'!C14</f>
        <v>D5</v>
      </c>
      <c r="D14" s="268" t="str">
        <f>VLOOKUP(C14,'Liste chauffeur'!$B$5:$L$18,2,TRUE)&amp;" "&amp;VLOOKUP(C14,'Liste chauffeur'!$B$5:$L$18,3,TRUE)</f>
        <v>AMINA Selemani</v>
      </c>
      <c r="E14" s="314"/>
      <c r="F14" s="315">
        <f t="shared" si="0"/>
        <v>1</v>
      </c>
      <c r="G14" s="315"/>
      <c r="H14" s="316"/>
      <c r="I14" s="316"/>
      <c r="J14" s="316"/>
      <c r="K14" s="314"/>
      <c r="L14" s="314">
        <f t="shared" si="5"/>
        <v>0</v>
      </c>
      <c r="M14" s="316"/>
      <c r="N14" s="316"/>
      <c r="O14" s="314"/>
      <c r="P14" s="314">
        <f t="shared" si="7"/>
        <v>0</v>
      </c>
      <c r="Q14" s="316"/>
      <c r="R14" s="316"/>
      <c r="S14" s="314"/>
      <c r="T14" s="314">
        <f t="shared" si="8"/>
        <v>0</v>
      </c>
      <c r="U14" s="316"/>
      <c r="V14" s="316"/>
      <c r="W14" s="314"/>
      <c r="X14" s="317"/>
      <c r="Y14" s="271" t="str">
        <f t="shared" si="6"/>
        <v/>
      </c>
      <c r="Z14" s="270">
        <f t="shared" si="2"/>
        <v>0</v>
      </c>
      <c r="AA14" s="270">
        <f t="shared" si="3"/>
        <v>0</v>
      </c>
      <c r="AB14" s="273">
        <f t="shared" si="4"/>
        <v>0</v>
      </c>
      <c r="AC14" s="260"/>
    </row>
    <row r="15" spans="1:29" ht="32.25" customHeight="1" x14ac:dyDescent="0.45">
      <c r="A15" s="302" t="str">
        <f>'Horaire samedi'!A15</f>
        <v>DOUJANI</v>
      </c>
      <c r="B15" s="303">
        <f>'Horaire samedi'!B15</f>
        <v>0.30555555555555558</v>
      </c>
      <c r="C15" s="303" t="str">
        <f>'Horaire samedi'!C15</f>
        <v>D13</v>
      </c>
      <c r="D15" s="268" t="str">
        <f>VLOOKUP(C15,'Liste chauffeur'!$B$5:$L$18,2,TRUE)&amp;" "&amp;VLOOKUP(C15,'Liste chauffeur'!$B$5:$L$18,3,TRUE)</f>
        <v>MOURIDI Aktoir</v>
      </c>
      <c r="E15" s="314"/>
      <c r="F15" s="315">
        <f t="shared" si="0"/>
        <v>1</v>
      </c>
      <c r="G15" s="315"/>
      <c r="H15" s="316"/>
      <c r="I15" s="316"/>
      <c r="J15" s="316"/>
      <c r="K15" s="314"/>
      <c r="L15" s="314">
        <f t="shared" si="5"/>
        <v>0</v>
      </c>
      <c r="M15" s="316"/>
      <c r="N15" s="316"/>
      <c r="O15" s="314"/>
      <c r="P15" s="314">
        <f t="shared" si="7"/>
        <v>0</v>
      </c>
      <c r="Q15" s="316"/>
      <c r="R15" s="316"/>
      <c r="S15" s="314"/>
      <c r="T15" s="314">
        <f t="shared" si="8"/>
        <v>0</v>
      </c>
      <c r="U15" s="316"/>
      <c r="V15" s="316"/>
      <c r="W15" s="314"/>
      <c r="X15" s="317"/>
      <c r="Y15" s="271" t="str">
        <f t="shared" si="6"/>
        <v/>
      </c>
      <c r="Z15" s="270">
        <f t="shared" si="2"/>
        <v>0</v>
      </c>
      <c r="AA15" s="270">
        <f t="shared" si="3"/>
        <v>0</v>
      </c>
      <c r="AB15" s="273">
        <f t="shared" si="4"/>
        <v>0</v>
      </c>
      <c r="AC15" s="260"/>
    </row>
    <row r="16" spans="1:29" ht="40.049999999999997" customHeight="1" x14ac:dyDescent="0.45">
      <c r="A16" s="302" t="str">
        <f>'Horaire samedi'!A16</f>
        <v>PASSOT LA BARGE</v>
      </c>
      <c r="B16" s="303">
        <f>'Horaire samedi'!B16</f>
        <v>0.3125</v>
      </c>
      <c r="C16" s="303" t="str">
        <f>'Horaire samedi'!C16</f>
        <v>D12</v>
      </c>
      <c r="D16" s="268" t="str">
        <f>VLOOKUP(C16,'Liste chauffeur'!$B$5:$L$18,2,TRUE)&amp;" "&amp;VLOOKUP(C16,'Liste chauffeur'!$B$5:$L$18,3,TRUE)</f>
        <v>VELOU M'COLO M'Berou</v>
      </c>
      <c r="E16" s="314"/>
      <c r="F16" s="315">
        <f t="shared" si="0"/>
        <v>1</v>
      </c>
      <c r="G16" s="315"/>
      <c r="H16" s="316"/>
      <c r="I16" s="316"/>
      <c r="J16" s="316"/>
      <c r="K16" s="314"/>
      <c r="L16" s="314">
        <f t="shared" si="5"/>
        <v>0</v>
      </c>
      <c r="M16" s="316"/>
      <c r="N16" s="316"/>
      <c r="O16" s="314"/>
      <c r="P16" s="314">
        <f t="shared" si="7"/>
        <v>0</v>
      </c>
      <c r="Q16" s="316"/>
      <c r="R16" s="316"/>
      <c r="S16" s="314"/>
      <c r="T16" s="314">
        <f t="shared" si="8"/>
        <v>0</v>
      </c>
      <c r="U16" s="316"/>
      <c r="V16" s="316" t="str">
        <f t="shared" ref="V16:V47" si="9">IF(H16-I16+J16-M16+N16-Q16+R16=U16,"OK",H16-I16+J16-M16+N16-Q16+R16-U16)</f>
        <v>OK</v>
      </c>
      <c r="W16" s="314"/>
      <c r="X16" s="317"/>
      <c r="Y16" s="271" t="str">
        <f t="shared" si="6"/>
        <v/>
      </c>
      <c r="Z16" s="270">
        <f t="shared" si="2"/>
        <v>0</v>
      </c>
      <c r="AA16" s="270">
        <f t="shared" si="3"/>
        <v>0</v>
      </c>
      <c r="AB16" s="273">
        <f t="shared" si="4"/>
        <v>0</v>
      </c>
      <c r="AC16" s="260"/>
    </row>
    <row r="17" spans="1:29" ht="40.049999999999997" customHeight="1" x14ac:dyDescent="0.45">
      <c r="A17" s="302" t="str">
        <f>'Horaire samedi'!A17</f>
        <v>DOUJANI</v>
      </c>
      <c r="B17" s="303">
        <f>'Horaire samedi'!B17</f>
        <v>0.31944444444444398</v>
      </c>
      <c r="C17" s="303" t="str">
        <f>'Horaire samedi'!C17</f>
        <v>D5</v>
      </c>
      <c r="D17" s="268" t="str">
        <f>VLOOKUP(C17,'Liste chauffeur'!$B$5:$L$18,2,TRUE)&amp;" "&amp;VLOOKUP(C17,'Liste chauffeur'!$B$5:$L$18,3,TRUE)</f>
        <v>AMINA Selemani</v>
      </c>
      <c r="E17" s="314"/>
      <c r="F17" s="315">
        <f t="shared" si="0"/>
        <v>1</v>
      </c>
      <c r="G17" s="315"/>
      <c r="H17" s="316"/>
      <c r="I17" s="316"/>
      <c r="J17" s="316"/>
      <c r="K17" s="314"/>
      <c r="L17" s="314">
        <f t="shared" si="5"/>
        <v>0</v>
      </c>
      <c r="M17" s="316"/>
      <c r="N17" s="316"/>
      <c r="O17" s="314"/>
      <c r="P17" s="314">
        <f t="shared" si="7"/>
        <v>0</v>
      </c>
      <c r="Q17" s="316"/>
      <c r="R17" s="316"/>
      <c r="S17" s="314"/>
      <c r="T17" s="314">
        <f t="shared" si="8"/>
        <v>0</v>
      </c>
      <c r="U17" s="316"/>
      <c r="V17" s="316" t="str">
        <f t="shared" si="9"/>
        <v>OK</v>
      </c>
      <c r="W17" s="314"/>
      <c r="X17" s="317"/>
      <c r="Y17" s="271" t="str">
        <f t="shared" si="6"/>
        <v/>
      </c>
      <c r="Z17" s="270">
        <f t="shared" si="2"/>
        <v>0</v>
      </c>
      <c r="AA17" s="270">
        <f t="shared" si="3"/>
        <v>0</v>
      </c>
      <c r="AB17" s="273">
        <f t="shared" si="4"/>
        <v>0</v>
      </c>
      <c r="AC17" s="260"/>
    </row>
    <row r="18" spans="1:29" ht="40.049999999999997" customHeight="1" x14ac:dyDescent="0.45">
      <c r="A18" s="302" t="str">
        <f>'Horaire samedi'!A18</f>
        <v>PASSOT LA BARGE</v>
      </c>
      <c r="B18" s="303">
        <f>'Horaire samedi'!B18</f>
        <v>0.32638888888888901</v>
      </c>
      <c r="C18" s="303" t="str">
        <f>'Horaire samedi'!C18</f>
        <v>D13</v>
      </c>
      <c r="D18" s="268" t="str">
        <f>VLOOKUP(C18,'Liste chauffeur'!$B$5:$L$18,2,TRUE)&amp;" "&amp;VLOOKUP(C18,'Liste chauffeur'!$B$5:$L$18,3,TRUE)</f>
        <v>MOURIDI Aktoir</v>
      </c>
      <c r="E18" s="314"/>
      <c r="F18" s="315">
        <f t="shared" si="0"/>
        <v>1</v>
      </c>
      <c r="G18" s="315"/>
      <c r="H18" s="316"/>
      <c r="I18" s="316"/>
      <c r="J18" s="316"/>
      <c r="K18" s="314"/>
      <c r="L18" s="314"/>
      <c r="M18" s="316"/>
      <c r="N18" s="316"/>
      <c r="O18" s="314"/>
      <c r="P18" s="314"/>
      <c r="Q18" s="316"/>
      <c r="R18" s="316"/>
      <c r="S18" s="314"/>
      <c r="T18" s="314"/>
      <c r="U18" s="316"/>
      <c r="V18" s="316"/>
      <c r="W18" s="314"/>
      <c r="X18" s="317"/>
      <c r="Y18" s="271"/>
      <c r="Z18" s="270">
        <f t="shared" si="2"/>
        <v>0</v>
      </c>
      <c r="AA18" s="270">
        <f t="shared" si="3"/>
        <v>0</v>
      </c>
      <c r="AB18" s="273">
        <f t="shared" si="4"/>
        <v>0</v>
      </c>
      <c r="AC18" s="260"/>
    </row>
    <row r="19" spans="1:29" ht="40.049999999999997" customHeight="1" x14ac:dyDescent="0.45">
      <c r="A19" s="302" t="str">
        <f>'Horaire samedi'!A19</f>
        <v>DOUJANI</v>
      </c>
      <c r="B19" s="303">
        <f>'Horaire samedi'!B19</f>
        <v>0.33333333333333298</v>
      </c>
      <c r="C19" s="303" t="str">
        <f>'Horaire samedi'!C19</f>
        <v>D12</v>
      </c>
      <c r="D19" s="268" t="str">
        <f>VLOOKUP(C19,'Liste chauffeur'!$B$5:$L$18,2,TRUE)&amp;" "&amp;VLOOKUP(C19,'Liste chauffeur'!$B$5:$L$18,3,TRUE)</f>
        <v>VELOU M'COLO M'Berou</v>
      </c>
      <c r="E19" s="314"/>
      <c r="F19" s="315">
        <f t="shared" si="0"/>
        <v>1</v>
      </c>
      <c r="G19" s="315"/>
      <c r="H19" s="316"/>
      <c r="I19" s="316"/>
      <c r="J19" s="316"/>
      <c r="K19" s="314"/>
      <c r="L19" s="314">
        <f t="shared" si="5"/>
        <v>0</v>
      </c>
      <c r="M19" s="316"/>
      <c r="N19" s="316"/>
      <c r="O19" s="314"/>
      <c r="P19" s="314">
        <f t="shared" si="7"/>
        <v>0</v>
      </c>
      <c r="Q19" s="316"/>
      <c r="R19" s="316"/>
      <c r="S19" s="314"/>
      <c r="T19" s="314">
        <f t="shared" si="8"/>
        <v>0</v>
      </c>
      <c r="U19" s="316"/>
      <c r="V19" s="316" t="str">
        <f t="shared" si="9"/>
        <v>OK</v>
      </c>
      <c r="W19" s="314"/>
      <c r="X19" s="317"/>
      <c r="Y19" s="271" t="str">
        <f t="shared" si="6"/>
        <v/>
      </c>
      <c r="Z19" s="270">
        <f t="shared" si="2"/>
        <v>0</v>
      </c>
      <c r="AA19" s="270">
        <f t="shared" si="3"/>
        <v>0</v>
      </c>
      <c r="AB19" s="273">
        <f t="shared" si="4"/>
        <v>0</v>
      </c>
      <c r="AC19" s="260"/>
    </row>
    <row r="20" spans="1:29" ht="40.049999999999997" customHeight="1" x14ac:dyDescent="0.45">
      <c r="A20" s="302" t="str">
        <f>'Horaire samedi'!A20</f>
        <v>PASSOT LA BARGE</v>
      </c>
      <c r="B20" s="303">
        <f>'Horaire samedi'!B20</f>
        <v>0.34027777777777801</v>
      </c>
      <c r="C20" s="303" t="str">
        <f>'Horaire samedi'!C20</f>
        <v>D5</v>
      </c>
      <c r="D20" s="268" t="str">
        <f>VLOOKUP(C20,'Liste chauffeur'!$B$5:$L$18,2,TRUE)&amp;" "&amp;VLOOKUP(C20,'Liste chauffeur'!$B$5:$L$18,3,TRUE)</f>
        <v>AMINA Selemani</v>
      </c>
      <c r="E20" s="314"/>
      <c r="F20" s="315">
        <f t="shared" si="0"/>
        <v>1</v>
      </c>
      <c r="G20" s="315"/>
      <c r="H20" s="316"/>
      <c r="I20" s="316"/>
      <c r="J20" s="316"/>
      <c r="K20" s="314"/>
      <c r="L20" s="314">
        <f t="shared" si="5"/>
        <v>0</v>
      </c>
      <c r="M20" s="316"/>
      <c r="N20" s="316"/>
      <c r="O20" s="314"/>
      <c r="P20" s="314">
        <f t="shared" si="7"/>
        <v>0</v>
      </c>
      <c r="Q20" s="316"/>
      <c r="R20" s="316"/>
      <c r="S20" s="314"/>
      <c r="T20" s="314">
        <f t="shared" si="8"/>
        <v>0</v>
      </c>
      <c r="U20" s="316"/>
      <c r="V20" s="316" t="str">
        <f t="shared" si="9"/>
        <v>OK</v>
      </c>
      <c r="W20" s="314"/>
      <c r="X20" s="317"/>
      <c r="Y20" s="271" t="str">
        <f t="shared" si="6"/>
        <v/>
      </c>
      <c r="Z20" s="270">
        <f t="shared" si="2"/>
        <v>0</v>
      </c>
      <c r="AA20" s="270">
        <f t="shared" si="3"/>
        <v>0</v>
      </c>
      <c r="AB20" s="273">
        <f t="shared" si="4"/>
        <v>0</v>
      </c>
      <c r="AC20" s="260"/>
    </row>
    <row r="21" spans="1:29" ht="40.049999999999997" customHeight="1" x14ac:dyDescent="0.45">
      <c r="A21" s="302" t="str">
        <f>'Horaire samedi'!A21</f>
        <v>DOUJANI</v>
      </c>
      <c r="B21" s="303">
        <f>'Horaire samedi'!B21</f>
        <v>0.34722222222222199</v>
      </c>
      <c r="C21" s="303" t="str">
        <f>'Horaire samedi'!C21</f>
        <v>D13</v>
      </c>
      <c r="D21" s="268" t="str">
        <f>VLOOKUP(C21,'Liste chauffeur'!$B$5:$L$18,2,TRUE)&amp;" "&amp;VLOOKUP(C21,'Liste chauffeur'!$B$5:$L$18,3,TRUE)</f>
        <v>MOURIDI Aktoir</v>
      </c>
      <c r="E21" s="314"/>
      <c r="F21" s="315">
        <f t="shared" si="0"/>
        <v>1</v>
      </c>
      <c r="G21" s="315"/>
      <c r="H21" s="316"/>
      <c r="I21" s="316"/>
      <c r="J21" s="316"/>
      <c r="K21" s="314"/>
      <c r="L21" s="314">
        <f t="shared" si="5"/>
        <v>0</v>
      </c>
      <c r="M21" s="316"/>
      <c r="N21" s="316"/>
      <c r="O21" s="314"/>
      <c r="P21" s="314">
        <f t="shared" si="7"/>
        <v>0</v>
      </c>
      <c r="Q21" s="316"/>
      <c r="R21" s="316"/>
      <c r="S21" s="314"/>
      <c r="T21" s="314">
        <f t="shared" si="8"/>
        <v>0</v>
      </c>
      <c r="U21" s="316"/>
      <c r="V21" s="316" t="str">
        <f t="shared" si="9"/>
        <v>OK</v>
      </c>
      <c r="W21" s="314"/>
      <c r="X21" s="317"/>
      <c r="Y21" s="271" t="str">
        <f t="shared" si="6"/>
        <v/>
      </c>
      <c r="Z21" s="270">
        <f t="shared" si="2"/>
        <v>0</v>
      </c>
      <c r="AA21" s="270">
        <f t="shared" si="3"/>
        <v>0</v>
      </c>
      <c r="AB21" s="273">
        <f t="shared" si="4"/>
        <v>0</v>
      </c>
      <c r="AC21" s="260"/>
    </row>
    <row r="22" spans="1:29" ht="40.049999999999997" customHeight="1" x14ac:dyDescent="0.45">
      <c r="A22" s="302" t="str">
        <f>'Horaire samedi'!A22</f>
        <v>PASSOT LA BARGE</v>
      </c>
      <c r="B22" s="303">
        <f>'Horaire samedi'!B22</f>
        <v>0.35416666666666602</v>
      </c>
      <c r="C22" s="303" t="str">
        <f>'Horaire samedi'!C22</f>
        <v>D12</v>
      </c>
      <c r="D22" s="268" t="str">
        <f>VLOOKUP(C22,'Liste chauffeur'!$B$5:$L$18,2,TRUE)&amp;" "&amp;VLOOKUP(C22,'Liste chauffeur'!$B$5:$L$18,3,TRUE)</f>
        <v>VELOU M'COLO M'Berou</v>
      </c>
      <c r="E22" s="314"/>
      <c r="F22" s="315">
        <f t="shared" si="0"/>
        <v>1</v>
      </c>
      <c r="G22" s="315"/>
      <c r="H22" s="316"/>
      <c r="I22" s="316"/>
      <c r="J22" s="316"/>
      <c r="K22" s="314"/>
      <c r="L22" s="314">
        <f t="shared" si="5"/>
        <v>0</v>
      </c>
      <c r="M22" s="316"/>
      <c r="N22" s="316"/>
      <c r="O22" s="314"/>
      <c r="P22" s="314">
        <f t="shared" si="7"/>
        <v>0</v>
      </c>
      <c r="Q22" s="316"/>
      <c r="R22" s="316"/>
      <c r="S22" s="314"/>
      <c r="T22" s="314">
        <f t="shared" si="8"/>
        <v>0</v>
      </c>
      <c r="U22" s="316"/>
      <c r="V22" s="316" t="str">
        <f t="shared" si="9"/>
        <v>OK</v>
      </c>
      <c r="W22" s="314"/>
      <c r="X22" s="317"/>
      <c r="Y22" s="271" t="str">
        <f t="shared" si="6"/>
        <v/>
      </c>
      <c r="Z22" s="270">
        <f t="shared" si="2"/>
        <v>0</v>
      </c>
      <c r="AA22" s="270">
        <f t="shared" si="3"/>
        <v>0</v>
      </c>
      <c r="AB22" s="273">
        <f t="shared" si="4"/>
        <v>0</v>
      </c>
      <c r="AC22" s="260"/>
    </row>
    <row r="23" spans="1:29" ht="40.049999999999997" customHeight="1" x14ac:dyDescent="0.45">
      <c r="A23" s="302" t="str">
        <f>'Horaire samedi'!A23</f>
        <v>DOUJANI</v>
      </c>
      <c r="B23" s="303">
        <f>'Horaire samedi'!B23</f>
        <v>0.36111111111111099</v>
      </c>
      <c r="C23" s="303" t="str">
        <f>'Horaire samedi'!C23</f>
        <v>D5</v>
      </c>
      <c r="D23" s="268" t="str">
        <f>VLOOKUP(C23,'Liste chauffeur'!$B$5:$L$18,2,TRUE)&amp;" "&amp;VLOOKUP(C23,'Liste chauffeur'!$B$5:$L$18,3,TRUE)</f>
        <v>AMINA Selemani</v>
      </c>
      <c r="E23" s="314"/>
      <c r="F23" s="315">
        <f t="shared" si="0"/>
        <v>1</v>
      </c>
      <c r="G23" s="315"/>
      <c r="H23" s="316"/>
      <c r="I23" s="316"/>
      <c r="J23" s="316"/>
      <c r="K23" s="314"/>
      <c r="L23" s="314">
        <f t="shared" si="5"/>
        <v>0</v>
      </c>
      <c r="M23" s="316"/>
      <c r="N23" s="316"/>
      <c r="O23" s="314"/>
      <c r="P23" s="314">
        <f t="shared" si="7"/>
        <v>0</v>
      </c>
      <c r="Q23" s="316"/>
      <c r="R23" s="316"/>
      <c r="S23" s="314"/>
      <c r="T23" s="314">
        <f t="shared" si="8"/>
        <v>0</v>
      </c>
      <c r="U23" s="316"/>
      <c r="V23" s="316" t="str">
        <f t="shared" si="9"/>
        <v>OK</v>
      </c>
      <c r="W23" s="314"/>
      <c r="X23" s="317"/>
      <c r="Y23" s="271" t="str">
        <f t="shared" si="6"/>
        <v/>
      </c>
      <c r="Z23" s="270">
        <f t="shared" si="2"/>
        <v>0</v>
      </c>
      <c r="AA23" s="270">
        <f t="shared" si="3"/>
        <v>0</v>
      </c>
      <c r="AB23" s="273">
        <f t="shared" si="4"/>
        <v>0</v>
      </c>
      <c r="AC23" s="260"/>
    </row>
    <row r="24" spans="1:29" ht="40.049999999999997" customHeight="1" x14ac:dyDescent="0.45">
      <c r="A24" s="302" t="str">
        <f>'Horaire samedi'!A24</f>
        <v>PASSOT LA BARGE</v>
      </c>
      <c r="B24" s="303">
        <f>'Horaire samedi'!B24</f>
        <v>0.36805555555555503</v>
      </c>
      <c r="C24" s="303" t="str">
        <f>'Horaire samedi'!C24</f>
        <v>D13</v>
      </c>
      <c r="D24" s="268" t="str">
        <f>VLOOKUP(C24,'Liste chauffeur'!$B$5:$L$18,2,TRUE)&amp;" "&amp;VLOOKUP(C24,'Liste chauffeur'!$B$5:$L$18,3,TRUE)</f>
        <v>MOURIDI Aktoir</v>
      </c>
      <c r="E24" s="314"/>
      <c r="F24" s="315">
        <f t="shared" si="0"/>
        <v>1</v>
      </c>
      <c r="G24" s="315"/>
      <c r="H24" s="316"/>
      <c r="I24" s="316"/>
      <c r="J24" s="316"/>
      <c r="K24" s="314"/>
      <c r="L24" s="314">
        <f t="shared" si="5"/>
        <v>0</v>
      </c>
      <c r="M24" s="316"/>
      <c r="N24" s="316"/>
      <c r="O24" s="314"/>
      <c r="P24" s="314">
        <f t="shared" si="7"/>
        <v>0</v>
      </c>
      <c r="Q24" s="316"/>
      <c r="R24" s="316"/>
      <c r="S24" s="314"/>
      <c r="T24" s="314">
        <f t="shared" si="8"/>
        <v>0</v>
      </c>
      <c r="U24" s="316"/>
      <c r="V24" s="316" t="str">
        <f t="shared" si="9"/>
        <v>OK</v>
      </c>
      <c r="W24" s="314"/>
      <c r="X24" s="317"/>
      <c r="Y24" s="271" t="str">
        <f t="shared" si="6"/>
        <v/>
      </c>
      <c r="Z24" s="270">
        <f t="shared" si="2"/>
        <v>0</v>
      </c>
      <c r="AA24" s="270">
        <f t="shared" si="3"/>
        <v>0</v>
      </c>
      <c r="AB24" s="273">
        <f t="shared" si="4"/>
        <v>0</v>
      </c>
      <c r="AC24" s="260"/>
    </row>
    <row r="25" spans="1:29" ht="40.049999999999997" customHeight="1" x14ac:dyDescent="0.45">
      <c r="A25" s="302" t="str">
        <f>'Horaire samedi'!A25</f>
        <v>DOUJANI</v>
      </c>
      <c r="B25" s="303">
        <f>'Horaire samedi'!B25</f>
        <v>0.375</v>
      </c>
      <c r="C25" s="303" t="str">
        <f>'Horaire samedi'!C25</f>
        <v>D12</v>
      </c>
      <c r="D25" s="268" t="str">
        <f>VLOOKUP(C25,'Liste chauffeur'!$B$5:$L$18,2,TRUE)&amp;" "&amp;VLOOKUP(C25,'Liste chauffeur'!$B$5:$L$18,3,TRUE)</f>
        <v>VELOU M'COLO M'Berou</v>
      </c>
      <c r="E25" s="314"/>
      <c r="F25" s="315">
        <f t="shared" si="0"/>
        <v>1</v>
      </c>
      <c r="G25" s="315"/>
      <c r="H25" s="316"/>
      <c r="I25" s="316"/>
      <c r="J25" s="316"/>
      <c r="K25" s="314"/>
      <c r="L25" s="314"/>
      <c r="M25" s="316"/>
      <c r="N25" s="316"/>
      <c r="O25" s="314"/>
      <c r="P25" s="314"/>
      <c r="Q25" s="316"/>
      <c r="R25" s="316"/>
      <c r="S25" s="314"/>
      <c r="T25" s="314"/>
      <c r="U25" s="316"/>
      <c r="V25" s="316"/>
      <c r="W25" s="314"/>
      <c r="X25" s="317"/>
      <c r="Y25" s="271"/>
      <c r="Z25" s="270">
        <f t="shared" si="2"/>
        <v>0</v>
      </c>
      <c r="AA25" s="270">
        <f t="shared" si="3"/>
        <v>0</v>
      </c>
      <c r="AB25" s="273">
        <f t="shared" si="4"/>
        <v>0</v>
      </c>
      <c r="AC25" s="260"/>
    </row>
    <row r="26" spans="1:29" ht="40.049999999999997" customHeight="1" x14ac:dyDescent="0.45">
      <c r="A26" s="302" t="str">
        <f>'Horaire samedi'!A26</f>
        <v>PASSOT LA BARGE</v>
      </c>
      <c r="B26" s="303">
        <f>'Horaire samedi'!B26</f>
        <v>0.38194444444444398</v>
      </c>
      <c r="C26" s="303" t="str">
        <f>'Horaire samedi'!C26</f>
        <v>D5</v>
      </c>
      <c r="D26" s="268" t="str">
        <f>VLOOKUP(C26,'Liste chauffeur'!$B$5:$L$18,2,TRUE)&amp;" "&amp;VLOOKUP(C26,'Liste chauffeur'!$B$5:$L$18,3,TRUE)</f>
        <v>AMINA Selemani</v>
      </c>
      <c r="E26" s="314"/>
      <c r="F26" s="315">
        <f t="shared" si="0"/>
        <v>1</v>
      </c>
      <c r="G26" s="315"/>
      <c r="H26" s="316"/>
      <c r="I26" s="316"/>
      <c r="J26" s="316"/>
      <c r="K26" s="314"/>
      <c r="L26" s="314">
        <f t="shared" si="5"/>
        <v>0</v>
      </c>
      <c r="M26" s="316"/>
      <c r="N26" s="316"/>
      <c r="O26" s="314"/>
      <c r="P26" s="314">
        <f t="shared" si="7"/>
        <v>0</v>
      </c>
      <c r="Q26" s="316"/>
      <c r="R26" s="316"/>
      <c r="S26" s="314"/>
      <c r="T26" s="314">
        <f t="shared" si="8"/>
        <v>0</v>
      </c>
      <c r="U26" s="316"/>
      <c r="V26" s="316" t="str">
        <f t="shared" si="9"/>
        <v>OK</v>
      </c>
      <c r="W26" s="314"/>
      <c r="X26" s="317"/>
      <c r="Y26" s="271" t="str">
        <f t="shared" si="6"/>
        <v/>
      </c>
      <c r="Z26" s="270">
        <f t="shared" si="2"/>
        <v>0</v>
      </c>
      <c r="AA26" s="270">
        <f t="shared" si="3"/>
        <v>0</v>
      </c>
      <c r="AB26" s="273">
        <f t="shared" si="4"/>
        <v>0</v>
      </c>
      <c r="AC26" s="260"/>
    </row>
    <row r="27" spans="1:29" ht="40.049999999999997" customHeight="1" x14ac:dyDescent="0.45">
      <c r="A27" s="302" t="str">
        <f>'Horaire samedi'!A27</f>
        <v>DOUJANI</v>
      </c>
      <c r="B27" s="303">
        <f>'Horaire samedi'!B27</f>
        <v>0.38888888888888901</v>
      </c>
      <c r="C27" s="303" t="str">
        <f>'Horaire samedi'!C27</f>
        <v>D13</v>
      </c>
      <c r="D27" s="268" t="str">
        <f>VLOOKUP(C27,'Liste chauffeur'!$B$5:$L$18,2,TRUE)&amp;" "&amp;VLOOKUP(C27,'Liste chauffeur'!$B$5:$L$18,3,TRUE)</f>
        <v>MOURIDI Aktoir</v>
      </c>
      <c r="E27" s="314"/>
      <c r="F27" s="315">
        <f t="shared" si="0"/>
        <v>1</v>
      </c>
      <c r="G27" s="315"/>
      <c r="H27" s="316"/>
      <c r="I27" s="316"/>
      <c r="J27" s="316"/>
      <c r="K27" s="314"/>
      <c r="L27" s="314">
        <f t="shared" si="5"/>
        <v>0</v>
      </c>
      <c r="M27" s="316"/>
      <c r="N27" s="316"/>
      <c r="O27" s="314"/>
      <c r="P27" s="314">
        <f t="shared" si="7"/>
        <v>0</v>
      </c>
      <c r="Q27" s="316"/>
      <c r="R27" s="316"/>
      <c r="S27" s="314"/>
      <c r="T27" s="314">
        <f t="shared" si="8"/>
        <v>0</v>
      </c>
      <c r="U27" s="316"/>
      <c r="V27" s="316" t="str">
        <f t="shared" si="9"/>
        <v>OK</v>
      </c>
      <c r="W27" s="314"/>
      <c r="X27" s="317"/>
      <c r="Y27" s="271" t="str">
        <f t="shared" si="6"/>
        <v/>
      </c>
      <c r="Z27" s="270">
        <f t="shared" si="2"/>
        <v>0</v>
      </c>
      <c r="AA27" s="270">
        <f t="shared" si="3"/>
        <v>0</v>
      </c>
      <c r="AB27" s="273">
        <f t="shared" si="4"/>
        <v>0</v>
      </c>
      <c r="AC27" s="260"/>
    </row>
    <row r="28" spans="1:29" ht="40.049999999999997" customHeight="1" x14ac:dyDescent="0.45">
      <c r="A28" s="302" t="str">
        <f>'Horaire samedi'!A28</f>
        <v>PASSOT LA BARGE</v>
      </c>
      <c r="B28" s="303">
        <f>'Horaire samedi'!B28</f>
        <v>0.39583333333333298</v>
      </c>
      <c r="C28" s="303" t="str">
        <f>'Horaire samedi'!C28</f>
        <v>D12</v>
      </c>
      <c r="D28" s="268" t="str">
        <f>VLOOKUP(C28,'Liste chauffeur'!$B$5:$L$18,2,TRUE)&amp;" "&amp;VLOOKUP(C28,'Liste chauffeur'!$B$5:$L$18,3,TRUE)</f>
        <v>VELOU M'COLO M'Berou</v>
      </c>
      <c r="E28" s="314"/>
      <c r="F28" s="315">
        <f t="shared" si="0"/>
        <v>1</v>
      </c>
      <c r="G28" s="315"/>
      <c r="H28" s="316"/>
      <c r="I28" s="316"/>
      <c r="J28" s="316"/>
      <c r="K28" s="314"/>
      <c r="L28" s="314">
        <f t="shared" si="5"/>
        <v>0</v>
      </c>
      <c r="M28" s="316"/>
      <c r="N28" s="316"/>
      <c r="O28" s="314"/>
      <c r="P28" s="314">
        <f t="shared" si="7"/>
        <v>0</v>
      </c>
      <c r="Q28" s="316"/>
      <c r="R28" s="316"/>
      <c r="S28" s="314"/>
      <c r="T28" s="314">
        <f t="shared" si="8"/>
        <v>0</v>
      </c>
      <c r="U28" s="316"/>
      <c r="V28" s="316" t="str">
        <f t="shared" si="9"/>
        <v>OK</v>
      </c>
      <c r="W28" s="314"/>
      <c r="X28" s="317"/>
      <c r="Y28" s="271" t="str">
        <f t="shared" si="6"/>
        <v/>
      </c>
      <c r="Z28" s="270">
        <f t="shared" si="2"/>
        <v>0</v>
      </c>
      <c r="AA28" s="270">
        <f t="shared" si="3"/>
        <v>0</v>
      </c>
      <c r="AB28" s="273">
        <f t="shared" si="4"/>
        <v>0</v>
      </c>
      <c r="AC28" s="260"/>
    </row>
    <row r="29" spans="1:29" ht="40.049999999999997" customHeight="1" x14ac:dyDescent="0.45">
      <c r="A29" s="302" t="str">
        <f>'Horaire samedi'!A29</f>
        <v>DOUJANI</v>
      </c>
      <c r="B29" s="303">
        <f>'Horaire samedi'!B29</f>
        <v>0.40277777777777701</v>
      </c>
      <c r="C29" s="303" t="str">
        <f>'Horaire samedi'!C29</f>
        <v>D5</v>
      </c>
      <c r="D29" s="268" t="str">
        <f>VLOOKUP(C29,'Liste chauffeur'!$B$5:$L$18,2,TRUE)&amp;" "&amp;VLOOKUP(C29,'Liste chauffeur'!$B$5:$L$18,3,TRUE)</f>
        <v>AMINA Selemani</v>
      </c>
      <c r="E29" s="314"/>
      <c r="F29" s="315">
        <f t="shared" si="0"/>
        <v>1</v>
      </c>
      <c r="G29" s="315"/>
      <c r="H29" s="316"/>
      <c r="I29" s="316"/>
      <c r="J29" s="316"/>
      <c r="K29" s="314"/>
      <c r="L29" s="314">
        <f t="shared" si="5"/>
        <v>0</v>
      </c>
      <c r="M29" s="316"/>
      <c r="N29" s="316"/>
      <c r="O29" s="314"/>
      <c r="P29" s="314">
        <f t="shared" si="7"/>
        <v>0</v>
      </c>
      <c r="Q29" s="316"/>
      <c r="R29" s="316"/>
      <c r="S29" s="314"/>
      <c r="T29" s="314">
        <f t="shared" si="8"/>
        <v>0</v>
      </c>
      <c r="U29" s="316"/>
      <c r="V29" s="316" t="str">
        <f t="shared" si="9"/>
        <v>OK</v>
      </c>
      <c r="W29" s="314"/>
      <c r="X29" s="317"/>
      <c r="Y29" s="271" t="str">
        <f t="shared" si="6"/>
        <v/>
      </c>
      <c r="Z29" s="270">
        <f t="shared" si="2"/>
        <v>0</v>
      </c>
      <c r="AA29" s="270">
        <f t="shared" si="3"/>
        <v>0</v>
      </c>
      <c r="AB29" s="273">
        <f t="shared" si="4"/>
        <v>0</v>
      </c>
      <c r="AC29" s="260"/>
    </row>
    <row r="30" spans="1:29" ht="40.049999999999997" customHeight="1" x14ac:dyDescent="0.45">
      <c r="A30" s="302" t="str">
        <f>'Horaire samedi'!A30</f>
        <v>PASSOT LA BARGE</v>
      </c>
      <c r="B30" s="303">
        <f>'Horaire samedi'!B30</f>
        <v>0.40972222222222199</v>
      </c>
      <c r="C30" s="303" t="str">
        <f>'Horaire samedi'!C30</f>
        <v>D13</v>
      </c>
      <c r="D30" s="268" t="str">
        <f>VLOOKUP(C30,'Liste chauffeur'!$B$5:$L$18,2,TRUE)&amp;" "&amp;VLOOKUP(C30,'Liste chauffeur'!$B$5:$L$18,3,TRUE)</f>
        <v>MOURIDI Aktoir</v>
      </c>
      <c r="E30" s="314"/>
      <c r="F30" s="315">
        <f t="shared" si="0"/>
        <v>1</v>
      </c>
      <c r="G30" s="315"/>
      <c r="H30" s="316"/>
      <c r="I30" s="316"/>
      <c r="J30" s="316"/>
      <c r="K30" s="314"/>
      <c r="L30" s="314">
        <f t="shared" si="5"/>
        <v>0</v>
      </c>
      <c r="M30" s="316"/>
      <c r="N30" s="316"/>
      <c r="O30" s="314"/>
      <c r="P30" s="314">
        <f t="shared" si="7"/>
        <v>0</v>
      </c>
      <c r="Q30" s="316"/>
      <c r="R30" s="316"/>
      <c r="S30" s="314"/>
      <c r="T30" s="314">
        <f t="shared" si="8"/>
        <v>0</v>
      </c>
      <c r="U30" s="316"/>
      <c r="V30" s="316" t="str">
        <f t="shared" si="9"/>
        <v>OK</v>
      </c>
      <c r="W30" s="314"/>
      <c r="X30" s="317"/>
      <c r="Y30" s="271" t="str">
        <f t="shared" si="6"/>
        <v/>
      </c>
      <c r="Z30" s="270">
        <f t="shared" si="2"/>
        <v>0</v>
      </c>
      <c r="AA30" s="270">
        <f t="shared" si="3"/>
        <v>0</v>
      </c>
      <c r="AB30" s="273">
        <f t="shared" si="4"/>
        <v>0</v>
      </c>
      <c r="AC30" s="260"/>
    </row>
    <row r="31" spans="1:29" ht="40.049999999999997" customHeight="1" x14ac:dyDescent="0.45">
      <c r="A31" s="302" t="str">
        <f>'Horaire samedi'!A31</f>
        <v>DOUJANI</v>
      </c>
      <c r="B31" s="303">
        <f>'Horaire samedi'!B31</f>
        <v>0.41666666666666702</v>
      </c>
      <c r="C31" s="303" t="str">
        <f>'Horaire samedi'!C31</f>
        <v>D12</v>
      </c>
      <c r="D31" s="268" t="str">
        <f>VLOOKUP(C31,'Liste chauffeur'!$B$5:$L$18,2,TRUE)&amp;" "&amp;VLOOKUP(C31,'Liste chauffeur'!$B$5:$L$18,3,TRUE)</f>
        <v>VELOU M'COLO M'Berou</v>
      </c>
      <c r="E31" s="314"/>
      <c r="F31" s="315">
        <f t="shared" si="0"/>
        <v>1</v>
      </c>
      <c r="G31" s="315"/>
      <c r="H31" s="316"/>
      <c r="I31" s="316"/>
      <c r="J31" s="316"/>
      <c r="K31" s="314"/>
      <c r="L31" s="314">
        <f t="shared" si="5"/>
        <v>0</v>
      </c>
      <c r="M31" s="316"/>
      <c r="N31" s="316"/>
      <c r="O31" s="314"/>
      <c r="P31" s="314">
        <f t="shared" si="7"/>
        <v>0</v>
      </c>
      <c r="Q31" s="316"/>
      <c r="R31" s="316"/>
      <c r="S31" s="314"/>
      <c r="T31" s="314">
        <f t="shared" si="8"/>
        <v>0</v>
      </c>
      <c r="U31" s="316"/>
      <c r="V31" s="316" t="str">
        <f t="shared" si="9"/>
        <v>OK</v>
      </c>
      <c r="W31" s="314"/>
      <c r="X31" s="317"/>
      <c r="Y31" s="271" t="str">
        <f t="shared" si="6"/>
        <v/>
      </c>
      <c r="Z31" s="270">
        <f t="shared" si="2"/>
        <v>0</v>
      </c>
      <c r="AA31" s="270">
        <f t="shared" si="3"/>
        <v>0</v>
      </c>
      <c r="AB31" s="273">
        <f t="shared" si="4"/>
        <v>0</v>
      </c>
      <c r="AC31" s="260"/>
    </row>
    <row r="32" spans="1:29" ht="40.049999999999997" customHeight="1" x14ac:dyDescent="0.45">
      <c r="A32" s="302" t="str">
        <f>'Horaire samedi'!A32</f>
        <v>PASSOT LA BARGE</v>
      </c>
      <c r="B32" s="303">
        <f>'Horaire samedi'!B32</f>
        <v>0.42361111111111099</v>
      </c>
      <c r="C32" s="303" t="str">
        <f>'Horaire samedi'!C32</f>
        <v>D5</v>
      </c>
      <c r="D32" s="268" t="str">
        <f>VLOOKUP(C32,'Liste chauffeur'!$B$5:$L$18,2,TRUE)&amp;" "&amp;VLOOKUP(C32,'Liste chauffeur'!$B$5:$L$18,3,TRUE)</f>
        <v>AMINA Selemani</v>
      </c>
      <c r="E32" s="314"/>
      <c r="F32" s="315">
        <f t="shared" si="0"/>
        <v>1</v>
      </c>
      <c r="G32" s="315"/>
      <c r="H32" s="316"/>
      <c r="I32" s="316"/>
      <c r="J32" s="316"/>
      <c r="K32" s="314"/>
      <c r="L32" s="314"/>
      <c r="M32" s="316"/>
      <c r="N32" s="316"/>
      <c r="O32" s="314"/>
      <c r="P32" s="314"/>
      <c r="Q32" s="316"/>
      <c r="R32" s="316"/>
      <c r="S32" s="314"/>
      <c r="T32" s="314"/>
      <c r="U32" s="316"/>
      <c r="V32" s="316"/>
      <c r="W32" s="314"/>
      <c r="X32" s="317"/>
      <c r="Y32" s="271"/>
      <c r="Z32" s="270">
        <f t="shared" si="2"/>
        <v>0</v>
      </c>
      <c r="AA32" s="270">
        <f t="shared" si="3"/>
        <v>0</v>
      </c>
      <c r="AB32" s="273">
        <f t="shared" si="4"/>
        <v>0</v>
      </c>
      <c r="AC32" s="260"/>
    </row>
    <row r="33" spans="1:31" ht="40.049999999999997" customHeight="1" x14ac:dyDescent="0.45">
      <c r="A33" s="302" t="str">
        <f>'Horaire samedi'!A33</f>
        <v>DOUJANI</v>
      </c>
      <c r="B33" s="303">
        <f>'Horaire samedi'!B33</f>
        <v>0.43055555555555602</v>
      </c>
      <c r="C33" s="303" t="str">
        <f>'Horaire samedi'!C33</f>
        <v>D13</v>
      </c>
      <c r="D33" s="268" t="str">
        <f>VLOOKUP(C33,'Liste chauffeur'!$B$5:$L$18,2,TRUE)&amp;" "&amp;VLOOKUP(C33,'Liste chauffeur'!$B$5:$L$18,3,TRUE)</f>
        <v>MOURIDI Aktoir</v>
      </c>
      <c r="E33" s="314"/>
      <c r="F33" s="315">
        <f t="shared" si="0"/>
        <v>1</v>
      </c>
      <c r="G33" s="315"/>
      <c r="H33" s="316"/>
      <c r="I33" s="316"/>
      <c r="J33" s="316"/>
      <c r="K33" s="314"/>
      <c r="L33" s="314">
        <f t="shared" si="5"/>
        <v>0</v>
      </c>
      <c r="M33" s="316"/>
      <c r="N33" s="316"/>
      <c r="O33" s="314"/>
      <c r="P33" s="314">
        <f t="shared" si="7"/>
        <v>0</v>
      </c>
      <c r="Q33" s="316"/>
      <c r="R33" s="316"/>
      <c r="S33" s="314"/>
      <c r="T33" s="314">
        <f t="shared" si="8"/>
        <v>0</v>
      </c>
      <c r="U33" s="316"/>
      <c r="V33" s="316" t="str">
        <f t="shared" si="9"/>
        <v>OK</v>
      </c>
      <c r="W33" s="314"/>
      <c r="X33" s="317"/>
      <c r="Y33" s="271" t="str">
        <f t="shared" si="6"/>
        <v/>
      </c>
      <c r="Z33" s="270">
        <f t="shared" si="2"/>
        <v>0</v>
      </c>
      <c r="AA33" s="270">
        <f t="shared" si="3"/>
        <v>0</v>
      </c>
      <c r="AB33" s="273">
        <f t="shared" si="4"/>
        <v>0</v>
      </c>
      <c r="AC33" s="260"/>
    </row>
    <row r="34" spans="1:31" ht="40.049999999999997" customHeight="1" x14ac:dyDescent="0.45">
      <c r="A34" s="302" t="str">
        <f>'Horaire samedi'!A34</f>
        <v>PASSOT LA BARGE</v>
      </c>
      <c r="B34" s="303">
        <f>'Horaire samedi'!B34</f>
        <v>0.4375</v>
      </c>
      <c r="C34" s="303" t="str">
        <f>'Horaire samedi'!C34</f>
        <v>D12</v>
      </c>
      <c r="D34" s="268" t="str">
        <f>VLOOKUP(C34,'Liste chauffeur'!$B$5:$L$18,2,TRUE)&amp;" "&amp;VLOOKUP(C34,'Liste chauffeur'!$B$5:$L$18,3,TRUE)</f>
        <v>VELOU M'COLO M'Berou</v>
      </c>
      <c r="E34" s="314"/>
      <c r="F34" s="315">
        <f t="shared" si="0"/>
        <v>1</v>
      </c>
      <c r="G34" s="315"/>
      <c r="H34" s="316"/>
      <c r="I34" s="316"/>
      <c r="J34" s="316"/>
      <c r="K34" s="314"/>
      <c r="L34" s="314">
        <f t="shared" si="5"/>
        <v>0</v>
      </c>
      <c r="M34" s="316"/>
      <c r="N34" s="316"/>
      <c r="O34" s="314"/>
      <c r="P34" s="314"/>
      <c r="Q34" s="316"/>
      <c r="R34" s="316"/>
      <c r="S34" s="314"/>
      <c r="T34" s="314"/>
      <c r="U34" s="316"/>
      <c r="V34" s="316" t="str">
        <f t="shared" si="9"/>
        <v>OK</v>
      </c>
      <c r="W34" s="314"/>
      <c r="X34" s="317"/>
      <c r="Y34" s="271" t="str">
        <f t="shared" si="6"/>
        <v/>
      </c>
      <c r="Z34" s="270">
        <f t="shared" si="2"/>
        <v>0</v>
      </c>
      <c r="AA34" s="270">
        <f t="shared" si="3"/>
        <v>0</v>
      </c>
      <c r="AB34" s="273">
        <f t="shared" si="4"/>
        <v>0</v>
      </c>
      <c r="AC34" s="260"/>
    </row>
    <row r="35" spans="1:31" ht="40.049999999999997" customHeight="1" x14ac:dyDescent="0.45">
      <c r="A35" s="302" t="str">
        <f>'Horaire samedi'!A35</f>
        <v>DOUJANI</v>
      </c>
      <c r="B35" s="303">
        <f>'Horaire samedi'!B35</f>
        <v>0.44444444444444398</v>
      </c>
      <c r="C35" s="303" t="str">
        <f>'Horaire samedi'!C35</f>
        <v>D5</v>
      </c>
      <c r="D35" s="268" t="str">
        <f>VLOOKUP(C35,'Liste chauffeur'!$B$5:$L$18,2,TRUE)&amp;" "&amp;VLOOKUP(C35,'Liste chauffeur'!$B$5:$L$18,3,TRUE)</f>
        <v>AMINA Selemani</v>
      </c>
      <c r="E35" s="314"/>
      <c r="F35" s="315">
        <f t="shared" si="0"/>
        <v>1</v>
      </c>
      <c r="G35" s="315"/>
      <c r="H35" s="316"/>
      <c r="I35" s="316"/>
      <c r="J35" s="316"/>
      <c r="K35" s="314"/>
      <c r="L35" s="314">
        <f t="shared" si="5"/>
        <v>0</v>
      </c>
      <c r="M35" s="316"/>
      <c r="N35" s="316"/>
      <c r="O35" s="314"/>
      <c r="P35" s="314"/>
      <c r="Q35" s="316"/>
      <c r="R35" s="316"/>
      <c r="S35" s="314"/>
      <c r="T35" s="314"/>
      <c r="U35" s="316"/>
      <c r="V35" s="316" t="str">
        <f t="shared" si="9"/>
        <v>OK</v>
      </c>
      <c r="W35" s="314"/>
      <c r="X35" s="317"/>
      <c r="Y35" s="271" t="str">
        <f t="shared" si="6"/>
        <v/>
      </c>
      <c r="Z35" s="270">
        <f t="shared" si="2"/>
        <v>0</v>
      </c>
      <c r="AA35" s="270">
        <f t="shared" si="3"/>
        <v>0</v>
      </c>
      <c r="AB35" s="273">
        <f t="shared" si="4"/>
        <v>0</v>
      </c>
      <c r="AC35" s="260"/>
    </row>
    <row r="36" spans="1:31" ht="40.049999999999997" customHeight="1" x14ac:dyDescent="0.45">
      <c r="A36" s="302" t="str">
        <f>'Horaire samedi'!A36</f>
        <v>PASSOT LA BARGE</v>
      </c>
      <c r="B36" s="303">
        <f>'Horaire samedi'!B36</f>
        <v>0.45138888888888901</v>
      </c>
      <c r="C36" s="303" t="str">
        <f>'Horaire samedi'!C36</f>
        <v>D13</v>
      </c>
      <c r="D36" s="268" t="str">
        <f>VLOOKUP(C36,'Liste chauffeur'!$B$5:$L$18,2,TRUE)&amp;" "&amp;VLOOKUP(C36,'Liste chauffeur'!$B$5:$L$18,3,TRUE)</f>
        <v>MOURIDI Aktoir</v>
      </c>
      <c r="E36" s="314"/>
      <c r="F36" s="315">
        <f t="shared" si="0"/>
        <v>1</v>
      </c>
      <c r="G36" s="315"/>
      <c r="H36" s="316"/>
      <c r="I36" s="316"/>
      <c r="J36" s="316"/>
      <c r="K36" s="314"/>
      <c r="L36" s="314">
        <f t="shared" si="5"/>
        <v>0</v>
      </c>
      <c r="M36" s="316"/>
      <c r="N36" s="316"/>
      <c r="O36" s="314"/>
      <c r="P36" s="314"/>
      <c r="Q36" s="316"/>
      <c r="R36" s="316"/>
      <c r="S36" s="314"/>
      <c r="T36" s="314"/>
      <c r="U36" s="316"/>
      <c r="V36" s="316" t="str">
        <f t="shared" si="9"/>
        <v>OK</v>
      </c>
      <c r="W36" s="314"/>
      <c r="X36" s="317"/>
      <c r="Y36" s="271" t="str">
        <f t="shared" si="6"/>
        <v/>
      </c>
      <c r="Z36" s="270">
        <f t="shared" si="2"/>
        <v>0</v>
      </c>
      <c r="AA36" s="270">
        <f t="shared" si="3"/>
        <v>0</v>
      </c>
      <c r="AB36" s="273">
        <f t="shared" si="4"/>
        <v>0</v>
      </c>
      <c r="AC36" s="260"/>
    </row>
    <row r="37" spans="1:31" ht="40.049999999999997" customHeight="1" x14ac:dyDescent="0.45">
      <c r="A37" s="302" t="str">
        <f>'Horaire samedi'!A37</f>
        <v>DOUJANI</v>
      </c>
      <c r="B37" s="303">
        <f>'Horaire samedi'!B37</f>
        <v>0.45833333333333298</v>
      </c>
      <c r="C37" s="303" t="str">
        <f>'Horaire samedi'!C37</f>
        <v>D12</v>
      </c>
      <c r="D37" s="268" t="str">
        <f>VLOOKUP(C37,'Liste chauffeur'!$B$5:$L$18,2,TRUE)&amp;" "&amp;VLOOKUP(C37,'Liste chauffeur'!$B$5:$L$18,3,TRUE)</f>
        <v>VELOU M'COLO M'Berou</v>
      </c>
      <c r="E37" s="314"/>
      <c r="F37" s="315">
        <f t="shared" si="0"/>
        <v>1</v>
      </c>
      <c r="G37" s="315"/>
      <c r="H37" s="316"/>
      <c r="I37" s="316"/>
      <c r="J37" s="316"/>
      <c r="K37" s="314"/>
      <c r="L37" s="314">
        <f t="shared" si="5"/>
        <v>0</v>
      </c>
      <c r="M37" s="316"/>
      <c r="N37" s="316"/>
      <c r="O37" s="314"/>
      <c r="P37" s="314"/>
      <c r="Q37" s="316"/>
      <c r="R37" s="316"/>
      <c r="S37" s="314"/>
      <c r="T37" s="314"/>
      <c r="U37" s="316"/>
      <c r="V37" s="316" t="str">
        <f t="shared" si="9"/>
        <v>OK</v>
      </c>
      <c r="W37" s="314"/>
      <c r="X37" s="317"/>
      <c r="Y37" s="271" t="str">
        <f t="shared" si="6"/>
        <v/>
      </c>
      <c r="Z37" s="270">
        <f t="shared" si="2"/>
        <v>0</v>
      </c>
      <c r="AA37" s="270">
        <f t="shared" si="3"/>
        <v>0</v>
      </c>
      <c r="AB37" s="273">
        <f t="shared" si="4"/>
        <v>0</v>
      </c>
      <c r="AC37" s="260"/>
    </row>
    <row r="38" spans="1:31" ht="40.049999999999997" customHeight="1" x14ac:dyDescent="0.45">
      <c r="A38" s="302" t="str">
        <f>'Horaire samedi'!A38</f>
        <v>PASSOT LA BARGE</v>
      </c>
      <c r="B38" s="303">
        <f>'Horaire samedi'!B38</f>
        <v>0.46527777777777801</v>
      </c>
      <c r="C38" s="303" t="str">
        <f>'Horaire samedi'!C38</f>
        <v>D5</v>
      </c>
      <c r="D38" s="268" t="str">
        <f>VLOOKUP(C38,'Liste chauffeur'!$B$5:$L$18,2,TRUE)&amp;" "&amp;VLOOKUP(C38,'Liste chauffeur'!$B$5:$L$18,3,TRUE)</f>
        <v>AMINA Selemani</v>
      </c>
      <c r="E38" s="314"/>
      <c r="F38" s="315">
        <f t="shared" si="0"/>
        <v>1</v>
      </c>
      <c r="G38" s="315"/>
      <c r="H38" s="316"/>
      <c r="I38" s="316"/>
      <c r="J38" s="316"/>
      <c r="K38" s="314"/>
      <c r="L38" s="314">
        <f t="shared" si="5"/>
        <v>0</v>
      </c>
      <c r="M38" s="316"/>
      <c r="N38" s="316"/>
      <c r="O38" s="314"/>
      <c r="P38" s="314"/>
      <c r="Q38" s="316"/>
      <c r="R38" s="316"/>
      <c r="S38" s="314"/>
      <c r="T38" s="314"/>
      <c r="U38" s="316"/>
      <c r="V38" s="316" t="str">
        <f t="shared" si="9"/>
        <v>OK</v>
      </c>
      <c r="W38" s="314"/>
      <c r="X38" s="317"/>
      <c r="Y38" s="271" t="str">
        <f t="shared" si="6"/>
        <v/>
      </c>
      <c r="Z38" s="270">
        <f t="shared" si="2"/>
        <v>0</v>
      </c>
      <c r="AA38" s="270">
        <f t="shared" si="3"/>
        <v>0</v>
      </c>
      <c r="AB38" s="273">
        <f t="shared" si="4"/>
        <v>0</v>
      </c>
      <c r="AC38" s="260"/>
    </row>
    <row r="39" spans="1:31" ht="40.049999999999997" customHeight="1" x14ac:dyDescent="0.45">
      <c r="A39" s="302" t="str">
        <f>'Horaire samedi'!A39</f>
        <v>DOUJANI</v>
      </c>
      <c r="B39" s="303">
        <f>'Horaire samedi'!B39</f>
        <v>0.47222222222222199</v>
      </c>
      <c r="C39" s="303" t="str">
        <f>'Horaire samedi'!C39</f>
        <v>D13</v>
      </c>
      <c r="D39" s="268" t="str">
        <f>VLOOKUP(C39,'Liste chauffeur'!$B$5:$L$18,2,TRUE)&amp;" "&amp;VLOOKUP(C39,'Liste chauffeur'!$B$5:$L$18,3,TRUE)</f>
        <v>MOURIDI Aktoir</v>
      </c>
      <c r="E39" s="314"/>
      <c r="F39" s="315">
        <f t="shared" si="0"/>
        <v>1</v>
      </c>
      <c r="G39" s="315"/>
      <c r="H39" s="316"/>
      <c r="I39" s="316"/>
      <c r="J39" s="316"/>
      <c r="K39" s="314"/>
      <c r="L39" s="314">
        <f t="shared" si="5"/>
        <v>0</v>
      </c>
      <c r="M39" s="316"/>
      <c r="N39" s="316"/>
      <c r="O39" s="314"/>
      <c r="P39" s="314"/>
      <c r="Q39" s="316"/>
      <c r="R39" s="316"/>
      <c r="S39" s="314"/>
      <c r="T39" s="314"/>
      <c r="U39" s="316"/>
      <c r="V39" s="316" t="str">
        <f t="shared" si="9"/>
        <v>OK</v>
      </c>
      <c r="W39" s="314"/>
      <c r="X39" s="317"/>
      <c r="Y39" s="271" t="str">
        <f t="shared" si="6"/>
        <v/>
      </c>
      <c r="Z39" s="270">
        <f t="shared" si="2"/>
        <v>0</v>
      </c>
      <c r="AA39" s="270">
        <f t="shared" si="3"/>
        <v>0</v>
      </c>
      <c r="AB39" s="273">
        <f t="shared" si="4"/>
        <v>0</v>
      </c>
      <c r="AC39" s="260"/>
    </row>
    <row r="40" spans="1:31" ht="40.049999999999997" customHeight="1" x14ac:dyDescent="0.45">
      <c r="A40" s="302" t="str">
        <f>'Horaire samedi'!A40</f>
        <v>PASSOT LA BARGE</v>
      </c>
      <c r="B40" s="303">
        <f>'Horaire samedi'!B40</f>
        <v>0.47916666666666602</v>
      </c>
      <c r="C40" s="303" t="str">
        <f>'Horaire samedi'!C40</f>
        <v>D12</v>
      </c>
      <c r="D40" s="268" t="str">
        <f>VLOOKUP(C40,'Liste chauffeur'!$B$5:$L$18,2,TRUE)&amp;" "&amp;VLOOKUP(C40,'Liste chauffeur'!$B$5:$L$18,3,TRUE)</f>
        <v>VELOU M'COLO M'Berou</v>
      </c>
      <c r="E40" s="314"/>
      <c r="F40" s="315">
        <f t="shared" si="0"/>
        <v>1</v>
      </c>
      <c r="G40" s="315"/>
      <c r="H40" s="316"/>
      <c r="I40" s="316"/>
      <c r="J40" s="316"/>
      <c r="K40" s="314"/>
      <c r="L40" s="314">
        <f t="shared" si="5"/>
        <v>0</v>
      </c>
      <c r="M40" s="316"/>
      <c r="N40" s="316"/>
      <c r="O40" s="314"/>
      <c r="P40" s="314"/>
      <c r="Q40" s="316"/>
      <c r="R40" s="316"/>
      <c r="S40" s="314"/>
      <c r="T40" s="314"/>
      <c r="U40" s="316"/>
      <c r="V40" s="316" t="str">
        <f t="shared" si="9"/>
        <v>OK</v>
      </c>
      <c r="W40" s="314"/>
      <c r="X40" s="317"/>
      <c r="Y40" s="271" t="str">
        <f t="shared" si="6"/>
        <v/>
      </c>
      <c r="Z40" s="270">
        <f t="shared" si="2"/>
        <v>0</v>
      </c>
      <c r="AA40" s="270">
        <f t="shared" si="3"/>
        <v>0</v>
      </c>
      <c r="AB40" s="273">
        <f t="shared" si="4"/>
        <v>0</v>
      </c>
      <c r="AC40" s="260"/>
    </row>
    <row r="41" spans="1:31" ht="40.049999999999997" customHeight="1" x14ac:dyDescent="0.45">
      <c r="A41" s="302" t="str">
        <f>'Horaire samedi'!A41</f>
        <v>DOUJANI</v>
      </c>
      <c r="B41" s="303">
        <f>'Horaire samedi'!B41</f>
        <v>0.48611111111111099</v>
      </c>
      <c r="C41" s="303" t="str">
        <f>'Horaire samedi'!C41</f>
        <v>D5</v>
      </c>
      <c r="D41" s="268" t="str">
        <f>VLOOKUP(C41,'Liste chauffeur'!$B$5:$L$18,2,TRUE)&amp;" "&amp;VLOOKUP(C41,'Liste chauffeur'!$B$5:$L$18,3,TRUE)</f>
        <v>AMINA Selemani</v>
      </c>
      <c r="E41" s="314"/>
      <c r="F41" s="315">
        <f t="shared" si="0"/>
        <v>1</v>
      </c>
      <c r="G41" s="315"/>
      <c r="H41" s="316"/>
      <c r="I41" s="316"/>
      <c r="J41" s="316"/>
      <c r="K41" s="314"/>
      <c r="L41" s="314">
        <f t="shared" si="5"/>
        <v>0</v>
      </c>
      <c r="M41" s="316"/>
      <c r="N41" s="316"/>
      <c r="O41" s="314"/>
      <c r="P41" s="314"/>
      <c r="Q41" s="316"/>
      <c r="R41" s="316"/>
      <c r="S41" s="314"/>
      <c r="T41" s="314"/>
      <c r="U41" s="316"/>
      <c r="V41" s="316" t="str">
        <f t="shared" si="9"/>
        <v>OK</v>
      </c>
      <c r="W41" s="314"/>
      <c r="X41" s="317"/>
      <c r="Y41" s="271" t="str">
        <f t="shared" si="6"/>
        <v/>
      </c>
      <c r="Z41" s="270">
        <f t="shared" si="2"/>
        <v>0</v>
      </c>
      <c r="AA41" s="270">
        <f t="shared" si="3"/>
        <v>0</v>
      </c>
      <c r="AB41" s="273">
        <f t="shared" si="4"/>
        <v>0</v>
      </c>
      <c r="AC41" s="260"/>
    </row>
    <row r="42" spans="1:31" ht="40.049999999999997" customHeight="1" x14ac:dyDescent="0.45">
      <c r="A42" s="302" t="str">
        <f>'Horaire samedi'!A42</f>
        <v>PASSOT LA BARGE</v>
      </c>
      <c r="B42" s="303">
        <f>'Horaire samedi'!B42</f>
        <v>0.49305555555555503</v>
      </c>
      <c r="C42" s="303" t="str">
        <f>'Horaire samedi'!C42</f>
        <v>D13</v>
      </c>
      <c r="D42" s="268" t="str">
        <f>VLOOKUP(C42,'Liste chauffeur'!$B$5:$L$18,2,TRUE)&amp;" "&amp;VLOOKUP(C42,'Liste chauffeur'!$B$5:$L$18,3,TRUE)</f>
        <v>MOURIDI Aktoir</v>
      </c>
      <c r="E42" s="314"/>
      <c r="F42" s="315">
        <f t="shared" si="0"/>
        <v>1</v>
      </c>
      <c r="G42" s="315"/>
      <c r="H42" s="316"/>
      <c r="I42" s="316"/>
      <c r="J42" s="316"/>
      <c r="K42" s="314"/>
      <c r="L42" s="314">
        <f t="shared" si="5"/>
        <v>0</v>
      </c>
      <c r="M42" s="316"/>
      <c r="N42" s="316"/>
      <c r="O42" s="314"/>
      <c r="P42" s="314"/>
      <c r="Q42" s="316"/>
      <c r="R42" s="316"/>
      <c r="S42" s="314"/>
      <c r="T42" s="314"/>
      <c r="U42" s="316"/>
      <c r="V42" s="316" t="str">
        <f t="shared" si="9"/>
        <v>OK</v>
      </c>
      <c r="W42" s="314"/>
      <c r="X42" s="317"/>
      <c r="Y42" s="271" t="str">
        <f>IF(F42=1,"",W42-E42)</f>
        <v/>
      </c>
      <c r="Z42" s="270">
        <f t="shared" si="2"/>
        <v>0</v>
      </c>
      <c r="AA42" s="270">
        <f>IF(F42=1,0,AA$6)</f>
        <v>0</v>
      </c>
      <c r="AB42" s="273">
        <f>IF(AA42=0,0,Z42/AA42)</f>
        <v>0</v>
      </c>
      <c r="AC42" s="260"/>
    </row>
    <row r="43" spans="1:31" ht="40.049999999999997" customHeight="1" x14ac:dyDescent="0.45">
      <c r="A43" s="302" t="str">
        <f>'Horaire samedi'!A43</f>
        <v>DOUJANI</v>
      </c>
      <c r="B43" s="303">
        <f>'Horaire samedi'!B43</f>
        <v>0.5</v>
      </c>
      <c r="C43" s="303" t="str">
        <f>'Horaire samedi'!C43</f>
        <v>D12</v>
      </c>
      <c r="D43" s="268" t="str">
        <f>VLOOKUP(C43,'Liste chauffeur'!$B$5:$L$18,2,TRUE)&amp;" "&amp;VLOOKUP(C43,'Liste chauffeur'!$B$5:$L$18,3,TRUE)</f>
        <v>VELOU M'COLO M'Berou</v>
      </c>
      <c r="E43" s="314"/>
      <c r="F43" s="315">
        <f t="shared" si="0"/>
        <v>1</v>
      </c>
      <c r="G43" s="315"/>
      <c r="H43" s="316"/>
      <c r="I43" s="316"/>
      <c r="J43" s="316"/>
      <c r="K43" s="314"/>
      <c r="L43" s="314">
        <f t="shared" si="5"/>
        <v>0</v>
      </c>
      <c r="M43" s="316"/>
      <c r="N43" s="316"/>
      <c r="O43" s="314"/>
      <c r="P43" s="314"/>
      <c r="Q43" s="316"/>
      <c r="R43" s="316"/>
      <c r="S43" s="314"/>
      <c r="T43" s="314"/>
      <c r="U43" s="316"/>
      <c r="V43" s="316" t="str">
        <f t="shared" si="9"/>
        <v>OK</v>
      </c>
      <c r="W43" s="314"/>
      <c r="X43" s="317"/>
      <c r="Y43" s="271" t="str">
        <f t="shared" ref="Y43:Y56" si="10">IF(F43=1,"",W43-E43)</f>
        <v/>
      </c>
      <c r="Z43" s="270">
        <f t="shared" si="2"/>
        <v>0</v>
      </c>
      <c r="AA43" s="270">
        <f t="shared" ref="AA43:AA97" si="11">IF(F43=1,0,AA$6)</f>
        <v>0</v>
      </c>
      <c r="AB43" s="273">
        <f t="shared" ref="AB43:AB97" si="12">IF(AA43=0,0,Z43/AA43)</f>
        <v>0</v>
      </c>
      <c r="AC43" s="260"/>
    </row>
    <row r="44" spans="1:31" ht="40.049999999999997" customHeight="1" x14ac:dyDescent="0.45">
      <c r="A44" s="302"/>
      <c r="B44" s="447" t="s">
        <v>567</v>
      </c>
      <c r="C44" s="447"/>
      <c r="D44" s="282"/>
      <c r="E44" s="448"/>
      <c r="F44" s="449">
        <f>SUM(F8:F43)</f>
        <v>36</v>
      </c>
      <c r="G44" s="449">
        <f>SUM(G8:G43)</f>
        <v>0</v>
      </c>
      <c r="H44" s="449"/>
      <c r="I44" s="449"/>
      <c r="J44" s="450"/>
      <c r="K44" s="450"/>
      <c r="L44" s="450"/>
      <c r="M44" s="448"/>
      <c r="N44" s="448"/>
      <c r="O44" s="450"/>
      <c r="P44" s="450"/>
      <c r="Q44" s="448"/>
      <c r="R44" s="448"/>
      <c r="S44" s="450"/>
      <c r="T44" s="450"/>
      <c r="U44" s="448"/>
      <c r="V44" s="448"/>
      <c r="W44" s="450"/>
      <c r="X44" s="450"/>
      <c r="Y44" s="448" t="e">
        <f>AVERAGE(Y8:Y43)</f>
        <v>#DIV/0!</v>
      </c>
      <c r="Z44" s="450">
        <f>SUM(Z8:Z43)</f>
        <v>0</v>
      </c>
      <c r="AA44" s="450">
        <f>SUM(AA8:AA43)</f>
        <v>0</v>
      </c>
      <c r="AB44" s="258">
        <f t="shared" si="12"/>
        <v>0</v>
      </c>
      <c r="AC44" s="258" t="e">
        <f>SUM(#REF!)</f>
        <v>#REF!</v>
      </c>
      <c r="AD44" s="452" t="e">
        <f>AB44/AC44</f>
        <v>#REF!</v>
      </c>
      <c r="AE44" s="274"/>
    </row>
    <row r="45" spans="1:31" ht="40.049999999999997" customHeight="1" x14ac:dyDescent="0.45">
      <c r="A45" s="302" t="str">
        <f>'Horaire samedi'!A44</f>
        <v>PASSOT LA BARGE</v>
      </c>
      <c r="B45" s="303">
        <f>'Horaire samedi'!B44</f>
        <v>0.50694444444444398</v>
      </c>
      <c r="C45" s="303" t="str">
        <f>'Horaire samedi'!C44</f>
        <v>D5</v>
      </c>
      <c r="D45" s="268" t="str">
        <f>VLOOKUP(C45,'Liste chauffeur'!$B$5:$L$18,2,TRUE)&amp;" "&amp;VLOOKUP(C45,'Liste chauffeur'!$B$5:$L$18,3,TRUE)</f>
        <v>AMINA Selemani</v>
      </c>
      <c r="E45" s="314"/>
      <c r="F45" s="315">
        <f t="shared" si="0"/>
        <v>1</v>
      </c>
      <c r="G45" s="315"/>
      <c r="H45" s="316"/>
      <c r="I45" s="316"/>
      <c r="J45" s="316"/>
      <c r="K45" s="314"/>
      <c r="L45" s="314">
        <f t="shared" si="5"/>
        <v>0</v>
      </c>
      <c r="M45" s="316"/>
      <c r="N45" s="316"/>
      <c r="O45" s="314"/>
      <c r="P45" s="314"/>
      <c r="Q45" s="316"/>
      <c r="R45" s="316"/>
      <c r="S45" s="314"/>
      <c r="T45" s="314"/>
      <c r="U45" s="316"/>
      <c r="V45" s="316" t="str">
        <f t="shared" si="9"/>
        <v>OK</v>
      </c>
      <c r="W45" s="314"/>
      <c r="X45" s="317"/>
      <c r="Y45" s="271" t="str">
        <f t="shared" si="10"/>
        <v/>
      </c>
      <c r="Z45" s="270">
        <f t="shared" si="2"/>
        <v>0</v>
      </c>
      <c r="AA45" s="270">
        <f t="shared" si="11"/>
        <v>0</v>
      </c>
      <c r="AB45" s="273">
        <f t="shared" si="12"/>
        <v>0</v>
      </c>
      <c r="AC45" s="260"/>
    </row>
    <row r="46" spans="1:31" ht="40.049999999999997" customHeight="1" x14ac:dyDescent="0.45">
      <c r="A46" s="302" t="str">
        <f>'Horaire samedi'!A45</f>
        <v>DOUJANI</v>
      </c>
      <c r="B46" s="303">
        <f>'Horaire samedi'!B45</f>
        <v>0.51388888888888895</v>
      </c>
      <c r="C46" s="303" t="str">
        <f>'Horaire samedi'!C45</f>
        <v>D13</v>
      </c>
      <c r="D46" s="268" t="str">
        <f>VLOOKUP(C46,'Liste chauffeur'!$B$5:$L$18,2,TRUE)&amp;" "&amp;VLOOKUP(C46,'Liste chauffeur'!$B$5:$L$18,3,TRUE)</f>
        <v>MOURIDI Aktoir</v>
      </c>
      <c r="E46" s="314"/>
      <c r="F46" s="315">
        <f t="shared" si="0"/>
        <v>1</v>
      </c>
      <c r="G46" s="315"/>
      <c r="H46" s="316"/>
      <c r="I46" s="316"/>
      <c r="J46" s="316"/>
      <c r="K46" s="314"/>
      <c r="L46" s="314">
        <f t="shared" si="5"/>
        <v>0</v>
      </c>
      <c r="M46" s="316"/>
      <c r="N46" s="316"/>
      <c r="O46" s="314"/>
      <c r="P46" s="314"/>
      <c r="Q46" s="316"/>
      <c r="R46" s="316"/>
      <c r="S46" s="314"/>
      <c r="T46" s="314"/>
      <c r="U46" s="316"/>
      <c r="V46" s="316" t="str">
        <f t="shared" si="9"/>
        <v>OK</v>
      </c>
      <c r="W46" s="314"/>
      <c r="X46" s="317"/>
      <c r="Y46" s="271" t="str">
        <f t="shared" si="10"/>
        <v/>
      </c>
      <c r="Z46" s="270">
        <f t="shared" si="2"/>
        <v>0</v>
      </c>
      <c r="AA46" s="270">
        <f t="shared" si="11"/>
        <v>0</v>
      </c>
      <c r="AB46" s="273">
        <f t="shared" si="12"/>
        <v>0</v>
      </c>
      <c r="AC46" s="260"/>
    </row>
    <row r="47" spans="1:31" ht="40.049999999999997" customHeight="1" x14ac:dyDescent="0.45">
      <c r="A47" s="302" t="str">
        <f>'Horaire samedi'!A46</f>
        <v>PASSOT LA BARGE</v>
      </c>
      <c r="B47" s="303">
        <f>'Horaire samedi'!B46</f>
        <v>0.52083333333333304</v>
      </c>
      <c r="C47" s="303" t="str">
        <f>'Horaire samedi'!C46</f>
        <v>D12</v>
      </c>
      <c r="D47" s="268" t="str">
        <f>VLOOKUP(C47,'Liste chauffeur'!$B$5:$L$18,2,TRUE)&amp;" "&amp;VLOOKUP(C47,'Liste chauffeur'!$B$5:$L$18,3,TRUE)</f>
        <v>VELOU M'COLO M'Berou</v>
      </c>
      <c r="E47" s="314"/>
      <c r="F47" s="315">
        <f t="shared" si="0"/>
        <v>1</v>
      </c>
      <c r="G47" s="315"/>
      <c r="H47" s="316"/>
      <c r="I47" s="316"/>
      <c r="J47" s="316"/>
      <c r="K47" s="314"/>
      <c r="L47" s="314">
        <f t="shared" si="5"/>
        <v>0</v>
      </c>
      <c r="M47" s="316"/>
      <c r="N47" s="316"/>
      <c r="O47" s="314"/>
      <c r="P47" s="314"/>
      <c r="Q47" s="316"/>
      <c r="R47" s="316"/>
      <c r="S47" s="314"/>
      <c r="T47" s="314"/>
      <c r="U47" s="316"/>
      <c r="V47" s="316" t="str">
        <f t="shared" si="9"/>
        <v>OK</v>
      </c>
      <c r="W47" s="314"/>
      <c r="X47" s="317"/>
      <c r="Y47" s="271" t="str">
        <f t="shared" si="10"/>
        <v/>
      </c>
      <c r="Z47" s="270">
        <f t="shared" si="2"/>
        <v>0</v>
      </c>
      <c r="AA47" s="270">
        <f t="shared" si="11"/>
        <v>0</v>
      </c>
      <c r="AB47" s="273">
        <f t="shared" si="12"/>
        <v>0</v>
      </c>
      <c r="AC47" s="260"/>
    </row>
    <row r="48" spans="1:31" ht="40.049999999999997" customHeight="1" x14ac:dyDescent="0.45">
      <c r="A48" s="302" t="str">
        <f>'Horaire samedi'!A47</f>
        <v>DOUJANI</v>
      </c>
      <c r="B48" s="303">
        <f>'Horaire samedi'!B47</f>
        <v>0.52777777777777701</v>
      </c>
      <c r="C48" s="303" t="str">
        <f>'Horaire samedi'!C47</f>
        <v>D5</v>
      </c>
      <c r="D48" s="268" t="str">
        <f>VLOOKUP(C48,'Liste chauffeur'!$B$5:$L$18,2,TRUE)&amp;" "&amp;VLOOKUP(C48,'Liste chauffeur'!$B$5:$L$18,3,TRUE)</f>
        <v>AMINA Selemani</v>
      </c>
      <c r="E48" s="314"/>
      <c r="F48" s="315">
        <f t="shared" si="0"/>
        <v>1</v>
      </c>
      <c r="G48" s="315"/>
      <c r="H48" s="316"/>
      <c r="I48" s="316"/>
      <c r="J48" s="316"/>
      <c r="K48" s="314"/>
      <c r="L48" s="314">
        <f t="shared" si="5"/>
        <v>0</v>
      </c>
      <c r="M48" s="316"/>
      <c r="N48" s="316"/>
      <c r="O48" s="314"/>
      <c r="P48" s="314"/>
      <c r="Q48" s="316"/>
      <c r="R48" s="316"/>
      <c r="S48" s="314"/>
      <c r="T48" s="314"/>
      <c r="U48" s="316"/>
      <c r="V48" s="316"/>
      <c r="W48" s="314"/>
      <c r="X48" s="317"/>
      <c r="Y48" s="271" t="str">
        <f t="shared" si="10"/>
        <v/>
      </c>
      <c r="Z48" s="270">
        <f t="shared" si="2"/>
        <v>0</v>
      </c>
      <c r="AA48" s="270">
        <f t="shared" si="11"/>
        <v>0</v>
      </c>
      <c r="AB48" s="273">
        <f t="shared" si="12"/>
        <v>0</v>
      </c>
      <c r="AC48" s="260"/>
    </row>
    <row r="49" spans="1:29" ht="40.049999999999997" customHeight="1" x14ac:dyDescent="0.45">
      <c r="A49" s="302" t="str">
        <f>'Horaire samedi'!A48</f>
        <v>PASSOT LA BARGE</v>
      </c>
      <c r="B49" s="303">
        <f>'Horaire samedi'!B48</f>
        <v>0.53472222222222199</v>
      </c>
      <c r="C49" s="303" t="str">
        <f>'Horaire samedi'!C48</f>
        <v>D13</v>
      </c>
      <c r="D49" s="268" t="str">
        <f>VLOOKUP(C49,'Liste chauffeur'!$B$5:$L$18,2,TRUE)&amp;" "&amp;VLOOKUP(C49,'Liste chauffeur'!$B$5:$L$18,3,TRUE)</f>
        <v>MOURIDI Aktoir</v>
      </c>
      <c r="E49" s="314"/>
      <c r="F49" s="315">
        <f t="shared" si="0"/>
        <v>1</v>
      </c>
      <c r="G49" s="315"/>
      <c r="H49" s="316"/>
      <c r="I49" s="316"/>
      <c r="J49" s="316"/>
      <c r="K49" s="314"/>
      <c r="L49" s="314"/>
      <c r="M49" s="316"/>
      <c r="N49" s="316"/>
      <c r="O49" s="314"/>
      <c r="P49" s="314"/>
      <c r="Q49" s="316"/>
      <c r="R49" s="316"/>
      <c r="S49" s="314"/>
      <c r="T49" s="314"/>
      <c r="U49" s="316"/>
      <c r="V49" s="316"/>
      <c r="W49" s="314"/>
      <c r="X49" s="317"/>
      <c r="Y49" s="271" t="str">
        <f t="shared" si="10"/>
        <v/>
      </c>
      <c r="Z49" s="270">
        <f t="shared" si="2"/>
        <v>0</v>
      </c>
      <c r="AA49" s="270">
        <f t="shared" si="11"/>
        <v>0</v>
      </c>
      <c r="AB49" s="273">
        <f t="shared" si="12"/>
        <v>0</v>
      </c>
      <c r="AC49" s="260"/>
    </row>
    <row r="50" spans="1:29" ht="40.049999999999997" customHeight="1" x14ac:dyDescent="0.45">
      <c r="A50" s="302" t="str">
        <f>'Horaire samedi'!A49</f>
        <v>DOUJANI</v>
      </c>
      <c r="B50" s="303">
        <f>'Horaire samedi'!B49</f>
        <v>0.54166666666666596</v>
      </c>
      <c r="C50" s="303" t="str">
        <f>'Horaire samedi'!C49</f>
        <v>D12</v>
      </c>
      <c r="D50" s="268" t="str">
        <f>VLOOKUP(C50,'Liste chauffeur'!$B$5:$L$18,2,TRUE)&amp;" "&amp;VLOOKUP(C50,'Liste chauffeur'!$B$5:$L$18,3,TRUE)</f>
        <v>VELOU M'COLO M'Berou</v>
      </c>
      <c r="E50" s="314"/>
      <c r="F50" s="315">
        <f t="shared" si="0"/>
        <v>1</v>
      </c>
      <c r="G50" s="315"/>
      <c r="H50" s="316"/>
      <c r="I50" s="316"/>
      <c r="J50" s="316"/>
      <c r="K50" s="314"/>
      <c r="L50" s="314"/>
      <c r="M50" s="316"/>
      <c r="N50" s="316"/>
      <c r="O50" s="314"/>
      <c r="P50" s="314"/>
      <c r="Q50" s="316"/>
      <c r="R50" s="316"/>
      <c r="S50" s="314"/>
      <c r="T50" s="314"/>
      <c r="U50" s="316"/>
      <c r="V50" s="316"/>
      <c r="W50" s="314"/>
      <c r="X50" s="317"/>
      <c r="Y50" s="271" t="str">
        <f t="shared" si="10"/>
        <v/>
      </c>
      <c r="Z50" s="270">
        <f t="shared" si="2"/>
        <v>0</v>
      </c>
      <c r="AA50" s="270">
        <f t="shared" si="11"/>
        <v>0</v>
      </c>
      <c r="AB50" s="273">
        <f t="shared" si="12"/>
        <v>0</v>
      </c>
      <c r="AC50" s="260"/>
    </row>
    <row r="51" spans="1:29" ht="40.049999999999997" customHeight="1" x14ac:dyDescent="0.45">
      <c r="A51" s="302" t="str">
        <f>'Horaire samedi'!A50</f>
        <v>PASSOT LA BARGE</v>
      </c>
      <c r="B51" s="303">
        <f>'Horaire samedi'!B50</f>
        <v>0.54861111111111105</v>
      </c>
      <c r="C51" s="303" t="str">
        <f>'Horaire samedi'!C50</f>
        <v>D5</v>
      </c>
      <c r="D51" s="268" t="str">
        <f>VLOOKUP(C51,'Liste chauffeur'!$B$5:$L$18,2,TRUE)&amp;" "&amp;VLOOKUP(C51,'Liste chauffeur'!$B$5:$L$18,3,TRUE)</f>
        <v>AMINA Selemani</v>
      </c>
      <c r="E51" s="314"/>
      <c r="F51" s="315">
        <f t="shared" si="0"/>
        <v>1</v>
      </c>
      <c r="G51" s="315"/>
      <c r="H51" s="316"/>
      <c r="I51" s="316"/>
      <c r="J51" s="316"/>
      <c r="K51" s="314"/>
      <c r="L51" s="314"/>
      <c r="M51" s="316"/>
      <c r="N51" s="316"/>
      <c r="O51" s="314"/>
      <c r="P51" s="314"/>
      <c r="Q51" s="316"/>
      <c r="R51" s="316"/>
      <c r="S51" s="314"/>
      <c r="T51" s="314"/>
      <c r="U51" s="316"/>
      <c r="V51" s="316"/>
      <c r="W51" s="314"/>
      <c r="X51" s="317"/>
      <c r="Y51" s="271" t="str">
        <f t="shared" si="10"/>
        <v/>
      </c>
      <c r="Z51" s="270">
        <f t="shared" si="2"/>
        <v>0</v>
      </c>
      <c r="AA51" s="270">
        <f t="shared" si="11"/>
        <v>0</v>
      </c>
      <c r="AB51" s="273">
        <f t="shared" si="12"/>
        <v>0</v>
      </c>
      <c r="AC51" s="260"/>
    </row>
    <row r="52" spans="1:29" ht="40.049999999999997" customHeight="1" x14ac:dyDescent="0.45">
      <c r="A52" s="302" t="str">
        <f>'Horaire samedi'!A51</f>
        <v>DOUJANI</v>
      </c>
      <c r="B52" s="303">
        <f>'Horaire samedi'!B51</f>
        <v>0.55555555555555503</v>
      </c>
      <c r="C52" s="303" t="str">
        <f>'Horaire samedi'!C51</f>
        <v>D13</v>
      </c>
      <c r="D52" s="268" t="str">
        <f>VLOOKUP(C52,'Liste chauffeur'!$B$5:$L$18,2,TRUE)&amp;" "&amp;VLOOKUP(C52,'Liste chauffeur'!$B$5:$L$18,3,TRUE)</f>
        <v>MOURIDI Aktoir</v>
      </c>
      <c r="E52" s="314"/>
      <c r="F52" s="315">
        <f t="shared" si="0"/>
        <v>1</v>
      </c>
      <c r="G52" s="315"/>
      <c r="H52" s="316"/>
      <c r="I52" s="316"/>
      <c r="J52" s="316"/>
      <c r="K52" s="314"/>
      <c r="L52" s="314"/>
      <c r="M52" s="316"/>
      <c r="N52" s="316"/>
      <c r="O52" s="314"/>
      <c r="P52" s="314"/>
      <c r="Q52" s="316"/>
      <c r="R52" s="316"/>
      <c r="S52" s="314"/>
      <c r="T52" s="314"/>
      <c r="U52" s="316"/>
      <c r="V52" s="316"/>
      <c r="W52" s="314"/>
      <c r="X52" s="317"/>
      <c r="Y52" s="271" t="str">
        <f t="shared" si="10"/>
        <v/>
      </c>
      <c r="Z52" s="270">
        <f t="shared" si="2"/>
        <v>0</v>
      </c>
      <c r="AA52" s="270">
        <f t="shared" si="11"/>
        <v>0</v>
      </c>
      <c r="AB52" s="273">
        <f t="shared" si="12"/>
        <v>0</v>
      </c>
      <c r="AC52" s="260"/>
    </row>
    <row r="53" spans="1:29" ht="40.049999999999997" customHeight="1" x14ac:dyDescent="0.45">
      <c r="A53" s="302" t="str">
        <f>'Horaire samedi'!A52</f>
        <v>PASSOT LA BARGE</v>
      </c>
      <c r="B53" s="303">
        <f>'Horaire samedi'!B52</f>
        <v>0.5625</v>
      </c>
      <c r="C53" s="303" t="str">
        <f>'Horaire samedi'!C52</f>
        <v>D12</v>
      </c>
      <c r="D53" s="268" t="str">
        <f>VLOOKUP(C53,'Liste chauffeur'!$B$5:$L$18,2,TRUE)&amp;" "&amp;VLOOKUP(C53,'Liste chauffeur'!$B$5:$L$18,3,TRUE)</f>
        <v>VELOU M'COLO M'Berou</v>
      </c>
      <c r="E53" s="314"/>
      <c r="F53" s="315">
        <f t="shared" si="0"/>
        <v>1</v>
      </c>
      <c r="G53" s="315"/>
      <c r="H53" s="316"/>
      <c r="I53" s="316"/>
      <c r="J53" s="316"/>
      <c r="K53" s="314"/>
      <c r="L53" s="314"/>
      <c r="M53" s="316"/>
      <c r="N53" s="316"/>
      <c r="O53" s="314"/>
      <c r="P53" s="314"/>
      <c r="Q53" s="316"/>
      <c r="R53" s="316"/>
      <c r="S53" s="314"/>
      <c r="T53" s="314"/>
      <c r="U53" s="316"/>
      <c r="V53" s="316"/>
      <c r="W53" s="314"/>
      <c r="X53" s="317"/>
      <c r="Y53" s="271" t="str">
        <f t="shared" si="10"/>
        <v/>
      </c>
      <c r="Z53" s="270">
        <f t="shared" si="2"/>
        <v>0</v>
      </c>
      <c r="AA53" s="270">
        <f t="shared" si="11"/>
        <v>0</v>
      </c>
      <c r="AB53" s="273">
        <f t="shared" si="12"/>
        <v>0</v>
      </c>
      <c r="AC53" s="260"/>
    </row>
    <row r="54" spans="1:29" ht="40.049999999999997" customHeight="1" x14ac:dyDescent="0.45">
      <c r="A54" s="302" t="str">
        <f>'Horaire samedi'!A53</f>
        <v>DOUJANI</v>
      </c>
      <c r="B54" s="303">
        <f>'Horaire samedi'!B53</f>
        <v>0.56944444444444398</v>
      </c>
      <c r="C54" s="303" t="str">
        <f>'Horaire samedi'!C53</f>
        <v>D5</v>
      </c>
      <c r="D54" s="268" t="str">
        <f>VLOOKUP(C54,'Liste chauffeur'!$B$5:$L$18,2,TRUE)&amp;" "&amp;VLOOKUP(C54,'Liste chauffeur'!$B$5:$L$18,3,TRUE)</f>
        <v>AMINA Selemani</v>
      </c>
      <c r="E54" s="314"/>
      <c r="F54" s="315">
        <f t="shared" si="0"/>
        <v>1</v>
      </c>
      <c r="G54" s="315"/>
      <c r="H54" s="316"/>
      <c r="I54" s="316"/>
      <c r="J54" s="316"/>
      <c r="K54" s="314"/>
      <c r="L54" s="314"/>
      <c r="M54" s="316"/>
      <c r="N54" s="316"/>
      <c r="O54" s="314"/>
      <c r="P54" s="314"/>
      <c r="Q54" s="316"/>
      <c r="R54" s="316"/>
      <c r="S54" s="314"/>
      <c r="T54" s="314"/>
      <c r="U54" s="316"/>
      <c r="V54" s="316"/>
      <c r="W54" s="314"/>
      <c r="X54" s="317"/>
      <c r="Y54" s="271" t="str">
        <f t="shared" si="10"/>
        <v/>
      </c>
      <c r="Z54" s="270">
        <f t="shared" si="2"/>
        <v>0</v>
      </c>
      <c r="AA54" s="270">
        <f t="shared" si="11"/>
        <v>0</v>
      </c>
      <c r="AB54" s="273">
        <f t="shared" si="12"/>
        <v>0</v>
      </c>
      <c r="AC54" s="260"/>
    </row>
    <row r="55" spans="1:29" ht="40.049999999999997" customHeight="1" x14ac:dyDescent="0.45">
      <c r="A55" s="302" t="str">
        <f>'Horaire samedi'!A54</f>
        <v>PASSOT LA BARGE</v>
      </c>
      <c r="B55" s="303">
        <f>'Horaire samedi'!B54</f>
        <v>0.57638888888888795</v>
      </c>
      <c r="C55" s="303" t="str">
        <f>'Horaire samedi'!C54</f>
        <v>D13</v>
      </c>
      <c r="D55" s="268" t="str">
        <f>VLOOKUP(C55,'Liste chauffeur'!$B$5:$L$18,2,TRUE)&amp;" "&amp;VLOOKUP(C55,'Liste chauffeur'!$B$5:$L$18,3,TRUE)</f>
        <v>MOURIDI Aktoir</v>
      </c>
      <c r="E55" s="314"/>
      <c r="F55" s="315">
        <f t="shared" si="0"/>
        <v>1</v>
      </c>
      <c r="G55" s="315"/>
      <c r="H55" s="316"/>
      <c r="I55" s="316"/>
      <c r="J55" s="316"/>
      <c r="K55" s="314"/>
      <c r="L55" s="314"/>
      <c r="M55" s="316"/>
      <c r="N55" s="316"/>
      <c r="O55" s="314"/>
      <c r="P55" s="314"/>
      <c r="Q55" s="316"/>
      <c r="R55" s="316"/>
      <c r="S55" s="314"/>
      <c r="T55" s="314"/>
      <c r="U55" s="316"/>
      <c r="V55" s="316"/>
      <c r="W55" s="314"/>
      <c r="X55" s="317"/>
      <c r="Y55" s="271" t="str">
        <f t="shared" si="10"/>
        <v/>
      </c>
      <c r="Z55" s="270">
        <f t="shared" si="2"/>
        <v>0</v>
      </c>
      <c r="AA55" s="270">
        <f t="shared" si="11"/>
        <v>0</v>
      </c>
      <c r="AB55" s="273">
        <f t="shared" si="12"/>
        <v>0</v>
      </c>
      <c r="AC55" s="260"/>
    </row>
    <row r="56" spans="1:29" ht="40.049999999999997" customHeight="1" x14ac:dyDescent="0.45">
      <c r="A56" s="302" t="str">
        <f>'Horaire samedi'!A55</f>
        <v>DOUJANI</v>
      </c>
      <c r="B56" s="303">
        <f>'Horaire samedi'!B55</f>
        <v>0.58333333333333304</v>
      </c>
      <c r="C56" s="303" t="str">
        <f>'Horaire samedi'!C55</f>
        <v>D9</v>
      </c>
      <c r="D56" s="268" t="str">
        <f>VLOOKUP(C56,'Liste chauffeur'!$B$5:$L$19,2,TRUE)&amp;" "&amp;VLOOKUP(C56,'Liste chauffeur'!$B$5:$L$19,3,TRUE)</f>
        <v>RENEE Assanati</v>
      </c>
      <c r="E56" s="314"/>
      <c r="F56" s="315">
        <f t="shared" si="0"/>
        <v>1</v>
      </c>
      <c r="G56" s="315"/>
      <c r="H56" s="316"/>
      <c r="I56" s="316"/>
      <c r="J56" s="316"/>
      <c r="K56" s="314"/>
      <c r="L56" s="314"/>
      <c r="M56" s="316"/>
      <c r="N56" s="316"/>
      <c r="O56" s="314"/>
      <c r="P56" s="314"/>
      <c r="Q56" s="316"/>
      <c r="R56" s="316"/>
      <c r="S56" s="314"/>
      <c r="T56" s="314"/>
      <c r="U56" s="316"/>
      <c r="V56" s="316"/>
      <c r="W56" s="314"/>
      <c r="X56" s="317"/>
      <c r="Y56" s="271" t="str">
        <f t="shared" si="10"/>
        <v/>
      </c>
      <c r="Z56" s="270">
        <f t="shared" si="2"/>
        <v>0</v>
      </c>
      <c r="AA56" s="270">
        <f t="shared" si="11"/>
        <v>0</v>
      </c>
      <c r="AB56" s="273">
        <f t="shared" si="12"/>
        <v>0</v>
      </c>
      <c r="AC56" s="260"/>
    </row>
    <row r="57" spans="1:29" ht="40.049999999999997" customHeight="1" x14ac:dyDescent="0.45">
      <c r="A57" s="302" t="str">
        <f>'Horaire samedi'!A56</f>
        <v>PASSOT LA BARGE</v>
      </c>
      <c r="B57" s="303">
        <f>'Horaire samedi'!B56</f>
        <v>0.59027777777777701</v>
      </c>
      <c r="C57" s="303" t="str">
        <f>'Horaire samedi'!C56</f>
        <v>D5</v>
      </c>
      <c r="D57" s="268" t="str">
        <f>VLOOKUP(C57,'Liste chauffeur'!$B$5:$L$18,2,TRUE)&amp;" "&amp;VLOOKUP(C57,'Liste chauffeur'!$B$5:$L$18,3,TRUE)</f>
        <v>AMINA Selemani</v>
      </c>
      <c r="E57" s="314"/>
      <c r="F57" s="315">
        <f t="shared" si="0"/>
        <v>1</v>
      </c>
      <c r="G57" s="315"/>
      <c r="H57" s="316"/>
      <c r="I57" s="316"/>
      <c r="J57" s="316"/>
      <c r="K57" s="314"/>
      <c r="L57" s="314"/>
      <c r="M57" s="316"/>
      <c r="N57" s="316"/>
      <c r="O57" s="314"/>
      <c r="P57" s="314"/>
      <c r="Q57" s="316"/>
      <c r="R57" s="316"/>
      <c r="S57" s="314"/>
      <c r="T57" s="314"/>
      <c r="U57" s="316"/>
      <c r="V57" s="316"/>
      <c r="W57" s="314"/>
      <c r="X57" s="317"/>
      <c r="Y57" s="271"/>
      <c r="Z57" s="270">
        <f t="shared" si="2"/>
        <v>0</v>
      </c>
      <c r="AA57" s="270">
        <f t="shared" si="11"/>
        <v>0</v>
      </c>
      <c r="AB57" s="273">
        <f t="shared" si="12"/>
        <v>0</v>
      </c>
      <c r="AC57" s="260"/>
    </row>
    <row r="58" spans="1:29" ht="40.049999999999997" customHeight="1" x14ac:dyDescent="0.45">
      <c r="A58" s="302" t="str">
        <f>'Horaire samedi'!A57</f>
        <v>DOUJANI</v>
      </c>
      <c r="B58" s="303">
        <f>'Horaire samedi'!B57</f>
        <v>0.59722222222222199</v>
      </c>
      <c r="C58" s="303" t="str">
        <f>'Horaire samedi'!C57</f>
        <v>C15</v>
      </c>
      <c r="D58" s="268" t="str">
        <f>VLOOKUP(C58,'Liste chauffeur'!$B$5:$L$20,2,FALSE)&amp;" "&amp;VLOOKUP(C58,'Liste chauffeur'!$B$5:$L$20,3,FALSE)</f>
        <v>HAMADA Babou</v>
      </c>
      <c r="E58" s="314"/>
      <c r="F58" s="315">
        <f t="shared" si="0"/>
        <v>1</v>
      </c>
      <c r="G58" s="315"/>
      <c r="H58" s="316"/>
      <c r="I58" s="316"/>
      <c r="J58" s="316"/>
      <c r="K58" s="314"/>
      <c r="L58" s="314"/>
      <c r="M58" s="316"/>
      <c r="N58" s="316"/>
      <c r="O58" s="314"/>
      <c r="P58" s="314"/>
      <c r="Q58" s="316"/>
      <c r="R58" s="316"/>
      <c r="S58" s="314"/>
      <c r="T58" s="314"/>
      <c r="U58" s="316"/>
      <c r="V58" s="316"/>
      <c r="W58" s="314"/>
      <c r="X58" s="317"/>
      <c r="Y58" s="271"/>
      <c r="Z58" s="270">
        <f t="shared" si="2"/>
        <v>0</v>
      </c>
      <c r="AA58" s="270">
        <f t="shared" si="11"/>
        <v>0</v>
      </c>
      <c r="AB58" s="273">
        <f t="shared" si="12"/>
        <v>0</v>
      </c>
      <c r="AC58" s="260"/>
    </row>
    <row r="59" spans="1:29" ht="40.049999999999997" customHeight="1" x14ac:dyDescent="0.45">
      <c r="A59" s="302" t="str">
        <f>'Horaire samedi'!A58</f>
        <v>PASSOT LA BARGE</v>
      </c>
      <c r="B59" s="303">
        <f>'Horaire samedi'!B58</f>
        <v>0.60416666666666596</v>
      </c>
      <c r="C59" s="303" t="str">
        <f>'Horaire samedi'!C58</f>
        <v>D9</v>
      </c>
      <c r="D59" s="268" t="str">
        <f>VLOOKUP(C59,'Liste chauffeur'!$B$5:$L$19,2,TRUE)&amp;" "&amp;VLOOKUP(C59,'Liste chauffeur'!$B$5:$L$19,3,TRUE)</f>
        <v>RENEE Assanati</v>
      </c>
      <c r="E59" s="314"/>
      <c r="F59" s="315">
        <f t="shared" si="0"/>
        <v>1</v>
      </c>
      <c r="G59" s="315"/>
      <c r="H59" s="316"/>
      <c r="I59" s="316"/>
      <c r="J59" s="316"/>
      <c r="K59" s="314"/>
      <c r="L59" s="314"/>
      <c r="M59" s="316"/>
      <c r="N59" s="316"/>
      <c r="O59" s="314"/>
      <c r="P59" s="314"/>
      <c r="Q59" s="316"/>
      <c r="R59" s="316"/>
      <c r="S59" s="314"/>
      <c r="T59" s="314"/>
      <c r="U59" s="316"/>
      <c r="V59" s="316"/>
      <c r="W59" s="314"/>
      <c r="X59" s="317"/>
      <c r="Y59" s="271"/>
      <c r="Z59" s="270">
        <f t="shared" si="2"/>
        <v>0</v>
      </c>
      <c r="AA59" s="270">
        <f t="shared" si="11"/>
        <v>0</v>
      </c>
      <c r="AB59" s="273">
        <f t="shared" si="12"/>
        <v>0</v>
      </c>
      <c r="AC59" s="260"/>
    </row>
    <row r="60" spans="1:29" ht="40.049999999999997" customHeight="1" x14ac:dyDescent="0.45">
      <c r="A60" s="302" t="str">
        <f>'Horaire samedi'!A59</f>
        <v>DOUJANI</v>
      </c>
      <c r="B60" s="303">
        <f>'Horaire samedi'!B59</f>
        <v>0.61111111111111005</v>
      </c>
      <c r="C60" s="303" t="str">
        <f>'Horaire samedi'!C59</f>
        <v>D15</v>
      </c>
      <c r="D60" s="268" t="str">
        <f>VLOOKUP(C60,'Liste chauffeur'!$B$5:$L$18,2,TRUE)&amp;" "&amp;VLOOKUP(C60,'Liste chauffeur'!$B$5:$L$18,3,TRUE)</f>
        <v xml:space="preserve">KAMARDINE Mansour  </v>
      </c>
      <c r="E60" s="314"/>
      <c r="F60" s="315">
        <f t="shared" si="0"/>
        <v>1</v>
      </c>
      <c r="G60" s="315"/>
      <c r="H60" s="316"/>
      <c r="I60" s="316"/>
      <c r="J60" s="316"/>
      <c r="K60" s="314"/>
      <c r="L60" s="314"/>
      <c r="M60" s="316"/>
      <c r="N60" s="316"/>
      <c r="O60" s="314"/>
      <c r="P60" s="314"/>
      <c r="Q60" s="316"/>
      <c r="R60" s="316"/>
      <c r="S60" s="314"/>
      <c r="T60" s="314"/>
      <c r="U60" s="316"/>
      <c r="V60" s="316"/>
      <c r="W60" s="314"/>
      <c r="X60" s="317"/>
      <c r="Y60" s="271"/>
      <c r="Z60" s="270">
        <f t="shared" si="2"/>
        <v>0</v>
      </c>
      <c r="AA60" s="270">
        <f t="shared" si="11"/>
        <v>0</v>
      </c>
      <c r="AB60" s="273">
        <f t="shared" si="12"/>
        <v>0</v>
      </c>
      <c r="AC60" s="260"/>
    </row>
    <row r="61" spans="1:29" ht="40.049999999999997" customHeight="1" x14ac:dyDescent="0.45">
      <c r="A61" s="302" t="str">
        <f>'Horaire samedi'!A60</f>
        <v>PASSOT LA BARGE</v>
      </c>
      <c r="B61" s="303">
        <f>'Horaire samedi'!B60</f>
        <v>0.61805555555555503</v>
      </c>
      <c r="C61" s="303" t="str">
        <f>'Horaire samedi'!C60</f>
        <v>C15</v>
      </c>
      <c r="D61" s="268" t="str">
        <f>VLOOKUP(C61,'Liste chauffeur'!$B$5:$L$20,2,FALSE)&amp;" "&amp;VLOOKUP(C61,'Liste chauffeur'!$B$5:$L$20,3,FALSE)</f>
        <v>HAMADA Babou</v>
      </c>
      <c r="E61" s="314"/>
      <c r="F61" s="315">
        <f t="shared" si="0"/>
        <v>1</v>
      </c>
      <c r="G61" s="315"/>
      <c r="H61" s="316"/>
      <c r="I61" s="316"/>
      <c r="J61" s="316"/>
      <c r="K61" s="314"/>
      <c r="L61" s="314"/>
      <c r="M61" s="316"/>
      <c r="N61" s="316"/>
      <c r="O61" s="314"/>
      <c r="P61" s="314"/>
      <c r="Q61" s="316"/>
      <c r="R61" s="316"/>
      <c r="S61" s="314"/>
      <c r="T61" s="314"/>
      <c r="U61" s="316"/>
      <c r="V61" s="316"/>
      <c r="W61" s="314"/>
      <c r="X61" s="317"/>
      <c r="Y61" s="271"/>
      <c r="Z61" s="270">
        <f t="shared" si="2"/>
        <v>0</v>
      </c>
      <c r="AA61" s="270">
        <f t="shared" si="11"/>
        <v>0</v>
      </c>
      <c r="AB61" s="273">
        <f t="shared" si="12"/>
        <v>0</v>
      </c>
      <c r="AC61" s="260"/>
    </row>
    <row r="62" spans="1:29" ht="40.049999999999997" customHeight="1" x14ac:dyDescent="0.45">
      <c r="A62" s="302" t="str">
        <f>'Horaire samedi'!A61</f>
        <v>DOUJANI</v>
      </c>
      <c r="B62" s="303">
        <f>'Horaire samedi'!B61</f>
        <v>0.624999999999999</v>
      </c>
      <c r="C62" s="303" t="str">
        <f>'Horaire samedi'!C61</f>
        <v>D9</v>
      </c>
      <c r="D62" s="268" t="str">
        <f>VLOOKUP(C62,'Liste chauffeur'!$B$5:$L$19,2,TRUE)&amp;" "&amp;VLOOKUP(C62,'Liste chauffeur'!$B$5:$L$19,3,TRUE)</f>
        <v>RENEE Assanati</v>
      </c>
      <c r="E62" s="314"/>
      <c r="F62" s="315">
        <f t="shared" si="0"/>
        <v>1</v>
      </c>
      <c r="G62" s="315"/>
      <c r="H62" s="316"/>
      <c r="I62" s="316"/>
      <c r="J62" s="316"/>
      <c r="K62" s="314"/>
      <c r="L62" s="314"/>
      <c r="M62" s="316"/>
      <c r="N62" s="316"/>
      <c r="O62" s="314"/>
      <c r="P62" s="314"/>
      <c r="Q62" s="316"/>
      <c r="R62" s="316"/>
      <c r="S62" s="314"/>
      <c r="T62" s="314"/>
      <c r="U62" s="316"/>
      <c r="V62" s="316"/>
      <c r="W62" s="314"/>
      <c r="X62" s="317"/>
      <c r="Y62" s="271"/>
      <c r="Z62" s="270">
        <f t="shared" si="2"/>
        <v>0</v>
      </c>
      <c r="AA62" s="270">
        <f t="shared" si="11"/>
        <v>0</v>
      </c>
      <c r="AB62" s="273">
        <f t="shared" si="12"/>
        <v>0</v>
      </c>
      <c r="AC62" s="260"/>
    </row>
    <row r="63" spans="1:29" ht="40.049999999999997" customHeight="1" x14ac:dyDescent="0.45">
      <c r="A63" s="302" t="str">
        <f>'Horaire samedi'!A62</f>
        <v>PASSOT LA BARGE</v>
      </c>
      <c r="B63" s="303">
        <f>'Horaire samedi'!B62</f>
        <v>0.63194444444444398</v>
      </c>
      <c r="C63" s="303" t="str">
        <f>'Horaire samedi'!C62</f>
        <v>D15</v>
      </c>
      <c r="D63" s="268" t="str">
        <f>VLOOKUP(C63,'Liste chauffeur'!$B$5:$L$18,2,TRUE)&amp;" "&amp;VLOOKUP(C63,'Liste chauffeur'!$B$5:$L$18,3,TRUE)</f>
        <v xml:space="preserve">KAMARDINE Mansour  </v>
      </c>
      <c r="E63" s="314"/>
      <c r="F63" s="315">
        <f t="shared" si="0"/>
        <v>1</v>
      </c>
      <c r="G63" s="315"/>
      <c r="H63" s="316"/>
      <c r="I63" s="316"/>
      <c r="J63" s="316"/>
      <c r="K63" s="314"/>
      <c r="L63" s="314"/>
      <c r="M63" s="316"/>
      <c r="N63" s="316"/>
      <c r="O63" s="314"/>
      <c r="P63" s="314"/>
      <c r="Q63" s="316"/>
      <c r="R63" s="316"/>
      <c r="S63" s="314"/>
      <c r="T63" s="314"/>
      <c r="U63" s="316"/>
      <c r="V63" s="316"/>
      <c r="W63" s="314"/>
      <c r="X63" s="317"/>
      <c r="Y63" s="271"/>
      <c r="Z63" s="270">
        <f t="shared" si="2"/>
        <v>0</v>
      </c>
      <c r="AA63" s="270">
        <f t="shared" si="11"/>
        <v>0</v>
      </c>
      <c r="AB63" s="273">
        <f t="shared" si="12"/>
        <v>0</v>
      </c>
      <c r="AC63" s="260"/>
    </row>
    <row r="64" spans="1:29" ht="40.049999999999997" customHeight="1" x14ac:dyDescent="0.45">
      <c r="A64" s="302" t="str">
        <f>'Horaire samedi'!A63</f>
        <v>DOUJANI</v>
      </c>
      <c r="B64" s="303">
        <f>'Horaire samedi'!B63</f>
        <v>0.63888888888888795</v>
      </c>
      <c r="C64" s="303" t="str">
        <f>'Horaire samedi'!C63</f>
        <v>C15</v>
      </c>
      <c r="D64" s="268" t="str">
        <f>VLOOKUP(C64,'Liste chauffeur'!$B$5:$L$20,2,FALSE)&amp;" "&amp;VLOOKUP(C64,'Liste chauffeur'!$B$5:$L$20,3,FALSE)</f>
        <v>HAMADA Babou</v>
      </c>
      <c r="E64" s="314"/>
      <c r="F64" s="315">
        <f t="shared" si="0"/>
        <v>1</v>
      </c>
      <c r="G64" s="315"/>
      <c r="H64" s="316"/>
      <c r="I64" s="316"/>
      <c r="J64" s="316"/>
      <c r="K64" s="314"/>
      <c r="L64" s="314"/>
      <c r="M64" s="316"/>
      <c r="N64" s="316"/>
      <c r="O64" s="314"/>
      <c r="P64" s="314"/>
      <c r="Q64" s="316"/>
      <c r="R64" s="316"/>
      <c r="S64" s="314"/>
      <c r="T64" s="314"/>
      <c r="U64" s="316"/>
      <c r="V64" s="316"/>
      <c r="W64" s="314"/>
      <c r="X64" s="317"/>
      <c r="Y64" s="271"/>
      <c r="Z64" s="270">
        <f t="shared" si="2"/>
        <v>0</v>
      </c>
      <c r="AA64" s="270">
        <f t="shared" si="11"/>
        <v>0</v>
      </c>
      <c r="AB64" s="273">
        <f t="shared" si="12"/>
        <v>0</v>
      </c>
      <c r="AC64" s="260"/>
    </row>
    <row r="65" spans="1:29" ht="40.049999999999997" customHeight="1" x14ac:dyDescent="0.45">
      <c r="A65" s="302" t="str">
        <f>'Horaire samedi'!A64</f>
        <v>PASSOT LA BARGE</v>
      </c>
      <c r="B65" s="303">
        <f>'Horaire samedi'!B64</f>
        <v>0.64583333333333304</v>
      </c>
      <c r="C65" s="303" t="str">
        <f>'Horaire samedi'!C64</f>
        <v>D9</v>
      </c>
      <c r="D65" s="268" t="str">
        <f>VLOOKUP(C65,'Liste chauffeur'!$B$5:$L$19,2,TRUE)&amp;" "&amp;VLOOKUP(C65,'Liste chauffeur'!$B$5:$L$19,3,TRUE)</f>
        <v>RENEE Assanati</v>
      </c>
      <c r="E65" s="314"/>
      <c r="F65" s="315">
        <f t="shared" si="0"/>
        <v>1</v>
      </c>
      <c r="G65" s="315"/>
      <c r="H65" s="316"/>
      <c r="I65" s="316"/>
      <c r="J65" s="316"/>
      <c r="K65" s="314"/>
      <c r="L65" s="314"/>
      <c r="M65" s="316"/>
      <c r="N65" s="316"/>
      <c r="O65" s="314"/>
      <c r="P65" s="314"/>
      <c r="Q65" s="316"/>
      <c r="R65" s="316"/>
      <c r="S65" s="314"/>
      <c r="T65" s="314"/>
      <c r="U65" s="316"/>
      <c r="V65" s="316"/>
      <c r="W65" s="314"/>
      <c r="X65" s="317"/>
      <c r="Y65" s="271"/>
      <c r="Z65" s="270">
        <f t="shared" si="2"/>
        <v>0</v>
      </c>
      <c r="AA65" s="270">
        <f t="shared" si="11"/>
        <v>0</v>
      </c>
      <c r="AB65" s="273">
        <f t="shared" si="12"/>
        <v>0</v>
      </c>
      <c r="AC65" s="260"/>
    </row>
    <row r="66" spans="1:29" ht="40.049999999999997" customHeight="1" x14ac:dyDescent="0.45">
      <c r="A66" s="302" t="str">
        <f>'Horaire samedi'!A65</f>
        <v>DOUJANI</v>
      </c>
      <c r="B66" s="303">
        <f>'Horaire samedi'!B65</f>
        <v>0.65277777777777701</v>
      </c>
      <c r="C66" s="303" t="str">
        <f>'Horaire samedi'!C65</f>
        <v>D15</v>
      </c>
      <c r="D66" s="268" t="str">
        <f>VLOOKUP(C66,'Liste chauffeur'!$B$5:$L$18,2,TRUE)&amp;" "&amp;VLOOKUP(C66,'Liste chauffeur'!$B$5:$L$18,3,TRUE)</f>
        <v xml:space="preserve">KAMARDINE Mansour  </v>
      </c>
      <c r="E66" s="314"/>
      <c r="F66" s="315">
        <f t="shared" si="0"/>
        <v>1</v>
      </c>
      <c r="G66" s="315"/>
      <c r="H66" s="316"/>
      <c r="I66" s="316"/>
      <c r="J66" s="316"/>
      <c r="K66" s="314"/>
      <c r="L66" s="314"/>
      <c r="M66" s="316"/>
      <c r="N66" s="316"/>
      <c r="O66" s="314"/>
      <c r="P66" s="314"/>
      <c r="Q66" s="316"/>
      <c r="R66" s="316"/>
      <c r="S66" s="314"/>
      <c r="T66" s="314"/>
      <c r="U66" s="316"/>
      <c r="V66" s="316"/>
      <c r="W66" s="314"/>
      <c r="X66" s="317"/>
      <c r="Y66" s="271"/>
      <c r="Z66" s="270">
        <f t="shared" si="2"/>
        <v>0</v>
      </c>
      <c r="AA66" s="270">
        <f t="shared" si="11"/>
        <v>0</v>
      </c>
      <c r="AB66" s="273">
        <f t="shared" si="12"/>
        <v>0</v>
      </c>
      <c r="AC66" s="260"/>
    </row>
    <row r="67" spans="1:29" ht="40.049999999999997" customHeight="1" x14ac:dyDescent="0.45">
      <c r="A67" s="302" t="str">
        <f>'Horaire samedi'!A66</f>
        <v>PASSOT LA BARGE</v>
      </c>
      <c r="B67" s="303">
        <f>'Horaire samedi'!B66</f>
        <v>0.65972222222222099</v>
      </c>
      <c r="C67" s="303" t="str">
        <f>'Horaire samedi'!C66</f>
        <v>C15</v>
      </c>
      <c r="D67" s="268" t="str">
        <f>VLOOKUP(C67,'Liste chauffeur'!$B$5:$L$20,2,FALSE)&amp;" "&amp;VLOOKUP(C67,'Liste chauffeur'!$B$5:$L$20,3,FALSE)</f>
        <v>HAMADA Babou</v>
      </c>
      <c r="E67" s="314"/>
      <c r="F67" s="315">
        <f t="shared" si="0"/>
        <v>1</v>
      </c>
      <c r="G67" s="315"/>
      <c r="H67" s="316"/>
      <c r="I67" s="316"/>
      <c r="J67" s="316"/>
      <c r="K67" s="314"/>
      <c r="L67" s="314"/>
      <c r="M67" s="316"/>
      <c r="N67" s="316"/>
      <c r="O67" s="314"/>
      <c r="P67" s="314"/>
      <c r="Q67" s="316"/>
      <c r="R67" s="316"/>
      <c r="S67" s="314"/>
      <c r="T67" s="314"/>
      <c r="U67" s="316"/>
      <c r="V67" s="316"/>
      <c r="W67" s="314"/>
      <c r="X67" s="317"/>
      <c r="Y67" s="271"/>
      <c r="Z67" s="270">
        <f t="shared" si="2"/>
        <v>0</v>
      </c>
      <c r="AA67" s="270">
        <f t="shared" si="11"/>
        <v>0</v>
      </c>
      <c r="AB67" s="273">
        <f t="shared" si="12"/>
        <v>0</v>
      </c>
      <c r="AC67" s="260"/>
    </row>
    <row r="68" spans="1:29" ht="40.049999999999997" customHeight="1" x14ac:dyDescent="0.45">
      <c r="A68" s="302" t="str">
        <f>'Horaire samedi'!A67</f>
        <v>DOUJANI</v>
      </c>
      <c r="B68" s="303">
        <f>'Horaire samedi'!B67</f>
        <v>0.66666666666666596</v>
      </c>
      <c r="C68" s="303" t="str">
        <f>'Horaire samedi'!C67</f>
        <v>D9</v>
      </c>
      <c r="D68" s="268" t="str">
        <f>VLOOKUP(C68,'Liste chauffeur'!$B$5:$L$19,2,TRUE)&amp;" "&amp;VLOOKUP(C68,'Liste chauffeur'!$B$5:$L$19,3,TRUE)</f>
        <v>RENEE Assanati</v>
      </c>
      <c r="E68" s="314"/>
      <c r="F68" s="315">
        <f t="shared" si="0"/>
        <v>1</v>
      </c>
      <c r="G68" s="315"/>
      <c r="H68" s="316"/>
      <c r="I68" s="316"/>
      <c r="J68" s="316"/>
      <c r="K68" s="314"/>
      <c r="L68" s="314"/>
      <c r="M68" s="316"/>
      <c r="N68" s="316"/>
      <c r="O68" s="314"/>
      <c r="P68" s="314"/>
      <c r="Q68" s="316"/>
      <c r="R68" s="316"/>
      <c r="S68" s="314"/>
      <c r="T68" s="314"/>
      <c r="U68" s="316"/>
      <c r="V68" s="316"/>
      <c r="W68" s="314"/>
      <c r="X68" s="317"/>
      <c r="Y68" s="271"/>
      <c r="Z68" s="270">
        <f t="shared" si="2"/>
        <v>0</v>
      </c>
      <c r="AA68" s="270">
        <f t="shared" si="11"/>
        <v>0</v>
      </c>
      <c r="AB68" s="273">
        <f t="shared" si="12"/>
        <v>0</v>
      </c>
      <c r="AC68" s="260"/>
    </row>
    <row r="69" spans="1:29" ht="40.049999999999997" customHeight="1" x14ac:dyDescent="0.45">
      <c r="A69" s="302" t="str">
        <f>'Horaire samedi'!A68</f>
        <v>PASSOT LA BARGE</v>
      </c>
      <c r="B69" s="303">
        <f>'Horaire samedi'!B68</f>
        <v>0.67361111111111005</v>
      </c>
      <c r="C69" s="303" t="str">
        <f>'Horaire samedi'!C68</f>
        <v>D15</v>
      </c>
      <c r="D69" s="268" t="str">
        <f>VLOOKUP(C69,'Liste chauffeur'!$B$5:$L$18,2,TRUE)&amp;" "&amp;VLOOKUP(C69,'Liste chauffeur'!$B$5:$L$18,3,TRUE)</f>
        <v xml:space="preserve">KAMARDINE Mansour  </v>
      </c>
      <c r="E69" s="314"/>
      <c r="F69" s="315">
        <f t="shared" si="0"/>
        <v>1</v>
      </c>
      <c r="G69" s="315"/>
      <c r="H69" s="316"/>
      <c r="I69" s="316"/>
      <c r="J69" s="316"/>
      <c r="K69" s="314"/>
      <c r="L69" s="314"/>
      <c r="M69" s="316"/>
      <c r="N69" s="316"/>
      <c r="O69" s="314"/>
      <c r="P69" s="314"/>
      <c r="Q69" s="316"/>
      <c r="R69" s="316"/>
      <c r="S69" s="314"/>
      <c r="T69" s="314"/>
      <c r="U69" s="316"/>
      <c r="V69" s="316"/>
      <c r="W69" s="314"/>
      <c r="X69" s="317"/>
      <c r="Y69" s="271"/>
      <c r="Z69" s="270">
        <f t="shared" si="2"/>
        <v>0</v>
      </c>
      <c r="AA69" s="270">
        <f t="shared" si="11"/>
        <v>0</v>
      </c>
      <c r="AB69" s="273">
        <f t="shared" si="12"/>
        <v>0</v>
      </c>
      <c r="AC69" s="260"/>
    </row>
    <row r="70" spans="1:29" ht="40.049999999999997" customHeight="1" x14ac:dyDescent="0.45">
      <c r="A70" s="302" t="str">
        <f>'Horaire samedi'!A69</f>
        <v>DOUJANI</v>
      </c>
      <c r="B70" s="303">
        <f>'Horaire samedi'!B69</f>
        <v>0.68055555555555503</v>
      </c>
      <c r="C70" s="303" t="str">
        <f>'Horaire samedi'!C69</f>
        <v>C15</v>
      </c>
      <c r="D70" s="268" t="str">
        <f>VLOOKUP(C70,'Liste chauffeur'!$B$5:$L$20,2,FALSE)&amp;" "&amp;VLOOKUP(C70,'Liste chauffeur'!$B$5:$L$20,3,FALSE)</f>
        <v>HAMADA Babou</v>
      </c>
      <c r="E70" s="314"/>
      <c r="F70" s="315">
        <f t="shared" si="0"/>
        <v>1</v>
      </c>
      <c r="G70" s="315"/>
      <c r="H70" s="316"/>
      <c r="I70" s="316"/>
      <c r="J70" s="316"/>
      <c r="K70" s="314"/>
      <c r="L70" s="314"/>
      <c r="M70" s="316"/>
      <c r="N70" s="316"/>
      <c r="O70" s="314"/>
      <c r="P70" s="314"/>
      <c r="Q70" s="316"/>
      <c r="R70" s="316"/>
      <c r="S70" s="314"/>
      <c r="T70" s="314"/>
      <c r="U70" s="316"/>
      <c r="V70" s="316"/>
      <c r="W70" s="314"/>
      <c r="X70" s="317"/>
      <c r="Y70" s="271"/>
      <c r="Z70" s="270">
        <f t="shared" si="2"/>
        <v>0</v>
      </c>
      <c r="AA70" s="270">
        <f t="shared" si="11"/>
        <v>0</v>
      </c>
      <c r="AB70" s="273">
        <f t="shared" si="12"/>
        <v>0</v>
      </c>
      <c r="AC70" s="260"/>
    </row>
    <row r="71" spans="1:29" ht="40.049999999999997" customHeight="1" x14ac:dyDescent="0.45">
      <c r="A71" s="302" t="str">
        <f>'Horaire samedi'!A70</f>
        <v>PASSOT LA BARGE</v>
      </c>
      <c r="B71" s="303">
        <f>'Horaire samedi'!B70</f>
        <v>0.687499999999999</v>
      </c>
      <c r="C71" s="303" t="str">
        <f>'Horaire samedi'!C70</f>
        <v>D9</v>
      </c>
      <c r="D71" s="268" t="str">
        <f>VLOOKUP(C71,'Liste chauffeur'!$B$5:$L$19,2,TRUE)&amp;" "&amp;VLOOKUP(C71,'Liste chauffeur'!$B$5:$L$19,3,TRUE)</f>
        <v>RENEE Assanati</v>
      </c>
      <c r="E71" s="314"/>
      <c r="F71" s="315">
        <f t="shared" si="0"/>
        <v>1</v>
      </c>
      <c r="G71" s="315"/>
      <c r="H71" s="316"/>
      <c r="I71" s="316"/>
      <c r="J71" s="316"/>
      <c r="K71" s="314"/>
      <c r="L71" s="314"/>
      <c r="M71" s="316"/>
      <c r="N71" s="316"/>
      <c r="O71" s="314"/>
      <c r="P71" s="314"/>
      <c r="Q71" s="316"/>
      <c r="R71" s="316"/>
      <c r="S71" s="314"/>
      <c r="T71" s="314"/>
      <c r="U71" s="316"/>
      <c r="V71" s="316"/>
      <c r="W71" s="314"/>
      <c r="X71" s="317"/>
      <c r="Y71" s="271"/>
      <c r="Z71" s="270">
        <f t="shared" si="2"/>
        <v>0</v>
      </c>
      <c r="AA71" s="270">
        <f t="shared" si="11"/>
        <v>0</v>
      </c>
      <c r="AB71" s="273">
        <f t="shared" si="12"/>
        <v>0</v>
      </c>
      <c r="AC71" s="260"/>
    </row>
    <row r="72" spans="1:29" ht="40.049999999999997" customHeight="1" x14ac:dyDescent="0.45">
      <c r="A72" s="302" t="str">
        <f>'Horaire samedi'!A71</f>
        <v>DOUJANI</v>
      </c>
      <c r="B72" s="303">
        <f>'Horaire samedi'!B71</f>
        <v>0.69444444444444398</v>
      </c>
      <c r="C72" s="303" t="str">
        <f>'Horaire samedi'!C71</f>
        <v>D15</v>
      </c>
      <c r="D72" s="268" t="str">
        <f>VLOOKUP(C72,'Liste chauffeur'!$B$5:$L$18,2,TRUE)&amp;" "&amp;VLOOKUP(C72,'Liste chauffeur'!$B$5:$L$18,3,TRUE)</f>
        <v xml:space="preserve">KAMARDINE Mansour  </v>
      </c>
      <c r="E72" s="314"/>
      <c r="F72" s="315">
        <f t="shared" si="0"/>
        <v>1</v>
      </c>
      <c r="G72" s="315"/>
      <c r="H72" s="316"/>
      <c r="I72" s="316"/>
      <c r="J72" s="316"/>
      <c r="K72" s="314"/>
      <c r="L72" s="314"/>
      <c r="M72" s="316"/>
      <c r="N72" s="316"/>
      <c r="O72" s="314"/>
      <c r="P72" s="314"/>
      <c r="Q72" s="316"/>
      <c r="R72" s="316"/>
      <c r="S72" s="314"/>
      <c r="T72" s="314"/>
      <c r="U72" s="316"/>
      <c r="V72" s="316"/>
      <c r="W72" s="314"/>
      <c r="X72" s="317"/>
      <c r="Y72" s="271"/>
      <c r="Z72" s="270">
        <f t="shared" si="2"/>
        <v>0</v>
      </c>
      <c r="AA72" s="270">
        <f t="shared" si="11"/>
        <v>0</v>
      </c>
      <c r="AB72" s="273">
        <f t="shared" si="12"/>
        <v>0</v>
      </c>
      <c r="AC72" s="260"/>
    </row>
    <row r="73" spans="1:29" ht="40.049999999999997" customHeight="1" x14ac:dyDescent="0.45">
      <c r="A73" s="302" t="str">
        <f>'Horaire samedi'!A72</f>
        <v>PASSOT LA BARGE</v>
      </c>
      <c r="B73" s="303">
        <f>'Horaire samedi'!B72</f>
        <v>0.70138888888888795</v>
      </c>
      <c r="C73" s="303" t="str">
        <f>'Horaire samedi'!C72</f>
        <v>C15</v>
      </c>
      <c r="D73" s="268" t="str">
        <f>VLOOKUP(C73,'Liste chauffeur'!$B$5:$L$20,2,FALSE)&amp;" "&amp;VLOOKUP(C73,'Liste chauffeur'!$B$5:$L$20,3,FALSE)</f>
        <v>HAMADA Babou</v>
      </c>
      <c r="E73" s="314"/>
      <c r="F73" s="315">
        <f t="shared" ref="F73:F97" si="13">COUNTBLANK(E73)</f>
        <v>1</v>
      </c>
      <c r="G73" s="315"/>
      <c r="H73" s="316"/>
      <c r="I73" s="316"/>
      <c r="J73" s="316"/>
      <c r="K73" s="314"/>
      <c r="L73" s="314"/>
      <c r="M73" s="316"/>
      <c r="N73" s="316"/>
      <c r="O73" s="314"/>
      <c r="P73" s="314"/>
      <c r="Q73" s="316"/>
      <c r="R73" s="316"/>
      <c r="S73" s="314"/>
      <c r="T73" s="314"/>
      <c r="U73" s="316"/>
      <c r="V73" s="316"/>
      <c r="W73" s="314"/>
      <c r="X73" s="317"/>
      <c r="Y73" s="271"/>
      <c r="Z73" s="270">
        <f t="shared" ref="Z73:Z97" si="14">H73+J73-I73</f>
        <v>0</v>
      </c>
      <c r="AA73" s="270">
        <f t="shared" si="11"/>
        <v>0</v>
      </c>
      <c r="AB73" s="273">
        <f t="shared" si="12"/>
        <v>0</v>
      </c>
      <c r="AC73" s="260"/>
    </row>
    <row r="74" spans="1:29" ht="40.049999999999997" customHeight="1" x14ac:dyDescent="0.45">
      <c r="A74" s="302" t="str">
        <f>'Horaire samedi'!A73</f>
        <v>DOUJANI</v>
      </c>
      <c r="B74" s="303">
        <f>'Horaire samedi'!B73</f>
        <v>0.70833333333333204</v>
      </c>
      <c r="C74" s="303" t="str">
        <f>'Horaire samedi'!C73</f>
        <v>D9</v>
      </c>
      <c r="D74" s="268" t="str">
        <f>VLOOKUP(C74,'Liste chauffeur'!$B$5:$L$19,2,TRUE)&amp;" "&amp;VLOOKUP(C74,'Liste chauffeur'!$B$5:$L$19,3,TRUE)</f>
        <v>RENEE Assanati</v>
      </c>
      <c r="E74" s="314"/>
      <c r="F74" s="315">
        <f t="shared" si="13"/>
        <v>1</v>
      </c>
      <c r="G74" s="315"/>
      <c r="H74" s="316"/>
      <c r="I74" s="316"/>
      <c r="J74" s="316"/>
      <c r="K74" s="314"/>
      <c r="L74" s="314"/>
      <c r="M74" s="316"/>
      <c r="N74" s="316"/>
      <c r="O74" s="314"/>
      <c r="P74" s="314"/>
      <c r="Q74" s="316"/>
      <c r="R74" s="316"/>
      <c r="S74" s="314"/>
      <c r="T74" s="314"/>
      <c r="U74" s="316"/>
      <c r="V74" s="316"/>
      <c r="W74" s="314"/>
      <c r="X74" s="317"/>
      <c r="Y74" s="271"/>
      <c r="Z74" s="270">
        <f t="shared" si="14"/>
        <v>0</v>
      </c>
      <c r="AA74" s="270">
        <f t="shared" si="11"/>
        <v>0</v>
      </c>
      <c r="AB74" s="273">
        <f t="shared" si="12"/>
        <v>0</v>
      </c>
      <c r="AC74" s="260"/>
    </row>
    <row r="75" spans="1:29" ht="40.049999999999997" customHeight="1" x14ac:dyDescent="0.45">
      <c r="A75" s="302" t="str">
        <f>'Horaire samedi'!A74</f>
        <v>PASSOT LA BARGE</v>
      </c>
      <c r="B75" s="303">
        <f>'Horaire samedi'!B74</f>
        <v>0.71527777777777701</v>
      </c>
      <c r="C75" s="303" t="str">
        <f>'Horaire samedi'!C74</f>
        <v>D15</v>
      </c>
      <c r="D75" s="268" t="str">
        <f>VLOOKUP(C75,'Liste chauffeur'!$B$5:$L$18,2,TRUE)&amp;" "&amp;VLOOKUP(C75,'Liste chauffeur'!$B$5:$L$18,3,TRUE)</f>
        <v xml:space="preserve">KAMARDINE Mansour  </v>
      </c>
      <c r="E75" s="314"/>
      <c r="F75" s="315">
        <f t="shared" si="13"/>
        <v>1</v>
      </c>
      <c r="G75" s="315"/>
      <c r="H75" s="316"/>
      <c r="I75" s="316"/>
      <c r="J75" s="316"/>
      <c r="K75" s="314"/>
      <c r="L75" s="314"/>
      <c r="M75" s="316"/>
      <c r="N75" s="316"/>
      <c r="O75" s="314"/>
      <c r="P75" s="314"/>
      <c r="Q75" s="316"/>
      <c r="R75" s="316"/>
      <c r="S75" s="314"/>
      <c r="T75" s="314"/>
      <c r="U75" s="316"/>
      <c r="V75" s="316"/>
      <c r="W75" s="314"/>
      <c r="X75" s="317"/>
      <c r="Y75" s="271"/>
      <c r="Z75" s="270">
        <f t="shared" si="14"/>
        <v>0</v>
      </c>
      <c r="AA75" s="270">
        <f t="shared" si="11"/>
        <v>0</v>
      </c>
      <c r="AB75" s="273">
        <f t="shared" si="12"/>
        <v>0</v>
      </c>
      <c r="AC75" s="260"/>
    </row>
    <row r="76" spans="1:29" ht="40.049999999999997" customHeight="1" x14ac:dyDescent="0.45">
      <c r="A76" s="302" t="str">
        <f>'Horaire samedi'!A75</f>
        <v>DOUJANI</v>
      </c>
      <c r="B76" s="303">
        <f>'Horaire samedi'!B75</f>
        <v>0.72222222222222099</v>
      </c>
      <c r="C76" s="303" t="str">
        <f>'Horaire samedi'!C75</f>
        <v>C15</v>
      </c>
      <c r="D76" s="268" t="str">
        <f>VLOOKUP(C76,'Liste chauffeur'!$B$5:$L$20,2,FALSE)&amp;" "&amp;VLOOKUP(C76,'Liste chauffeur'!$B$5:$L$20,3,FALSE)</f>
        <v>HAMADA Babou</v>
      </c>
      <c r="E76" s="314"/>
      <c r="F76" s="315">
        <f t="shared" si="13"/>
        <v>1</v>
      </c>
      <c r="G76" s="315"/>
      <c r="H76" s="316"/>
      <c r="I76" s="316"/>
      <c r="J76" s="316"/>
      <c r="K76" s="314"/>
      <c r="L76" s="314"/>
      <c r="M76" s="316"/>
      <c r="N76" s="316"/>
      <c r="O76" s="314"/>
      <c r="P76" s="314"/>
      <c r="Q76" s="316"/>
      <c r="R76" s="316"/>
      <c r="S76" s="314"/>
      <c r="T76" s="314"/>
      <c r="U76" s="316"/>
      <c r="V76" s="316"/>
      <c r="W76" s="314"/>
      <c r="X76" s="317"/>
      <c r="Y76" s="271"/>
      <c r="Z76" s="270">
        <f t="shared" si="14"/>
        <v>0</v>
      </c>
      <c r="AA76" s="270">
        <f t="shared" si="11"/>
        <v>0</v>
      </c>
      <c r="AB76" s="273">
        <f t="shared" si="12"/>
        <v>0</v>
      </c>
      <c r="AC76" s="260"/>
    </row>
    <row r="77" spans="1:29" ht="40.049999999999997" customHeight="1" x14ac:dyDescent="0.45">
      <c r="A77" s="302" t="str">
        <f>'Horaire samedi'!A76</f>
        <v>PASSOT LA BARGE</v>
      </c>
      <c r="B77" s="303">
        <f>'Horaire samedi'!B76</f>
        <v>0.72916666666666596</v>
      </c>
      <c r="C77" s="303" t="str">
        <f>'Horaire samedi'!C76</f>
        <v>D9</v>
      </c>
      <c r="D77" s="268" t="str">
        <f>VLOOKUP(C77,'Liste chauffeur'!$B$5:$L$19,2,TRUE)&amp;" "&amp;VLOOKUP(C77,'Liste chauffeur'!$B$5:$L$19,3,TRUE)</f>
        <v>RENEE Assanati</v>
      </c>
      <c r="E77" s="314"/>
      <c r="F77" s="315">
        <f t="shared" si="13"/>
        <v>1</v>
      </c>
      <c r="G77" s="315"/>
      <c r="H77" s="316"/>
      <c r="I77" s="316"/>
      <c r="J77" s="316"/>
      <c r="K77" s="314"/>
      <c r="L77" s="314"/>
      <c r="M77" s="316"/>
      <c r="N77" s="316"/>
      <c r="O77" s="314"/>
      <c r="P77" s="314"/>
      <c r="Q77" s="316"/>
      <c r="R77" s="316"/>
      <c r="S77" s="314"/>
      <c r="T77" s="314"/>
      <c r="U77" s="316"/>
      <c r="V77" s="316"/>
      <c r="W77" s="314"/>
      <c r="X77" s="317"/>
      <c r="Y77" s="271"/>
      <c r="Z77" s="270">
        <f t="shared" si="14"/>
        <v>0</v>
      </c>
      <c r="AA77" s="270">
        <f t="shared" si="11"/>
        <v>0</v>
      </c>
      <c r="AB77" s="273">
        <f t="shared" si="12"/>
        <v>0</v>
      </c>
      <c r="AC77" s="260"/>
    </row>
    <row r="78" spans="1:29" ht="40.049999999999997" customHeight="1" x14ac:dyDescent="0.45">
      <c r="A78" s="302" t="str">
        <f>'Horaire samedi'!A77</f>
        <v>DOUJANI</v>
      </c>
      <c r="B78" s="303">
        <f>'Horaire samedi'!B77</f>
        <v>0.73611111111111005</v>
      </c>
      <c r="C78" s="303" t="str">
        <f>'Horaire samedi'!C77</f>
        <v>D15</v>
      </c>
      <c r="D78" s="268" t="str">
        <f>VLOOKUP(C78,'Liste chauffeur'!$B$5:$L$18,2,TRUE)&amp;" "&amp;VLOOKUP(C78,'Liste chauffeur'!$B$5:$L$18,3,TRUE)</f>
        <v xml:space="preserve">KAMARDINE Mansour  </v>
      </c>
      <c r="E78" s="314"/>
      <c r="F78" s="315">
        <f t="shared" si="13"/>
        <v>1</v>
      </c>
      <c r="G78" s="315"/>
      <c r="H78" s="316"/>
      <c r="I78" s="316"/>
      <c r="J78" s="316"/>
      <c r="K78" s="314"/>
      <c r="L78" s="314"/>
      <c r="M78" s="316"/>
      <c r="N78" s="316"/>
      <c r="O78" s="314"/>
      <c r="P78" s="314"/>
      <c r="Q78" s="316"/>
      <c r="R78" s="316"/>
      <c r="S78" s="314"/>
      <c r="T78" s="314"/>
      <c r="U78" s="316"/>
      <c r="V78" s="316"/>
      <c r="W78" s="314"/>
      <c r="X78" s="317"/>
      <c r="Y78" s="271"/>
      <c r="Z78" s="270">
        <f t="shared" si="14"/>
        <v>0</v>
      </c>
      <c r="AA78" s="270">
        <f t="shared" si="11"/>
        <v>0</v>
      </c>
      <c r="AB78" s="273">
        <f t="shared" si="12"/>
        <v>0</v>
      </c>
      <c r="AC78" s="260"/>
    </row>
    <row r="79" spans="1:29" ht="40.049999999999997" customHeight="1" x14ac:dyDescent="0.45">
      <c r="A79" s="302" t="str">
        <f>'Horaire samedi'!A78</f>
        <v>PASSOT LA BARGE</v>
      </c>
      <c r="B79" s="303">
        <f>'Horaire samedi'!B78</f>
        <v>0.74305555555555403</v>
      </c>
      <c r="C79" s="303" t="str">
        <f>'Horaire samedi'!C78</f>
        <v>C15</v>
      </c>
      <c r="D79" s="268" t="str">
        <f>VLOOKUP(C79,'Liste chauffeur'!$B$5:$L$20,2,FALSE)&amp;" "&amp;VLOOKUP(C79,'Liste chauffeur'!$B$5:$L$20,3,FALSE)</f>
        <v>HAMADA Babou</v>
      </c>
      <c r="E79" s="314"/>
      <c r="F79" s="315">
        <f t="shared" si="13"/>
        <v>1</v>
      </c>
      <c r="G79" s="315"/>
      <c r="H79" s="316"/>
      <c r="I79" s="316"/>
      <c r="J79" s="316"/>
      <c r="K79" s="314"/>
      <c r="L79" s="314"/>
      <c r="M79" s="316"/>
      <c r="N79" s="316"/>
      <c r="O79" s="314"/>
      <c r="P79" s="314"/>
      <c r="Q79" s="316"/>
      <c r="R79" s="316"/>
      <c r="S79" s="314"/>
      <c r="T79" s="314"/>
      <c r="U79" s="316"/>
      <c r="V79" s="316"/>
      <c r="W79" s="314"/>
      <c r="X79" s="317"/>
      <c r="Y79" s="271"/>
      <c r="Z79" s="270">
        <f t="shared" si="14"/>
        <v>0</v>
      </c>
      <c r="AA79" s="270">
        <f t="shared" si="11"/>
        <v>0</v>
      </c>
      <c r="AB79" s="273">
        <f t="shared" si="12"/>
        <v>0</v>
      </c>
      <c r="AC79" s="260"/>
    </row>
    <row r="80" spans="1:29" ht="40.049999999999997" customHeight="1" x14ac:dyDescent="0.45">
      <c r="A80" s="302" t="str">
        <f>'Horaire samedi'!A79</f>
        <v>DOUJANI</v>
      </c>
      <c r="B80" s="303">
        <f>'Horaire samedi'!B79</f>
        <v>0.749999999999999</v>
      </c>
      <c r="C80" s="303" t="str">
        <f>'Horaire samedi'!C79</f>
        <v>D9</v>
      </c>
      <c r="D80" s="268" t="str">
        <f>VLOOKUP(C80,'Liste chauffeur'!$B$5:$L$19,2,TRUE)&amp;" "&amp;VLOOKUP(C80,'Liste chauffeur'!$B$5:$L$19,3,TRUE)</f>
        <v>RENEE Assanati</v>
      </c>
      <c r="E80" s="314"/>
      <c r="F80" s="315">
        <f t="shared" si="13"/>
        <v>1</v>
      </c>
      <c r="G80" s="315"/>
      <c r="H80" s="316"/>
      <c r="I80" s="316"/>
      <c r="J80" s="316"/>
      <c r="K80" s="314"/>
      <c r="L80" s="314"/>
      <c r="M80" s="316"/>
      <c r="N80" s="316"/>
      <c r="O80" s="314"/>
      <c r="P80" s="314"/>
      <c r="Q80" s="316"/>
      <c r="R80" s="316"/>
      <c r="S80" s="314"/>
      <c r="T80" s="314"/>
      <c r="U80" s="316"/>
      <c r="V80" s="316"/>
      <c r="W80" s="314"/>
      <c r="X80" s="317"/>
      <c r="Y80" s="271"/>
      <c r="Z80" s="270">
        <f t="shared" si="14"/>
        <v>0</v>
      </c>
      <c r="AA80" s="270">
        <f t="shared" si="11"/>
        <v>0</v>
      </c>
      <c r="AB80" s="273">
        <f t="shared" si="12"/>
        <v>0</v>
      </c>
      <c r="AC80" s="260"/>
    </row>
    <row r="81" spans="1:29" ht="40.049999999999997" customHeight="1" x14ac:dyDescent="0.45">
      <c r="A81" s="302" t="str">
        <f>'Horaire samedi'!A80</f>
        <v>PASSOT LA BARGE</v>
      </c>
      <c r="B81" s="303">
        <f>'Horaire samedi'!B80</f>
        <v>0.75694444444444298</v>
      </c>
      <c r="C81" s="303" t="str">
        <f>'Horaire samedi'!C80</f>
        <v>D15</v>
      </c>
      <c r="D81" s="268" t="str">
        <f>VLOOKUP(C81,'Liste chauffeur'!$B$5:$L$18,2,TRUE)&amp;" "&amp;VLOOKUP(C81,'Liste chauffeur'!$B$5:$L$18,3,TRUE)</f>
        <v xml:space="preserve">KAMARDINE Mansour  </v>
      </c>
      <c r="E81" s="314"/>
      <c r="F81" s="315">
        <f t="shared" si="13"/>
        <v>1</v>
      </c>
      <c r="G81" s="315"/>
      <c r="H81" s="316"/>
      <c r="I81" s="316"/>
      <c r="J81" s="316"/>
      <c r="K81" s="314"/>
      <c r="L81" s="314"/>
      <c r="M81" s="316"/>
      <c r="N81" s="316"/>
      <c r="O81" s="314"/>
      <c r="P81" s="314"/>
      <c r="Q81" s="316"/>
      <c r="R81" s="316"/>
      <c r="S81" s="314"/>
      <c r="T81" s="314"/>
      <c r="U81" s="316"/>
      <c r="V81" s="316"/>
      <c r="W81" s="314"/>
      <c r="X81" s="317"/>
      <c r="Y81" s="271"/>
      <c r="Z81" s="270">
        <f t="shared" si="14"/>
        <v>0</v>
      </c>
      <c r="AA81" s="270">
        <f t="shared" si="11"/>
        <v>0</v>
      </c>
      <c r="AB81" s="273">
        <f t="shared" si="12"/>
        <v>0</v>
      </c>
      <c r="AC81" s="260"/>
    </row>
    <row r="82" spans="1:29" ht="40.049999999999997" customHeight="1" x14ac:dyDescent="0.45">
      <c r="A82" s="302" t="str">
        <f>'Horaire samedi'!A81</f>
        <v>DOUJANI</v>
      </c>
      <c r="B82" s="303">
        <f>'Horaire samedi'!B81</f>
        <v>0.76388888888888795</v>
      </c>
      <c r="C82" s="303" t="str">
        <f>'Horaire samedi'!C81</f>
        <v>C15</v>
      </c>
      <c r="D82" s="268" t="str">
        <f>VLOOKUP(C82,'Liste chauffeur'!$B$5:$L$20,2,FALSE)&amp;" "&amp;VLOOKUP(C82,'Liste chauffeur'!$B$5:$L$20,3,FALSE)</f>
        <v>HAMADA Babou</v>
      </c>
      <c r="E82" s="314"/>
      <c r="F82" s="315">
        <f t="shared" si="13"/>
        <v>1</v>
      </c>
      <c r="G82" s="315"/>
      <c r="H82" s="316"/>
      <c r="I82" s="316"/>
      <c r="J82" s="316"/>
      <c r="K82" s="314"/>
      <c r="L82" s="314"/>
      <c r="M82" s="316"/>
      <c r="N82" s="316"/>
      <c r="O82" s="314"/>
      <c r="P82" s="314"/>
      <c r="Q82" s="316"/>
      <c r="R82" s="316"/>
      <c r="S82" s="314"/>
      <c r="T82" s="314"/>
      <c r="U82" s="316"/>
      <c r="V82" s="316"/>
      <c r="W82" s="314"/>
      <c r="X82" s="317"/>
      <c r="Y82" s="271"/>
      <c r="Z82" s="270">
        <f t="shared" si="14"/>
        <v>0</v>
      </c>
      <c r="AA82" s="270">
        <f t="shared" si="11"/>
        <v>0</v>
      </c>
      <c r="AB82" s="273">
        <f t="shared" si="12"/>
        <v>0</v>
      </c>
      <c r="AC82" s="260"/>
    </row>
    <row r="83" spans="1:29" ht="40.049999999999997" customHeight="1" x14ac:dyDescent="0.45">
      <c r="A83" s="302" t="str">
        <f>'Horaire samedi'!A82</f>
        <v>PASSOT LA BARGE</v>
      </c>
      <c r="B83" s="303">
        <f>'Horaire samedi'!B82</f>
        <v>0.77083333333333204</v>
      </c>
      <c r="C83" s="303" t="str">
        <f>'Horaire samedi'!C82</f>
        <v>D9</v>
      </c>
      <c r="D83" s="268" t="str">
        <f>VLOOKUP(C83,'Liste chauffeur'!$B$5:$L$19,2,TRUE)&amp;" "&amp;VLOOKUP(C83,'Liste chauffeur'!$B$5:$L$19,3,TRUE)</f>
        <v>RENEE Assanati</v>
      </c>
      <c r="E83" s="314"/>
      <c r="F83" s="315">
        <f t="shared" si="13"/>
        <v>1</v>
      </c>
      <c r="G83" s="315"/>
      <c r="H83" s="316"/>
      <c r="I83" s="316"/>
      <c r="J83" s="316"/>
      <c r="K83" s="314"/>
      <c r="L83" s="314"/>
      <c r="M83" s="316"/>
      <c r="N83" s="316"/>
      <c r="O83" s="314"/>
      <c r="P83" s="314"/>
      <c r="Q83" s="316"/>
      <c r="R83" s="316"/>
      <c r="S83" s="314"/>
      <c r="T83" s="314"/>
      <c r="U83" s="316"/>
      <c r="V83" s="316"/>
      <c r="W83" s="314"/>
      <c r="X83" s="317"/>
      <c r="Y83" s="271"/>
      <c r="Z83" s="270">
        <f t="shared" si="14"/>
        <v>0</v>
      </c>
      <c r="AA83" s="270">
        <f t="shared" si="11"/>
        <v>0</v>
      </c>
      <c r="AB83" s="273">
        <f t="shared" si="12"/>
        <v>0</v>
      </c>
      <c r="AC83" s="260"/>
    </row>
    <row r="84" spans="1:29" ht="40.049999999999997" customHeight="1" x14ac:dyDescent="0.45">
      <c r="A84" s="302" t="str">
        <f>'Horaire samedi'!A83</f>
        <v>DOUJANI</v>
      </c>
      <c r="B84" s="303">
        <f>'Horaire samedi'!B83</f>
        <v>0.77777777777777701</v>
      </c>
      <c r="C84" s="303" t="str">
        <f>'Horaire samedi'!C83</f>
        <v>D15</v>
      </c>
      <c r="D84" s="268" t="str">
        <f>VLOOKUP(C84,'Liste chauffeur'!$B$5:$L$18,2,TRUE)&amp;" "&amp;VLOOKUP(C84,'Liste chauffeur'!$B$5:$L$18,3,TRUE)</f>
        <v xml:space="preserve">KAMARDINE Mansour  </v>
      </c>
      <c r="E84" s="314"/>
      <c r="F84" s="315">
        <f t="shared" si="13"/>
        <v>1</v>
      </c>
      <c r="G84" s="315"/>
      <c r="H84" s="316"/>
      <c r="I84" s="316"/>
      <c r="J84" s="316"/>
      <c r="K84" s="314"/>
      <c r="L84" s="314"/>
      <c r="M84" s="316"/>
      <c r="N84" s="316"/>
      <c r="O84" s="314"/>
      <c r="P84" s="314"/>
      <c r="Q84" s="316"/>
      <c r="R84" s="316"/>
      <c r="S84" s="314"/>
      <c r="T84" s="314"/>
      <c r="U84" s="316"/>
      <c r="V84" s="316"/>
      <c r="W84" s="314"/>
      <c r="X84" s="317"/>
      <c r="Y84" s="271"/>
      <c r="Z84" s="270">
        <f t="shared" si="14"/>
        <v>0</v>
      </c>
      <c r="AA84" s="270">
        <f t="shared" si="11"/>
        <v>0</v>
      </c>
      <c r="AB84" s="273">
        <f t="shared" si="12"/>
        <v>0</v>
      </c>
      <c r="AC84" s="260"/>
    </row>
    <row r="85" spans="1:29" ht="40.049999999999997" customHeight="1" x14ac:dyDescent="0.45">
      <c r="A85" s="302" t="str">
        <f>'Horaire samedi'!A84</f>
        <v>PASSOT LA BARGE</v>
      </c>
      <c r="B85" s="303">
        <f>'Horaire samedi'!B84</f>
        <v>0.78472222222222099</v>
      </c>
      <c r="C85" s="303" t="str">
        <f>'Horaire samedi'!C84</f>
        <v>C15</v>
      </c>
      <c r="D85" s="268" t="str">
        <f>VLOOKUP(C85,'Liste chauffeur'!$B$5:$L$20,2,FALSE)&amp;" "&amp;VLOOKUP(C85,'Liste chauffeur'!$B$5:$L$20,3,FALSE)</f>
        <v>HAMADA Babou</v>
      </c>
      <c r="E85" s="314"/>
      <c r="F85" s="315">
        <f t="shared" si="13"/>
        <v>1</v>
      </c>
      <c r="G85" s="315"/>
      <c r="H85" s="316"/>
      <c r="I85" s="316"/>
      <c r="J85" s="316"/>
      <c r="K85" s="314"/>
      <c r="L85" s="314"/>
      <c r="M85" s="316"/>
      <c r="N85" s="316"/>
      <c r="O85" s="314"/>
      <c r="P85" s="314"/>
      <c r="Q85" s="316"/>
      <c r="R85" s="316"/>
      <c r="S85" s="314"/>
      <c r="T85" s="314"/>
      <c r="U85" s="316"/>
      <c r="V85" s="316"/>
      <c r="W85" s="314"/>
      <c r="X85" s="317"/>
      <c r="Y85" s="271"/>
      <c r="Z85" s="270">
        <f t="shared" si="14"/>
        <v>0</v>
      </c>
      <c r="AA85" s="270">
        <f t="shared" si="11"/>
        <v>0</v>
      </c>
      <c r="AB85" s="273">
        <f t="shared" si="12"/>
        <v>0</v>
      </c>
      <c r="AC85" s="260"/>
    </row>
    <row r="86" spans="1:29" ht="40.049999999999997" customHeight="1" x14ac:dyDescent="0.45">
      <c r="A86" s="302" t="str">
        <f>'Horaire samedi'!A85</f>
        <v>DOUJANI</v>
      </c>
      <c r="B86" s="303">
        <f>'Horaire samedi'!B85</f>
        <v>0.79166666666666496</v>
      </c>
      <c r="C86" s="303" t="str">
        <f>'Horaire samedi'!C85</f>
        <v>D9</v>
      </c>
      <c r="D86" s="268" t="str">
        <f>VLOOKUP(C86,'Liste chauffeur'!$B$5:$L$19,2,TRUE)&amp;" "&amp;VLOOKUP(C86,'Liste chauffeur'!$B$5:$L$19,3,TRUE)</f>
        <v>RENEE Assanati</v>
      </c>
      <c r="E86" s="314"/>
      <c r="F86" s="315">
        <f t="shared" si="13"/>
        <v>1</v>
      </c>
      <c r="G86" s="315"/>
      <c r="H86" s="316"/>
      <c r="I86" s="316"/>
      <c r="J86" s="316"/>
      <c r="K86" s="314"/>
      <c r="L86" s="314"/>
      <c r="M86" s="316"/>
      <c r="N86" s="316"/>
      <c r="O86" s="314"/>
      <c r="P86" s="314"/>
      <c r="Q86" s="316"/>
      <c r="R86" s="316"/>
      <c r="S86" s="314"/>
      <c r="T86" s="314"/>
      <c r="U86" s="316"/>
      <c r="V86" s="316"/>
      <c r="W86" s="314"/>
      <c r="X86" s="317"/>
      <c r="Y86" s="271"/>
      <c r="Z86" s="270">
        <f t="shared" si="14"/>
        <v>0</v>
      </c>
      <c r="AA86" s="270">
        <f t="shared" si="11"/>
        <v>0</v>
      </c>
      <c r="AB86" s="273">
        <f t="shared" si="12"/>
        <v>0</v>
      </c>
      <c r="AC86" s="260"/>
    </row>
    <row r="87" spans="1:29" ht="40.049999999999997" customHeight="1" x14ac:dyDescent="0.45">
      <c r="A87" s="302" t="str">
        <f>'Horaire samedi'!A86</f>
        <v>PASSOT LA BARGE</v>
      </c>
      <c r="B87" s="303">
        <f>'Horaire samedi'!B86</f>
        <v>0.79861111111111005</v>
      </c>
      <c r="C87" s="303" t="str">
        <f>'Horaire samedi'!C86</f>
        <v>D15</v>
      </c>
      <c r="D87" s="268" t="str">
        <f>VLOOKUP(C87,'Liste chauffeur'!$B$5:$L$18,2,TRUE)&amp;" "&amp;VLOOKUP(C87,'Liste chauffeur'!$B$5:$L$18,3,TRUE)</f>
        <v xml:space="preserve">KAMARDINE Mansour  </v>
      </c>
      <c r="E87" s="314"/>
      <c r="F87" s="315">
        <f t="shared" si="13"/>
        <v>1</v>
      </c>
      <c r="G87" s="315"/>
      <c r="H87" s="316"/>
      <c r="I87" s="316"/>
      <c r="J87" s="316"/>
      <c r="K87" s="314"/>
      <c r="L87" s="314"/>
      <c r="M87" s="316"/>
      <c r="N87" s="316"/>
      <c r="O87" s="314"/>
      <c r="P87" s="314"/>
      <c r="Q87" s="316"/>
      <c r="R87" s="316"/>
      <c r="S87" s="314"/>
      <c r="T87" s="314"/>
      <c r="U87" s="316"/>
      <c r="V87" s="316"/>
      <c r="W87" s="314"/>
      <c r="X87" s="317"/>
      <c r="Y87" s="271"/>
      <c r="Z87" s="270">
        <f t="shared" si="14"/>
        <v>0</v>
      </c>
      <c r="AA87" s="270">
        <f t="shared" si="11"/>
        <v>0</v>
      </c>
      <c r="AB87" s="273">
        <f t="shared" si="12"/>
        <v>0</v>
      </c>
      <c r="AC87" s="260"/>
    </row>
    <row r="88" spans="1:29" ht="40.049999999999997" customHeight="1" x14ac:dyDescent="0.45">
      <c r="A88" s="302" t="str">
        <f>'Horaire samedi'!A87</f>
        <v>DOUJANI</v>
      </c>
      <c r="B88" s="303">
        <f>'Horaire samedi'!B87</f>
        <v>0.80555555555555403</v>
      </c>
      <c r="C88" s="303" t="str">
        <f>'Horaire samedi'!C87</f>
        <v>C15</v>
      </c>
      <c r="D88" s="268" t="str">
        <f>VLOOKUP(C88,'Liste chauffeur'!$B$5:$L$20,2,FALSE)&amp;" "&amp;VLOOKUP(C88,'Liste chauffeur'!$B$5:$L$20,3,FALSE)</f>
        <v>HAMADA Babou</v>
      </c>
      <c r="E88" s="314"/>
      <c r="F88" s="315">
        <f t="shared" si="13"/>
        <v>1</v>
      </c>
      <c r="G88" s="315"/>
      <c r="H88" s="316"/>
      <c r="I88" s="316"/>
      <c r="J88" s="316"/>
      <c r="K88" s="314"/>
      <c r="L88" s="314"/>
      <c r="M88" s="316"/>
      <c r="N88" s="316"/>
      <c r="O88" s="314"/>
      <c r="P88" s="314"/>
      <c r="Q88" s="316"/>
      <c r="R88" s="316"/>
      <c r="S88" s="314"/>
      <c r="T88" s="314"/>
      <c r="U88" s="316"/>
      <c r="V88" s="316"/>
      <c r="W88" s="314"/>
      <c r="X88" s="317"/>
      <c r="Y88" s="271"/>
      <c r="Z88" s="270">
        <f t="shared" si="14"/>
        <v>0</v>
      </c>
      <c r="AA88" s="270">
        <f t="shared" si="11"/>
        <v>0</v>
      </c>
      <c r="AB88" s="273">
        <f t="shared" si="12"/>
        <v>0</v>
      </c>
      <c r="AC88" s="260"/>
    </row>
    <row r="89" spans="1:29" ht="40.049999999999997" customHeight="1" x14ac:dyDescent="0.45">
      <c r="A89" s="302" t="str">
        <f>'Horaire samedi'!A88</f>
        <v>PASSOT LA BARGE</v>
      </c>
      <c r="B89" s="303">
        <f>'Horaire samedi'!B88</f>
        <v>0.812499999999999</v>
      </c>
      <c r="C89" s="303" t="str">
        <f>'Horaire samedi'!C88</f>
        <v>D9</v>
      </c>
      <c r="D89" s="268" t="str">
        <f>VLOOKUP(C89,'Liste chauffeur'!$B$5:$L$19,2,TRUE)&amp;" "&amp;VLOOKUP(C89,'Liste chauffeur'!$B$5:$L$19,3,TRUE)</f>
        <v>RENEE Assanati</v>
      </c>
      <c r="E89" s="314"/>
      <c r="F89" s="315">
        <f t="shared" si="13"/>
        <v>1</v>
      </c>
      <c r="G89" s="315"/>
      <c r="H89" s="316"/>
      <c r="I89" s="316"/>
      <c r="J89" s="316"/>
      <c r="K89" s="314"/>
      <c r="L89" s="314"/>
      <c r="M89" s="316"/>
      <c r="N89" s="316"/>
      <c r="O89" s="314"/>
      <c r="P89" s="314"/>
      <c r="Q89" s="316"/>
      <c r="R89" s="316"/>
      <c r="S89" s="314"/>
      <c r="T89" s="314"/>
      <c r="U89" s="316"/>
      <c r="V89" s="316"/>
      <c r="W89" s="314"/>
      <c r="X89" s="317"/>
      <c r="Y89" s="271"/>
      <c r="Z89" s="270">
        <f t="shared" si="14"/>
        <v>0</v>
      </c>
      <c r="AA89" s="270">
        <f t="shared" si="11"/>
        <v>0</v>
      </c>
      <c r="AB89" s="273">
        <f t="shared" si="12"/>
        <v>0</v>
      </c>
      <c r="AC89" s="260"/>
    </row>
    <row r="90" spans="1:29" ht="40.049999999999997" customHeight="1" x14ac:dyDescent="0.45">
      <c r="A90" s="302" t="str">
        <f>'Horaire samedi'!A89</f>
        <v>DOUJANI</v>
      </c>
      <c r="B90" s="303">
        <f>'Horaire samedi'!B89</f>
        <v>0.81944444444444298</v>
      </c>
      <c r="C90" s="303" t="str">
        <f>'Horaire samedi'!C89</f>
        <v>D15</v>
      </c>
      <c r="D90" s="268" t="str">
        <f>VLOOKUP(C90,'Liste chauffeur'!$B$5:$L$18,2,TRUE)&amp;" "&amp;VLOOKUP(C90,'Liste chauffeur'!$B$5:$L$18,3,TRUE)</f>
        <v xml:space="preserve">KAMARDINE Mansour  </v>
      </c>
      <c r="E90" s="314"/>
      <c r="F90" s="315">
        <f t="shared" si="13"/>
        <v>1</v>
      </c>
      <c r="G90" s="315"/>
      <c r="H90" s="316"/>
      <c r="I90" s="316"/>
      <c r="J90" s="316"/>
      <c r="K90" s="314"/>
      <c r="L90" s="314"/>
      <c r="M90" s="316"/>
      <c r="N90" s="316"/>
      <c r="O90" s="314"/>
      <c r="P90" s="314"/>
      <c r="Q90" s="316"/>
      <c r="R90" s="316"/>
      <c r="S90" s="314"/>
      <c r="T90" s="314"/>
      <c r="U90" s="316"/>
      <c r="V90" s="316"/>
      <c r="W90" s="314"/>
      <c r="X90" s="317"/>
      <c r="Y90" s="271"/>
      <c r="Z90" s="270">
        <f t="shared" si="14"/>
        <v>0</v>
      </c>
      <c r="AA90" s="270">
        <f t="shared" si="11"/>
        <v>0</v>
      </c>
      <c r="AB90" s="273">
        <f t="shared" si="12"/>
        <v>0</v>
      </c>
      <c r="AC90" s="260"/>
    </row>
    <row r="91" spans="1:29" ht="40.049999999999997" customHeight="1" x14ac:dyDescent="0.45">
      <c r="A91" s="302" t="str">
        <f>'Horaire samedi'!A90</f>
        <v>PASSOT LA BARGE</v>
      </c>
      <c r="B91" s="303">
        <f>'Horaire samedi'!B90</f>
        <v>0.82638888888888695</v>
      </c>
      <c r="C91" s="303" t="str">
        <f>'Horaire samedi'!C90</f>
        <v>C15</v>
      </c>
      <c r="D91" s="268" t="str">
        <f>VLOOKUP(C91,'Liste chauffeur'!$B$5:$L$20,2,FALSE)&amp;" "&amp;VLOOKUP(C91,'Liste chauffeur'!$B$5:$L$20,3,FALSE)</f>
        <v>HAMADA Babou</v>
      </c>
      <c r="E91" s="314"/>
      <c r="F91" s="315">
        <f t="shared" si="13"/>
        <v>1</v>
      </c>
      <c r="G91" s="315"/>
      <c r="H91" s="316"/>
      <c r="I91" s="316"/>
      <c r="J91" s="316"/>
      <c r="K91" s="314"/>
      <c r="L91" s="314"/>
      <c r="M91" s="316"/>
      <c r="N91" s="316"/>
      <c r="O91" s="314"/>
      <c r="P91" s="314"/>
      <c r="Q91" s="316"/>
      <c r="R91" s="316"/>
      <c r="S91" s="314"/>
      <c r="T91" s="314"/>
      <c r="U91" s="316"/>
      <c r="V91" s="316"/>
      <c r="W91" s="314"/>
      <c r="X91" s="317"/>
      <c r="Y91" s="271"/>
      <c r="Z91" s="270">
        <f t="shared" si="14"/>
        <v>0</v>
      </c>
      <c r="AA91" s="270">
        <f t="shared" si="11"/>
        <v>0</v>
      </c>
      <c r="AB91" s="273">
        <f t="shared" si="12"/>
        <v>0</v>
      </c>
      <c r="AC91" s="260"/>
    </row>
    <row r="92" spans="1:29" ht="40.049999999999997" customHeight="1" x14ac:dyDescent="0.45">
      <c r="A92" s="302" t="str">
        <f>'Horaire samedi'!A91</f>
        <v>DOUJANI</v>
      </c>
      <c r="B92" s="303">
        <f>'Horaire samedi'!B91</f>
        <v>0.83333333333333204</v>
      </c>
      <c r="C92" s="303" t="str">
        <f>'Horaire samedi'!C91</f>
        <v>D9</v>
      </c>
      <c r="D92" s="268" t="str">
        <f>VLOOKUP(C92,'Liste chauffeur'!$B$5:$L$19,2,TRUE)&amp;" "&amp;VLOOKUP(C92,'Liste chauffeur'!$B$5:$L$19,3,TRUE)</f>
        <v>RENEE Assanati</v>
      </c>
      <c r="E92" s="314"/>
      <c r="F92" s="315">
        <f t="shared" si="13"/>
        <v>1</v>
      </c>
      <c r="G92" s="315"/>
      <c r="H92" s="316"/>
      <c r="I92" s="316"/>
      <c r="J92" s="316"/>
      <c r="K92" s="314"/>
      <c r="L92" s="314"/>
      <c r="M92" s="316"/>
      <c r="N92" s="316"/>
      <c r="O92" s="314"/>
      <c r="P92" s="314"/>
      <c r="Q92" s="316"/>
      <c r="R92" s="316"/>
      <c r="S92" s="314"/>
      <c r="T92" s="314"/>
      <c r="U92" s="316"/>
      <c r="V92" s="316"/>
      <c r="W92" s="314"/>
      <c r="X92" s="317"/>
      <c r="Y92" s="271"/>
      <c r="Z92" s="270">
        <f t="shared" si="14"/>
        <v>0</v>
      </c>
      <c r="AA92" s="270">
        <f t="shared" si="11"/>
        <v>0</v>
      </c>
      <c r="AB92" s="273">
        <f t="shared" si="12"/>
        <v>0</v>
      </c>
      <c r="AC92" s="260"/>
    </row>
    <row r="93" spans="1:29" ht="40.049999999999997" customHeight="1" x14ac:dyDescent="0.45">
      <c r="A93" s="302" t="str">
        <f>'Horaire samedi'!A92</f>
        <v>PASSOT LA BARGE</v>
      </c>
      <c r="B93" s="303">
        <f>'Horaire samedi'!B92</f>
        <v>0.84027777777777601</v>
      </c>
      <c r="C93" s="303" t="str">
        <f>'Horaire samedi'!C92</f>
        <v>D15</v>
      </c>
      <c r="D93" s="268" t="str">
        <f>VLOOKUP(C93,'Liste chauffeur'!$B$5:$L$18,2,TRUE)&amp;" "&amp;VLOOKUP(C93,'Liste chauffeur'!$B$5:$L$18,3,TRUE)</f>
        <v xml:space="preserve">KAMARDINE Mansour  </v>
      </c>
      <c r="E93" s="314"/>
      <c r="F93" s="315">
        <f t="shared" si="13"/>
        <v>1</v>
      </c>
      <c r="G93" s="315"/>
      <c r="H93" s="316"/>
      <c r="I93" s="316"/>
      <c r="J93" s="316"/>
      <c r="K93" s="314"/>
      <c r="L93" s="314"/>
      <c r="M93" s="316"/>
      <c r="N93" s="316"/>
      <c r="O93" s="314"/>
      <c r="P93" s="314"/>
      <c r="Q93" s="316"/>
      <c r="R93" s="316"/>
      <c r="S93" s="314"/>
      <c r="T93" s="314"/>
      <c r="U93" s="316"/>
      <c r="V93" s="316"/>
      <c r="W93" s="314"/>
      <c r="X93" s="317"/>
      <c r="Y93" s="271"/>
      <c r="Z93" s="270">
        <f t="shared" si="14"/>
        <v>0</v>
      </c>
      <c r="AA93" s="270">
        <f t="shared" si="11"/>
        <v>0</v>
      </c>
      <c r="AB93" s="273">
        <f t="shared" si="12"/>
        <v>0</v>
      </c>
      <c r="AC93" s="260"/>
    </row>
    <row r="94" spans="1:29" ht="40.049999999999997" customHeight="1" x14ac:dyDescent="0.45">
      <c r="A94" s="302" t="str">
        <f>'Horaire samedi'!A93</f>
        <v>DOUJANI</v>
      </c>
      <c r="B94" s="303">
        <f>'Horaire samedi'!B93</f>
        <v>0.84722222222222099</v>
      </c>
      <c r="C94" s="303" t="str">
        <f>'Horaire samedi'!C93</f>
        <v>C15</v>
      </c>
      <c r="D94" s="268" t="str">
        <f>VLOOKUP(C94,'Liste chauffeur'!$B$5:$L$20,2,FALSE)&amp;" "&amp;VLOOKUP(C94,'Liste chauffeur'!$B$5:$L$20,3,FALSE)</f>
        <v>HAMADA Babou</v>
      </c>
      <c r="E94" s="314"/>
      <c r="F94" s="315">
        <f t="shared" si="13"/>
        <v>1</v>
      </c>
      <c r="G94" s="315"/>
      <c r="H94" s="316"/>
      <c r="I94" s="316"/>
      <c r="J94" s="316"/>
      <c r="K94" s="314"/>
      <c r="L94" s="314"/>
      <c r="M94" s="316"/>
      <c r="N94" s="316"/>
      <c r="O94" s="314"/>
      <c r="P94" s="314"/>
      <c r="Q94" s="316"/>
      <c r="R94" s="316"/>
      <c r="S94" s="314"/>
      <c r="T94" s="314"/>
      <c r="U94" s="316"/>
      <c r="V94" s="316"/>
      <c r="W94" s="314"/>
      <c r="X94" s="317"/>
      <c r="Y94" s="271"/>
      <c r="Z94" s="270">
        <f t="shared" si="14"/>
        <v>0</v>
      </c>
      <c r="AA94" s="270">
        <f t="shared" si="11"/>
        <v>0</v>
      </c>
      <c r="AB94" s="273">
        <f t="shared" si="12"/>
        <v>0</v>
      </c>
      <c r="AC94" s="260"/>
    </row>
    <row r="95" spans="1:29" ht="40.049999999999997" customHeight="1" x14ac:dyDescent="0.45">
      <c r="A95" s="302" t="str">
        <f>'Horaire samedi'!A94</f>
        <v>PASSOT LA BARGE</v>
      </c>
      <c r="B95" s="303">
        <f>'Horaire samedi'!B94</f>
        <v>0.85416666666666496</v>
      </c>
      <c r="C95" s="303" t="str">
        <f>'Horaire samedi'!C94</f>
        <v>D9</v>
      </c>
      <c r="D95" s="268" t="str">
        <f>VLOOKUP(C95,'Liste chauffeur'!$B$5:$L$19,2,TRUE)&amp;" "&amp;VLOOKUP(C95,'Liste chauffeur'!$B$5:$L$19,3,TRUE)</f>
        <v>RENEE Assanati</v>
      </c>
      <c r="E95" s="314"/>
      <c r="F95" s="315">
        <f t="shared" si="13"/>
        <v>1</v>
      </c>
      <c r="G95" s="315"/>
      <c r="H95" s="316"/>
      <c r="I95" s="316"/>
      <c r="J95" s="316"/>
      <c r="K95" s="314"/>
      <c r="L95" s="314"/>
      <c r="M95" s="316"/>
      <c r="N95" s="316"/>
      <c r="O95" s="314"/>
      <c r="P95" s="314"/>
      <c r="Q95" s="316"/>
      <c r="R95" s="316"/>
      <c r="S95" s="314"/>
      <c r="T95" s="314"/>
      <c r="U95" s="316"/>
      <c r="V95" s="316"/>
      <c r="W95" s="314"/>
      <c r="X95" s="317"/>
      <c r="Y95" s="271"/>
      <c r="Z95" s="270">
        <f t="shared" si="14"/>
        <v>0</v>
      </c>
      <c r="AA95" s="270">
        <f t="shared" si="11"/>
        <v>0</v>
      </c>
      <c r="AB95" s="273">
        <f t="shared" si="12"/>
        <v>0</v>
      </c>
      <c r="AC95" s="260"/>
    </row>
    <row r="96" spans="1:29" ht="40.049999999999997" customHeight="1" x14ac:dyDescent="0.45">
      <c r="A96" s="302" t="str">
        <f>'Horaire samedi'!A95</f>
        <v>DOUJANI</v>
      </c>
      <c r="B96" s="303">
        <f>'Horaire samedi'!B95</f>
        <v>0.86111111111111005</v>
      </c>
      <c r="C96" s="303" t="str">
        <f>'Horaire samedi'!C95</f>
        <v>D15</v>
      </c>
      <c r="D96" s="268" t="str">
        <f>VLOOKUP(C96,'Liste chauffeur'!$B$5:$L$18,2,TRUE)&amp;" "&amp;VLOOKUP(C96,'Liste chauffeur'!$B$5:$L$18,3,TRUE)</f>
        <v xml:space="preserve">KAMARDINE Mansour  </v>
      </c>
      <c r="E96" s="314"/>
      <c r="F96" s="315">
        <f t="shared" si="13"/>
        <v>1</v>
      </c>
      <c r="G96" s="315"/>
      <c r="H96" s="316"/>
      <c r="I96" s="316"/>
      <c r="J96" s="316"/>
      <c r="K96" s="314"/>
      <c r="L96" s="314"/>
      <c r="M96" s="316"/>
      <c r="N96" s="316"/>
      <c r="O96" s="314"/>
      <c r="P96" s="314"/>
      <c r="Q96" s="316"/>
      <c r="R96" s="316"/>
      <c r="S96" s="314"/>
      <c r="T96" s="314"/>
      <c r="U96" s="316"/>
      <c r="V96" s="316"/>
      <c r="W96" s="314"/>
      <c r="X96" s="317"/>
      <c r="Y96" s="271"/>
      <c r="Z96" s="270">
        <f t="shared" si="14"/>
        <v>0</v>
      </c>
      <c r="AA96" s="270">
        <f t="shared" si="11"/>
        <v>0</v>
      </c>
      <c r="AB96" s="273">
        <f t="shared" si="12"/>
        <v>0</v>
      </c>
      <c r="AC96" s="260"/>
    </row>
    <row r="97" spans="1:29" ht="40.049999999999997" customHeight="1" x14ac:dyDescent="0.45">
      <c r="A97" s="302" t="str">
        <f>'Horaire samedi'!A96</f>
        <v>PASSOT LA BARGE</v>
      </c>
      <c r="B97" s="303">
        <f>'Horaire samedi'!B96</f>
        <v>0.86805555555555403</v>
      </c>
      <c r="C97" s="303" t="str">
        <f>'Horaire samedi'!C96</f>
        <v>C15</v>
      </c>
      <c r="D97" s="268" t="str">
        <f>VLOOKUP(C97,'Liste chauffeur'!$B$5:$L$20,2,FALSE)&amp;" "&amp;VLOOKUP(C97,'Liste chauffeur'!$B$5:$L$20,3,FALSE)</f>
        <v>HAMADA Babou</v>
      </c>
      <c r="E97" s="314"/>
      <c r="F97" s="315">
        <f t="shared" si="13"/>
        <v>1</v>
      </c>
      <c r="G97" s="315"/>
      <c r="H97" s="316"/>
      <c r="I97" s="316"/>
      <c r="J97" s="316"/>
      <c r="K97" s="314"/>
      <c r="L97" s="314"/>
      <c r="M97" s="316"/>
      <c r="N97" s="316"/>
      <c r="O97" s="314"/>
      <c r="P97" s="314"/>
      <c r="Q97" s="316"/>
      <c r="R97" s="316"/>
      <c r="S97" s="314"/>
      <c r="T97" s="314"/>
      <c r="U97" s="316"/>
      <c r="V97" s="316"/>
      <c r="W97" s="314"/>
      <c r="X97" s="317"/>
      <c r="Y97" s="271"/>
      <c r="Z97" s="270">
        <f t="shared" si="14"/>
        <v>0</v>
      </c>
      <c r="AA97" s="270">
        <f t="shared" si="11"/>
        <v>0</v>
      </c>
      <c r="AB97" s="273">
        <f t="shared" si="12"/>
        <v>0</v>
      </c>
      <c r="AC97" s="260"/>
    </row>
    <row r="98" spans="1:29" ht="25.25" customHeight="1" x14ac:dyDescent="0.45">
      <c r="A98" s="280"/>
      <c r="B98" s="281" t="s">
        <v>568</v>
      </c>
      <c r="C98" s="281" t="s">
        <v>351</v>
      </c>
      <c r="D98" s="282"/>
      <c r="E98" s="275"/>
      <c r="F98" s="306"/>
      <c r="G98" s="306">
        <f>SUM(G8:G97)</f>
        <v>0</v>
      </c>
      <c r="H98" s="258"/>
      <c r="I98" s="258"/>
      <c r="J98" s="258"/>
      <c r="K98" s="275"/>
      <c r="L98" s="275"/>
      <c r="M98" s="258"/>
      <c r="N98" s="258"/>
      <c r="O98" s="275"/>
      <c r="P98" s="275"/>
      <c r="Q98" s="258"/>
      <c r="R98" s="258"/>
      <c r="S98" s="275"/>
      <c r="T98" s="275"/>
      <c r="U98" s="258"/>
      <c r="V98" s="258"/>
      <c r="W98" s="275"/>
      <c r="X98" s="274"/>
      <c r="Y98" s="276" t="e">
        <f>AVERAGE(Y45:Y97)</f>
        <v>#DIV/0!</v>
      </c>
      <c r="Z98" s="258">
        <f>SUM(Z45:Z97)</f>
        <v>0</v>
      </c>
      <c r="AA98" s="258">
        <f>SUM(AA45:AA97)</f>
        <v>0</v>
      </c>
      <c r="AB98" s="278">
        <f t="shared" ref="AB98:AB99" si="15">IF(AA98=0,0,Z98/AA98)</f>
        <v>0</v>
      </c>
      <c r="AC98" s="260"/>
    </row>
    <row r="99" spans="1:29" ht="25.25" customHeight="1" x14ac:dyDescent="0.45">
      <c r="A99" s="280"/>
      <c r="B99" s="281" t="s">
        <v>352</v>
      </c>
      <c r="C99" s="281"/>
      <c r="D99" s="282"/>
      <c r="E99" s="275"/>
      <c r="F99" s="306">
        <f>F44+F98</f>
        <v>36</v>
      </c>
      <c r="G99" s="306">
        <f>G44+G98</f>
        <v>0</v>
      </c>
      <c r="H99" s="306"/>
      <c r="I99" s="306"/>
      <c r="J99" s="258"/>
      <c r="K99" s="275"/>
      <c r="L99" s="275"/>
      <c r="M99" s="258"/>
      <c r="N99" s="258"/>
      <c r="O99" s="275"/>
      <c r="P99" s="275"/>
      <c r="Q99" s="258"/>
      <c r="R99" s="258"/>
      <c r="S99" s="275"/>
      <c r="T99" s="275"/>
      <c r="U99" s="258"/>
      <c r="V99" s="258"/>
      <c r="W99" s="275"/>
      <c r="X99" s="274"/>
      <c r="Y99" s="276" t="e">
        <f>AVERAGE(Y8:Y43,Y45:Y97)</f>
        <v>#DIV/0!</v>
      </c>
      <c r="Z99" s="306">
        <f>Z44+Z98</f>
        <v>0</v>
      </c>
      <c r="AA99" s="306">
        <f>AA44+AA98</f>
        <v>0</v>
      </c>
      <c r="AB99" s="278">
        <f t="shared" si="15"/>
        <v>0</v>
      </c>
      <c r="AC99" s="260"/>
    </row>
    <row r="100" spans="1:29" ht="21" x14ac:dyDescent="0.45">
      <c r="A100" s="279" t="s">
        <v>349</v>
      </c>
      <c r="B100" s="267"/>
      <c r="C100" s="267" t="s">
        <v>423</v>
      </c>
      <c r="D100" s="268"/>
      <c r="E100" s="269"/>
      <c r="F100" s="270"/>
      <c r="G100" s="270"/>
      <c r="H100" s="270"/>
      <c r="I100" s="270"/>
      <c r="J100" s="277"/>
      <c r="K100" s="270"/>
      <c r="L100" s="270"/>
      <c r="M100" s="269"/>
      <c r="N100" s="260"/>
      <c r="O100" s="271"/>
      <c r="P100" s="270"/>
      <c r="Q100" s="270"/>
      <c r="R100" s="273"/>
      <c r="S100" s="260"/>
      <c r="T100" s="260"/>
      <c r="U100" s="260"/>
      <c r="V100" s="260"/>
      <c r="W100" s="269"/>
      <c r="X100" s="260"/>
      <c r="Y100" s="271"/>
      <c r="Z100" s="270"/>
      <c r="AA100" s="270"/>
      <c r="AB100" s="273"/>
      <c r="AC100" s="260"/>
    </row>
    <row r="101" spans="1:29" ht="21" x14ac:dyDescent="0.45">
      <c r="A101" s="279" t="s">
        <v>349</v>
      </c>
      <c r="B101" s="267"/>
      <c r="C101" s="267" t="s">
        <v>423</v>
      </c>
      <c r="D101" s="268"/>
      <c r="E101" s="269"/>
      <c r="F101" s="270"/>
      <c r="G101" s="270"/>
      <c r="H101" s="270"/>
      <c r="I101" s="270"/>
      <c r="J101" s="277"/>
      <c r="K101" s="270"/>
      <c r="L101" s="270"/>
      <c r="M101" s="269"/>
      <c r="N101" s="260"/>
      <c r="O101" s="271"/>
      <c r="P101" s="270"/>
      <c r="Q101" s="270"/>
      <c r="R101" s="273"/>
      <c r="S101" s="260"/>
      <c r="T101" s="260"/>
      <c r="U101" s="260"/>
      <c r="V101" s="260"/>
      <c r="W101" s="269"/>
      <c r="X101" s="260"/>
      <c r="Y101" s="271"/>
      <c r="Z101" s="270"/>
      <c r="AA101" s="270"/>
      <c r="AB101" s="273"/>
      <c r="AC101" s="260"/>
    </row>
    <row r="102" spans="1:29" ht="21" x14ac:dyDescent="0.45">
      <c r="A102" s="279" t="s">
        <v>349</v>
      </c>
      <c r="B102" s="267"/>
      <c r="C102" s="267" t="s">
        <v>423</v>
      </c>
      <c r="D102" s="268"/>
      <c r="E102" s="269"/>
      <c r="F102" s="270"/>
      <c r="G102" s="270"/>
      <c r="H102" s="270"/>
      <c r="I102" s="270"/>
      <c r="J102" s="277"/>
      <c r="K102" s="270"/>
      <c r="L102" s="270"/>
      <c r="M102" s="269"/>
      <c r="N102" s="260"/>
      <c r="O102" s="271" t="e">
        <f t="shared" ref="O102:O103" si="16">M102-#REF!</f>
        <v>#REF!</v>
      </c>
      <c r="P102" s="270" t="e">
        <f t="shared" ref="P102:P103" si="17">#REF!+#REF!-#REF!</f>
        <v>#REF!</v>
      </c>
      <c r="Q102" s="270"/>
      <c r="R102" s="273"/>
      <c r="S102" s="260"/>
      <c r="T102" s="260"/>
      <c r="U102" s="260"/>
      <c r="V102" s="260"/>
      <c r="W102" s="269"/>
      <c r="X102" s="260"/>
      <c r="Y102" s="271"/>
      <c r="Z102" s="270"/>
      <c r="AA102" s="270"/>
      <c r="AB102" s="273"/>
      <c r="AC102" s="260"/>
    </row>
    <row r="103" spans="1:29" ht="21" x14ac:dyDescent="0.45">
      <c r="A103" s="279" t="s">
        <v>349</v>
      </c>
      <c r="B103" s="267"/>
      <c r="C103" s="267" t="s">
        <v>423</v>
      </c>
      <c r="D103" s="268"/>
      <c r="E103" s="269"/>
      <c r="F103" s="270"/>
      <c r="G103" s="270"/>
      <c r="H103" s="270"/>
      <c r="I103" s="270"/>
      <c r="J103" s="277"/>
      <c r="K103" s="270"/>
      <c r="L103" s="270"/>
      <c r="M103" s="269"/>
      <c r="N103" s="260"/>
      <c r="O103" s="271" t="e">
        <f t="shared" si="16"/>
        <v>#REF!</v>
      </c>
      <c r="P103" s="270" t="e">
        <f t="shared" si="17"/>
        <v>#REF!</v>
      </c>
      <c r="Q103" s="270"/>
      <c r="R103" s="273"/>
      <c r="S103" s="260"/>
      <c r="T103" s="260"/>
      <c r="U103" s="260"/>
      <c r="V103" s="260"/>
      <c r="W103" s="269"/>
      <c r="X103" s="260"/>
      <c r="Y103" s="271"/>
      <c r="Z103" s="270"/>
      <c r="AA103" s="270"/>
      <c r="AB103" s="273"/>
      <c r="AC103" s="260"/>
    </row>
    <row r="105" spans="1:29" x14ac:dyDescent="0.45">
      <c r="E105" s="137" t="s">
        <v>15</v>
      </c>
      <c r="I105" s="137" t="s">
        <v>16</v>
      </c>
    </row>
    <row r="107" spans="1:29" x14ac:dyDescent="0.45">
      <c r="C107" s="252"/>
    </row>
    <row r="108" spans="1:29" ht="57" x14ac:dyDescent="0.45">
      <c r="B108" s="137" t="s">
        <v>373</v>
      </c>
      <c r="C108" s="137" t="s">
        <v>374</v>
      </c>
      <c r="D108" s="137" t="s">
        <v>375</v>
      </c>
      <c r="E108" s="215" t="s">
        <v>376</v>
      </c>
      <c r="F108" s="215" t="s">
        <v>573</v>
      </c>
    </row>
    <row r="109" spans="1:29" x14ac:dyDescent="0.45">
      <c r="B109" s="137" t="s">
        <v>384</v>
      </c>
      <c r="C109" s="305">
        <f>COUNTIF($B$8:$C$97,B109)</f>
        <v>0</v>
      </c>
      <c r="D109" s="453">
        <f>C109-(COUNTIFS(C$8:C$97,B109,X$8:X$97,""))</f>
        <v>0</v>
      </c>
      <c r="E109" s="189">
        <f>COUNTIFS(X$8:X$97,$B109)</f>
        <v>0</v>
      </c>
      <c r="F109" s="189">
        <f>COUNTIFS(G$8:G$97,$B109)</f>
        <v>0</v>
      </c>
    </row>
    <row r="110" spans="1:29" x14ac:dyDescent="0.45">
      <c r="B110" s="137" t="s">
        <v>392</v>
      </c>
      <c r="C110" s="305">
        <f t="shared" ref="C110:C131" si="18">COUNTIF($B$8:$C$97,B110)</f>
        <v>0</v>
      </c>
      <c r="D110" s="453">
        <f t="shared" ref="D110:D131" si="19">C110-(COUNTIFS(C$8:C$97,B110,X$8:X$97,""))</f>
        <v>0</v>
      </c>
      <c r="E110" s="189">
        <f t="shared" ref="E110:E131" si="20">COUNTIFS(X$8:X$97,$B110)</f>
        <v>0</v>
      </c>
      <c r="F110" s="189">
        <f t="shared" ref="F110:F131" si="21">COUNTIFS(G$8:G$97,$B110)</f>
        <v>0</v>
      </c>
    </row>
    <row r="111" spans="1:29" x14ac:dyDescent="0.45">
      <c r="B111" s="137" t="s">
        <v>393</v>
      </c>
      <c r="C111" s="305">
        <f t="shared" si="18"/>
        <v>0</v>
      </c>
      <c r="D111" s="453">
        <f t="shared" si="19"/>
        <v>0</v>
      </c>
      <c r="E111" s="189">
        <f t="shared" si="20"/>
        <v>0</v>
      </c>
      <c r="F111" s="189">
        <f t="shared" si="21"/>
        <v>0</v>
      </c>
    </row>
    <row r="112" spans="1:29" x14ac:dyDescent="0.45">
      <c r="B112" s="137" t="s">
        <v>394</v>
      </c>
      <c r="C112" s="305">
        <f t="shared" si="18"/>
        <v>0</v>
      </c>
      <c r="D112" s="453">
        <f t="shared" si="19"/>
        <v>0</v>
      </c>
      <c r="E112" s="189">
        <f t="shared" si="20"/>
        <v>0</v>
      </c>
      <c r="F112" s="189">
        <f t="shared" si="21"/>
        <v>0</v>
      </c>
    </row>
    <row r="113" spans="2:6" x14ac:dyDescent="0.45">
      <c r="B113" s="137" t="s">
        <v>395</v>
      </c>
      <c r="C113" s="305">
        <f t="shared" si="18"/>
        <v>16</v>
      </c>
      <c r="D113" s="453">
        <f t="shared" si="19"/>
        <v>0</v>
      </c>
      <c r="E113" s="189">
        <f t="shared" si="20"/>
        <v>0</v>
      </c>
      <c r="F113" s="189">
        <f t="shared" si="21"/>
        <v>0</v>
      </c>
    </row>
    <row r="114" spans="2:6" x14ac:dyDescent="0.45">
      <c r="B114" s="137" t="s">
        <v>398</v>
      </c>
      <c r="C114" s="305">
        <f t="shared" si="18"/>
        <v>0</v>
      </c>
      <c r="D114" s="453">
        <f t="shared" si="19"/>
        <v>0</v>
      </c>
      <c r="E114" s="189">
        <f t="shared" si="20"/>
        <v>0</v>
      </c>
      <c r="F114" s="189">
        <f t="shared" si="21"/>
        <v>0</v>
      </c>
    </row>
    <row r="115" spans="2:6" x14ac:dyDescent="0.45">
      <c r="B115" s="137" t="s">
        <v>399</v>
      </c>
      <c r="C115" s="305">
        <f t="shared" si="18"/>
        <v>0</v>
      </c>
      <c r="D115" s="453">
        <f t="shared" si="19"/>
        <v>0</v>
      </c>
      <c r="E115" s="189">
        <f t="shared" si="20"/>
        <v>0</v>
      </c>
      <c r="F115" s="189">
        <f t="shared" si="21"/>
        <v>0</v>
      </c>
    </row>
    <row r="116" spans="2:6" x14ac:dyDescent="0.45">
      <c r="B116" s="137" t="s">
        <v>400</v>
      </c>
      <c r="C116" s="305">
        <f t="shared" si="18"/>
        <v>0</v>
      </c>
      <c r="D116" s="453">
        <f t="shared" si="19"/>
        <v>0</v>
      </c>
      <c r="E116" s="189">
        <f t="shared" si="20"/>
        <v>0</v>
      </c>
      <c r="F116" s="189">
        <f t="shared" si="21"/>
        <v>0</v>
      </c>
    </row>
    <row r="117" spans="2:6" x14ac:dyDescent="0.45">
      <c r="B117" s="137" t="s">
        <v>401</v>
      </c>
      <c r="C117" s="305">
        <f t="shared" si="18"/>
        <v>14</v>
      </c>
      <c r="D117" s="453">
        <f t="shared" si="19"/>
        <v>0</v>
      </c>
      <c r="E117" s="189">
        <f t="shared" si="20"/>
        <v>0</v>
      </c>
      <c r="F117" s="189">
        <f t="shared" si="21"/>
        <v>0</v>
      </c>
    </row>
    <row r="118" spans="2:6" x14ac:dyDescent="0.45">
      <c r="B118" s="137" t="s">
        <v>385</v>
      </c>
      <c r="C118" s="305">
        <f t="shared" si="18"/>
        <v>0</v>
      </c>
      <c r="D118" s="453">
        <f t="shared" si="19"/>
        <v>0</v>
      </c>
      <c r="E118" s="189">
        <f t="shared" si="20"/>
        <v>0</v>
      </c>
      <c r="F118" s="189">
        <f t="shared" si="21"/>
        <v>0</v>
      </c>
    </row>
    <row r="119" spans="2:6" x14ac:dyDescent="0.45">
      <c r="B119" s="137" t="s">
        <v>386</v>
      </c>
      <c r="C119" s="305">
        <f t="shared" si="18"/>
        <v>0</v>
      </c>
      <c r="D119" s="453">
        <f t="shared" si="19"/>
        <v>0</v>
      </c>
      <c r="E119" s="189">
        <f t="shared" si="20"/>
        <v>0</v>
      </c>
      <c r="F119" s="189">
        <f t="shared" si="21"/>
        <v>0</v>
      </c>
    </row>
    <row r="120" spans="2:6" x14ac:dyDescent="0.45">
      <c r="B120" s="137" t="s">
        <v>387</v>
      </c>
      <c r="C120" s="305">
        <f t="shared" si="18"/>
        <v>16</v>
      </c>
      <c r="D120" s="453">
        <f t="shared" si="19"/>
        <v>0</v>
      </c>
      <c r="E120" s="189">
        <f t="shared" si="20"/>
        <v>0</v>
      </c>
      <c r="F120" s="189">
        <f t="shared" si="21"/>
        <v>0</v>
      </c>
    </row>
    <row r="121" spans="2:6" x14ac:dyDescent="0.45">
      <c r="B121" s="137" t="s">
        <v>388</v>
      </c>
      <c r="C121" s="305">
        <f t="shared" si="18"/>
        <v>16</v>
      </c>
      <c r="D121" s="453">
        <f t="shared" si="19"/>
        <v>0</v>
      </c>
      <c r="E121" s="189">
        <f t="shared" si="20"/>
        <v>0</v>
      </c>
      <c r="F121" s="189">
        <f t="shared" si="21"/>
        <v>0</v>
      </c>
    </row>
    <row r="122" spans="2:6" x14ac:dyDescent="0.45">
      <c r="B122" s="137" t="s">
        <v>390</v>
      </c>
      <c r="C122" s="305">
        <f t="shared" si="18"/>
        <v>0</v>
      </c>
      <c r="D122" s="453">
        <f t="shared" si="19"/>
        <v>0</v>
      </c>
      <c r="E122" s="189">
        <f t="shared" si="20"/>
        <v>0</v>
      </c>
      <c r="F122" s="189">
        <f t="shared" si="21"/>
        <v>0</v>
      </c>
    </row>
    <row r="123" spans="2:6" x14ac:dyDescent="0.45">
      <c r="B123" s="137" t="s">
        <v>391</v>
      </c>
      <c r="C123" s="305">
        <f t="shared" si="18"/>
        <v>13</v>
      </c>
      <c r="D123" s="453">
        <f t="shared" si="19"/>
        <v>0</v>
      </c>
      <c r="E123" s="189">
        <f t="shared" si="20"/>
        <v>0</v>
      </c>
      <c r="F123" s="189">
        <f t="shared" si="21"/>
        <v>0</v>
      </c>
    </row>
    <row r="124" spans="2:6" x14ac:dyDescent="0.45">
      <c r="B124" s="137" t="s">
        <v>419</v>
      </c>
      <c r="C124" s="305">
        <f t="shared" si="18"/>
        <v>0</v>
      </c>
      <c r="D124" s="453">
        <f t="shared" si="19"/>
        <v>0</v>
      </c>
      <c r="E124" s="189">
        <f t="shared" si="20"/>
        <v>0</v>
      </c>
      <c r="F124" s="189">
        <f t="shared" si="21"/>
        <v>0</v>
      </c>
    </row>
    <row r="125" spans="2:6" x14ac:dyDescent="0.45">
      <c r="B125" s="137" t="s">
        <v>420</v>
      </c>
      <c r="C125" s="305">
        <f t="shared" si="18"/>
        <v>0</v>
      </c>
      <c r="D125" s="453">
        <f t="shared" si="19"/>
        <v>0</v>
      </c>
      <c r="E125" s="189">
        <f t="shared" si="20"/>
        <v>0</v>
      </c>
      <c r="F125" s="189">
        <f t="shared" si="21"/>
        <v>0</v>
      </c>
    </row>
    <row r="126" spans="2:6" x14ac:dyDescent="0.45">
      <c r="B126" s="137" t="s">
        <v>421</v>
      </c>
      <c r="C126" s="305">
        <f t="shared" si="18"/>
        <v>0</v>
      </c>
      <c r="D126" s="453">
        <f t="shared" si="19"/>
        <v>0</v>
      </c>
      <c r="E126" s="189">
        <f t="shared" si="20"/>
        <v>0</v>
      </c>
      <c r="F126" s="189">
        <f t="shared" si="21"/>
        <v>0</v>
      </c>
    </row>
    <row r="127" spans="2:6" x14ac:dyDescent="0.45">
      <c r="B127" s="137" t="s">
        <v>422</v>
      </c>
      <c r="C127" s="305">
        <f t="shared" si="18"/>
        <v>0</v>
      </c>
      <c r="D127" s="453">
        <f t="shared" si="19"/>
        <v>0</v>
      </c>
      <c r="E127" s="189">
        <f t="shared" si="20"/>
        <v>0</v>
      </c>
      <c r="F127" s="189">
        <f t="shared" si="21"/>
        <v>0</v>
      </c>
    </row>
    <row r="128" spans="2:6" x14ac:dyDescent="0.45">
      <c r="B128" s="137" t="s">
        <v>569</v>
      </c>
      <c r="C128" s="305">
        <f t="shared" si="18"/>
        <v>0</v>
      </c>
      <c r="D128" s="453">
        <f t="shared" si="19"/>
        <v>0</v>
      </c>
      <c r="E128" s="189">
        <f t="shared" si="20"/>
        <v>0</v>
      </c>
      <c r="F128" s="189">
        <f t="shared" si="21"/>
        <v>0</v>
      </c>
    </row>
    <row r="129" spans="2:6" x14ac:dyDescent="0.45">
      <c r="B129" s="137" t="s">
        <v>570</v>
      </c>
      <c r="C129" s="305">
        <f t="shared" si="18"/>
        <v>0</v>
      </c>
      <c r="D129" s="453">
        <f t="shared" si="19"/>
        <v>0</v>
      </c>
      <c r="E129" s="189">
        <f t="shared" si="20"/>
        <v>0</v>
      </c>
      <c r="F129" s="189">
        <f t="shared" si="21"/>
        <v>0</v>
      </c>
    </row>
    <row r="130" spans="2:6" x14ac:dyDescent="0.45">
      <c r="B130" s="137" t="s">
        <v>571</v>
      </c>
      <c r="C130" s="305">
        <f t="shared" si="18"/>
        <v>0</v>
      </c>
      <c r="D130" s="453">
        <f t="shared" si="19"/>
        <v>0</v>
      </c>
      <c r="E130" s="189">
        <f t="shared" si="20"/>
        <v>0</v>
      </c>
      <c r="F130" s="189">
        <f t="shared" si="21"/>
        <v>0</v>
      </c>
    </row>
    <row r="131" spans="2:6" x14ac:dyDescent="0.45">
      <c r="B131" s="137" t="s">
        <v>572</v>
      </c>
      <c r="C131" s="305">
        <f t="shared" si="18"/>
        <v>0</v>
      </c>
      <c r="D131" s="453">
        <f t="shared" si="19"/>
        <v>0</v>
      </c>
      <c r="E131" s="189">
        <f t="shared" si="20"/>
        <v>0</v>
      </c>
      <c r="F131" s="189">
        <f t="shared" si="21"/>
        <v>0</v>
      </c>
    </row>
    <row r="132" spans="2:6" x14ac:dyDescent="0.45">
      <c r="C132" s="454">
        <f>SUM(C109:C131)</f>
        <v>75</v>
      </c>
      <c r="D132" s="455">
        <f t="shared" ref="D132:F132" si="22">SUM(D109:D131)</f>
        <v>0</v>
      </c>
      <c r="E132" s="455">
        <f t="shared" si="22"/>
        <v>0</v>
      </c>
      <c r="F132" s="455">
        <f t="shared" si="22"/>
        <v>0</v>
      </c>
    </row>
    <row r="133" spans="2:6" x14ac:dyDescent="0.45">
      <c r="E133" s="189">
        <f>D132-E132</f>
        <v>0</v>
      </c>
      <c r="F133" s="189" t="str">
        <f>IF(E133=F132,"OK","ERREUR")</f>
        <v>OK</v>
      </c>
    </row>
  </sheetData>
  <sheetProtection formatCells="0" formatColumns="0" formatRows="0" autoFilter="0"/>
  <autoFilter ref="A7:AB103" xr:uid="{5B5BBBDE-33E3-4462-B288-63EC9F5FA152}"/>
  <mergeCells count="4">
    <mergeCell ref="B3:D3"/>
    <mergeCell ref="I6:J6"/>
    <mergeCell ref="M6:O6"/>
    <mergeCell ref="Q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7" orientation="portrait" copies="1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301F-5957-4384-86A6-9D3EAA6B5D5B}">
  <sheetPr>
    <pageSetUpPr fitToPage="1"/>
  </sheetPr>
  <dimension ref="A2:AC88"/>
  <sheetViews>
    <sheetView showGridLines="0" topLeftCell="A63" workbookViewId="0">
      <selection activeCell="B63" sqref="B63:F88"/>
    </sheetView>
  </sheetViews>
  <sheetFormatPr baseColWidth="10" defaultColWidth="10.796875" defaultRowHeight="14.25" outlineLevelCol="1" x14ac:dyDescent="0.45"/>
  <cols>
    <col min="1" max="1" width="19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16384" width="10.796875" style="137"/>
  </cols>
  <sheetData>
    <row r="2" spans="1:29" ht="23.25" x14ac:dyDescent="0.45">
      <c r="A2" s="137" t="s">
        <v>18</v>
      </c>
      <c r="B2" s="251" t="s">
        <v>390</v>
      </c>
      <c r="C2" s="238"/>
      <c r="D2" s="238"/>
    </row>
    <row r="3" spans="1:29" ht="22.5" hidden="1" customHeight="1" x14ac:dyDescent="0.45">
      <c r="A3" s="137" t="s">
        <v>14</v>
      </c>
      <c r="B3" s="460">
        <v>45627</v>
      </c>
      <c r="C3" s="461"/>
      <c r="D3" s="461"/>
      <c r="E3" s="249"/>
      <c r="F3" s="249"/>
      <c r="G3" s="249"/>
      <c r="H3" s="140"/>
    </row>
    <row r="4" spans="1:29" ht="28.5" customHeight="1" x14ac:dyDescent="0.45">
      <c r="A4" s="137" t="s">
        <v>13</v>
      </c>
      <c r="B4" s="284" t="str">
        <f>VLOOKUP(B2,'Liste chauffeur'!$B$5:$L$18,2,TRUE)&amp;" "&amp;VLOOKUP(B2,'Liste chauffeur'!$B$5:$L$18,3,TRUE)</f>
        <v>AHAMADI Laydine</v>
      </c>
      <c r="C4" s="250"/>
      <c r="D4" s="250"/>
      <c r="E4" s="139"/>
      <c r="F4" s="139"/>
      <c r="G4" s="139"/>
      <c r="H4" s="140"/>
      <c r="J4" s="252"/>
      <c r="M4" s="252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62" t="s">
        <v>2</v>
      </c>
      <c r="J6" s="463"/>
      <c r="K6" s="319"/>
      <c r="L6" s="256"/>
      <c r="M6" s="459" t="s">
        <v>6</v>
      </c>
      <c r="N6" s="459"/>
      <c r="O6" s="459"/>
      <c r="P6" s="256"/>
      <c r="Q6" s="459" t="s">
        <v>7</v>
      </c>
      <c r="R6" s="459"/>
      <c r="S6" s="459"/>
      <c r="T6" s="256"/>
      <c r="U6" s="257"/>
      <c r="V6" s="283"/>
      <c r="W6" s="283" t="s">
        <v>350</v>
      </c>
      <c r="X6" s="257"/>
      <c r="Y6" s="257"/>
      <c r="Z6" s="257"/>
      <c r="AA6" s="257">
        <v>8</v>
      </c>
      <c r="AB6" s="257"/>
    </row>
    <row r="7" spans="1:29" ht="69.75" x14ac:dyDescent="0.45">
      <c r="A7" s="260"/>
      <c r="B7" s="261" t="s">
        <v>0</v>
      </c>
      <c r="C7" s="261" t="s">
        <v>334</v>
      </c>
      <c r="D7" s="261" t="s">
        <v>335</v>
      </c>
      <c r="E7" s="261" t="s">
        <v>1</v>
      </c>
      <c r="F7" s="261" t="s">
        <v>336</v>
      </c>
      <c r="G7" s="261" t="s">
        <v>337</v>
      </c>
      <c r="H7" s="261" t="s">
        <v>23</v>
      </c>
      <c r="I7" s="262" t="s">
        <v>130</v>
      </c>
      <c r="J7" s="262" t="s">
        <v>328</v>
      </c>
      <c r="K7" s="263" t="s">
        <v>5</v>
      </c>
      <c r="L7" s="263" t="s">
        <v>19</v>
      </c>
      <c r="M7" s="262" t="s">
        <v>130</v>
      </c>
      <c r="N7" s="262" t="s">
        <v>328</v>
      </c>
      <c r="O7" s="263" t="s">
        <v>9</v>
      </c>
      <c r="P7" s="263" t="s">
        <v>19</v>
      </c>
      <c r="Q7" s="262" t="s">
        <v>130</v>
      </c>
      <c r="R7" s="262" t="s">
        <v>328</v>
      </c>
      <c r="S7" s="264" t="s">
        <v>10</v>
      </c>
      <c r="T7" s="264" t="s">
        <v>19</v>
      </c>
      <c r="U7" s="264" t="s">
        <v>22</v>
      </c>
      <c r="V7" s="264"/>
      <c r="W7" s="261" t="s">
        <v>17</v>
      </c>
      <c r="X7" s="265" t="s">
        <v>12</v>
      </c>
      <c r="Y7" s="260" t="s">
        <v>20</v>
      </c>
      <c r="Z7" s="266" t="s">
        <v>38</v>
      </c>
      <c r="AA7" s="266" t="s">
        <v>39</v>
      </c>
      <c r="AB7" s="266" t="s">
        <v>40</v>
      </c>
      <c r="AC7" s="260"/>
    </row>
    <row r="8" spans="1:29" ht="36" customHeight="1" x14ac:dyDescent="0.45">
      <c r="A8" s="302" t="str">
        <f>'Horaire dimanche 1'!A8</f>
        <v>DOUJANI</v>
      </c>
      <c r="B8" s="303">
        <f>'Horaire dimanche 1'!B8</f>
        <v>0.33333333333333298</v>
      </c>
      <c r="C8" s="303" t="str">
        <f>'Horaire dimanche 1'!C8</f>
        <v>D12</v>
      </c>
      <c r="D8" s="268" t="str">
        <f>VLOOKUP(C8,'Liste chauffeur'!$B$5:$L$18,2,TRUE)&amp;" "&amp;VLOOKUP(C8,'Liste chauffeur'!$B$5:$L$18,3,TRUE)</f>
        <v>VELOU M'COLO M'Berou</v>
      </c>
      <c r="E8" s="308"/>
      <c r="F8" s="315">
        <f t="shared" ref="F8:F52" si="0">COUNTBLANK(E8)</f>
        <v>1</v>
      </c>
      <c r="G8" s="309"/>
      <c r="H8" s="308"/>
      <c r="I8" s="310"/>
      <c r="J8" s="310"/>
      <c r="K8" s="311"/>
      <c r="L8" s="311"/>
      <c r="M8" s="310"/>
      <c r="N8" s="310"/>
      <c r="O8" s="311"/>
      <c r="P8" s="311"/>
      <c r="Q8" s="310"/>
      <c r="R8" s="310"/>
      <c r="S8" s="312"/>
      <c r="T8" s="312"/>
      <c r="U8" s="312"/>
      <c r="V8" s="312"/>
      <c r="W8" s="308"/>
      <c r="X8" s="313"/>
      <c r="Y8" s="271" t="str">
        <f t="shared" ref="Y8:Y12" si="1">IF(F8=1,"",W8-E8)</f>
        <v/>
      </c>
      <c r="Z8" s="270">
        <f t="shared" ref="Z8:Z52" si="2">H8+J8-I8</f>
        <v>0</v>
      </c>
      <c r="AA8" s="270">
        <f t="shared" ref="AA8:AA42" si="3">IF(F8=1,0,AA$6)</f>
        <v>0</v>
      </c>
      <c r="AB8" s="272">
        <f t="shared" ref="AB8:AB42" si="4">IF(AA8=0,0,Z8/AA8)</f>
        <v>0</v>
      </c>
      <c r="AC8" s="260"/>
    </row>
    <row r="9" spans="1:29" ht="36" customHeight="1" x14ac:dyDescent="0.45">
      <c r="A9" s="302" t="str">
        <f>'Horaire dimanche 1'!A9</f>
        <v>PASSOT LA BARGE</v>
      </c>
      <c r="B9" s="303">
        <f>'Horaire dimanche 1'!B9</f>
        <v>0.35416666666666669</v>
      </c>
      <c r="C9" s="303" t="str">
        <f>'Horaire dimanche 1'!C9</f>
        <v>D12</v>
      </c>
      <c r="D9" s="268" t="str">
        <f>VLOOKUP(C9,'Liste chauffeur'!$B$5:$L$18,2,TRUE)&amp;" "&amp;VLOOKUP(C9,'Liste chauffeur'!$B$5:$L$18,3,TRUE)</f>
        <v>VELOU M'COLO M'Berou</v>
      </c>
      <c r="E9" s="308"/>
      <c r="F9" s="315">
        <f t="shared" si="0"/>
        <v>1</v>
      </c>
      <c r="G9" s="309"/>
      <c r="H9" s="308"/>
      <c r="I9" s="310"/>
      <c r="J9" s="310"/>
      <c r="K9" s="311"/>
      <c r="L9" s="311"/>
      <c r="M9" s="310"/>
      <c r="N9" s="310"/>
      <c r="O9" s="311"/>
      <c r="P9" s="311"/>
      <c r="Q9" s="310"/>
      <c r="R9" s="310"/>
      <c r="S9" s="312"/>
      <c r="T9" s="312"/>
      <c r="U9" s="312"/>
      <c r="V9" s="312"/>
      <c r="W9" s="308"/>
      <c r="X9" s="313"/>
      <c r="Y9" s="271" t="str">
        <f t="shared" si="1"/>
        <v/>
      </c>
      <c r="Z9" s="270">
        <f>H9+J9-I9</f>
        <v>0</v>
      </c>
      <c r="AA9" s="270">
        <f t="shared" si="3"/>
        <v>0</v>
      </c>
      <c r="AB9" s="272">
        <f t="shared" si="4"/>
        <v>0</v>
      </c>
      <c r="AC9" s="260"/>
    </row>
    <row r="10" spans="1:29" ht="36" customHeight="1" x14ac:dyDescent="0.45">
      <c r="A10" s="302" t="str">
        <f>'Horaire dimanche 1'!A10</f>
        <v>DOUJANI</v>
      </c>
      <c r="B10" s="303">
        <f>'Horaire dimanche 1'!B10</f>
        <v>0.35416666666666669</v>
      </c>
      <c r="C10" s="303" t="str">
        <f>'Horaire dimanche 1'!C10</f>
        <v>D7</v>
      </c>
      <c r="D10" s="268" t="str">
        <f>VLOOKUP(C10,'Liste chauffeur'!$B$5:$L$18,2,TRUE)&amp;" "&amp;VLOOKUP(C10,'Liste chauffeur'!$B$5:$L$18,3,TRUE)</f>
        <v>COMBO  Said</v>
      </c>
      <c r="E10" s="308"/>
      <c r="F10" s="315">
        <f t="shared" si="0"/>
        <v>1</v>
      </c>
      <c r="G10" s="309"/>
      <c r="H10" s="308"/>
      <c r="I10" s="310"/>
      <c r="J10" s="310"/>
      <c r="K10" s="311"/>
      <c r="L10" s="311"/>
      <c r="M10" s="310"/>
      <c r="N10" s="310"/>
      <c r="O10" s="311"/>
      <c r="P10" s="311"/>
      <c r="Q10" s="310"/>
      <c r="R10" s="310"/>
      <c r="S10" s="312"/>
      <c r="T10" s="312"/>
      <c r="U10" s="312"/>
      <c r="V10" s="312"/>
      <c r="W10" s="308"/>
      <c r="X10" s="313"/>
      <c r="Y10" s="271" t="str">
        <f t="shared" si="1"/>
        <v/>
      </c>
      <c r="Z10" s="270">
        <f t="shared" si="2"/>
        <v>0</v>
      </c>
      <c r="AA10" s="270">
        <f t="shared" si="3"/>
        <v>0</v>
      </c>
      <c r="AB10" s="272">
        <f t="shared" si="4"/>
        <v>0</v>
      </c>
      <c r="AC10" s="260"/>
    </row>
    <row r="11" spans="1:29" ht="36" customHeight="1" x14ac:dyDescent="0.45">
      <c r="A11" s="302" t="str">
        <f>'Horaire dimanche 1'!A11</f>
        <v>PASSOT LA BARGE</v>
      </c>
      <c r="B11" s="303">
        <f>'Horaire dimanche 1'!B11</f>
        <v>0.375</v>
      </c>
      <c r="C11" s="303" t="str">
        <f>'Horaire dimanche 1'!C11</f>
        <v>D7</v>
      </c>
      <c r="D11" s="268" t="str">
        <f>VLOOKUP(C11,'Liste chauffeur'!$B$5:$L$18,2,TRUE)&amp;" "&amp;VLOOKUP(C11,'Liste chauffeur'!$B$5:$L$18,3,TRUE)</f>
        <v>COMBO  Said</v>
      </c>
      <c r="E11" s="308"/>
      <c r="F11" s="315">
        <f t="shared" si="0"/>
        <v>1</v>
      </c>
      <c r="G11" s="309"/>
      <c r="H11" s="308"/>
      <c r="I11" s="310"/>
      <c r="J11" s="310"/>
      <c r="K11" s="311"/>
      <c r="L11" s="311"/>
      <c r="M11" s="310"/>
      <c r="N11" s="310"/>
      <c r="O11" s="311"/>
      <c r="P11" s="311"/>
      <c r="Q11" s="310"/>
      <c r="R11" s="310"/>
      <c r="S11" s="312"/>
      <c r="T11" s="312"/>
      <c r="U11" s="312"/>
      <c r="V11" s="312"/>
      <c r="W11" s="308"/>
      <c r="X11" s="313"/>
      <c r="Y11" s="271" t="str">
        <f t="shared" si="1"/>
        <v/>
      </c>
      <c r="Z11" s="270">
        <f t="shared" si="2"/>
        <v>0</v>
      </c>
      <c r="AA11" s="270">
        <f t="shared" si="3"/>
        <v>0</v>
      </c>
      <c r="AB11" s="272">
        <f t="shared" si="4"/>
        <v>0</v>
      </c>
      <c r="AC11" s="260"/>
    </row>
    <row r="12" spans="1:29" ht="36" customHeight="1" x14ac:dyDescent="0.45">
      <c r="A12" s="302" t="str">
        <f>'Horaire dimanche 1'!A12</f>
        <v>DOUJANI</v>
      </c>
      <c r="B12" s="303">
        <f>'Horaire dimanche 1'!B12</f>
        <v>0.375</v>
      </c>
      <c r="C12" s="303" t="str">
        <f>'Horaire dimanche 1'!C12</f>
        <v>D12</v>
      </c>
      <c r="D12" s="268" t="str">
        <f>VLOOKUP(C12,'Liste chauffeur'!$B$5:$L$18,2,TRUE)&amp;" "&amp;VLOOKUP(C12,'Liste chauffeur'!$B$5:$L$18,3,TRUE)</f>
        <v>VELOU M'COLO M'Berou</v>
      </c>
      <c r="E12" s="314"/>
      <c r="F12" s="315">
        <f t="shared" si="0"/>
        <v>1</v>
      </c>
      <c r="G12" s="315"/>
      <c r="H12" s="316"/>
      <c r="I12" s="316"/>
      <c r="J12" s="316"/>
      <c r="K12" s="314"/>
      <c r="L12" s="314">
        <f t="shared" ref="L12:L48" si="5">K12-E12</f>
        <v>0</v>
      </c>
      <c r="M12" s="316"/>
      <c r="N12" s="316"/>
      <c r="O12" s="314"/>
      <c r="P12" s="314">
        <f>O12-K12</f>
        <v>0</v>
      </c>
      <c r="Q12" s="316"/>
      <c r="R12" s="316"/>
      <c r="S12" s="314"/>
      <c r="T12" s="314">
        <f>S12-O12</f>
        <v>0</v>
      </c>
      <c r="U12" s="316"/>
      <c r="V12" s="316" t="str">
        <f>IF(H12-I12+J12-M12+N12-Q12+R12=U12,"OK",H12-I12+J12-M12+N12-Q12+R12-U12)</f>
        <v>OK</v>
      </c>
      <c r="W12" s="314"/>
      <c r="X12" s="317"/>
      <c r="Y12" s="271" t="str">
        <f t="shared" si="1"/>
        <v/>
      </c>
      <c r="Z12" s="270">
        <f t="shared" si="2"/>
        <v>0</v>
      </c>
      <c r="AA12" s="270">
        <f t="shared" si="3"/>
        <v>0</v>
      </c>
      <c r="AB12" s="272">
        <f t="shared" si="4"/>
        <v>0</v>
      </c>
      <c r="AC12" s="260"/>
    </row>
    <row r="13" spans="1:29" ht="36" customHeight="1" x14ac:dyDescent="0.45">
      <c r="A13" s="302" t="str">
        <f>'Horaire dimanche 1'!A13</f>
        <v>PASSOT LA BARGE</v>
      </c>
      <c r="B13" s="303">
        <f>'Horaire dimanche 1'!B13</f>
        <v>0.39583333333333331</v>
      </c>
      <c r="C13" s="303" t="str">
        <f>'Horaire dimanche 1'!C13</f>
        <v>D12</v>
      </c>
      <c r="D13" s="268" t="str">
        <f>VLOOKUP(C13,'Liste chauffeur'!$B$5:$L$18,2,TRUE)&amp;" "&amp;VLOOKUP(C13,'Liste chauffeur'!$B$5:$L$18,3,TRUE)</f>
        <v>VELOU M'COLO M'Berou</v>
      </c>
      <c r="E13" s="314"/>
      <c r="F13" s="315">
        <f t="shared" si="0"/>
        <v>1</v>
      </c>
      <c r="G13" s="315"/>
      <c r="H13" s="316"/>
      <c r="I13" s="316"/>
      <c r="J13" s="316"/>
      <c r="K13" s="314"/>
      <c r="L13" s="314">
        <f t="shared" si="5"/>
        <v>0</v>
      </c>
      <c r="M13" s="316"/>
      <c r="N13" s="316"/>
      <c r="O13" s="314"/>
      <c r="P13" s="314">
        <f t="shared" ref="P13:P34" si="6">O13-K13</f>
        <v>0</v>
      </c>
      <c r="Q13" s="316"/>
      <c r="R13" s="316"/>
      <c r="S13" s="314"/>
      <c r="T13" s="314">
        <f t="shared" ref="T13:T34" si="7">S13-O13</f>
        <v>0</v>
      </c>
      <c r="U13" s="316"/>
      <c r="V13" s="316"/>
      <c r="W13" s="314"/>
      <c r="X13" s="317"/>
      <c r="Y13" s="271" t="str">
        <f t="shared" ref="Y13:Y42" si="8">IF(F13=1,"",W13-E13)</f>
        <v/>
      </c>
      <c r="Z13" s="270">
        <f t="shared" si="2"/>
        <v>0</v>
      </c>
      <c r="AA13" s="270">
        <f t="shared" si="3"/>
        <v>0</v>
      </c>
      <c r="AB13" s="273">
        <f t="shared" si="4"/>
        <v>0</v>
      </c>
      <c r="AC13" s="260"/>
    </row>
    <row r="14" spans="1:29" ht="36" customHeight="1" x14ac:dyDescent="0.45">
      <c r="A14" s="302" t="str">
        <f>'Horaire dimanche 1'!A14</f>
        <v>DOUJANI</v>
      </c>
      <c r="B14" s="303">
        <f>'Horaire dimanche 1'!B14</f>
        <v>0.39583333333333331</v>
      </c>
      <c r="C14" s="303" t="str">
        <f>'Horaire dimanche 1'!C14</f>
        <v>D7</v>
      </c>
      <c r="D14" s="268" t="str">
        <f>VLOOKUP(C14,'Liste chauffeur'!$B$5:$L$18,2,TRUE)&amp;" "&amp;VLOOKUP(C14,'Liste chauffeur'!$B$5:$L$18,3,TRUE)</f>
        <v>COMBO  Said</v>
      </c>
      <c r="E14" s="314"/>
      <c r="F14" s="315">
        <f t="shared" si="0"/>
        <v>1</v>
      </c>
      <c r="G14" s="315"/>
      <c r="H14" s="316"/>
      <c r="I14" s="316"/>
      <c r="J14" s="316"/>
      <c r="K14" s="314"/>
      <c r="L14" s="314">
        <f t="shared" si="5"/>
        <v>0</v>
      </c>
      <c r="M14" s="316"/>
      <c r="N14" s="316"/>
      <c r="O14" s="314"/>
      <c r="P14" s="314">
        <f t="shared" si="6"/>
        <v>0</v>
      </c>
      <c r="Q14" s="316"/>
      <c r="R14" s="316"/>
      <c r="S14" s="314"/>
      <c r="T14" s="314">
        <f t="shared" si="7"/>
        <v>0</v>
      </c>
      <c r="U14" s="316"/>
      <c r="V14" s="316"/>
      <c r="W14" s="314"/>
      <c r="X14" s="317"/>
      <c r="Y14" s="271" t="str">
        <f t="shared" si="8"/>
        <v/>
      </c>
      <c r="Z14" s="270">
        <f t="shared" si="2"/>
        <v>0</v>
      </c>
      <c r="AA14" s="270">
        <f t="shared" si="3"/>
        <v>0</v>
      </c>
      <c r="AB14" s="273">
        <f t="shared" si="4"/>
        <v>0</v>
      </c>
      <c r="AC14" s="260"/>
    </row>
    <row r="15" spans="1:29" ht="36" customHeight="1" x14ac:dyDescent="0.45">
      <c r="A15" s="302" t="str">
        <f>'Horaire dimanche 1'!A15</f>
        <v>PASSOT LA BARGE</v>
      </c>
      <c r="B15" s="303">
        <f>'Horaire dimanche 1'!B15</f>
        <v>0.41666666666666669</v>
      </c>
      <c r="C15" s="303" t="str">
        <f>'Horaire dimanche 1'!C15</f>
        <v>D7</v>
      </c>
      <c r="D15" s="268" t="str">
        <f>VLOOKUP(C15,'Liste chauffeur'!$B$5:$L$18,2,TRUE)&amp;" "&amp;VLOOKUP(C15,'Liste chauffeur'!$B$5:$L$18,3,TRUE)</f>
        <v>COMBO  Said</v>
      </c>
      <c r="E15" s="314"/>
      <c r="F15" s="315">
        <f t="shared" si="0"/>
        <v>1</v>
      </c>
      <c r="G15" s="315"/>
      <c r="H15" s="316"/>
      <c r="I15" s="316"/>
      <c r="J15" s="316"/>
      <c r="K15" s="314"/>
      <c r="L15" s="314">
        <f t="shared" si="5"/>
        <v>0</v>
      </c>
      <c r="M15" s="316"/>
      <c r="N15" s="316"/>
      <c r="O15" s="314"/>
      <c r="P15" s="314">
        <f t="shared" si="6"/>
        <v>0</v>
      </c>
      <c r="Q15" s="316"/>
      <c r="R15" s="316"/>
      <c r="S15" s="314"/>
      <c r="T15" s="314">
        <f t="shared" si="7"/>
        <v>0</v>
      </c>
      <c r="U15" s="316"/>
      <c r="V15" s="316"/>
      <c r="W15" s="314"/>
      <c r="X15" s="317"/>
      <c r="Y15" s="271" t="str">
        <f t="shared" si="8"/>
        <v/>
      </c>
      <c r="Z15" s="270">
        <f t="shared" si="2"/>
        <v>0</v>
      </c>
      <c r="AA15" s="270">
        <f t="shared" si="3"/>
        <v>0</v>
      </c>
      <c r="AB15" s="273">
        <f t="shared" si="4"/>
        <v>0</v>
      </c>
      <c r="AC15" s="260"/>
    </row>
    <row r="16" spans="1:29" ht="36" customHeight="1" x14ac:dyDescent="0.45">
      <c r="A16" s="302" t="str">
        <f>'Horaire dimanche 1'!A16</f>
        <v>DOUJANI</v>
      </c>
      <c r="B16" s="303">
        <f>'Horaire dimanche 1'!B16</f>
        <v>0.41666666666666669</v>
      </c>
      <c r="C16" s="303" t="str">
        <f>'Horaire dimanche 1'!C16</f>
        <v>D12</v>
      </c>
      <c r="D16" s="268" t="str">
        <f>VLOOKUP(C16,'Liste chauffeur'!$B$5:$L$18,2,TRUE)&amp;" "&amp;VLOOKUP(C16,'Liste chauffeur'!$B$5:$L$18,3,TRUE)</f>
        <v>VELOU M'COLO M'Berou</v>
      </c>
      <c r="E16" s="314"/>
      <c r="F16" s="315">
        <f t="shared" si="0"/>
        <v>1</v>
      </c>
      <c r="G16" s="315"/>
      <c r="H16" s="316"/>
      <c r="I16" s="316"/>
      <c r="J16" s="316"/>
      <c r="K16" s="314"/>
      <c r="L16" s="314">
        <f t="shared" si="5"/>
        <v>0</v>
      </c>
      <c r="M16" s="316"/>
      <c r="N16" s="316"/>
      <c r="O16" s="314"/>
      <c r="P16" s="314">
        <f t="shared" si="6"/>
        <v>0</v>
      </c>
      <c r="Q16" s="316"/>
      <c r="R16" s="316"/>
      <c r="S16" s="314"/>
      <c r="T16" s="314">
        <f t="shared" si="7"/>
        <v>0</v>
      </c>
      <c r="U16" s="316"/>
      <c r="V16" s="316" t="str">
        <f t="shared" ref="V16:V47" si="9">IF(H16-I16+J16-M16+N16-Q16+R16=U16,"OK",H16-I16+J16-M16+N16-Q16+R16-U16)</f>
        <v>OK</v>
      </c>
      <c r="W16" s="314"/>
      <c r="X16" s="317"/>
      <c r="Y16" s="271" t="str">
        <f t="shared" si="8"/>
        <v/>
      </c>
      <c r="Z16" s="270">
        <f t="shared" si="2"/>
        <v>0</v>
      </c>
      <c r="AA16" s="270">
        <f t="shared" si="3"/>
        <v>0</v>
      </c>
      <c r="AB16" s="273">
        <f t="shared" si="4"/>
        <v>0</v>
      </c>
      <c r="AC16" s="260"/>
    </row>
    <row r="17" spans="1:29" ht="36" customHeight="1" x14ac:dyDescent="0.45">
      <c r="A17" s="302" t="str">
        <f>'Horaire dimanche 1'!A17</f>
        <v>PASSOT LA BARGE</v>
      </c>
      <c r="B17" s="303">
        <f>'Horaire dimanche 1'!B17</f>
        <v>0.4375</v>
      </c>
      <c r="C17" s="303" t="str">
        <f>'Horaire dimanche 1'!C17</f>
        <v>D12</v>
      </c>
      <c r="D17" s="268" t="str">
        <f>VLOOKUP(C17,'Liste chauffeur'!$B$5:$L$18,2,TRUE)&amp;" "&amp;VLOOKUP(C17,'Liste chauffeur'!$B$5:$L$18,3,TRUE)</f>
        <v>VELOU M'COLO M'Berou</v>
      </c>
      <c r="E17" s="314"/>
      <c r="F17" s="315">
        <f t="shared" si="0"/>
        <v>1</v>
      </c>
      <c r="G17" s="315"/>
      <c r="H17" s="316"/>
      <c r="I17" s="316"/>
      <c r="J17" s="316"/>
      <c r="K17" s="314"/>
      <c r="L17" s="314">
        <f t="shared" si="5"/>
        <v>0</v>
      </c>
      <c r="M17" s="316"/>
      <c r="N17" s="316"/>
      <c r="O17" s="314"/>
      <c r="P17" s="314">
        <f t="shared" si="6"/>
        <v>0</v>
      </c>
      <c r="Q17" s="316"/>
      <c r="R17" s="316"/>
      <c r="S17" s="314"/>
      <c r="T17" s="314">
        <f t="shared" si="7"/>
        <v>0</v>
      </c>
      <c r="U17" s="316"/>
      <c r="V17" s="316" t="str">
        <f t="shared" si="9"/>
        <v>OK</v>
      </c>
      <c r="W17" s="314"/>
      <c r="X17" s="317"/>
      <c r="Y17" s="271" t="str">
        <f t="shared" si="8"/>
        <v/>
      </c>
      <c r="Z17" s="270">
        <f t="shared" si="2"/>
        <v>0</v>
      </c>
      <c r="AA17" s="270">
        <f t="shared" si="3"/>
        <v>0</v>
      </c>
      <c r="AB17" s="273">
        <f t="shared" si="4"/>
        <v>0</v>
      </c>
      <c r="AC17" s="260"/>
    </row>
    <row r="18" spans="1:29" ht="36" customHeight="1" x14ac:dyDescent="0.45">
      <c r="A18" s="302" t="str">
        <f>'Horaire dimanche 1'!A18</f>
        <v>DOUJANI</v>
      </c>
      <c r="B18" s="303">
        <f>'Horaire dimanche 1'!B18</f>
        <v>0.4375</v>
      </c>
      <c r="C18" s="303" t="str">
        <f>'Horaire dimanche 1'!C18</f>
        <v>D7</v>
      </c>
      <c r="D18" s="304" t="str">
        <f>VLOOKUP(C18,'Liste chauffeur'!$B$5:$L$18,2,TRUE)&amp;" "&amp;VLOOKUP(C18,'Liste chauffeur'!$B$5:$L$18,3,TRUE)</f>
        <v>COMBO  Said</v>
      </c>
      <c r="E18" s="314"/>
      <c r="F18" s="315">
        <f t="shared" si="0"/>
        <v>1</v>
      </c>
      <c r="G18" s="315"/>
      <c r="H18" s="316"/>
      <c r="I18" s="316"/>
      <c r="J18" s="316"/>
      <c r="K18" s="314"/>
      <c r="L18" s="314"/>
      <c r="M18" s="316"/>
      <c r="N18" s="316"/>
      <c r="O18" s="314"/>
      <c r="P18" s="314"/>
      <c r="Q18" s="316"/>
      <c r="R18" s="316"/>
      <c r="S18" s="314"/>
      <c r="T18" s="314"/>
      <c r="U18" s="316"/>
      <c r="V18" s="316"/>
      <c r="W18" s="314"/>
      <c r="X18" s="317"/>
      <c r="Y18" s="271"/>
      <c r="Z18" s="270">
        <f t="shared" si="2"/>
        <v>0</v>
      </c>
      <c r="AA18" s="270">
        <f t="shared" si="3"/>
        <v>0</v>
      </c>
      <c r="AB18" s="273">
        <f t="shared" si="4"/>
        <v>0</v>
      </c>
      <c r="AC18" s="260"/>
    </row>
    <row r="19" spans="1:29" ht="36" customHeight="1" x14ac:dyDescent="0.45">
      <c r="A19" s="302" t="str">
        <f>'Horaire dimanche 1'!A19</f>
        <v>PASSOT LA BARGE</v>
      </c>
      <c r="B19" s="303">
        <f>'Horaire dimanche 1'!B19</f>
        <v>0.45833333333333331</v>
      </c>
      <c r="C19" s="303" t="str">
        <f>'Horaire dimanche 1'!C19</f>
        <v>D7</v>
      </c>
      <c r="D19" s="268" t="str">
        <f>VLOOKUP(C19,'Liste chauffeur'!$B$5:$L$18,2,TRUE)&amp;" "&amp;VLOOKUP(C19,'Liste chauffeur'!$B$5:$L$18,3,TRUE)</f>
        <v>COMBO  Said</v>
      </c>
      <c r="E19" s="314"/>
      <c r="F19" s="315">
        <f t="shared" si="0"/>
        <v>1</v>
      </c>
      <c r="G19" s="315"/>
      <c r="H19" s="316"/>
      <c r="I19" s="316"/>
      <c r="J19" s="316"/>
      <c r="K19" s="314"/>
      <c r="L19" s="314">
        <f t="shared" si="5"/>
        <v>0</v>
      </c>
      <c r="M19" s="316"/>
      <c r="N19" s="316"/>
      <c r="O19" s="314"/>
      <c r="P19" s="314">
        <f t="shared" si="6"/>
        <v>0</v>
      </c>
      <c r="Q19" s="316"/>
      <c r="R19" s="316"/>
      <c r="S19" s="314"/>
      <c r="T19" s="314">
        <f t="shared" si="7"/>
        <v>0</v>
      </c>
      <c r="U19" s="316"/>
      <c r="V19" s="316" t="str">
        <f t="shared" si="9"/>
        <v>OK</v>
      </c>
      <c r="W19" s="314"/>
      <c r="X19" s="317"/>
      <c r="Y19" s="271" t="str">
        <f t="shared" si="8"/>
        <v/>
      </c>
      <c r="Z19" s="270">
        <f t="shared" si="2"/>
        <v>0</v>
      </c>
      <c r="AA19" s="270">
        <f t="shared" si="3"/>
        <v>0</v>
      </c>
      <c r="AB19" s="273">
        <f t="shared" si="4"/>
        <v>0</v>
      </c>
      <c r="AC19" s="260"/>
    </row>
    <row r="20" spans="1:29" ht="36" customHeight="1" x14ac:dyDescent="0.45">
      <c r="A20" s="302" t="str">
        <f>'Horaire dimanche 1'!A20</f>
        <v>DOUJANI</v>
      </c>
      <c r="B20" s="303">
        <f>'Horaire dimanche 1'!B20</f>
        <v>0.45833333333333331</v>
      </c>
      <c r="C20" s="303" t="str">
        <f>'Horaire dimanche 1'!C20</f>
        <v>D12</v>
      </c>
      <c r="D20" s="268" t="str">
        <f>VLOOKUP(C20,'Liste chauffeur'!$B$5:$L$18,2,TRUE)&amp;" "&amp;VLOOKUP(C20,'Liste chauffeur'!$B$5:$L$18,3,TRUE)</f>
        <v>VELOU M'COLO M'Berou</v>
      </c>
      <c r="E20" s="314"/>
      <c r="F20" s="315">
        <f t="shared" si="0"/>
        <v>1</v>
      </c>
      <c r="G20" s="315"/>
      <c r="H20" s="316"/>
      <c r="I20" s="316"/>
      <c r="J20" s="316"/>
      <c r="K20" s="314"/>
      <c r="L20" s="314">
        <f t="shared" si="5"/>
        <v>0</v>
      </c>
      <c r="M20" s="316"/>
      <c r="N20" s="316"/>
      <c r="O20" s="314"/>
      <c r="P20" s="314">
        <f t="shared" si="6"/>
        <v>0</v>
      </c>
      <c r="Q20" s="316"/>
      <c r="R20" s="316"/>
      <c r="S20" s="314"/>
      <c r="T20" s="314">
        <f t="shared" si="7"/>
        <v>0</v>
      </c>
      <c r="U20" s="316"/>
      <c r="V20" s="316" t="str">
        <f t="shared" si="9"/>
        <v>OK</v>
      </c>
      <c r="W20" s="314"/>
      <c r="X20" s="317"/>
      <c r="Y20" s="271" t="str">
        <f t="shared" si="8"/>
        <v/>
      </c>
      <c r="Z20" s="270">
        <f t="shared" si="2"/>
        <v>0</v>
      </c>
      <c r="AA20" s="270">
        <f t="shared" si="3"/>
        <v>0</v>
      </c>
      <c r="AB20" s="273">
        <f t="shared" si="4"/>
        <v>0</v>
      </c>
      <c r="AC20" s="260"/>
    </row>
    <row r="21" spans="1:29" ht="36" customHeight="1" x14ac:dyDescent="0.45">
      <c r="A21" s="302" t="str">
        <f>'Horaire dimanche 1'!A21</f>
        <v>PASSOT LA BARGE</v>
      </c>
      <c r="B21" s="303">
        <f>'Horaire dimanche 1'!B21</f>
        <v>0.47916666666666669</v>
      </c>
      <c r="C21" s="303" t="str">
        <f>'Horaire dimanche 1'!C21</f>
        <v>D12</v>
      </c>
      <c r="D21" s="268" t="str">
        <f>VLOOKUP(C21,'Liste chauffeur'!$B$5:$L$18,2,TRUE)&amp;" "&amp;VLOOKUP(C21,'Liste chauffeur'!$B$5:$L$18,3,TRUE)</f>
        <v>VELOU M'COLO M'Berou</v>
      </c>
      <c r="E21" s="314"/>
      <c r="F21" s="315">
        <f t="shared" si="0"/>
        <v>1</v>
      </c>
      <c r="G21" s="315"/>
      <c r="H21" s="316"/>
      <c r="I21" s="316"/>
      <c r="J21" s="316"/>
      <c r="K21" s="314"/>
      <c r="L21" s="314">
        <f t="shared" si="5"/>
        <v>0</v>
      </c>
      <c r="M21" s="316"/>
      <c r="N21" s="316"/>
      <c r="O21" s="314"/>
      <c r="P21" s="314">
        <f t="shared" si="6"/>
        <v>0</v>
      </c>
      <c r="Q21" s="316"/>
      <c r="R21" s="316"/>
      <c r="S21" s="314"/>
      <c r="T21" s="314">
        <f t="shared" si="7"/>
        <v>0</v>
      </c>
      <c r="U21" s="316"/>
      <c r="V21" s="316" t="str">
        <f t="shared" si="9"/>
        <v>OK</v>
      </c>
      <c r="W21" s="314"/>
      <c r="X21" s="317"/>
      <c r="Y21" s="271" t="str">
        <f t="shared" si="8"/>
        <v/>
      </c>
      <c r="Z21" s="270">
        <f t="shared" si="2"/>
        <v>0</v>
      </c>
      <c r="AA21" s="270">
        <f t="shared" si="3"/>
        <v>0</v>
      </c>
      <c r="AB21" s="273">
        <f t="shared" si="4"/>
        <v>0</v>
      </c>
      <c r="AC21" s="260"/>
    </row>
    <row r="22" spans="1:29" ht="36" customHeight="1" x14ac:dyDescent="0.45">
      <c r="A22" s="302" t="str">
        <f>'Horaire dimanche 1'!A22</f>
        <v>DOUJANI</v>
      </c>
      <c r="B22" s="303">
        <f>'Horaire dimanche 1'!B22</f>
        <v>0.47916666666666669</v>
      </c>
      <c r="C22" s="303" t="str">
        <f>'Horaire dimanche 1'!C22</f>
        <v>D7</v>
      </c>
      <c r="D22" s="268" t="str">
        <f>VLOOKUP(C22,'Liste chauffeur'!$B$5:$L$18,2,TRUE)&amp;" "&amp;VLOOKUP(C22,'Liste chauffeur'!$B$5:$L$18,3,TRUE)</f>
        <v>COMBO  Said</v>
      </c>
      <c r="E22" s="314"/>
      <c r="F22" s="315">
        <f t="shared" si="0"/>
        <v>1</v>
      </c>
      <c r="G22" s="315"/>
      <c r="H22" s="316"/>
      <c r="I22" s="316"/>
      <c r="J22" s="316"/>
      <c r="K22" s="314"/>
      <c r="L22" s="314">
        <f t="shared" si="5"/>
        <v>0</v>
      </c>
      <c r="M22" s="316"/>
      <c r="N22" s="316"/>
      <c r="O22" s="314"/>
      <c r="P22" s="314">
        <f t="shared" si="6"/>
        <v>0</v>
      </c>
      <c r="Q22" s="316"/>
      <c r="R22" s="316"/>
      <c r="S22" s="314"/>
      <c r="T22" s="314">
        <f t="shared" si="7"/>
        <v>0</v>
      </c>
      <c r="U22" s="316"/>
      <c r="V22" s="316" t="str">
        <f t="shared" si="9"/>
        <v>OK</v>
      </c>
      <c r="W22" s="314"/>
      <c r="X22" s="317"/>
      <c r="Y22" s="271" t="str">
        <f t="shared" si="8"/>
        <v/>
      </c>
      <c r="Z22" s="270">
        <f t="shared" si="2"/>
        <v>0</v>
      </c>
      <c r="AA22" s="270">
        <f t="shared" si="3"/>
        <v>0</v>
      </c>
      <c r="AB22" s="273">
        <f t="shared" si="4"/>
        <v>0</v>
      </c>
      <c r="AC22" s="260"/>
    </row>
    <row r="23" spans="1:29" ht="36" customHeight="1" x14ac:dyDescent="0.45">
      <c r="A23" s="302" t="str">
        <f>'Horaire dimanche 1'!A23</f>
        <v>PASSOT LA BARGE</v>
      </c>
      <c r="B23" s="303">
        <f>'Horaire dimanche 1'!B23</f>
        <v>0.5</v>
      </c>
      <c r="C23" s="303" t="str">
        <f>'Horaire dimanche 1'!C23</f>
        <v>D7</v>
      </c>
      <c r="D23" s="268" t="str">
        <f>VLOOKUP(C23,'Liste chauffeur'!$B$5:$L$18,2,TRUE)&amp;" "&amp;VLOOKUP(C23,'Liste chauffeur'!$B$5:$L$18,3,TRUE)</f>
        <v>COMBO  Said</v>
      </c>
      <c r="E23" s="314"/>
      <c r="F23" s="315">
        <f t="shared" si="0"/>
        <v>1</v>
      </c>
      <c r="G23" s="315"/>
      <c r="H23" s="316"/>
      <c r="I23" s="316"/>
      <c r="J23" s="316"/>
      <c r="K23" s="314"/>
      <c r="L23" s="314">
        <f t="shared" si="5"/>
        <v>0</v>
      </c>
      <c r="M23" s="316"/>
      <c r="N23" s="316"/>
      <c r="O23" s="314"/>
      <c r="P23" s="314">
        <f t="shared" si="6"/>
        <v>0</v>
      </c>
      <c r="Q23" s="316"/>
      <c r="R23" s="316"/>
      <c r="S23" s="314"/>
      <c r="T23" s="314">
        <f t="shared" si="7"/>
        <v>0</v>
      </c>
      <c r="U23" s="316"/>
      <c r="V23" s="316" t="str">
        <f t="shared" si="9"/>
        <v>OK</v>
      </c>
      <c r="W23" s="314"/>
      <c r="X23" s="317"/>
      <c r="Y23" s="271" t="str">
        <f t="shared" si="8"/>
        <v/>
      </c>
      <c r="Z23" s="270">
        <f t="shared" si="2"/>
        <v>0</v>
      </c>
      <c r="AA23" s="270">
        <f t="shared" si="3"/>
        <v>0</v>
      </c>
      <c r="AB23" s="273">
        <f t="shared" si="4"/>
        <v>0</v>
      </c>
      <c r="AC23" s="260"/>
    </row>
    <row r="24" spans="1:29" ht="36" customHeight="1" x14ac:dyDescent="0.45">
      <c r="A24" s="302" t="str">
        <f>'Horaire dimanche 1'!A24</f>
        <v>DOUJANI</v>
      </c>
      <c r="B24" s="303">
        <f>'Horaire dimanche 1'!B24</f>
        <v>0.5</v>
      </c>
      <c r="C24" s="303" t="str">
        <f>'Horaire dimanche 1'!C24</f>
        <v>D12</v>
      </c>
      <c r="D24" s="268" t="str">
        <f>VLOOKUP(C24,'Liste chauffeur'!$B$5:$L$18,2,TRUE)&amp;" "&amp;VLOOKUP(C24,'Liste chauffeur'!$B$5:$L$18,3,TRUE)</f>
        <v>VELOU M'COLO M'Berou</v>
      </c>
      <c r="E24" s="314"/>
      <c r="F24" s="315">
        <f t="shared" si="0"/>
        <v>1</v>
      </c>
      <c r="G24" s="315"/>
      <c r="H24" s="316"/>
      <c r="I24" s="316"/>
      <c r="J24" s="316"/>
      <c r="K24" s="314"/>
      <c r="L24" s="314">
        <f t="shared" si="5"/>
        <v>0</v>
      </c>
      <c r="M24" s="316"/>
      <c r="N24" s="316"/>
      <c r="O24" s="314"/>
      <c r="P24" s="314">
        <f t="shared" si="6"/>
        <v>0</v>
      </c>
      <c r="Q24" s="316"/>
      <c r="R24" s="316"/>
      <c r="S24" s="314"/>
      <c r="T24" s="314">
        <f t="shared" si="7"/>
        <v>0</v>
      </c>
      <c r="U24" s="316"/>
      <c r="V24" s="316" t="str">
        <f t="shared" si="9"/>
        <v>OK</v>
      </c>
      <c r="W24" s="314"/>
      <c r="X24" s="317"/>
      <c r="Y24" s="271" t="str">
        <f t="shared" si="8"/>
        <v/>
      </c>
      <c r="Z24" s="270">
        <f t="shared" si="2"/>
        <v>0</v>
      </c>
      <c r="AA24" s="270">
        <f t="shared" si="3"/>
        <v>0</v>
      </c>
      <c r="AB24" s="273">
        <f t="shared" si="4"/>
        <v>0</v>
      </c>
      <c r="AC24" s="260"/>
    </row>
    <row r="25" spans="1:29" ht="36" customHeight="1" x14ac:dyDescent="0.45">
      <c r="A25" s="302"/>
      <c r="B25" s="447" t="s">
        <v>567</v>
      </c>
      <c r="C25" s="447"/>
      <c r="D25" s="282"/>
      <c r="E25" s="448"/>
      <c r="F25" s="449">
        <f>SUM(F8:F24)</f>
        <v>17</v>
      </c>
      <c r="G25" s="449">
        <f>SUM(G8:G24)</f>
        <v>0</v>
      </c>
      <c r="H25" s="450"/>
      <c r="I25" s="450"/>
      <c r="J25" s="450"/>
      <c r="K25" s="448"/>
      <c r="L25" s="448"/>
      <c r="M25" s="450"/>
      <c r="N25" s="450"/>
      <c r="O25" s="448"/>
      <c r="P25" s="448"/>
      <c r="Q25" s="450"/>
      <c r="R25" s="450"/>
      <c r="S25" s="448"/>
      <c r="T25" s="448"/>
      <c r="U25" s="450"/>
      <c r="V25" s="450"/>
      <c r="W25" s="448"/>
      <c r="X25" s="451"/>
      <c r="Y25" s="276" t="e">
        <f>AVERAGE(Y8:Y24)</f>
        <v>#DIV/0!</v>
      </c>
      <c r="Z25" s="258">
        <f>SUM(Z8:Z24)</f>
        <v>0</v>
      </c>
      <c r="AA25" s="258">
        <f>SUM(AA8:AA24)</f>
        <v>0</v>
      </c>
      <c r="AB25" s="452">
        <f t="shared" si="4"/>
        <v>0</v>
      </c>
      <c r="AC25" s="260"/>
    </row>
    <row r="26" spans="1:29" ht="36" customHeight="1" x14ac:dyDescent="0.45">
      <c r="A26" s="302" t="str">
        <f>'Horaire dimanche 1'!A25</f>
        <v>PASSOT LA BARGE</v>
      </c>
      <c r="B26" s="303">
        <f>'Horaire dimanche 1'!B25</f>
        <v>0.52083333333333337</v>
      </c>
      <c r="C26" s="303" t="str">
        <f>'Horaire dimanche 1'!C25</f>
        <v>D12</v>
      </c>
      <c r="D26" s="268" t="str">
        <f>VLOOKUP(C26,'Liste chauffeur'!$B$5:$L$18,2,TRUE)&amp;" "&amp;VLOOKUP(C26,'Liste chauffeur'!$B$5:$L$18,3,TRUE)</f>
        <v>VELOU M'COLO M'Berou</v>
      </c>
      <c r="E26" s="314"/>
      <c r="F26" s="315">
        <f t="shared" si="0"/>
        <v>1</v>
      </c>
      <c r="G26" s="315"/>
      <c r="H26" s="316"/>
      <c r="I26" s="316"/>
      <c r="J26" s="316"/>
      <c r="K26" s="314"/>
      <c r="L26" s="314"/>
      <c r="M26" s="316"/>
      <c r="N26" s="316"/>
      <c r="O26" s="314"/>
      <c r="P26" s="314"/>
      <c r="Q26" s="316"/>
      <c r="R26" s="316"/>
      <c r="S26" s="314"/>
      <c r="T26" s="314"/>
      <c r="U26" s="316"/>
      <c r="V26" s="316"/>
      <c r="W26" s="314"/>
      <c r="X26" s="317"/>
      <c r="Y26" s="271"/>
      <c r="Z26" s="270">
        <f t="shared" si="2"/>
        <v>0</v>
      </c>
      <c r="AA26" s="270">
        <f t="shared" si="3"/>
        <v>0</v>
      </c>
      <c r="AB26" s="273">
        <f t="shared" si="4"/>
        <v>0</v>
      </c>
      <c r="AC26" s="260"/>
    </row>
    <row r="27" spans="1:29" ht="36" customHeight="1" x14ac:dyDescent="0.45">
      <c r="A27" s="302" t="str">
        <f>'Horaire dimanche 1'!A26</f>
        <v>DOUJANI</v>
      </c>
      <c r="B27" s="303">
        <f>'Horaire dimanche 1'!B26</f>
        <v>0.52083333333333337</v>
      </c>
      <c r="C27" s="303" t="str">
        <f>'Horaire dimanche 1'!C26</f>
        <v>D7</v>
      </c>
      <c r="D27" s="268" t="str">
        <f>VLOOKUP(C27,'Liste chauffeur'!$B$5:$L$18,2,TRUE)&amp;" "&amp;VLOOKUP(C27,'Liste chauffeur'!$B$5:$L$18,3,TRUE)</f>
        <v>COMBO  Said</v>
      </c>
      <c r="E27" s="314"/>
      <c r="F27" s="315">
        <f t="shared" si="0"/>
        <v>1</v>
      </c>
      <c r="G27" s="315"/>
      <c r="H27" s="316"/>
      <c r="I27" s="316"/>
      <c r="J27" s="316"/>
      <c r="K27" s="314"/>
      <c r="L27" s="314">
        <f t="shared" si="5"/>
        <v>0</v>
      </c>
      <c r="M27" s="316"/>
      <c r="N27" s="316"/>
      <c r="O27" s="314"/>
      <c r="P27" s="314">
        <f t="shared" si="6"/>
        <v>0</v>
      </c>
      <c r="Q27" s="316"/>
      <c r="R27" s="316"/>
      <c r="S27" s="314"/>
      <c r="T27" s="314">
        <f t="shared" si="7"/>
        <v>0</v>
      </c>
      <c r="U27" s="316"/>
      <c r="V27" s="316" t="str">
        <f t="shared" si="9"/>
        <v>OK</v>
      </c>
      <c r="W27" s="314"/>
      <c r="X27" s="317"/>
      <c r="Y27" s="271" t="str">
        <f t="shared" si="8"/>
        <v/>
      </c>
      <c r="Z27" s="270">
        <f t="shared" si="2"/>
        <v>0</v>
      </c>
      <c r="AA27" s="270">
        <f t="shared" si="3"/>
        <v>0</v>
      </c>
      <c r="AB27" s="273">
        <f t="shared" si="4"/>
        <v>0</v>
      </c>
      <c r="AC27" s="260"/>
    </row>
    <row r="28" spans="1:29" ht="36" customHeight="1" x14ac:dyDescent="0.45">
      <c r="A28" s="302" t="str">
        <f>'Horaire dimanche 1'!A27</f>
        <v>PASSOT LA BARGE</v>
      </c>
      <c r="B28" s="303">
        <f>'Horaire dimanche 1'!B27</f>
        <v>0.54166666666666663</v>
      </c>
      <c r="C28" s="303" t="str">
        <f>'Horaire dimanche 1'!C27</f>
        <v>D7</v>
      </c>
      <c r="D28" s="268" t="str">
        <f>VLOOKUP(C28,'Liste chauffeur'!$B$5:$L$18,2,TRUE)&amp;" "&amp;VLOOKUP(C28,'Liste chauffeur'!$B$5:$L$18,3,TRUE)</f>
        <v>COMBO  Said</v>
      </c>
      <c r="E28" s="314"/>
      <c r="F28" s="315">
        <f t="shared" si="0"/>
        <v>1</v>
      </c>
      <c r="G28" s="315"/>
      <c r="H28" s="316"/>
      <c r="I28" s="316"/>
      <c r="J28" s="316"/>
      <c r="K28" s="314"/>
      <c r="L28" s="314">
        <f t="shared" si="5"/>
        <v>0</v>
      </c>
      <c r="M28" s="316"/>
      <c r="N28" s="316"/>
      <c r="O28" s="314"/>
      <c r="P28" s="314">
        <f t="shared" si="6"/>
        <v>0</v>
      </c>
      <c r="Q28" s="316"/>
      <c r="R28" s="316"/>
      <c r="S28" s="314"/>
      <c r="T28" s="314">
        <f t="shared" si="7"/>
        <v>0</v>
      </c>
      <c r="U28" s="316"/>
      <c r="V28" s="316" t="str">
        <f t="shared" si="9"/>
        <v>OK</v>
      </c>
      <c r="W28" s="314"/>
      <c r="X28" s="317"/>
      <c r="Y28" s="271" t="str">
        <f t="shared" si="8"/>
        <v/>
      </c>
      <c r="Z28" s="270">
        <f t="shared" si="2"/>
        <v>0</v>
      </c>
      <c r="AA28" s="270">
        <f t="shared" si="3"/>
        <v>0</v>
      </c>
      <c r="AB28" s="273">
        <f t="shared" si="4"/>
        <v>0</v>
      </c>
      <c r="AC28" s="260"/>
    </row>
    <row r="29" spans="1:29" ht="36" customHeight="1" x14ac:dyDescent="0.45">
      <c r="A29" s="302" t="str">
        <f>'Horaire dimanche 1'!A28</f>
        <v>DOUJANI</v>
      </c>
      <c r="B29" s="303">
        <f>'Horaire dimanche 1'!B28</f>
        <v>0.54166666666666663</v>
      </c>
      <c r="C29" s="303" t="str">
        <f>'Horaire dimanche 1'!C28</f>
        <v>D12</v>
      </c>
      <c r="D29" s="268" t="str">
        <f>VLOOKUP(C29,'Liste chauffeur'!$B$5:$L$18,2,TRUE)&amp;" "&amp;VLOOKUP(C29,'Liste chauffeur'!$B$5:$L$18,3,TRUE)</f>
        <v>VELOU M'COLO M'Berou</v>
      </c>
      <c r="E29" s="314"/>
      <c r="F29" s="315">
        <f t="shared" si="0"/>
        <v>1</v>
      </c>
      <c r="G29" s="315"/>
      <c r="H29" s="316"/>
      <c r="I29" s="316"/>
      <c r="J29" s="316"/>
      <c r="K29" s="314"/>
      <c r="L29" s="314">
        <f t="shared" si="5"/>
        <v>0</v>
      </c>
      <c r="M29" s="316"/>
      <c r="N29" s="316"/>
      <c r="O29" s="314"/>
      <c r="P29" s="314">
        <f t="shared" si="6"/>
        <v>0</v>
      </c>
      <c r="Q29" s="316"/>
      <c r="R29" s="316"/>
      <c r="S29" s="314"/>
      <c r="T29" s="314">
        <f t="shared" si="7"/>
        <v>0</v>
      </c>
      <c r="U29" s="316"/>
      <c r="V29" s="316" t="str">
        <f t="shared" si="9"/>
        <v>OK</v>
      </c>
      <c r="W29" s="314"/>
      <c r="X29" s="317"/>
      <c r="Y29" s="271" t="str">
        <f t="shared" si="8"/>
        <v/>
      </c>
      <c r="Z29" s="270">
        <f t="shared" si="2"/>
        <v>0</v>
      </c>
      <c r="AA29" s="270">
        <f t="shared" si="3"/>
        <v>0</v>
      </c>
      <c r="AB29" s="273">
        <f t="shared" si="4"/>
        <v>0</v>
      </c>
      <c r="AC29" s="260"/>
    </row>
    <row r="30" spans="1:29" ht="36" customHeight="1" x14ac:dyDescent="0.45">
      <c r="A30" s="302" t="str">
        <f>'Horaire dimanche 1'!A29</f>
        <v>PASSOT LA BARGE</v>
      </c>
      <c r="B30" s="303">
        <f>'Horaire dimanche 1'!B29</f>
        <v>0.5625</v>
      </c>
      <c r="C30" s="303" t="str">
        <f>'Horaire dimanche 1'!C29</f>
        <v>D14</v>
      </c>
      <c r="D30" s="268" t="str">
        <f>VLOOKUP(C30,'Liste chauffeur'!$B$5:$L$18,2,TRUE)&amp;" "&amp;VLOOKUP(C30,'Liste chauffeur'!$B$5:$L$18,3,TRUE)</f>
        <v>AHAMADI Laydine</v>
      </c>
      <c r="E30" s="314"/>
      <c r="F30" s="315">
        <f t="shared" si="0"/>
        <v>1</v>
      </c>
      <c r="G30" s="315"/>
      <c r="H30" s="316"/>
      <c r="I30" s="316"/>
      <c r="J30" s="316"/>
      <c r="K30" s="314"/>
      <c r="L30" s="314">
        <f t="shared" si="5"/>
        <v>0</v>
      </c>
      <c r="M30" s="316"/>
      <c r="N30" s="316"/>
      <c r="O30" s="314"/>
      <c r="P30" s="314">
        <f t="shared" si="6"/>
        <v>0</v>
      </c>
      <c r="Q30" s="316"/>
      <c r="R30" s="316"/>
      <c r="S30" s="314"/>
      <c r="T30" s="314">
        <f t="shared" si="7"/>
        <v>0</v>
      </c>
      <c r="U30" s="316"/>
      <c r="V30" s="316" t="str">
        <f t="shared" si="9"/>
        <v>OK</v>
      </c>
      <c r="W30" s="314"/>
      <c r="X30" s="317"/>
      <c r="Y30" s="271" t="str">
        <f t="shared" si="8"/>
        <v/>
      </c>
      <c r="Z30" s="270">
        <f t="shared" si="2"/>
        <v>0</v>
      </c>
      <c r="AA30" s="270">
        <f t="shared" si="3"/>
        <v>0</v>
      </c>
      <c r="AB30" s="273">
        <f t="shared" si="4"/>
        <v>0</v>
      </c>
      <c r="AC30" s="260"/>
    </row>
    <row r="31" spans="1:29" ht="36" customHeight="1" x14ac:dyDescent="0.45">
      <c r="A31" s="302" t="str">
        <f>'Horaire dimanche 1'!A30</f>
        <v>DOUJANI</v>
      </c>
      <c r="B31" s="303">
        <f>'Horaire dimanche 1'!B30</f>
        <v>0.5625</v>
      </c>
      <c r="C31" s="303" t="str">
        <f>'Horaire dimanche 1'!C30</f>
        <v>D7</v>
      </c>
      <c r="D31" s="268" t="str">
        <f>VLOOKUP(C31,'Liste chauffeur'!$B$5:$L$18,2,TRUE)&amp;" "&amp;VLOOKUP(C31,'Liste chauffeur'!$B$5:$L$18,3,TRUE)</f>
        <v>COMBO  Said</v>
      </c>
      <c r="E31" s="314"/>
      <c r="F31" s="315">
        <f t="shared" si="0"/>
        <v>1</v>
      </c>
      <c r="G31" s="315"/>
      <c r="H31" s="316"/>
      <c r="I31" s="316"/>
      <c r="J31" s="316"/>
      <c r="K31" s="314"/>
      <c r="L31" s="314">
        <f t="shared" si="5"/>
        <v>0</v>
      </c>
      <c r="M31" s="316"/>
      <c r="N31" s="316"/>
      <c r="O31" s="314"/>
      <c r="P31" s="314">
        <f t="shared" si="6"/>
        <v>0</v>
      </c>
      <c r="Q31" s="316"/>
      <c r="R31" s="316"/>
      <c r="S31" s="314"/>
      <c r="T31" s="314">
        <f t="shared" si="7"/>
        <v>0</v>
      </c>
      <c r="U31" s="316"/>
      <c r="V31" s="316" t="str">
        <f t="shared" si="9"/>
        <v>OK</v>
      </c>
      <c r="W31" s="314"/>
      <c r="X31" s="317"/>
      <c r="Y31" s="271" t="str">
        <f t="shared" si="8"/>
        <v/>
      </c>
      <c r="Z31" s="270">
        <f t="shared" si="2"/>
        <v>0</v>
      </c>
      <c r="AA31" s="270">
        <f t="shared" si="3"/>
        <v>0</v>
      </c>
      <c r="AB31" s="273">
        <f t="shared" si="4"/>
        <v>0</v>
      </c>
      <c r="AC31" s="260"/>
    </row>
    <row r="32" spans="1:29" ht="36" customHeight="1" x14ac:dyDescent="0.45">
      <c r="A32" s="302" t="str">
        <f>'Horaire dimanche 1'!A31</f>
        <v>PASSOT LA BARGE</v>
      </c>
      <c r="B32" s="303">
        <f>'Horaire dimanche 1'!B31</f>
        <v>0.58333333333333337</v>
      </c>
      <c r="C32" s="303" t="str">
        <f>'Horaire dimanche 1'!C31</f>
        <v>D13</v>
      </c>
      <c r="D32" s="268" t="str">
        <f>VLOOKUP(C32,'Liste chauffeur'!$B$5:$L$18,2,TRUE)&amp;" "&amp;VLOOKUP(C32,'Liste chauffeur'!$B$5:$L$18,3,TRUE)</f>
        <v>MOURIDI Aktoir</v>
      </c>
      <c r="E32" s="314"/>
      <c r="F32" s="315">
        <f t="shared" si="0"/>
        <v>1</v>
      </c>
      <c r="G32" s="315"/>
      <c r="H32" s="316"/>
      <c r="I32" s="316"/>
      <c r="J32" s="316"/>
      <c r="K32" s="314"/>
      <c r="L32" s="314">
        <f t="shared" si="5"/>
        <v>0</v>
      </c>
      <c r="M32" s="316"/>
      <c r="N32" s="316"/>
      <c r="O32" s="314"/>
      <c r="P32" s="314">
        <f t="shared" si="6"/>
        <v>0</v>
      </c>
      <c r="Q32" s="316"/>
      <c r="R32" s="316"/>
      <c r="S32" s="314"/>
      <c r="T32" s="314">
        <f t="shared" si="7"/>
        <v>0</v>
      </c>
      <c r="U32" s="316"/>
      <c r="V32" s="316" t="str">
        <f t="shared" si="9"/>
        <v>OK</v>
      </c>
      <c r="W32" s="314"/>
      <c r="X32" s="317"/>
      <c r="Y32" s="271" t="str">
        <f t="shared" si="8"/>
        <v/>
      </c>
      <c r="Z32" s="270">
        <f t="shared" si="2"/>
        <v>0</v>
      </c>
      <c r="AA32" s="270">
        <f t="shared" si="3"/>
        <v>0</v>
      </c>
      <c r="AB32" s="273">
        <f t="shared" si="4"/>
        <v>0</v>
      </c>
      <c r="AC32" s="260"/>
    </row>
    <row r="33" spans="1:29" ht="36" customHeight="1" x14ac:dyDescent="0.45">
      <c r="A33" s="302" t="str">
        <f>'Horaire dimanche 1'!A32</f>
        <v>DOUJANI</v>
      </c>
      <c r="B33" s="303">
        <f>'Horaire dimanche 1'!B32</f>
        <v>0.58333333333333337</v>
      </c>
      <c r="C33" s="303" t="str">
        <f>'Horaire dimanche 1'!C32</f>
        <v>D14</v>
      </c>
      <c r="D33" s="268" t="str">
        <f>VLOOKUP(C33,'Liste chauffeur'!$B$5:$L$18,2,TRUE)&amp;" "&amp;VLOOKUP(C33,'Liste chauffeur'!$B$5:$L$18,3,TRUE)</f>
        <v>AHAMADI Laydine</v>
      </c>
      <c r="E33" s="314"/>
      <c r="F33" s="315">
        <f t="shared" si="0"/>
        <v>1</v>
      </c>
      <c r="G33" s="315"/>
      <c r="H33" s="316"/>
      <c r="I33" s="316"/>
      <c r="J33" s="316"/>
      <c r="K33" s="314"/>
      <c r="L33" s="314"/>
      <c r="M33" s="316"/>
      <c r="N33" s="316"/>
      <c r="O33" s="314"/>
      <c r="P33" s="314"/>
      <c r="Q33" s="316"/>
      <c r="R33" s="316"/>
      <c r="S33" s="314"/>
      <c r="T33" s="314"/>
      <c r="U33" s="316"/>
      <c r="V33" s="316"/>
      <c r="W33" s="314"/>
      <c r="X33" s="317"/>
      <c r="Y33" s="271"/>
      <c r="Z33" s="270">
        <f t="shared" si="2"/>
        <v>0</v>
      </c>
      <c r="AA33" s="270">
        <f t="shared" si="3"/>
        <v>0</v>
      </c>
      <c r="AB33" s="273">
        <f t="shared" si="4"/>
        <v>0</v>
      </c>
      <c r="AC33" s="260"/>
    </row>
    <row r="34" spans="1:29" ht="36" customHeight="1" x14ac:dyDescent="0.45">
      <c r="A34" s="302" t="str">
        <f>'Horaire dimanche 1'!A33</f>
        <v>PASSOT LA BARGE</v>
      </c>
      <c r="B34" s="303">
        <f>'Horaire dimanche 1'!B33</f>
        <v>0.60416666666666663</v>
      </c>
      <c r="C34" s="303" t="str">
        <f>'Horaire dimanche 1'!C33</f>
        <v>D14</v>
      </c>
      <c r="D34" s="268" t="str">
        <f>VLOOKUP(C34,'Liste chauffeur'!$B$5:$L$18,2,TRUE)&amp;" "&amp;VLOOKUP(C34,'Liste chauffeur'!$B$5:$L$18,3,TRUE)</f>
        <v>AHAMADI Laydine</v>
      </c>
      <c r="E34" s="314"/>
      <c r="F34" s="315">
        <f t="shared" si="0"/>
        <v>1</v>
      </c>
      <c r="G34" s="315"/>
      <c r="H34" s="316"/>
      <c r="I34" s="316"/>
      <c r="J34" s="316"/>
      <c r="K34" s="314"/>
      <c r="L34" s="314">
        <f t="shared" si="5"/>
        <v>0</v>
      </c>
      <c r="M34" s="316"/>
      <c r="N34" s="316"/>
      <c r="O34" s="314"/>
      <c r="P34" s="314">
        <f t="shared" si="6"/>
        <v>0</v>
      </c>
      <c r="Q34" s="316"/>
      <c r="R34" s="316"/>
      <c r="S34" s="314"/>
      <c r="T34" s="314">
        <f t="shared" si="7"/>
        <v>0</v>
      </c>
      <c r="U34" s="316"/>
      <c r="V34" s="316" t="str">
        <f t="shared" si="9"/>
        <v>OK</v>
      </c>
      <c r="W34" s="314"/>
      <c r="X34" s="317"/>
      <c r="Y34" s="271" t="str">
        <f t="shared" si="8"/>
        <v/>
      </c>
      <c r="Z34" s="270">
        <f t="shared" si="2"/>
        <v>0</v>
      </c>
      <c r="AA34" s="270">
        <f t="shared" si="3"/>
        <v>0</v>
      </c>
      <c r="AB34" s="273">
        <f t="shared" si="4"/>
        <v>0</v>
      </c>
      <c r="AC34" s="260"/>
    </row>
    <row r="35" spans="1:29" ht="36" customHeight="1" x14ac:dyDescent="0.45">
      <c r="A35" s="302" t="str">
        <f>'Horaire dimanche 1'!A34</f>
        <v>DOUJANI</v>
      </c>
      <c r="B35" s="303">
        <f>'Horaire dimanche 1'!B34</f>
        <v>0.60416666666666663</v>
      </c>
      <c r="C35" s="303" t="str">
        <f>'Horaire dimanche 1'!C34</f>
        <v>D13</v>
      </c>
      <c r="D35" s="268" t="str">
        <f>VLOOKUP(C35,'Liste chauffeur'!$B$5:$L$18,2,TRUE)&amp;" "&amp;VLOOKUP(C35,'Liste chauffeur'!$B$5:$L$18,3,TRUE)</f>
        <v>MOURIDI Aktoir</v>
      </c>
      <c r="E35" s="314"/>
      <c r="F35" s="315">
        <f t="shared" si="0"/>
        <v>1</v>
      </c>
      <c r="G35" s="315"/>
      <c r="H35" s="316"/>
      <c r="I35" s="316"/>
      <c r="J35" s="316"/>
      <c r="K35" s="314"/>
      <c r="L35" s="314">
        <f t="shared" si="5"/>
        <v>0</v>
      </c>
      <c r="M35" s="316"/>
      <c r="N35" s="316"/>
      <c r="O35" s="314"/>
      <c r="P35" s="314"/>
      <c r="Q35" s="316"/>
      <c r="R35" s="316"/>
      <c r="S35" s="314"/>
      <c r="T35" s="314"/>
      <c r="U35" s="316"/>
      <c r="V35" s="316" t="str">
        <f t="shared" si="9"/>
        <v>OK</v>
      </c>
      <c r="W35" s="314"/>
      <c r="X35" s="317"/>
      <c r="Y35" s="271" t="str">
        <f t="shared" si="8"/>
        <v/>
      </c>
      <c r="Z35" s="270">
        <f t="shared" si="2"/>
        <v>0</v>
      </c>
      <c r="AA35" s="270">
        <f t="shared" si="3"/>
        <v>0</v>
      </c>
      <c r="AB35" s="273">
        <f t="shared" si="4"/>
        <v>0</v>
      </c>
      <c r="AC35" s="260"/>
    </row>
    <row r="36" spans="1:29" ht="36" customHeight="1" x14ac:dyDescent="0.45">
      <c r="A36" s="302" t="str">
        <f>'Horaire dimanche 1'!A35</f>
        <v>PASSOT LA BARGE</v>
      </c>
      <c r="B36" s="303">
        <f>'Horaire dimanche 1'!B35</f>
        <v>0.625</v>
      </c>
      <c r="C36" s="303" t="str">
        <f>'Horaire dimanche 1'!C35</f>
        <v>D13</v>
      </c>
      <c r="D36" s="268" t="str">
        <f>VLOOKUP(C36,'Liste chauffeur'!$B$5:$L$18,2,TRUE)&amp;" "&amp;VLOOKUP(C36,'Liste chauffeur'!$B$5:$L$18,3,TRUE)</f>
        <v>MOURIDI Aktoir</v>
      </c>
      <c r="E36" s="314"/>
      <c r="F36" s="315">
        <f t="shared" si="0"/>
        <v>1</v>
      </c>
      <c r="G36" s="315"/>
      <c r="H36" s="316"/>
      <c r="I36" s="316"/>
      <c r="J36" s="316"/>
      <c r="K36" s="314"/>
      <c r="L36" s="314">
        <f t="shared" si="5"/>
        <v>0</v>
      </c>
      <c r="M36" s="316"/>
      <c r="N36" s="316"/>
      <c r="O36" s="314"/>
      <c r="P36" s="314"/>
      <c r="Q36" s="316"/>
      <c r="R36" s="316"/>
      <c r="S36" s="314"/>
      <c r="T36" s="314"/>
      <c r="U36" s="316"/>
      <c r="V36" s="316" t="str">
        <f t="shared" si="9"/>
        <v>OK</v>
      </c>
      <c r="W36" s="314"/>
      <c r="X36" s="317"/>
      <c r="Y36" s="271" t="str">
        <f t="shared" si="8"/>
        <v/>
      </c>
      <c r="Z36" s="270">
        <f t="shared" si="2"/>
        <v>0</v>
      </c>
      <c r="AA36" s="270">
        <f t="shared" si="3"/>
        <v>0</v>
      </c>
      <c r="AB36" s="273">
        <f t="shared" si="4"/>
        <v>0</v>
      </c>
      <c r="AC36" s="260"/>
    </row>
    <row r="37" spans="1:29" ht="36" customHeight="1" x14ac:dyDescent="0.45">
      <c r="A37" s="302" t="str">
        <f>'Horaire dimanche 1'!A36</f>
        <v>DOUJANI</v>
      </c>
      <c r="B37" s="303">
        <f>'Horaire dimanche 1'!B36</f>
        <v>0.625</v>
      </c>
      <c r="C37" s="303" t="str">
        <f>'Horaire dimanche 1'!C36</f>
        <v>D14</v>
      </c>
      <c r="D37" s="268" t="str">
        <f>VLOOKUP(C37,'Liste chauffeur'!$B$5:$L$18,2,TRUE)&amp;" "&amp;VLOOKUP(C37,'Liste chauffeur'!$B$5:$L$18,3,TRUE)</f>
        <v>AHAMADI Laydine</v>
      </c>
      <c r="E37" s="314"/>
      <c r="F37" s="315">
        <f t="shared" si="0"/>
        <v>1</v>
      </c>
      <c r="G37" s="315"/>
      <c r="H37" s="316"/>
      <c r="I37" s="316"/>
      <c r="J37" s="316"/>
      <c r="K37" s="314"/>
      <c r="L37" s="314">
        <f t="shared" si="5"/>
        <v>0</v>
      </c>
      <c r="M37" s="316"/>
      <c r="N37" s="316"/>
      <c r="O37" s="314"/>
      <c r="P37" s="314"/>
      <c r="Q37" s="316"/>
      <c r="R37" s="316"/>
      <c r="S37" s="314"/>
      <c r="T37" s="314"/>
      <c r="U37" s="316"/>
      <c r="V37" s="316" t="str">
        <f t="shared" si="9"/>
        <v>OK</v>
      </c>
      <c r="W37" s="314"/>
      <c r="X37" s="317"/>
      <c r="Y37" s="271" t="str">
        <f t="shared" si="8"/>
        <v/>
      </c>
      <c r="Z37" s="270">
        <f t="shared" si="2"/>
        <v>0</v>
      </c>
      <c r="AA37" s="270">
        <f t="shared" si="3"/>
        <v>0</v>
      </c>
      <c r="AB37" s="273">
        <f t="shared" si="4"/>
        <v>0</v>
      </c>
      <c r="AC37" s="260"/>
    </row>
    <row r="38" spans="1:29" ht="36" customHeight="1" x14ac:dyDescent="0.45">
      <c r="A38" s="302" t="str">
        <f>'Horaire dimanche 1'!A37</f>
        <v>PASSOT LA BARGE</v>
      </c>
      <c r="B38" s="303">
        <f>'Horaire dimanche 1'!B37</f>
        <v>0.64583333333333337</v>
      </c>
      <c r="C38" s="303" t="str">
        <f>'Horaire dimanche 1'!C37</f>
        <v>D14</v>
      </c>
      <c r="D38" s="268" t="str">
        <f>VLOOKUP(C38,'Liste chauffeur'!$B$5:$L$18,2,TRUE)&amp;" "&amp;VLOOKUP(C38,'Liste chauffeur'!$B$5:$L$18,3,TRUE)</f>
        <v>AHAMADI Laydine</v>
      </c>
      <c r="E38" s="314"/>
      <c r="F38" s="315">
        <f t="shared" si="0"/>
        <v>1</v>
      </c>
      <c r="G38" s="315"/>
      <c r="H38" s="316"/>
      <c r="I38" s="316"/>
      <c r="J38" s="316"/>
      <c r="K38" s="314"/>
      <c r="L38" s="314">
        <f t="shared" si="5"/>
        <v>0</v>
      </c>
      <c r="M38" s="316"/>
      <c r="N38" s="316"/>
      <c r="O38" s="314"/>
      <c r="P38" s="314"/>
      <c r="Q38" s="316"/>
      <c r="R38" s="316"/>
      <c r="S38" s="314"/>
      <c r="T38" s="314"/>
      <c r="U38" s="316"/>
      <c r="V38" s="316" t="str">
        <f t="shared" si="9"/>
        <v>OK</v>
      </c>
      <c r="W38" s="314"/>
      <c r="X38" s="317"/>
      <c r="Y38" s="271" t="str">
        <f t="shared" si="8"/>
        <v/>
      </c>
      <c r="Z38" s="270">
        <f t="shared" si="2"/>
        <v>0</v>
      </c>
      <c r="AA38" s="270">
        <f t="shared" si="3"/>
        <v>0</v>
      </c>
      <c r="AB38" s="273">
        <f t="shared" si="4"/>
        <v>0</v>
      </c>
      <c r="AC38" s="260"/>
    </row>
    <row r="39" spans="1:29" ht="36" customHeight="1" x14ac:dyDescent="0.45">
      <c r="A39" s="302" t="str">
        <f>'Horaire dimanche 1'!A38</f>
        <v>DOUJANI</v>
      </c>
      <c r="B39" s="303">
        <f>'Horaire dimanche 1'!B38</f>
        <v>0.64583333333333337</v>
      </c>
      <c r="C39" s="303" t="str">
        <f>'Horaire dimanche 1'!C38</f>
        <v>D13</v>
      </c>
      <c r="D39" s="268" t="str">
        <f>VLOOKUP(C39,'Liste chauffeur'!$B$5:$L$18,2,TRUE)&amp;" "&amp;VLOOKUP(C39,'Liste chauffeur'!$B$5:$L$18,3,TRUE)</f>
        <v>MOURIDI Aktoir</v>
      </c>
      <c r="E39" s="314"/>
      <c r="F39" s="315">
        <f t="shared" si="0"/>
        <v>1</v>
      </c>
      <c r="G39" s="315"/>
      <c r="H39" s="316"/>
      <c r="I39" s="316"/>
      <c r="J39" s="316"/>
      <c r="K39" s="314"/>
      <c r="L39" s="314">
        <f t="shared" si="5"/>
        <v>0</v>
      </c>
      <c r="M39" s="316"/>
      <c r="N39" s="316"/>
      <c r="O39" s="314"/>
      <c r="P39" s="314"/>
      <c r="Q39" s="316"/>
      <c r="R39" s="316"/>
      <c r="S39" s="314"/>
      <c r="T39" s="314"/>
      <c r="U39" s="316"/>
      <c r="V39" s="316" t="str">
        <f t="shared" si="9"/>
        <v>OK</v>
      </c>
      <c r="W39" s="314"/>
      <c r="X39" s="317"/>
      <c r="Y39" s="271" t="str">
        <f t="shared" si="8"/>
        <v/>
      </c>
      <c r="Z39" s="270">
        <f t="shared" si="2"/>
        <v>0</v>
      </c>
      <c r="AA39" s="270">
        <f t="shared" si="3"/>
        <v>0</v>
      </c>
      <c r="AB39" s="273">
        <f t="shared" si="4"/>
        <v>0</v>
      </c>
      <c r="AC39" s="260"/>
    </row>
    <row r="40" spans="1:29" ht="36" customHeight="1" x14ac:dyDescent="0.45">
      <c r="A40" s="302" t="str">
        <f>'Horaire dimanche 1'!A39</f>
        <v>PASSOT LA BARGE</v>
      </c>
      <c r="B40" s="303">
        <f>'Horaire dimanche 1'!B39</f>
        <v>0.66666666666666663</v>
      </c>
      <c r="C40" s="303" t="str">
        <f>'Horaire dimanche 1'!C39</f>
        <v>D13</v>
      </c>
      <c r="D40" s="268" t="str">
        <f>VLOOKUP(C40,'Liste chauffeur'!$B$5:$L$18,2,TRUE)&amp;" "&amp;VLOOKUP(C40,'Liste chauffeur'!$B$5:$L$18,3,TRUE)</f>
        <v>MOURIDI Aktoir</v>
      </c>
      <c r="E40" s="314"/>
      <c r="F40" s="315">
        <f t="shared" si="0"/>
        <v>1</v>
      </c>
      <c r="G40" s="315"/>
      <c r="H40" s="316"/>
      <c r="I40" s="316"/>
      <c r="J40" s="316"/>
      <c r="K40" s="314"/>
      <c r="L40" s="314">
        <f t="shared" si="5"/>
        <v>0</v>
      </c>
      <c r="M40" s="316"/>
      <c r="N40" s="316"/>
      <c r="O40" s="314"/>
      <c r="P40" s="314"/>
      <c r="Q40" s="316"/>
      <c r="R40" s="316"/>
      <c r="S40" s="314"/>
      <c r="T40" s="314"/>
      <c r="U40" s="316"/>
      <c r="V40" s="316" t="str">
        <f t="shared" si="9"/>
        <v>OK</v>
      </c>
      <c r="W40" s="314"/>
      <c r="X40" s="317"/>
      <c r="Y40" s="271" t="str">
        <f t="shared" si="8"/>
        <v/>
      </c>
      <c r="Z40" s="270">
        <f t="shared" si="2"/>
        <v>0</v>
      </c>
      <c r="AA40" s="270">
        <f t="shared" si="3"/>
        <v>0</v>
      </c>
      <c r="AB40" s="273">
        <f t="shared" si="4"/>
        <v>0</v>
      </c>
      <c r="AC40" s="260"/>
    </row>
    <row r="41" spans="1:29" ht="36" customHeight="1" x14ac:dyDescent="0.45">
      <c r="A41" s="302" t="str">
        <f>'Horaire dimanche 1'!A40</f>
        <v>DOUJANI</v>
      </c>
      <c r="B41" s="303">
        <f>'Horaire dimanche 1'!B40</f>
        <v>0.66666666666666663</v>
      </c>
      <c r="C41" s="303" t="str">
        <f>'Horaire dimanche 1'!C40</f>
        <v>D14</v>
      </c>
      <c r="D41" s="268" t="str">
        <f>VLOOKUP(C41,'Liste chauffeur'!$B$5:$L$18,2,TRUE)&amp;" "&amp;VLOOKUP(C41,'Liste chauffeur'!$B$5:$L$18,3,TRUE)</f>
        <v>AHAMADI Laydine</v>
      </c>
      <c r="E41" s="314"/>
      <c r="F41" s="315">
        <f t="shared" si="0"/>
        <v>1</v>
      </c>
      <c r="G41" s="315"/>
      <c r="H41" s="316"/>
      <c r="I41" s="316"/>
      <c r="J41" s="316"/>
      <c r="K41" s="314"/>
      <c r="L41" s="314">
        <f t="shared" si="5"/>
        <v>0</v>
      </c>
      <c r="M41" s="316"/>
      <c r="N41" s="316"/>
      <c r="O41" s="314"/>
      <c r="P41" s="314"/>
      <c r="Q41" s="316"/>
      <c r="R41" s="316"/>
      <c r="S41" s="314"/>
      <c r="T41" s="314"/>
      <c r="U41" s="316"/>
      <c r="V41" s="316" t="str">
        <f t="shared" si="9"/>
        <v>OK</v>
      </c>
      <c r="W41" s="314"/>
      <c r="X41" s="317"/>
      <c r="Y41" s="271" t="str">
        <f t="shared" si="8"/>
        <v/>
      </c>
      <c r="Z41" s="270">
        <f t="shared" si="2"/>
        <v>0</v>
      </c>
      <c r="AA41" s="270">
        <f t="shared" si="3"/>
        <v>0</v>
      </c>
      <c r="AB41" s="273">
        <f t="shared" si="4"/>
        <v>0</v>
      </c>
      <c r="AC41" s="260"/>
    </row>
    <row r="42" spans="1:29" ht="36" customHeight="1" x14ac:dyDescent="0.45">
      <c r="A42" s="302" t="str">
        <f>'Horaire dimanche 1'!A41</f>
        <v>PASSOT LA BARGE</v>
      </c>
      <c r="B42" s="303">
        <f>'Horaire dimanche 1'!B41</f>
        <v>0.6875</v>
      </c>
      <c r="C42" s="303" t="str">
        <f>'Horaire dimanche 1'!C41</f>
        <v>D14</v>
      </c>
      <c r="D42" s="268" t="str">
        <f>VLOOKUP(C42,'Liste chauffeur'!$B$5:$L$18,2,TRUE)&amp;" "&amp;VLOOKUP(C42,'Liste chauffeur'!$B$5:$L$18,3,TRUE)</f>
        <v>AHAMADI Laydine</v>
      </c>
      <c r="E42" s="314"/>
      <c r="F42" s="315">
        <f t="shared" si="0"/>
        <v>1</v>
      </c>
      <c r="G42" s="315"/>
      <c r="H42" s="316"/>
      <c r="I42" s="316"/>
      <c r="J42" s="316"/>
      <c r="K42" s="314"/>
      <c r="L42" s="314">
        <f t="shared" si="5"/>
        <v>0</v>
      </c>
      <c r="M42" s="316"/>
      <c r="N42" s="316"/>
      <c r="O42" s="314"/>
      <c r="P42" s="314"/>
      <c r="Q42" s="316"/>
      <c r="R42" s="316"/>
      <c r="S42" s="314"/>
      <c r="T42" s="314"/>
      <c r="U42" s="316"/>
      <c r="V42" s="316" t="str">
        <f t="shared" si="9"/>
        <v>OK</v>
      </c>
      <c r="W42" s="314"/>
      <c r="X42" s="317"/>
      <c r="Y42" s="271" t="str">
        <f t="shared" si="8"/>
        <v/>
      </c>
      <c r="Z42" s="270">
        <f t="shared" si="2"/>
        <v>0</v>
      </c>
      <c r="AA42" s="270">
        <f t="shared" si="3"/>
        <v>0</v>
      </c>
      <c r="AB42" s="273">
        <f t="shared" si="4"/>
        <v>0</v>
      </c>
      <c r="AC42" s="260"/>
    </row>
    <row r="43" spans="1:29" ht="36" customHeight="1" x14ac:dyDescent="0.45">
      <c r="A43" s="302" t="str">
        <f>'Horaire dimanche 1'!A42</f>
        <v>DOUJANI</v>
      </c>
      <c r="B43" s="303">
        <f>'Horaire dimanche 1'!B42</f>
        <v>0.6875</v>
      </c>
      <c r="C43" s="303" t="str">
        <f>'Horaire dimanche 1'!C42</f>
        <v>D13</v>
      </c>
      <c r="D43" s="268" t="str">
        <f>VLOOKUP(C43,'Liste chauffeur'!$B$5:$L$18,2,TRUE)&amp;" "&amp;VLOOKUP(C43,'Liste chauffeur'!$B$5:$L$18,3,TRUE)</f>
        <v>MOURIDI Aktoir</v>
      </c>
      <c r="E43" s="314"/>
      <c r="F43" s="315">
        <f t="shared" si="0"/>
        <v>1</v>
      </c>
      <c r="G43" s="315"/>
      <c r="H43" s="316"/>
      <c r="I43" s="316"/>
      <c r="J43" s="316"/>
      <c r="K43" s="314"/>
      <c r="L43" s="314">
        <f t="shared" si="5"/>
        <v>0</v>
      </c>
      <c r="M43" s="316"/>
      <c r="N43" s="316"/>
      <c r="O43" s="314"/>
      <c r="P43" s="314"/>
      <c r="Q43" s="316"/>
      <c r="R43" s="316"/>
      <c r="S43" s="314"/>
      <c r="T43" s="314"/>
      <c r="U43" s="316"/>
      <c r="V43" s="316" t="str">
        <f t="shared" si="9"/>
        <v>OK</v>
      </c>
      <c r="W43" s="314"/>
      <c r="X43" s="317"/>
      <c r="Y43" s="271" t="str">
        <f>IF(F43=1,"",W43-E43)</f>
        <v/>
      </c>
      <c r="Z43" s="270">
        <f t="shared" si="2"/>
        <v>0</v>
      </c>
      <c r="AA43" s="270">
        <f>IF(F43=1,0,AA$6)</f>
        <v>0</v>
      </c>
      <c r="AB43" s="273">
        <f>IF(AA43=0,0,Z43/AA43)</f>
        <v>0</v>
      </c>
      <c r="AC43" s="260"/>
    </row>
    <row r="44" spans="1:29" ht="36" customHeight="1" x14ac:dyDescent="0.45">
      <c r="A44" s="302" t="str">
        <f>'Horaire dimanche 1'!A43</f>
        <v>PASSOT LA BARGE</v>
      </c>
      <c r="B44" s="303">
        <f>'Horaire dimanche 1'!B43</f>
        <v>0.70833333333333337</v>
      </c>
      <c r="C44" s="303" t="str">
        <f>'Horaire dimanche 1'!C43</f>
        <v>D13</v>
      </c>
      <c r="D44" s="268" t="str">
        <f>VLOOKUP(C44,'Liste chauffeur'!$B$5:$L$18,2,TRUE)&amp;" "&amp;VLOOKUP(C44,'Liste chauffeur'!$B$5:$L$18,3,TRUE)</f>
        <v>MOURIDI Aktoir</v>
      </c>
      <c r="E44" s="314"/>
      <c r="F44" s="315">
        <f t="shared" si="0"/>
        <v>1</v>
      </c>
      <c r="G44" s="315"/>
      <c r="H44" s="316"/>
      <c r="I44" s="316"/>
      <c r="J44" s="316"/>
      <c r="K44" s="314"/>
      <c r="L44" s="314">
        <f t="shared" si="5"/>
        <v>0</v>
      </c>
      <c r="M44" s="316"/>
      <c r="N44" s="316"/>
      <c r="O44" s="314"/>
      <c r="P44" s="314"/>
      <c r="Q44" s="316"/>
      <c r="R44" s="316"/>
      <c r="S44" s="314"/>
      <c r="T44" s="314"/>
      <c r="U44" s="316"/>
      <c r="V44" s="316" t="str">
        <f t="shared" si="9"/>
        <v>OK</v>
      </c>
      <c r="W44" s="314"/>
      <c r="X44" s="317"/>
      <c r="Y44" s="271" t="str">
        <f t="shared" ref="Y44:Y52" si="10">IF(F44=1,"",W44-E44)</f>
        <v/>
      </c>
      <c r="Z44" s="270">
        <f t="shared" si="2"/>
        <v>0</v>
      </c>
      <c r="AA44" s="270">
        <f t="shared" ref="AA44:AA52" si="11">IF(F44=1,0,AA$6)</f>
        <v>0</v>
      </c>
      <c r="AB44" s="273">
        <f t="shared" ref="AB44:AB54" si="12">IF(AA44=0,0,Z44/AA44)</f>
        <v>0</v>
      </c>
      <c r="AC44" s="260"/>
    </row>
    <row r="45" spans="1:29" ht="36" customHeight="1" x14ac:dyDescent="0.45">
      <c r="A45" s="302" t="str">
        <f>'Horaire dimanche 1'!A44</f>
        <v>DOUJANI</v>
      </c>
      <c r="B45" s="303">
        <f>'Horaire dimanche 1'!B44</f>
        <v>0.70833333333333337</v>
      </c>
      <c r="C45" s="303" t="str">
        <f>'Horaire dimanche 1'!C44</f>
        <v>D14</v>
      </c>
      <c r="D45" s="268" t="str">
        <f>VLOOKUP(C45,'Liste chauffeur'!$B$5:$L$18,2,TRUE)&amp;" "&amp;VLOOKUP(C45,'Liste chauffeur'!$B$5:$L$18,3,TRUE)</f>
        <v>AHAMADI Laydine</v>
      </c>
      <c r="E45" s="314"/>
      <c r="F45" s="315">
        <f t="shared" si="0"/>
        <v>1</v>
      </c>
      <c r="G45" s="315"/>
      <c r="H45" s="316"/>
      <c r="I45" s="316"/>
      <c r="J45" s="316"/>
      <c r="K45" s="314"/>
      <c r="L45" s="314">
        <f t="shared" si="5"/>
        <v>0</v>
      </c>
      <c r="M45" s="316"/>
      <c r="N45" s="316"/>
      <c r="O45" s="314"/>
      <c r="P45" s="314"/>
      <c r="Q45" s="316"/>
      <c r="R45" s="316"/>
      <c r="S45" s="314"/>
      <c r="T45" s="314"/>
      <c r="U45" s="316"/>
      <c r="V45" s="316" t="str">
        <f t="shared" si="9"/>
        <v>OK</v>
      </c>
      <c r="W45" s="314"/>
      <c r="X45" s="317"/>
      <c r="Y45" s="271" t="str">
        <f t="shared" si="10"/>
        <v/>
      </c>
      <c r="Z45" s="270">
        <f t="shared" si="2"/>
        <v>0</v>
      </c>
      <c r="AA45" s="270">
        <f t="shared" si="11"/>
        <v>0</v>
      </c>
      <c r="AB45" s="273">
        <f t="shared" si="12"/>
        <v>0</v>
      </c>
      <c r="AC45" s="260"/>
    </row>
    <row r="46" spans="1:29" ht="36" customHeight="1" x14ac:dyDescent="0.45">
      <c r="A46" s="302" t="str">
        <f>'Horaire dimanche 1'!A45</f>
        <v>PASSOT LA BARGE</v>
      </c>
      <c r="B46" s="303">
        <f>'Horaire dimanche 1'!B45</f>
        <v>0.72916666666666663</v>
      </c>
      <c r="C46" s="303" t="str">
        <f>'Horaire dimanche 1'!C45</f>
        <v>D14</v>
      </c>
      <c r="D46" s="268" t="str">
        <f>VLOOKUP(C46,'Liste chauffeur'!$B$5:$L$18,2,TRUE)&amp;" "&amp;VLOOKUP(C46,'Liste chauffeur'!$B$5:$L$18,3,TRUE)</f>
        <v>AHAMADI Laydine</v>
      </c>
      <c r="E46" s="314"/>
      <c r="F46" s="315">
        <f t="shared" si="0"/>
        <v>1</v>
      </c>
      <c r="G46" s="315"/>
      <c r="H46" s="316"/>
      <c r="I46" s="316"/>
      <c r="J46" s="316"/>
      <c r="K46" s="314"/>
      <c r="L46" s="314">
        <f t="shared" si="5"/>
        <v>0</v>
      </c>
      <c r="M46" s="316"/>
      <c r="N46" s="316"/>
      <c r="O46" s="314"/>
      <c r="P46" s="314"/>
      <c r="Q46" s="316"/>
      <c r="R46" s="316"/>
      <c r="S46" s="314"/>
      <c r="T46" s="314"/>
      <c r="U46" s="316"/>
      <c r="V46" s="316" t="str">
        <f t="shared" si="9"/>
        <v>OK</v>
      </c>
      <c r="W46" s="314"/>
      <c r="X46" s="317"/>
      <c r="Y46" s="271" t="str">
        <f t="shared" si="10"/>
        <v/>
      </c>
      <c r="Z46" s="270">
        <f t="shared" si="2"/>
        <v>0</v>
      </c>
      <c r="AA46" s="270">
        <f t="shared" si="11"/>
        <v>0</v>
      </c>
      <c r="AB46" s="273">
        <f t="shared" si="12"/>
        <v>0</v>
      </c>
      <c r="AC46" s="260"/>
    </row>
    <row r="47" spans="1:29" ht="36" customHeight="1" x14ac:dyDescent="0.45">
      <c r="A47" s="302" t="str">
        <f>'Horaire dimanche 1'!A46</f>
        <v>DOUJANI</v>
      </c>
      <c r="B47" s="303">
        <f>'Horaire dimanche 1'!B46</f>
        <v>0.72916666666666663</v>
      </c>
      <c r="C47" s="303" t="str">
        <f>'Horaire dimanche 1'!C46</f>
        <v>D13</v>
      </c>
      <c r="D47" s="268" t="str">
        <f>VLOOKUP(C47,'Liste chauffeur'!$B$5:$L$18,2,TRUE)&amp;" "&amp;VLOOKUP(C47,'Liste chauffeur'!$B$5:$L$18,3,TRUE)</f>
        <v>MOURIDI Aktoir</v>
      </c>
      <c r="E47" s="314"/>
      <c r="F47" s="315">
        <f t="shared" si="0"/>
        <v>1</v>
      </c>
      <c r="G47" s="315"/>
      <c r="H47" s="316"/>
      <c r="I47" s="316"/>
      <c r="J47" s="316"/>
      <c r="K47" s="314"/>
      <c r="L47" s="314">
        <f t="shared" si="5"/>
        <v>0</v>
      </c>
      <c r="M47" s="316"/>
      <c r="N47" s="316"/>
      <c r="O47" s="314"/>
      <c r="P47" s="314"/>
      <c r="Q47" s="316"/>
      <c r="R47" s="316"/>
      <c r="S47" s="314"/>
      <c r="T47" s="314"/>
      <c r="U47" s="316"/>
      <c r="V47" s="316" t="str">
        <f t="shared" si="9"/>
        <v>OK</v>
      </c>
      <c r="W47" s="314"/>
      <c r="X47" s="317"/>
      <c r="Y47" s="271" t="str">
        <f t="shared" si="10"/>
        <v/>
      </c>
      <c r="Z47" s="270">
        <f t="shared" si="2"/>
        <v>0</v>
      </c>
      <c r="AA47" s="270">
        <f t="shared" si="11"/>
        <v>0</v>
      </c>
      <c r="AB47" s="273">
        <f t="shared" si="12"/>
        <v>0</v>
      </c>
      <c r="AC47" s="260"/>
    </row>
    <row r="48" spans="1:29" ht="36" customHeight="1" x14ac:dyDescent="0.45">
      <c r="A48" s="302" t="str">
        <f>'Horaire dimanche 1'!A47</f>
        <v>PASSOT LA BARGE</v>
      </c>
      <c r="B48" s="303">
        <f>'Horaire dimanche 1'!B47</f>
        <v>0.75</v>
      </c>
      <c r="C48" s="303" t="str">
        <f>'Horaire dimanche 1'!C47</f>
        <v>D13</v>
      </c>
      <c r="D48" s="268" t="str">
        <f>VLOOKUP(C48,'Liste chauffeur'!$B$5:$L$18,2,TRUE)&amp;" "&amp;VLOOKUP(C48,'Liste chauffeur'!$B$5:$L$18,3,TRUE)</f>
        <v>MOURIDI Aktoir</v>
      </c>
      <c r="E48" s="314"/>
      <c r="F48" s="315">
        <f t="shared" si="0"/>
        <v>1</v>
      </c>
      <c r="G48" s="315"/>
      <c r="H48" s="316"/>
      <c r="I48" s="316"/>
      <c r="J48" s="316"/>
      <c r="K48" s="314"/>
      <c r="L48" s="314">
        <f t="shared" si="5"/>
        <v>0</v>
      </c>
      <c r="M48" s="316"/>
      <c r="N48" s="316"/>
      <c r="O48" s="314"/>
      <c r="P48" s="314"/>
      <c r="Q48" s="316"/>
      <c r="R48" s="316"/>
      <c r="S48" s="314"/>
      <c r="T48" s="314"/>
      <c r="U48" s="316"/>
      <c r="V48" s="316"/>
      <c r="W48" s="314"/>
      <c r="X48" s="317"/>
      <c r="Y48" s="271" t="str">
        <f t="shared" si="10"/>
        <v/>
      </c>
      <c r="Z48" s="270">
        <f t="shared" si="2"/>
        <v>0</v>
      </c>
      <c r="AA48" s="270">
        <f t="shared" si="11"/>
        <v>0</v>
      </c>
      <c r="AB48" s="273">
        <f t="shared" si="12"/>
        <v>0</v>
      </c>
      <c r="AC48" s="260"/>
    </row>
    <row r="49" spans="1:29" ht="36" customHeight="1" x14ac:dyDescent="0.45">
      <c r="A49" s="302" t="str">
        <f>'Horaire dimanche 1'!A48</f>
        <v>DOUJANI</v>
      </c>
      <c r="B49" s="303">
        <f>'Horaire dimanche 1'!B48</f>
        <v>0.75</v>
      </c>
      <c r="C49" s="303" t="str">
        <f>'Horaire dimanche 1'!C48</f>
        <v>D14</v>
      </c>
      <c r="D49" s="268" t="str">
        <f>VLOOKUP(C49,'Liste chauffeur'!$B$5:$L$18,2,TRUE)&amp;" "&amp;VLOOKUP(C49,'Liste chauffeur'!$B$5:$L$18,3,TRUE)</f>
        <v>AHAMADI Laydine</v>
      </c>
      <c r="E49" s="314"/>
      <c r="F49" s="315">
        <f t="shared" si="0"/>
        <v>1</v>
      </c>
      <c r="G49" s="315"/>
      <c r="H49" s="316"/>
      <c r="I49" s="316"/>
      <c r="J49" s="316"/>
      <c r="K49" s="314"/>
      <c r="L49" s="314"/>
      <c r="M49" s="316"/>
      <c r="N49" s="316"/>
      <c r="O49" s="314"/>
      <c r="P49" s="314"/>
      <c r="Q49" s="316"/>
      <c r="R49" s="316"/>
      <c r="S49" s="314"/>
      <c r="T49" s="314"/>
      <c r="U49" s="316"/>
      <c r="V49" s="316"/>
      <c r="W49" s="314"/>
      <c r="X49" s="317"/>
      <c r="Y49" s="271" t="str">
        <f t="shared" si="10"/>
        <v/>
      </c>
      <c r="Z49" s="270">
        <f t="shared" si="2"/>
        <v>0</v>
      </c>
      <c r="AA49" s="270">
        <f t="shared" si="11"/>
        <v>0</v>
      </c>
      <c r="AB49" s="273">
        <f t="shared" si="12"/>
        <v>0</v>
      </c>
      <c r="AC49" s="260"/>
    </row>
    <row r="50" spans="1:29" ht="36" customHeight="1" x14ac:dyDescent="0.45">
      <c r="A50" s="302" t="str">
        <f>'Horaire dimanche 1'!A49</f>
        <v>PASSOT LA BARGE</v>
      </c>
      <c r="B50" s="303">
        <f>'Horaire dimanche 1'!B49</f>
        <v>0.77083333333333337</v>
      </c>
      <c r="C50" s="303" t="str">
        <f>'Horaire dimanche 1'!C49</f>
        <v>D14</v>
      </c>
      <c r="D50" s="268" t="str">
        <f>VLOOKUP(C50,'Liste chauffeur'!$B$5:$L$18,2,TRUE)&amp;" "&amp;VLOOKUP(C50,'Liste chauffeur'!$B$5:$L$18,3,TRUE)</f>
        <v>AHAMADI Laydine</v>
      </c>
      <c r="E50" s="314"/>
      <c r="F50" s="315">
        <f t="shared" si="0"/>
        <v>1</v>
      </c>
      <c r="G50" s="315"/>
      <c r="H50" s="316"/>
      <c r="I50" s="316"/>
      <c r="J50" s="316"/>
      <c r="K50" s="314"/>
      <c r="L50" s="314"/>
      <c r="M50" s="316"/>
      <c r="N50" s="316"/>
      <c r="O50" s="314"/>
      <c r="P50" s="314"/>
      <c r="Q50" s="316"/>
      <c r="R50" s="316"/>
      <c r="S50" s="314"/>
      <c r="T50" s="314"/>
      <c r="U50" s="316"/>
      <c r="V50" s="316"/>
      <c r="W50" s="314"/>
      <c r="X50" s="317"/>
      <c r="Y50" s="271" t="str">
        <f t="shared" si="10"/>
        <v/>
      </c>
      <c r="Z50" s="270">
        <f t="shared" si="2"/>
        <v>0</v>
      </c>
      <c r="AA50" s="270">
        <f t="shared" si="11"/>
        <v>0</v>
      </c>
      <c r="AB50" s="273">
        <f t="shared" si="12"/>
        <v>0</v>
      </c>
      <c r="AC50" s="260"/>
    </row>
    <row r="51" spans="1:29" ht="36" customHeight="1" x14ac:dyDescent="0.45">
      <c r="A51" s="302" t="str">
        <f>'Horaire dimanche 1'!A50</f>
        <v>DOUJANI</v>
      </c>
      <c r="B51" s="303">
        <f>'Horaire dimanche 1'!B50</f>
        <v>0.77083333333333337</v>
      </c>
      <c r="C51" s="303" t="str">
        <f>'Horaire dimanche 1'!C50</f>
        <v>D13</v>
      </c>
      <c r="D51" s="268" t="str">
        <f>VLOOKUP(C51,'Liste chauffeur'!$B$5:$L$18,2,TRUE)&amp;" "&amp;VLOOKUP(C51,'Liste chauffeur'!$B$5:$L$18,3,TRUE)</f>
        <v>MOURIDI Aktoir</v>
      </c>
      <c r="E51" s="314"/>
      <c r="F51" s="315">
        <f t="shared" ref="F51" si="13">COUNTBLANK(E51)</f>
        <v>1</v>
      </c>
      <c r="G51" s="315"/>
      <c r="H51" s="316"/>
      <c r="I51" s="316"/>
      <c r="J51" s="316"/>
      <c r="K51" s="314"/>
      <c r="L51" s="314"/>
      <c r="M51" s="316"/>
      <c r="N51" s="316"/>
      <c r="O51" s="314"/>
      <c r="P51" s="314"/>
      <c r="Q51" s="316"/>
      <c r="R51" s="316"/>
      <c r="S51" s="314"/>
      <c r="T51" s="314"/>
      <c r="U51" s="316"/>
      <c r="V51" s="316"/>
      <c r="W51" s="314"/>
      <c r="X51" s="317"/>
      <c r="Y51" s="271" t="str">
        <f t="shared" ref="Y51" si="14">IF(F51=1,"",W51-E51)</f>
        <v/>
      </c>
      <c r="Z51" s="270">
        <f t="shared" ref="Z51" si="15">H51+J51-I51</f>
        <v>0</v>
      </c>
      <c r="AA51" s="270">
        <f t="shared" ref="AA51" si="16">IF(F51=1,0,AA$6)</f>
        <v>0</v>
      </c>
      <c r="AB51" s="273">
        <f t="shared" ref="AB51" si="17">IF(AA51=0,0,Z51/AA51)</f>
        <v>0</v>
      </c>
      <c r="AC51" s="260"/>
    </row>
    <row r="52" spans="1:29" ht="36" customHeight="1" x14ac:dyDescent="0.45">
      <c r="A52" s="302" t="str">
        <f>'Horaire dimanche 1'!A51</f>
        <v>PASSOT LA BARGE</v>
      </c>
      <c r="B52" s="303">
        <f>'Horaire dimanche 1'!B51</f>
        <v>0.79166666666666663</v>
      </c>
      <c r="C52" s="303" t="str">
        <f>'Horaire dimanche 1'!C51</f>
        <v>D13</v>
      </c>
      <c r="D52" s="268" t="str">
        <f>VLOOKUP(C52,'Liste chauffeur'!$B$5:$L$18,2,TRUE)&amp;" "&amp;VLOOKUP(C52,'Liste chauffeur'!$B$5:$L$18,3,TRUE)</f>
        <v>MOURIDI Aktoir</v>
      </c>
      <c r="E52" s="314"/>
      <c r="F52" s="315">
        <f t="shared" si="0"/>
        <v>1</v>
      </c>
      <c r="G52" s="315"/>
      <c r="H52" s="316"/>
      <c r="I52" s="316"/>
      <c r="J52" s="316"/>
      <c r="K52" s="314"/>
      <c r="L52" s="314"/>
      <c r="M52" s="316"/>
      <c r="N52" s="316"/>
      <c r="O52" s="314"/>
      <c r="P52" s="314"/>
      <c r="Q52" s="316"/>
      <c r="R52" s="316"/>
      <c r="S52" s="314"/>
      <c r="T52" s="314"/>
      <c r="U52" s="316"/>
      <c r="V52" s="316"/>
      <c r="W52" s="314"/>
      <c r="X52" s="317"/>
      <c r="Y52" s="271" t="str">
        <f t="shared" si="10"/>
        <v/>
      </c>
      <c r="Z52" s="270">
        <f t="shared" si="2"/>
        <v>0</v>
      </c>
      <c r="AA52" s="270">
        <f t="shared" si="11"/>
        <v>0</v>
      </c>
      <c r="AB52" s="273">
        <f t="shared" si="12"/>
        <v>0</v>
      </c>
      <c r="AC52" s="260"/>
    </row>
    <row r="53" spans="1:29" ht="36" customHeight="1" x14ac:dyDescent="0.45">
      <c r="A53" s="280"/>
      <c r="B53" s="281" t="s">
        <v>568</v>
      </c>
      <c r="C53" s="281" t="s">
        <v>351</v>
      </c>
      <c r="D53" s="282"/>
      <c r="E53" s="275"/>
      <c r="F53" s="306">
        <f>SUM(F26:F52)</f>
        <v>27</v>
      </c>
      <c r="G53" s="306">
        <f>SUM(G26:G52)</f>
        <v>0</v>
      </c>
      <c r="H53" s="258"/>
      <c r="I53" s="258"/>
      <c r="J53" s="258"/>
      <c r="K53" s="275"/>
      <c r="L53" s="275"/>
      <c r="M53" s="258"/>
      <c r="N53" s="258"/>
      <c r="O53" s="275"/>
      <c r="P53" s="275"/>
      <c r="Q53" s="258"/>
      <c r="R53" s="258"/>
      <c r="S53" s="275"/>
      <c r="T53" s="275"/>
      <c r="U53" s="258"/>
      <c r="V53" s="258"/>
      <c r="W53" s="275"/>
      <c r="X53" s="274"/>
      <c r="Y53" s="276" t="e">
        <f>AVERAGE(Y26:Y52)</f>
        <v>#DIV/0!</v>
      </c>
      <c r="Z53" s="306">
        <f>SUM(Z26:Z52)</f>
        <v>0</v>
      </c>
      <c r="AA53" s="306">
        <f>SUM(AA26:AA52)</f>
        <v>0</v>
      </c>
      <c r="AB53" s="278">
        <f t="shared" si="12"/>
        <v>0</v>
      </c>
      <c r="AC53" s="260"/>
    </row>
    <row r="54" spans="1:29" ht="36" customHeight="1" x14ac:dyDescent="0.45">
      <c r="A54" s="280"/>
      <c r="B54" s="281" t="s">
        <v>352</v>
      </c>
      <c r="C54" s="281" t="s">
        <v>351</v>
      </c>
      <c r="D54" s="282"/>
      <c r="E54" s="275"/>
      <c r="F54" s="306">
        <f>F25+F53</f>
        <v>44</v>
      </c>
      <c r="G54" s="306">
        <f>G25+G53</f>
        <v>0</v>
      </c>
      <c r="H54" s="258"/>
      <c r="I54" s="258"/>
      <c r="J54" s="258"/>
      <c r="K54" s="275"/>
      <c r="L54" s="275"/>
      <c r="M54" s="258"/>
      <c r="N54" s="258"/>
      <c r="O54" s="275"/>
      <c r="P54" s="275"/>
      <c r="Q54" s="258"/>
      <c r="R54" s="258"/>
      <c r="S54" s="275"/>
      <c r="T54" s="275"/>
      <c r="U54" s="258"/>
      <c r="V54" s="258"/>
      <c r="W54" s="275"/>
      <c r="X54" s="274"/>
      <c r="Y54" s="276" t="e">
        <f>AVERAGE(Y8:Y24,Y26:Y52)</f>
        <v>#DIV/0!</v>
      </c>
      <c r="Z54" s="306">
        <f>Z25+Z53</f>
        <v>0</v>
      </c>
      <c r="AA54" s="306">
        <f>AA25+AA53</f>
        <v>0</v>
      </c>
      <c r="AB54" s="278">
        <f t="shared" si="12"/>
        <v>0</v>
      </c>
      <c r="AC54" s="260"/>
    </row>
    <row r="55" spans="1:29" ht="36" customHeight="1" x14ac:dyDescent="0.45">
      <c r="A55" s="279" t="s">
        <v>349</v>
      </c>
      <c r="B55" s="267"/>
      <c r="C55" s="267" t="s">
        <v>423</v>
      </c>
      <c r="D55" s="268"/>
      <c r="E55" s="269"/>
      <c r="F55" s="270"/>
      <c r="G55" s="270"/>
      <c r="H55" s="270"/>
      <c r="I55" s="270"/>
      <c r="J55" s="277"/>
      <c r="K55" s="270"/>
      <c r="L55" s="270"/>
      <c r="M55" s="269"/>
      <c r="N55" s="260"/>
      <c r="O55" s="271"/>
      <c r="P55" s="270"/>
      <c r="Q55" s="270"/>
      <c r="R55" s="273"/>
      <c r="S55" s="260"/>
      <c r="T55" s="260"/>
      <c r="U55" s="260"/>
      <c r="V55" s="260"/>
      <c r="W55" s="269"/>
      <c r="X55" s="260"/>
      <c r="Y55" s="271"/>
      <c r="Z55" s="270"/>
      <c r="AA55" s="270"/>
      <c r="AB55" s="273"/>
      <c r="AC55" s="260"/>
    </row>
    <row r="56" spans="1:29" ht="36" customHeight="1" x14ac:dyDescent="0.45">
      <c r="A56" s="279" t="s">
        <v>349</v>
      </c>
      <c r="B56" s="267"/>
      <c r="C56" s="267" t="s">
        <v>423</v>
      </c>
      <c r="D56" s="268"/>
      <c r="E56" s="269"/>
      <c r="F56" s="270"/>
      <c r="G56" s="270"/>
      <c r="H56" s="270"/>
      <c r="I56" s="270"/>
      <c r="J56" s="277"/>
      <c r="K56" s="270"/>
      <c r="L56" s="270"/>
      <c r="M56" s="269"/>
      <c r="N56" s="260"/>
      <c r="O56" s="271"/>
      <c r="P56" s="270"/>
      <c r="Q56" s="270"/>
      <c r="R56" s="273"/>
      <c r="S56" s="260"/>
      <c r="T56" s="260"/>
      <c r="U56" s="260"/>
      <c r="V56" s="260"/>
      <c r="W56" s="269"/>
      <c r="X56" s="260"/>
      <c r="Y56" s="271"/>
      <c r="Z56" s="270"/>
      <c r="AA56" s="270"/>
      <c r="AB56" s="273"/>
      <c r="AC56" s="260"/>
    </row>
    <row r="57" spans="1:29" ht="36" customHeight="1" x14ac:dyDescent="0.45">
      <c r="A57" s="279" t="s">
        <v>349</v>
      </c>
      <c r="B57" s="267"/>
      <c r="C57" s="267" t="s">
        <v>423</v>
      </c>
      <c r="D57" s="268"/>
      <c r="E57" s="269"/>
      <c r="F57" s="270"/>
      <c r="G57" s="270"/>
      <c r="H57" s="270"/>
      <c r="I57" s="270"/>
      <c r="J57" s="277"/>
      <c r="K57" s="270"/>
      <c r="L57" s="270"/>
      <c r="M57" s="269"/>
      <c r="N57" s="260"/>
      <c r="O57" s="271" t="e">
        <f t="shared" ref="O57:O58" si="18">M57-#REF!</f>
        <v>#REF!</v>
      </c>
      <c r="P57" s="270" t="e">
        <f t="shared" ref="P57:P58" si="19">#REF!+#REF!-#REF!</f>
        <v>#REF!</v>
      </c>
      <c r="Q57" s="270"/>
      <c r="R57" s="273"/>
      <c r="S57" s="260"/>
      <c r="T57" s="260"/>
      <c r="U57" s="260"/>
      <c r="V57" s="260"/>
      <c r="W57" s="269"/>
      <c r="X57" s="260"/>
      <c r="Y57" s="271"/>
      <c r="Z57" s="270"/>
      <c r="AA57" s="270"/>
      <c r="AB57" s="273"/>
      <c r="AC57" s="260"/>
    </row>
    <row r="58" spans="1:29" ht="36" customHeight="1" x14ac:dyDescent="0.45">
      <c r="A58" s="279" t="s">
        <v>349</v>
      </c>
      <c r="B58" s="267"/>
      <c r="C58" s="267" t="s">
        <v>423</v>
      </c>
      <c r="D58" s="268"/>
      <c r="E58" s="269"/>
      <c r="F58" s="270"/>
      <c r="G58" s="270"/>
      <c r="H58" s="270"/>
      <c r="I58" s="270"/>
      <c r="J58" s="277"/>
      <c r="K58" s="270"/>
      <c r="L58" s="270"/>
      <c r="M58" s="269"/>
      <c r="N58" s="260"/>
      <c r="O58" s="271" t="e">
        <f t="shared" si="18"/>
        <v>#REF!</v>
      </c>
      <c r="P58" s="270" t="e">
        <f t="shared" si="19"/>
        <v>#REF!</v>
      </c>
      <c r="Q58" s="270"/>
      <c r="R58" s="273"/>
      <c r="S58" s="260"/>
      <c r="T58" s="260"/>
      <c r="U58" s="260"/>
      <c r="V58" s="260"/>
      <c r="W58" s="269"/>
      <c r="X58" s="260"/>
      <c r="Y58" s="271"/>
      <c r="Z58" s="270"/>
      <c r="AA58" s="270"/>
      <c r="AB58" s="273"/>
      <c r="AC58" s="260"/>
    </row>
    <row r="60" spans="1:29" x14ac:dyDescent="0.45">
      <c r="E60" s="137" t="s">
        <v>15</v>
      </c>
      <c r="I60" s="137" t="s">
        <v>16</v>
      </c>
    </row>
    <row r="62" spans="1:29" x14ac:dyDescent="0.45">
      <c r="C62" s="252"/>
    </row>
    <row r="63" spans="1:29" ht="57" x14ac:dyDescent="0.45">
      <c r="B63" s="137" t="s">
        <v>373</v>
      </c>
      <c r="C63" s="137" t="s">
        <v>374</v>
      </c>
      <c r="D63" s="137" t="s">
        <v>375</v>
      </c>
      <c r="E63" s="215" t="s">
        <v>376</v>
      </c>
      <c r="F63" s="215" t="s">
        <v>573</v>
      </c>
    </row>
    <row r="64" spans="1:29" x14ac:dyDescent="0.45">
      <c r="B64" s="137" t="s">
        <v>384</v>
      </c>
      <c r="C64" s="305">
        <f>COUNTIF($B$8:$C$52,B64)</f>
        <v>0</v>
      </c>
      <c r="D64" s="453">
        <f>C64-(COUNTIFS(C$8:C$52,B64,X$8:X$52,""))</f>
        <v>0</v>
      </c>
      <c r="E64" s="189">
        <f>COUNTIFS(X$8:X$52,$B64)</f>
        <v>0</v>
      </c>
      <c r="F64" s="189">
        <f>COUNTIFS(G$8:G$52,$B64)</f>
        <v>0</v>
      </c>
    </row>
    <row r="65" spans="2:6" x14ac:dyDescent="0.45">
      <c r="B65" s="137" t="s">
        <v>392</v>
      </c>
      <c r="C65" s="305">
        <f t="shared" ref="C65:C86" si="20">COUNTIF($B$8:$C$52,B65)</f>
        <v>0</v>
      </c>
      <c r="D65" s="453">
        <f t="shared" ref="D65:D86" si="21">C65-(COUNTIFS(C$8:C$52,B65,X$8:X$52,""))</f>
        <v>0</v>
      </c>
      <c r="E65" s="189">
        <f t="shared" ref="E65:E86" si="22">COUNTIFS(X$8:X$52,$B65)</f>
        <v>0</v>
      </c>
      <c r="F65" s="189">
        <f t="shared" ref="F65:F86" si="23">COUNTIFS(G$8:G$52,$B65)</f>
        <v>0</v>
      </c>
    </row>
    <row r="66" spans="2:6" x14ac:dyDescent="0.45">
      <c r="B66" s="137" t="s">
        <v>393</v>
      </c>
      <c r="C66" s="305">
        <f t="shared" si="20"/>
        <v>0</v>
      </c>
      <c r="D66" s="453">
        <f t="shared" si="21"/>
        <v>0</v>
      </c>
      <c r="E66" s="189">
        <f t="shared" si="22"/>
        <v>0</v>
      </c>
      <c r="F66" s="189">
        <f t="shared" si="23"/>
        <v>0</v>
      </c>
    </row>
    <row r="67" spans="2:6" x14ac:dyDescent="0.45">
      <c r="B67" s="137" t="s">
        <v>394</v>
      </c>
      <c r="C67" s="305">
        <f t="shared" si="20"/>
        <v>0</v>
      </c>
      <c r="D67" s="453">
        <f t="shared" si="21"/>
        <v>0</v>
      </c>
      <c r="E67" s="189">
        <f t="shared" si="22"/>
        <v>0</v>
      </c>
      <c r="F67" s="189">
        <f t="shared" si="23"/>
        <v>0</v>
      </c>
    </row>
    <row r="68" spans="2:6" x14ac:dyDescent="0.45">
      <c r="B68" s="137" t="s">
        <v>395</v>
      </c>
      <c r="C68" s="305">
        <f t="shared" si="20"/>
        <v>0</v>
      </c>
      <c r="D68" s="453">
        <f t="shared" si="21"/>
        <v>0</v>
      </c>
      <c r="E68" s="189">
        <f t="shared" si="22"/>
        <v>0</v>
      </c>
      <c r="F68" s="189">
        <f t="shared" si="23"/>
        <v>0</v>
      </c>
    </row>
    <row r="69" spans="2:6" x14ac:dyDescent="0.45">
      <c r="B69" s="137" t="s">
        <v>398</v>
      </c>
      <c r="C69" s="305">
        <f t="shared" si="20"/>
        <v>0</v>
      </c>
      <c r="D69" s="453">
        <f t="shared" si="21"/>
        <v>0</v>
      </c>
      <c r="E69" s="189">
        <f t="shared" si="22"/>
        <v>0</v>
      </c>
      <c r="F69" s="189">
        <f t="shared" si="23"/>
        <v>0</v>
      </c>
    </row>
    <row r="70" spans="2:6" x14ac:dyDescent="0.45">
      <c r="B70" s="137" t="s">
        <v>399</v>
      </c>
      <c r="C70" s="305">
        <f t="shared" si="20"/>
        <v>11</v>
      </c>
      <c r="D70" s="453">
        <f t="shared" si="21"/>
        <v>0</v>
      </c>
      <c r="E70" s="189">
        <f t="shared" si="22"/>
        <v>0</v>
      </c>
      <c r="F70" s="189">
        <f t="shared" si="23"/>
        <v>0</v>
      </c>
    </row>
    <row r="71" spans="2:6" x14ac:dyDescent="0.45">
      <c r="B71" s="137" t="s">
        <v>400</v>
      </c>
      <c r="C71" s="305">
        <f t="shared" si="20"/>
        <v>0</v>
      </c>
      <c r="D71" s="453">
        <f t="shared" si="21"/>
        <v>0</v>
      </c>
      <c r="E71" s="189">
        <f t="shared" si="22"/>
        <v>0</v>
      </c>
      <c r="F71" s="189">
        <f t="shared" si="23"/>
        <v>0</v>
      </c>
    </row>
    <row r="72" spans="2:6" x14ac:dyDescent="0.45">
      <c r="B72" s="137" t="s">
        <v>401</v>
      </c>
      <c r="C72" s="305">
        <f t="shared" si="20"/>
        <v>0</v>
      </c>
      <c r="D72" s="453">
        <f t="shared" si="21"/>
        <v>0</v>
      </c>
      <c r="E72" s="189">
        <f t="shared" si="22"/>
        <v>0</v>
      </c>
      <c r="F72" s="189">
        <f t="shared" si="23"/>
        <v>0</v>
      </c>
    </row>
    <row r="73" spans="2:6" x14ac:dyDescent="0.45">
      <c r="B73" s="137" t="s">
        <v>385</v>
      </c>
      <c r="C73" s="305">
        <f t="shared" si="20"/>
        <v>0</v>
      </c>
      <c r="D73" s="453">
        <f t="shared" si="21"/>
        <v>0</v>
      </c>
      <c r="E73" s="189">
        <f t="shared" si="22"/>
        <v>0</v>
      </c>
      <c r="F73" s="189">
        <f t="shared" si="23"/>
        <v>0</v>
      </c>
    </row>
    <row r="74" spans="2:6" x14ac:dyDescent="0.45">
      <c r="B74" s="137" t="s">
        <v>386</v>
      </c>
      <c r="C74" s="305">
        <f t="shared" si="20"/>
        <v>0</v>
      </c>
      <c r="D74" s="453">
        <f t="shared" si="21"/>
        <v>0</v>
      </c>
      <c r="E74" s="189">
        <f t="shared" si="22"/>
        <v>0</v>
      </c>
      <c r="F74" s="189">
        <f t="shared" si="23"/>
        <v>0</v>
      </c>
    </row>
    <row r="75" spans="2:6" x14ac:dyDescent="0.45">
      <c r="B75" s="137" t="s">
        <v>387</v>
      </c>
      <c r="C75" s="305">
        <f t="shared" si="20"/>
        <v>11</v>
      </c>
      <c r="D75" s="453">
        <f t="shared" si="21"/>
        <v>0</v>
      </c>
      <c r="E75" s="189">
        <f t="shared" si="22"/>
        <v>0</v>
      </c>
      <c r="F75" s="189">
        <f t="shared" si="23"/>
        <v>0</v>
      </c>
    </row>
    <row r="76" spans="2:6" x14ac:dyDescent="0.45">
      <c r="B76" s="137" t="s">
        <v>388</v>
      </c>
      <c r="C76" s="305">
        <f t="shared" si="20"/>
        <v>11</v>
      </c>
      <c r="D76" s="453">
        <f t="shared" si="21"/>
        <v>0</v>
      </c>
      <c r="E76" s="189">
        <f t="shared" si="22"/>
        <v>0</v>
      </c>
      <c r="F76" s="189">
        <f t="shared" si="23"/>
        <v>0</v>
      </c>
    </row>
    <row r="77" spans="2:6" x14ac:dyDescent="0.45">
      <c r="B77" s="137" t="s">
        <v>390</v>
      </c>
      <c r="C77" s="305">
        <f t="shared" si="20"/>
        <v>11</v>
      </c>
      <c r="D77" s="453">
        <f t="shared" si="21"/>
        <v>0</v>
      </c>
      <c r="E77" s="189">
        <f t="shared" si="22"/>
        <v>0</v>
      </c>
      <c r="F77" s="189">
        <f t="shared" si="23"/>
        <v>0</v>
      </c>
    </row>
    <row r="78" spans="2:6" x14ac:dyDescent="0.45">
      <c r="B78" s="137" t="s">
        <v>391</v>
      </c>
      <c r="C78" s="305">
        <f t="shared" si="20"/>
        <v>0</v>
      </c>
      <c r="D78" s="453">
        <f t="shared" si="21"/>
        <v>0</v>
      </c>
      <c r="E78" s="189">
        <f t="shared" si="22"/>
        <v>0</v>
      </c>
      <c r="F78" s="189">
        <f t="shared" si="23"/>
        <v>0</v>
      </c>
    </row>
    <row r="79" spans="2:6" x14ac:dyDescent="0.45">
      <c r="B79" s="137" t="s">
        <v>419</v>
      </c>
      <c r="C79" s="305">
        <f t="shared" si="20"/>
        <v>0</v>
      </c>
      <c r="D79" s="453">
        <f t="shared" si="21"/>
        <v>0</v>
      </c>
      <c r="E79" s="189">
        <f t="shared" si="22"/>
        <v>0</v>
      </c>
      <c r="F79" s="189">
        <f t="shared" si="23"/>
        <v>0</v>
      </c>
    </row>
    <row r="80" spans="2:6" x14ac:dyDescent="0.45">
      <c r="B80" s="137" t="s">
        <v>420</v>
      </c>
      <c r="C80" s="305">
        <f t="shared" si="20"/>
        <v>0</v>
      </c>
      <c r="D80" s="453">
        <f t="shared" si="21"/>
        <v>0</v>
      </c>
      <c r="E80" s="189">
        <f t="shared" si="22"/>
        <v>0</v>
      </c>
      <c r="F80" s="189">
        <f t="shared" si="23"/>
        <v>0</v>
      </c>
    </row>
    <row r="81" spans="2:6" x14ac:dyDescent="0.45">
      <c r="B81" s="137" t="s">
        <v>421</v>
      </c>
      <c r="C81" s="305">
        <f t="shared" si="20"/>
        <v>0</v>
      </c>
      <c r="D81" s="453">
        <f t="shared" si="21"/>
        <v>0</v>
      </c>
      <c r="E81" s="189">
        <f t="shared" si="22"/>
        <v>0</v>
      </c>
      <c r="F81" s="189">
        <f t="shared" si="23"/>
        <v>0</v>
      </c>
    </row>
    <row r="82" spans="2:6" x14ac:dyDescent="0.45">
      <c r="B82" s="137" t="s">
        <v>422</v>
      </c>
      <c r="C82" s="305">
        <f t="shared" si="20"/>
        <v>0</v>
      </c>
      <c r="D82" s="453">
        <f t="shared" si="21"/>
        <v>0</v>
      </c>
      <c r="E82" s="189">
        <f t="shared" si="22"/>
        <v>0</v>
      </c>
      <c r="F82" s="189">
        <f t="shared" si="23"/>
        <v>0</v>
      </c>
    </row>
    <row r="83" spans="2:6" x14ac:dyDescent="0.45">
      <c r="B83" s="137" t="s">
        <v>569</v>
      </c>
      <c r="C83" s="305">
        <f t="shared" si="20"/>
        <v>0</v>
      </c>
      <c r="D83" s="453">
        <f t="shared" si="21"/>
        <v>0</v>
      </c>
      <c r="E83" s="189">
        <f t="shared" si="22"/>
        <v>0</v>
      </c>
      <c r="F83" s="189">
        <f t="shared" si="23"/>
        <v>0</v>
      </c>
    </row>
    <row r="84" spans="2:6" x14ac:dyDescent="0.45">
      <c r="B84" s="137" t="s">
        <v>570</v>
      </c>
      <c r="C84" s="305">
        <f t="shared" si="20"/>
        <v>0</v>
      </c>
      <c r="D84" s="453">
        <f t="shared" si="21"/>
        <v>0</v>
      </c>
      <c r="E84" s="189">
        <f t="shared" si="22"/>
        <v>0</v>
      </c>
      <c r="F84" s="189">
        <f t="shared" si="23"/>
        <v>0</v>
      </c>
    </row>
    <row r="85" spans="2:6" x14ac:dyDescent="0.45">
      <c r="B85" s="137" t="s">
        <v>571</v>
      </c>
      <c r="C85" s="305">
        <f t="shared" si="20"/>
        <v>0</v>
      </c>
      <c r="D85" s="453">
        <f t="shared" si="21"/>
        <v>0</v>
      </c>
      <c r="E85" s="189">
        <f t="shared" si="22"/>
        <v>0</v>
      </c>
      <c r="F85" s="189">
        <f t="shared" si="23"/>
        <v>0</v>
      </c>
    </row>
    <row r="86" spans="2:6" x14ac:dyDescent="0.45">
      <c r="B86" s="137" t="s">
        <v>572</v>
      </c>
      <c r="C86" s="305">
        <f t="shared" si="20"/>
        <v>0</v>
      </c>
      <c r="D86" s="453">
        <f t="shared" si="21"/>
        <v>0</v>
      </c>
      <c r="E86" s="189">
        <f t="shared" si="22"/>
        <v>0</v>
      </c>
      <c r="F86" s="189">
        <f t="shared" si="23"/>
        <v>0</v>
      </c>
    </row>
    <row r="87" spans="2:6" x14ac:dyDescent="0.45">
      <c r="C87" s="454">
        <f>SUM(C64:C86)</f>
        <v>44</v>
      </c>
      <c r="D87" s="455">
        <f t="shared" ref="D87:F87" si="24">SUM(D64:D86)</f>
        <v>0</v>
      </c>
      <c r="E87" s="455">
        <f t="shared" si="24"/>
        <v>0</v>
      </c>
      <c r="F87" s="455">
        <f t="shared" si="24"/>
        <v>0</v>
      </c>
    </row>
    <row r="88" spans="2:6" x14ac:dyDescent="0.45">
      <c r="E88" s="189">
        <f>D87-E87</f>
        <v>0</v>
      </c>
      <c r="F88" s="189" t="str">
        <f>IF(E88=F87,"OK","ERREUR")</f>
        <v>OK</v>
      </c>
    </row>
  </sheetData>
  <sheetProtection formatCells="0" formatColumns="0" formatRows="0" autoFilter="0"/>
  <autoFilter ref="A7:AB58" xr:uid="{5B5BBBDE-33E3-4462-B288-63EC9F5FA152}"/>
  <mergeCells count="4">
    <mergeCell ref="B3:D3"/>
    <mergeCell ref="I6:J6"/>
    <mergeCell ref="M6:O6"/>
    <mergeCell ref="Q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orientation="portrait" copies="1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67F5-7F16-4C2F-9A59-A536D9713585}">
  <sheetPr>
    <pageSetUpPr fitToPage="1"/>
  </sheetPr>
  <dimension ref="A2:AC88"/>
  <sheetViews>
    <sheetView showGridLines="0" topLeftCell="A63" workbookViewId="0">
      <selection activeCell="B63" sqref="B63:F88"/>
    </sheetView>
  </sheetViews>
  <sheetFormatPr baseColWidth="10" defaultColWidth="10.796875" defaultRowHeight="14.25" outlineLevelCol="1" x14ac:dyDescent="0.45"/>
  <cols>
    <col min="1" max="1" width="21.46484375" style="137" customWidth="1"/>
    <col min="2" max="2" width="11" style="137" customWidth="1"/>
    <col min="3" max="3" width="10.796875" style="137" customWidth="1" outlineLevel="1"/>
    <col min="4" max="4" width="29" style="137" customWidth="1" outlineLevel="1"/>
    <col min="5" max="5" width="10.796875" style="137"/>
    <col min="6" max="7" width="10.796875" style="137" customWidth="1"/>
    <col min="8" max="8" width="10.796875" style="137"/>
    <col min="9" max="22" width="10.796875" style="137" hidden="1" customWidth="1"/>
    <col min="23" max="23" width="13.1328125" style="137" customWidth="1"/>
    <col min="24" max="24" width="34.796875" style="137" customWidth="1"/>
    <col min="25" max="28" width="10.796875" style="137" customWidth="1"/>
    <col min="29" max="16384" width="10.796875" style="137"/>
  </cols>
  <sheetData>
    <row r="2" spans="1:29" ht="23.25" x14ac:dyDescent="0.45">
      <c r="A2" s="137" t="s">
        <v>18</v>
      </c>
      <c r="B2" s="251" t="s">
        <v>390</v>
      </c>
      <c r="C2" s="238"/>
      <c r="D2" s="238"/>
    </row>
    <row r="3" spans="1:29" ht="22.5" hidden="1" customHeight="1" x14ac:dyDescent="0.45">
      <c r="A3" s="137" t="s">
        <v>14</v>
      </c>
      <c r="B3" s="460">
        <v>45627</v>
      </c>
      <c r="C3" s="461"/>
      <c r="D3" s="461"/>
      <c r="E3" s="249"/>
      <c r="F3" s="249"/>
      <c r="G3" s="249"/>
      <c r="H3" s="140"/>
    </row>
    <row r="4" spans="1:29" ht="28.5" customHeight="1" x14ac:dyDescent="0.45">
      <c r="A4" s="137" t="s">
        <v>13</v>
      </c>
      <c r="B4" s="284" t="str">
        <f>VLOOKUP(B2,'Liste chauffeur'!$B$5:$L$18,2,TRUE)&amp;" "&amp;VLOOKUP(B2,'Liste chauffeur'!$B$5:$L$18,3,TRUE)</f>
        <v>AHAMADI Laydine</v>
      </c>
      <c r="C4" s="250"/>
      <c r="D4" s="250"/>
      <c r="E4" s="139"/>
      <c r="F4" s="139"/>
      <c r="G4" s="139"/>
      <c r="H4" s="140"/>
      <c r="J4" s="252"/>
      <c r="M4" s="252"/>
    </row>
    <row r="6" spans="1:29" x14ac:dyDescent="0.45">
      <c r="A6" s="141"/>
      <c r="B6" s="142"/>
      <c r="C6" s="142"/>
      <c r="D6" s="142"/>
      <c r="E6" s="142"/>
      <c r="F6" s="142"/>
      <c r="G6" s="142"/>
      <c r="H6" s="142"/>
      <c r="I6" s="462" t="s">
        <v>2</v>
      </c>
      <c r="J6" s="463"/>
      <c r="K6" s="319"/>
      <c r="L6" s="256"/>
      <c r="M6" s="459" t="s">
        <v>6</v>
      </c>
      <c r="N6" s="459"/>
      <c r="O6" s="459"/>
      <c r="P6" s="256"/>
      <c r="Q6" s="459" t="s">
        <v>7</v>
      </c>
      <c r="R6" s="459"/>
      <c r="S6" s="459"/>
      <c r="T6" s="256"/>
      <c r="U6" s="257"/>
      <c r="V6" s="283"/>
      <c r="W6" s="283" t="s">
        <v>350</v>
      </c>
      <c r="X6" s="257"/>
      <c r="Y6" s="257"/>
      <c r="Z6" s="257"/>
      <c r="AA6" s="257">
        <v>8</v>
      </c>
      <c r="AB6" s="257"/>
    </row>
    <row r="7" spans="1:29" ht="69.75" x14ac:dyDescent="0.45">
      <c r="A7" s="260"/>
      <c r="B7" s="261" t="s">
        <v>0</v>
      </c>
      <c r="C7" s="261" t="s">
        <v>334</v>
      </c>
      <c r="D7" s="261" t="s">
        <v>335</v>
      </c>
      <c r="E7" s="261" t="s">
        <v>1</v>
      </c>
      <c r="F7" s="261" t="s">
        <v>336</v>
      </c>
      <c r="G7" s="261" t="s">
        <v>337</v>
      </c>
      <c r="H7" s="261" t="s">
        <v>23</v>
      </c>
      <c r="I7" s="262" t="s">
        <v>130</v>
      </c>
      <c r="J7" s="262" t="s">
        <v>328</v>
      </c>
      <c r="K7" s="263" t="s">
        <v>5</v>
      </c>
      <c r="L7" s="263" t="s">
        <v>19</v>
      </c>
      <c r="M7" s="262" t="s">
        <v>130</v>
      </c>
      <c r="N7" s="262" t="s">
        <v>328</v>
      </c>
      <c r="O7" s="263" t="s">
        <v>9</v>
      </c>
      <c r="P7" s="263" t="s">
        <v>19</v>
      </c>
      <c r="Q7" s="262" t="s">
        <v>130</v>
      </c>
      <c r="R7" s="262" t="s">
        <v>328</v>
      </c>
      <c r="S7" s="264" t="s">
        <v>10</v>
      </c>
      <c r="T7" s="264" t="s">
        <v>19</v>
      </c>
      <c r="U7" s="264" t="s">
        <v>22</v>
      </c>
      <c r="V7" s="264"/>
      <c r="W7" s="261" t="s">
        <v>17</v>
      </c>
      <c r="X7" s="265" t="s">
        <v>12</v>
      </c>
      <c r="Y7" s="260" t="s">
        <v>20</v>
      </c>
      <c r="Z7" s="266" t="s">
        <v>38</v>
      </c>
      <c r="AA7" s="266" t="s">
        <v>39</v>
      </c>
      <c r="AB7" s="266" t="s">
        <v>40</v>
      </c>
      <c r="AC7" s="260"/>
    </row>
    <row r="8" spans="1:29" ht="35.450000000000003" customHeight="1" x14ac:dyDescent="0.45">
      <c r="A8" s="302" t="str">
        <f>'Horaire dimanche 2'!A8</f>
        <v>DOUJANI</v>
      </c>
      <c r="B8" s="303">
        <f>'Horaire dimanche 2'!B8</f>
        <v>0.33333333333333298</v>
      </c>
      <c r="C8" s="303" t="str">
        <f>'Horaire dimanche 2'!C8</f>
        <v>D12</v>
      </c>
      <c r="D8" s="268" t="str">
        <f>VLOOKUP(C8,'Liste chauffeur'!$B$5:$L$18,2,TRUE)&amp;" "&amp;VLOOKUP(C8,'Liste chauffeur'!$B$5:$L$18,3,TRUE)</f>
        <v>VELOU M'COLO M'Berou</v>
      </c>
      <c r="E8" s="308"/>
      <c r="F8" s="315">
        <f t="shared" ref="F8:F52" si="0">COUNTBLANK(E8)</f>
        <v>1</v>
      </c>
      <c r="G8" s="309"/>
      <c r="H8" s="308"/>
      <c r="I8" s="310"/>
      <c r="J8" s="310"/>
      <c r="K8" s="311"/>
      <c r="L8" s="311"/>
      <c r="M8" s="310"/>
      <c r="N8" s="310"/>
      <c r="O8" s="311"/>
      <c r="P8" s="311"/>
      <c r="Q8" s="310"/>
      <c r="R8" s="310"/>
      <c r="S8" s="312"/>
      <c r="T8" s="312"/>
      <c r="U8" s="312"/>
      <c r="V8" s="312"/>
      <c r="W8" s="308"/>
      <c r="X8" s="313"/>
      <c r="Y8" s="271" t="str">
        <f t="shared" ref="Y8:Y11" si="1">IF(F8=1,"",W8-E8)</f>
        <v/>
      </c>
      <c r="Z8" s="270">
        <f t="shared" ref="Z8:Z52" si="2">H8+J8-I8</f>
        <v>0</v>
      </c>
      <c r="AA8" s="270">
        <f t="shared" ref="AA8:AA42" si="3">IF(F8=1,0,AA$6)</f>
        <v>0</v>
      </c>
      <c r="AB8" s="272">
        <f t="shared" ref="AB8:AB42" si="4">IF(AA8=0,0,Z8/AA8)</f>
        <v>0</v>
      </c>
      <c r="AC8" s="260"/>
    </row>
    <row r="9" spans="1:29" ht="35.450000000000003" customHeight="1" x14ac:dyDescent="0.45">
      <c r="A9" s="302" t="str">
        <f>'Horaire dimanche 2'!A9</f>
        <v>PASSOT LA BARGE</v>
      </c>
      <c r="B9" s="303">
        <f>'Horaire dimanche 2'!B9</f>
        <v>0.35416666666666669</v>
      </c>
      <c r="C9" s="303" t="str">
        <f>'Horaire dimanche 2'!C9</f>
        <v>D12</v>
      </c>
      <c r="D9" s="268" t="str">
        <f>VLOOKUP(C9,'Liste chauffeur'!$B$5:$L$18,2,TRUE)&amp;" "&amp;VLOOKUP(C9,'Liste chauffeur'!$B$5:$L$18,3,TRUE)</f>
        <v>VELOU M'COLO M'Berou</v>
      </c>
      <c r="E9" s="308"/>
      <c r="F9" s="315">
        <f t="shared" si="0"/>
        <v>1</v>
      </c>
      <c r="G9" s="309"/>
      <c r="H9" s="308"/>
      <c r="I9" s="310"/>
      <c r="J9" s="310"/>
      <c r="K9" s="311"/>
      <c r="L9" s="311"/>
      <c r="M9" s="310"/>
      <c r="N9" s="310"/>
      <c r="O9" s="311"/>
      <c r="P9" s="311"/>
      <c r="Q9" s="310"/>
      <c r="R9" s="310"/>
      <c r="S9" s="312"/>
      <c r="T9" s="312"/>
      <c r="U9" s="312"/>
      <c r="V9" s="312"/>
      <c r="W9" s="308"/>
      <c r="X9" s="313"/>
      <c r="Y9" s="271" t="str">
        <f t="shared" si="1"/>
        <v/>
      </c>
      <c r="Z9" s="270">
        <f>H9+J9-I9</f>
        <v>0</v>
      </c>
      <c r="AA9" s="270">
        <f t="shared" si="3"/>
        <v>0</v>
      </c>
      <c r="AB9" s="272">
        <f t="shared" si="4"/>
        <v>0</v>
      </c>
      <c r="AC9" s="260"/>
    </row>
    <row r="10" spans="1:29" ht="35.450000000000003" customHeight="1" x14ac:dyDescent="0.45">
      <c r="A10" s="302" t="str">
        <f>'Horaire dimanche 2'!A10</f>
        <v>DOUJANI</v>
      </c>
      <c r="B10" s="303">
        <f>'Horaire dimanche 2'!B10</f>
        <v>0.35416666666666669</v>
      </c>
      <c r="C10" s="303" t="str">
        <f>'Horaire dimanche 2'!C10</f>
        <v>D7</v>
      </c>
      <c r="D10" s="268" t="str">
        <f>VLOOKUP(C10,'Liste chauffeur'!$B$5:$L$18,2,TRUE)&amp;" "&amp;VLOOKUP(C10,'Liste chauffeur'!$B$5:$L$18,3,TRUE)</f>
        <v>COMBO  Said</v>
      </c>
      <c r="E10" s="308"/>
      <c r="F10" s="315">
        <f t="shared" si="0"/>
        <v>1</v>
      </c>
      <c r="G10" s="309"/>
      <c r="H10" s="308"/>
      <c r="I10" s="310"/>
      <c r="J10" s="310"/>
      <c r="K10" s="311"/>
      <c r="L10" s="311"/>
      <c r="M10" s="310"/>
      <c r="N10" s="310"/>
      <c r="O10" s="311"/>
      <c r="P10" s="311"/>
      <c r="Q10" s="310"/>
      <c r="R10" s="310"/>
      <c r="S10" s="312"/>
      <c r="T10" s="312"/>
      <c r="U10" s="312"/>
      <c r="V10" s="312"/>
      <c r="W10" s="308"/>
      <c r="X10" s="313"/>
      <c r="Y10" s="271" t="str">
        <f t="shared" si="1"/>
        <v/>
      </c>
      <c r="Z10" s="270">
        <f t="shared" si="2"/>
        <v>0</v>
      </c>
      <c r="AA10" s="270">
        <f t="shared" si="3"/>
        <v>0</v>
      </c>
      <c r="AB10" s="272">
        <f t="shared" si="4"/>
        <v>0</v>
      </c>
      <c r="AC10" s="260"/>
    </row>
    <row r="11" spans="1:29" ht="35.450000000000003" customHeight="1" x14ac:dyDescent="0.45">
      <c r="A11" s="302" t="str">
        <f>'Horaire dimanche 2'!A11</f>
        <v>PASSOT LA BARGE</v>
      </c>
      <c r="B11" s="303">
        <f>'Horaire dimanche 2'!B11</f>
        <v>0.375</v>
      </c>
      <c r="C11" s="303" t="str">
        <f>'Horaire dimanche 2'!C11</f>
        <v>D7</v>
      </c>
      <c r="D11" s="268" t="str">
        <f>VLOOKUP(C11,'Liste chauffeur'!$B$5:$L$18,2,TRUE)&amp;" "&amp;VLOOKUP(C11,'Liste chauffeur'!$B$5:$L$18,3,TRUE)</f>
        <v>COMBO  Said</v>
      </c>
      <c r="E11" s="308"/>
      <c r="F11" s="315">
        <f t="shared" si="0"/>
        <v>1</v>
      </c>
      <c r="G11" s="309"/>
      <c r="H11" s="308"/>
      <c r="I11" s="310"/>
      <c r="J11" s="310"/>
      <c r="K11" s="311"/>
      <c r="L11" s="311"/>
      <c r="M11" s="310"/>
      <c r="N11" s="310"/>
      <c r="O11" s="311"/>
      <c r="P11" s="311"/>
      <c r="Q11" s="310"/>
      <c r="R11" s="310"/>
      <c r="S11" s="312"/>
      <c r="T11" s="312"/>
      <c r="U11" s="312"/>
      <c r="V11" s="312"/>
      <c r="W11" s="308"/>
      <c r="X11" s="313"/>
      <c r="Y11" s="271" t="str">
        <f t="shared" si="1"/>
        <v/>
      </c>
      <c r="Z11" s="270">
        <f t="shared" si="2"/>
        <v>0</v>
      </c>
      <c r="AA11" s="270">
        <f t="shared" si="3"/>
        <v>0</v>
      </c>
      <c r="AB11" s="272">
        <f t="shared" si="4"/>
        <v>0</v>
      </c>
      <c r="AC11" s="260"/>
    </row>
    <row r="12" spans="1:29" ht="35.450000000000003" customHeight="1" x14ac:dyDescent="0.45">
      <c r="A12" s="302" t="str">
        <f>'Horaire dimanche 2'!A12</f>
        <v>DOUJANI</v>
      </c>
      <c r="B12" s="303">
        <f>'Horaire dimanche 2'!B12</f>
        <v>0.375</v>
      </c>
      <c r="C12" s="303" t="str">
        <f>'Horaire dimanche 2'!C12</f>
        <v>D12</v>
      </c>
      <c r="D12" s="268" t="str">
        <f>VLOOKUP(C12,'Liste chauffeur'!$B$5:$L$18,2,TRUE)&amp;" "&amp;VLOOKUP(C12,'Liste chauffeur'!$B$5:$L$18,3,TRUE)</f>
        <v>VELOU M'COLO M'Berou</v>
      </c>
      <c r="E12" s="314"/>
      <c r="F12" s="315">
        <f t="shared" si="0"/>
        <v>1</v>
      </c>
      <c r="G12" s="315"/>
      <c r="H12" s="316"/>
      <c r="I12" s="316"/>
      <c r="J12" s="316"/>
      <c r="K12" s="314"/>
      <c r="L12" s="314">
        <f t="shared" ref="L12:L48" si="5">K12-E12</f>
        <v>0</v>
      </c>
      <c r="M12" s="316"/>
      <c r="N12" s="316"/>
      <c r="O12" s="314"/>
      <c r="P12" s="314">
        <f>O12-K12</f>
        <v>0</v>
      </c>
      <c r="Q12" s="316"/>
      <c r="R12" s="316"/>
      <c r="S12" s="314"/>
      <c r="T12" s="314">
        <f>S12-O12</f>
        <v>0</v>
      </c>
      <c r="U12" s="316"/>
      <c r="V12" s="316" t="str">
        <f>IF(H12-I12+J12-M12+N12-Q12+R12=U12,"OK",H12-I12+J12-M12+N12-Q12+R12-U12)</f>
        <v>OK</v>
      </c>
      <c r="W12" s="314"/>
      <c r="X12" s="317"/>
      <c r="Y12" s="271" t="str">
        <f t="shared" ref="Y12:Y42" si="6">IF(F12=1,"",W12-E12)</f>
        <v/>
      </c>
      <c r="Z12" s="270">
        <f t="shared" si="2"/>
        <v>0</v>
      </c>
      <c r="AA12" s="270">
        <f t="shared" si="3"/>
        <v>0</v>
      </c>
      <c r="AB12" s="272">
        <f t="shared" si="4"/>
        <v>0</v>
      </c>
      <c r="AC12" s="260"/>
    </row>
    <row r="13" spans="1:29" ht="35.450000000000003" customHeight="1" x14ac:dyDescent="0.45">
      <c r="A13" s="302" t="str">
        <f>'Horaire dimanche 2'!A13</f>
        <v>PASSOT LA BARGE</v>
      </c>
      <c r="B13" s="303">
        <f>'Horaire dimanche 2'!B13</f>
        <v>0.39583333333333331</v>
      </c>
      <c r="C13" s="303" t="str">
        <f>'Horaire dimanche 2'!C13</f>
        <v>D12</v>
      </c>
      <c r="D13" s="268" t="str">
        <f>VLOOKUP(C13,'Liste chauffeur'!$B$5:$L$18,2,TRUE)&amp;" "&amp;VLOOKUP(C13,'Liste chauffeur'!$B$5:$L$18,3,TRUE)</f>
        <v>VELOU M'COLO M'Berou</v>
      </c>
      <c r="E13" s="314"/>
      <c r="F13" s="315">
        <f t="shared" si="0"/>
        <v>1</v>
      </c>
      <c r="G13" s="315"/>
      <c r="H13" s="316"/>
      <c r="I13" s="316"/>
      <c r="J13" s="316"/>
      <c r="K13" s="314"/>
      <c r="L13" s="314">
        <f t="shared" si="5"/>
        <v>0</v>
      </c>
      <c r="M13" s="316"/>
      <c r="N13" s="316"/>
      <c r="O13" s="314"/>
      <c r="P13" s="314">
        <f t="shared" ref="P13:P34" si="7">O13-K13</f>
        <v>0</v>
      </c>
      <c r="Q13" s="316"/>
      <c r="R13" s="316"/>
      <c r="S13" s="314"/>
      <c r="T13" s="314">
        <f t="shared" ref="T13:T34" si="8">S13-O13</f>
        <v>0</v>
      </c>
      <c r="U13" s="316"/>
      <c r="V13" s="316"/>
      <c r="W13" s="314"/>
      <c r="X13" s="317"/>
      <c r="Y13" s="271" t="str">
        <f t="shared" si="6"/>
        <v/>
      </c>
      <c r="Z13" s="270">
        <f t="shared" si="2"/>
        <v>0</v>
      </c>
      <c r="AA13" s="270">
        <f t="shared" si="3"/>
        <v>0</v>
      </c>
      <c r="AB13" s="273">
        <f t="shared" si="4"/>
        <v>0</v>
      </c>
      <c r="AC13" s="260"/>
    </row>
    <row r="14" spans="1:29" ht="35.450000000000003" customHeight="1" x14ac:dyDescent="0.45">
      <c r="A14" s="302" t="str">
        <f>'Horaire dimanche 2'!A14</f>
        <v>DOUJANI</v>
      </c>
      <c r="B14" s="303">
        <f>'Horaire dimanche 2'!B14</f>
        <v>0.39583333333333331</v>
      </c>
      <c r="C14" s="303" t="str">
        <f>'Horaire dimanche 2'!C14</f>
        <v>D7</v>
      </c>
      <c r="D14" s="268" t="str">
        <f>VLOOKUP(C14,'Liste chauffeur'!$B$5:$L$18,2,TRUE)&amp;" "&amp;VLOOKUP(C14,'Liste chauffeur'!$B$5:$L$18,3,TRUE)</f>
        <v>COMBO  Said</v>
      </c>
      <c r="E14" s="314"/>
      <c r="F14" s="315">
        <f t="shared" si="0"/>
        <v>1</v>
      </c>
      <c r="G14" s="315"/>
      <c r="H14" s="316"/>
      <c r="I14" s="316"/>
      <c r="J14" s="316"/>
      <c r="K14" s="314"/>
      <c r="L14" s="314">
        <f t="shared" si="5"/>
        <v>0</v>
      </c>
      <c r="M14" s="316"/>
      <c r="N14" s="316"/>
      <c r="O14" s="314"/>
      <c r="P14" s="314">
        <f t="shared" si="7"/>
        <v>0</v>
      </c>
      <c r="Q14" s="316"/>
      <c r="R14" s="316"/>
      <c r="S14" s="314"/>
      <c r="T14" s="314">
        <f t="shared" si="8"/>
        <v>0</v>
      </c>
      <c r="U14" s="316"/>
      <c r="V14" s="316"/>
      <c r="W14" s="314"/>
      <c r="X14" s="317"/>
      <c r="Y14" s="271" t="str">
        <f t="shared" si="6"/>
        <v/>
      </c>
      <c r="Z14" s="270">
        <f t="shared" si="2"/>
        <v>0</v>
      </c>
      <c r="AA14" s="270">
        <f t="shared" si="3"/>
        <v>0</v>
      </c>
      <c r="AB14" s="273">
        <f t="shared" si="4"/>
        <v>0</v>
      </c>
      <c r="AC14" s="260"/>
    </row>
    <row r="15" spans="1:29" ht="35.450000000000003" customHeight="1" x14ac:dyDescent="0.45">
      <c r="A15" s="302" t="str">
        <f>'Horaire dimanche 2'!A15</f>
        <v>PASSOT LA BARGE</v>
      </c>
      <c r="B15" s="303">
        <f>'Horaire dimanche 2'!B15</f>
        <v>0.41666666666666669</v>
      </c>
      <c r="C15" s="303" t="str">
        <f>'Horaire dimanche 2'!C15</f>
        <v>D7</v>
      </c>
      <c r="D15" s="268" t="str">
        <f>VLOOKUP(C15,'Liste chauffeur'!$B$5:$L$18,2,TRUE)&amp;" "&amp;VLOOKUP(C15,'Liste chauffeur'!$B$5:$L$18,3,TRUE)</f>
        <v>COMBO  Said</v>
      </c>
      <c r="E15" s="314"/>
      <c r="F15" s="315">
        <f t="shared" si="0"/>
        <v>1</v>
      </c>
      <c r="G15" s="315"/>
      <c r="H15" s="316"/>
      <c r="I15" s="316"/>
      <c r="J15" s="316"/>
      <c r="K15" s="314"/>
      <c r="L15" s="314">
        <f t="shared" si="5"/>
        <v>0</v>
      </c>
      <c r="M15" s="316"/>
      <c r="N15" s="316"/>
      <c r="O15" s="314"/>
      <c r="P15" s="314">
        <f t="shared" si="7"/>
        <v>0</v>
      </c>
      <c r="Q15" s="316"/>
      <c r="R15" s="316"/>
      <c r="S15" s="314"/>
      <c r="T15" s="314">
        <f t="shared" si="8"/>
        <v>0</v>
      </c>
      <c r="U15" s="316"/>
      <c r="V15" s="316"/>
      <c r="W15" s="314"/>
      <c r="X15" s="317"/>
      <c r="Y15" s="271" t="str">
        <f t="shared" si="6"/>
        <v/>
      </c>
      <c r="Z15" s="270">
        <f t="shared" si="2"/>
        <v>0</v>
      </c>
      <c r="AA15" s="270">
        <f t="shared" si="3"/>
        <v>0</v>
      </c>
      <c r="AB15" s="273">
        <f t="shared" si="4"/>
        <v>0</v>
      </c>
      <c r="AC15" s="260"/>
    </row>
    <row r="16" spans="1:29" ht="35.450000000000003" customHeight="1" x14ac:dyDescent="0.45">
      <c r="A16" s="302" t="str">
        <f>'Horaire dimanche 2'!A16</f>
        <v>DOUJANI</v>
      </c>
      <c r="B16" s="303">
        <f>'Horaire dimanche 2'!B16</f>
        <v>0.41666666666666669</v>
      </c>
      <c r="C16" s="303" t="str">
        <f>'Horaire dimanche 2'!C16</f>
        <v>D12</v>
      </c>
      <c r="D16" s="268" t="str">
        <f>VLOOKUP(C16,'Liste chauffeur'!$B$5:$L$18,2,TRUE)&amp;" "&amp;VLOOKUP(C16,'Liste chauffeur'!$B$5:$L$18,3,TRUE)</f>
        <v>VELOU M'COLO M'Berou</v>
      </c>
      <c r="E16" s="314"/>
      <c r="F16" s="315">
        <f t="shared" si="0"/>
        <v>1</v>
      </c>
      <c r="G16" s="315"/>
      <c r="H16" s="316"/>
      <c r="I16" s="316"/>
      <c r="J16" s="316"/>
      <c r="K16" s="314"/>
      <c r="L16" s="314">
        <f t="shared" si="5"/>
        <v>0</v>
      </c>
      <c r="M16" s="316"/>
      <c r="N16" s="316"/>
      <c r="O16" s="314"/>
      <c r="P16" s="314">
        <f t="shared" si="7"/>
        <v>0</v>
      </c>
      <c r="Q16" s="316"/>
      <c r="R16" s="316"/>
      <c r="S16" s="314"/>
      <c r="T16" s="314">
        <f t="shared" si="8"/>
        <v>0</v>
      </c>
      <c r="U16" s="316"/>
      <c r="V16" s="316" t="str">
        <f t="shared" ref="V16:V47" si="9">IF(H16-I16+J16-M16+N16-Q16+R16=U16,"OK",H16-I16+J16-M16+N16-Q16+R16-U16)</f>
        <v>OK</v>
      </c>
      <c r="W16" s="314"/>
      <c r="X16" s="317"/>
      <c r="Y16" s="271" t="str">
        <f t="shared" si="6"/>
        <v/>
      </c>
      <c r="Z16" s="270">
        <f t="shared" si="2"/>
        <v>0</v>
      </c>
      <c r="AA16" s="270">
        <f t="shared" si="3"/>
        <v>0</v>
      </c>
      <c r="AB16" s="273">
        <f t="shared" si="4"/>
        <v>0</v>
      </c>
      <c r="AC16" s="260"/>
    </row>
    <row r="17" spans="1:29" ht="35.450000000000003" customHeight="1" x14ac:dyDescent="0.45">
      <c r="A17" s="302" t="str">
        <f>'Horaire dimanche 2'!A17</f>
        <v>PASSOT LA BARGE</v>
      </c>
      <c r="B17" s="303">
        <f>'Horaire dimanche 2'!B17</f>
        <v>0.4375</v>
      </c>
      <c r="C17" s="303" t="str">
        <f>'Horaire dimanche 2'!C17</f>
        <v>D12</v>
      </c>
      <c r="D17" s="268" t="str">
        <f>VLOOKUP(C17,'Liste chauffeur'!$B$5:$L$18,2,TRUE)&amp;" "&amp;VLOOKUP(C17,'Liste chauffeur'!$B$5:$L$18,3,TRUE)</f>
        <v>VELOU M'COLO M'Berou</v>
      </c>
      <c r="E17" s="314"/>
      <c r="F17" s="315">
        <f t="shared" si="0"/>
        <v>1</v>
      </c>
      <c r="G17" s="315"/>
      <c r="H17" s="316"/>
      <c r="I17" s="316"/>
      <c r="J17" s="316"/>
      <c r="K17" s="314"/>
      <c r="L17" s="314">
        <f t="shared" si="5"/>
        <v>0</v>
      </c>
      <c r="M17" s="316"/>
      <c r="N17" s="316"/>
      <c r="O17" s="314"/>
      <c r="P17" s="314">
        <f t="shared" si="7"/>
        <v>0</v>
      </c>
      <c r="Q17" s="316"/>
      <c r="R17" s="316"/>
      <c r="S17" s="314"/>
      <c r="T17" s="314">
        <f t="shared" si="8"/>
        <v>0</v>
      </c>
      <c r="U17" s="316"/>
      <c r="V17" s="316" t="str">
        <f t="shared" si="9"/>
        <v>OK</v>
      </c>
      <c r="W17" s="314"/>
      <c r="X17" s="317"/>
      <c r="Y17" s="271" t="str">
        <f t="shared" si="6"/>
        <v/>
      </c>
      <c r="Z17" s="270">
        <f t="shared" si="2"/>
        <v>0</v>
      </c>
      <c r="AA17" s="270">
        <f t="shared" si="3"/>
        <v>0</v>
      </c>
      <c r="AB17" s="273">
        <f t="shared" si="4"/>
        <v>0</v>
      </c>
      <c r="AC17" s="260"/>
    </row>
    <row r="18" spans="1:29" ht="35.450000000000003" customHeight="1" x14ac:dyDescent="0.45">
      <c r="A18" s="302" t="str">
        <f>'Horaire dimanche 2'!A18</f>
        <v>DOUJANI</v>
      </c>
      <c r="B18" s="303">
        <f>'Horaire dimanche 2'!B18</f>
        <v>0.4375</v>
      </c>
      <c r="C18" s="303" t="str">
        <f>'Horaire dimanche 2'!C18</f>
        <v>D7</v>
      </c>
      <c r="D18" s="304" t="str">
        <f>VLOOKUP(C18,'Liste chauffeur'!$B$5:$L$18,2,TRUE)&amp;" "&amp;VLOOKUP(C18,'Liste chauffeur'!$B$5:$L$18,3,TRUE)</f>
        <v>COMBO  Said</v>
      </c>
      <c r="E18" s="314"/>
      <c r="F18" s="315">
        <f t="shared" si="0"/>
        <v>1</v>
      </c>
      <c r="G18" s="315"/>
      <c r="H18" s="316"/>
      <c r="I18" s="316"/>
      <c r="J18" s="316"/>
      <c r="K18" s="314"/>
      <c r="L18" s="314"/>
      <c r="M18" s="316"/>
      <c r="N18" s="316"/>
      <c r="O18" s="314"/>
      <c r="P18" s="314"/>
      <c r="Q18" s="316"/>
      <c r="R18" s="316"/>
      <c r="S18" s="314"/>
      <c r="T18" s="314"/>
      <c r="U18" s="316"/>
      <c r="V18" s="316"/>
      <c r="W18" s="314"/>
      <c r="X18" s="317"/>
      <c r="Y18" s="271"/>
      <c r="Z18" s="270">
        <f t="shared" si="2"/>
        <v>0</v>
      </c>
      <c r="AA18" s="270">
        <f t="shared" si="3"/>
        <v>0</v>
      </c>
      <c r="AB18" s="273">
        <f t="shared" si="4"/>
        <v>0</v>
      </c>
      <c r="AC18" s="260"/>
    </row>
    <row r="19" spans="1:29" ht="35.450000000000003" customHeight="1" x14ac:dyDescent="0.45">
      <c r="A19" s="302" t="str">
        <f>'Horaire dimanche 2'!A19</f>
        <v>PASSOT LA BARGE</v>
      </c>
      <c r="B19" s="303">
        <f>'Horaire dimanche 2'!B19</f>
        <v>0.45833333333333331</v>
      </c>
      <c r="C19" s="303" t="str">
        <f>'Horaire dimanche 2'!C19</f>
        <v>D7</v>
      </c>
      <c r="D19" s="268" t="str">
        <f>VLOOKUP(C19,'Liste chauffeur'!$B$5:$L$18,2,TRUE)&amp;" "&amp;VLOOKUP(C19,'Liste chauffeur'!$B$5:$L$18,3,TRUE)</f>
        <v>COMBO  Said</v>
      </c>
      <c r="E19" s="314"/>
      <c r="F19" s="315">
        <f t="shared" si="0"/>
        <v>1</v>
      </c>
      <c r="G19" s="315"/>
      <c r="H19" s="316"/>
      <c r="I19" s="316"/>
      <c r="J19" s="316"/>
      <c r="K19" s="314"/>
      <c r="L19" s="314">
        <f t="shared" si="5"/>
        <v>0</v>
      </c>
      <c r="M19" s="316"/>
      <c r="N19" s="316"/>
      <c r="O19" s="314"/>
      <c r="P19" s="314">
        <f t="shared" si="7"/>
        <v>0</v>
      </c>
      <c r="Q19" s="316"/>
      <c r="R19" s="316"/>
      <c r="S19" s="314"/>
      <c r="T19" s="314">
        <f t="shared" si="8"/>
        <v>0</v>
      </c>
      <c r="U19" s="316"/>
      <c r="V19" s="316" t="str">
        <f t="shared" si="9"/>
        <v>OK</v>
      </c>
      <c r="W19" s="314"/>
      <c r="X19" s="317"/>
      <c r="Y19" s="271" t="str">
        <f t="shared" si="6"/>
        <v/>
      </c>
      <c r="Z19" s="270">
        <f t="shared" si="2"/>
        <v>0</v>
      </c>
      <c r="AA19" s="270">
        <f t="shared" si="3"/>
        <v>0</v>
      </c>
      <c r="AB19" s="273">
        <f t="shared" si="4"/>
        <v>0</v>
      </c>
      <c r="AC19" s="260"/>
    </row>
    <row r="20" spans="1:29" ht="35.450000000000003" customHeight="1" x14ac:dyDescent="0.45">
      <c r="A20" s="302" t="str">
        <f>'Horaire dimanche 2'!A20</f>
        <v>DOUJANI</v>
      </c>
      <c r="B20" s="303">
        <f>'Horaire dimanche 2'!B20</f>
        <v>0.45833333333333331</v>
      </c>
      <c r="C20" s="303" t="str">
        <f>'Horaire dimanche 2'!C20</f>
        <v>D12</v>
      </c>
      <c r="D20" s="268" t="str">
        <f>VLOOKUP(C20,'Liste chauffeur'!$B$5:$L$18,2,TRUE)&amp;" "&amp;VLOOKUP(C20,'Liste chauffeur'!$B$5:$L$18,3,TRUE)</f>
        <v>VELOU M'COLO M'Berou</v>
      </c>
      <c r="E20" s="314"/>
      <c r="F20" s="315">
        <f t="shared" si="0"/>
        <v>1</v>
      </c>
      <c r="G20" s="315"/>
      <c r="H20" s="316"/>
      <c r="I20" s="316"/>
      <c r="J20" s="316"/>
      <c r="K20" s="314"/>
      <c r="L20" s="314">
        <f t="shared" si="5"/>
        <v>0</v>
      </c>
      <c r="M20" s="316"/>
      <c r="N20" s="316"/>
      <c r="O20" s="314"/>
      <c r="P20" s="314">
        <f t="shared" si="7"/>
        <v>0</v>
      </c>
      <c r="Q20" s="316"/>
      <c r="R20" s="316"/>
      <c r="S20" s="314"/>
      <c r="T20" s="314">
        <f t="shared" si="8"/>
        <v>0</v>
      </c>
      <c r="U20" s="316"/>
      <c r="V20" s="316" t="str">
        <f t="shared" si="9"/>
        <v>OK</v>
      </c>
      <c r="W20" s="314"/>
      <c r="X20" s="317"/>
      <c r="Y20" s="271" t="str">
        <f t="shared" si="6"/>
        <v/>
      </c>
      <c r="Z20" s="270">
        <f t="shared" si="2"/>
        <v>0</v>
      </c>
      <c r="AA20" s="270">
        <f t="shared" si="3"/>
        <v>0</v>
      </c>
      <c r="AB20" s="273">
        <f t="shared" si="4"/>
        <v>0</v>
      </c>
      <c r="AC20" s="260"/>
    </row>
    <row r="21" spans="1:29" ht="35.450000000000003" customHeight="1" x14ac:dyDescent="0.45">
      <c r="A21" s="302" t="str">
        <f>'Horaire dimanche 2'!A21</f>
        <v>PASSOT LA BARGE</v>
      </c>
      <c r="B21" s="303">
        <f>'Horaire dimanche 2'!B21</f>
        <v>0.47916666666666669</v>
      </c>
      <c r="C21" s="303" t="str">
        <f>'Horaire dimanche 2'!C21</f>
        <v>D12</v>
      </c>
      <c r="D21" s="268" t="str">
        <f>VLOOKUP(C21,'Liste chauffeur'!$B$5:$L$18,2,TRUE)&amp;" "&amp;VLOOKUP(C21,'Liste chauffeur'!$B$5:$L$18,3,TRUE)</f>
        <v>VELOU M'COLO M'Berou</v>
      </c>
      <c r="E21" s="314"/>
      <c r="F21" s="315">
        <f t="shared" si="0"/>
        <v>1</v>
      </c>
      <c r="G21" s="315"/>
      <c r="H21" s="316"/>
      <c r="I21" s="316"/>
      <c r="J21" s="316"/>
      <c r="K21" s="314"/>
      <c r="L21" s="314">
        <f t="shared" si="5"/>
        <v>0</v>
      </c>
      <c r="M21" s="316"/>
      <c r="N21" s="316"/>
      <c r="O21" s="314"/>
      <c r="P21" s="314">
        <f t="shared" si="7"/>
        <v>0</v>
      </c>
      <c r="Q21" s="316"/>
      <c r="R21" s="316"/>
      <c r="S21" s="314"/>
      <c r="T21" s="314">
        <f t="shared" si="8"/>
        <v>0</v>
      </c>
      <c r="U21" s="316"/>
      <c r="V21" s="316" t="str">
        <f t="shared" si="9"/>
        <v>OK</v>
      </c>
      <c r="W21" s="314"/>
      <c r="X21" s="317"/>
      <c r="Y21" s="271" t="str">
        <f t="shared" si="6"/>
        <v/>
      </c>
      <c r="Z21" s="270">
        <f t="shared" si="2"/>
        <v>0</v>
      </c>
      <c r="AA21" s="270">
        <f t="shared" si="3"/>
        <v>0</v>
      </c>
      <c r="AB21" s="273">
        <f t="shared" si="4"/>
        <v>0</v>
      </c>
      <c r="AC21" s="260"/>
    </row>
    <row r="22" spans="1:29" ht="35.450000000000003" customHeight="1" x14ac:dyDescent="0.45">
      <c r="A22" s="302" t="str">
        <f>'Horaire dimanche 2'!A22</f>
        <v>DOUJANI</v>
      </c>
      <c r="B22" s="303">
        <f>'Horaire dimanche 2'!B22</f>
        <v>0.47916666666666669</v>
      </c>
      <c r="C22" s="303" t="str">
        <f>'Horaire dimanche 2'!C22</f>
        <v>D7</v>
      </c>
      <c r="D22" s="268" t="str">
        <f>VLOOKUP(C22,'Liste chauffeur'!$B$5:$L$18,2,TRUE)&amp;" "&amp;VLOOKUP(C22,'Liste chauffeur'!$B$5:$L$18,3,TRUE)</f>
        <v>COMBO  Said</v>
      </c>
      <c r="E22" s="314"/>
      <c r="F22" s="315">
        <f t="shared" si="0"/>
        <v>1</v>
      </c>
      <c r="G22" s="315"/>
      <c r="H22" s="316"/>
      <c r="I22" s="316"/>
      <c r="J22" s="316"/>
      <c r="K22" s="314"/>
      <c r="L22" s="314">
        <f t="shared" si="5"/>
        <v>0</v>
      </c>
      <c r="M22" s="316"/>
      <c r="N22" s="316"/>
      <c r="O22" s="314"/>
      <c r="P22" s="314">
        <f t="shared" si="7"/>
        <v>0</v>
      </c>
      <c r="Q22" s="316"/>
      <c r="R22" s="316"/>
      <c r="S22" s="314"/>
      <c r="T22" s="314">
        <f t="shared" si="8"/>
        <v>0</v>
      </c>
      <c r="U22" s="316"/>
      <c r="V22" s="316" t="str">
        <f t="shared" si="9"/>
        <v>OK</v>
      </c>
      <c r="W22" s="314"/>
      <c r="X22" s="317"/>
      <c r="Y22" s="271" t="str">
        <f t="shared" si="6"/>
        <v/>
      </c>
      <c r="Z22" s="270">
        <f t="shared" si="2"/>
        <v>0</v>
      </c>
      <c r="AA22" s="270">
        <f t="shared" si="3"/>
        <v>0</v>
      </c>
      <c r="AB22" s="273">
        <f t="shared" si="4"/>
        <v>0</v>
      </c>
      <c r="AC22" s="260"/>
    </row>
    <row r="23" spans="1:29" ht="35.450000000000003" customHeight="1" x14ac:dyDescent="0.45">
      <c r="A23" s="302" t="str">
        <f>'Horaire dimanche 2'!A23</f>
        <v>PASSOT LA BARGE</v>
      </c>
      <c r="B23" s="303">
        <f>'Horaire dimanche 2'!B23</f>
        <v>0.5</v>
      </c>
      <c r="C23" s="303" t="str">
        <f>'Horaire dimanche 2'!C23</f>
        <v>D7</v>
      </c>
      <c r="D23" s="268" t="str">
        <f>VLOOKUP(C23,'Liste chauffeur'!$B$5:$L$18,2,TRUE)&amp;" "&amp;VLOOKUP(C23,'Liste chauffeur'!$B$5:$L$18,3,TRUE)</f>
        <v>COMBO  Said</v>
      </c>
      <c r="E23" s="314"/>
      <c r="F23" s="315">
        <f t="shared" si="0"/>
        <v>1</v>
      </c>
      <c r="G23" s="315"/>
      <c r="H23" s="316"/>
      <c r="I23" s="316"/>
      <c r="J23" s="316"/>
      <c r="K23" s="314"/>
      <c r="L23" s="314">
        <f t="shared" si="5"/>
        <v>0</v>
      </c>
      <c r="M23" s="316"/>
      <c r="N23" s="316"/>
      <c r="O23" s="314"/>
      <c r="P23" s="314">
        <f t="shared" si="7"/>
        <v>0</v>
      </c>
      <c r="Q23" s="316"/>
      <c r="R23" s="316"/>
      <c r="S23" s="314"/>
      <c r="T23" s="314">
        <f t="shared" si="8"/>
        <v>0</v>
      </c>
      <c r="U23" s="316"/>
      <c r="V23" s="316" t="str">
        <f t="shared" si="9"/>
        <v>OK</v>
      </c>
      <c r="W23" s="314"/>
      <c r="X23" s="317"/>
      <c r="Y23" s="271" t="str">
        <f t="shared" si="6"/>
        <v/>
      </c>
      <c r="Z23" s="270">
        <f t="shared" si="2"/>
        <v>0</v>
      </c>
      <c r="AA23" s="270">
        <f t="shared" si="3"/>
        <v>0</v>
      </c>
      <c r="AB23" s="273">
        <f t="shared" si="4"/>
        <v>0</v>
      </c>
      <c r="AC23" s="260"/>
    </row>
    <row r="24" spans="1:29" ht="35.450000000000003" customHeight="1" x14ac:dyDescent="0.45">
      <c r="A24" s="302" t="str">
        <f>'Horaire dimanche 2'!A24</f>
        <v>DOUJANI</v>
      </c>
      <c r="B24" s="303">
        <f>'Horaire dimanche 2'!B24</f>
        <v>0.5</v>
      </c>
      <c r="C24" s="303" t="str">
        <f>'Horaire dimanche 2'!C24</f>
        <v>D12</v>
      </c>
      <c r="D24" s="268" t="str">
        <f>VLOOKUP(C24,'Liste chauffeur'!$B$5:$L$18,2,TRUE)&amp;" "&amp;VLOOKUP(C24,'Liste chauffeur'!$B$5:$L$18,3,TRUE)</f>
        <v>VELOU M'COLO M'Berou</v>
      </c>
      <c r="E24" s="314"/>
      <c r="F24" s="315">
        <f t="shared" si="0"/>
        <v>1</v>
      </c>
      <c r="G24" s="315"/>
      <c r="H24" s="316"/>
      <c r="I24" s="316"/>
      <c r="J24" s="316"/>
      <c r="K24" s="314"/>
      <c r="L24" s="314">
        <f t="shared" si="5"/>
        <v>0</v>
      </c>
      <c r="M24" s="316"/>
      <c r="N24" s="316"/>
      <c r="O24" s="314"/>
      <c r="P24" s="314">
        <f t="shared" si="7"/>
        <v>0</v>
      </c>
      <c r="Q24" s="316"/>
      <c r="R24" s="316"/>
      <c r="S24" s="314"/>
      <c r="T24" s="314">
        <f t="shared" si="8"/>
        <v>0</v>
      </c>
      <c r="U24" s="316"/>
      <c r="V24" s="316" t="str">
        <f t="shared" si="9"/>
        <v>OK</v>
      </c>
      <c r="W24" s="314"/>
      <c r="X24" s="317"/>
      <c r="Y24" s="271" t="str">
        <f t="shared" si="6"/>
        <v/>
      </c>
      <c r="Z24" s="270">
        <f t="shared" si="2"/>
        <v>0</v>
      </c>
      <c r="AA24" s="270">
        <f t="shared" si="3"/>
        <v>0</v>
      </c>
      <c r="AB24" s="273">
        <f t="shared" si="4"/>
        <v>0</v>
      </c>
      <c r="AC24" s="260"/>
    </row>
    <row r="25" spans="1:29" ht="35.450000000000003" customHeight="1" x14ac:dyDescent="0.45">
      <c r="A25" s="302"/>
      <c r="B25" s="447" t="s">
        <v>567</v>
      </c>
      <c r="C25" s="447"/>
      <c r="D25" s="282"/>
      <c r="E25" s="448"/>
      <c r="F25" s="449">
        <f>SUM(F8:F24)</f>
        <v>17</v>
      </c>
      <c r="G25" s="449">
        <f>SUM(G8:G24)</f>
        <v>0</v>
      </c>
      <c r="H25" s="450"/>
      <c r="I25" s="450"/>
      <c r="J25" s="450"/>
      <c r="K25" s="448"/>
      <c r="L25" s="448"/>
      <c r="M25" s="450"/>
      <c r="N25" s="450"/>
      <c r="O25" s="448"/>
      <c r="P25" s="448"/>
      <c r="Q25" s="450"/>
      <c r="R25" s="450"/>
      <c r="S25" s="448"/>
      <c r="T25" s="448"/>
      <c r="U25" s="450"/>
      <c r="V25" s="450"/>
      <c r="W25" s="448"/>
      <c r="X25" s="451"/>
      <c r="Y25" s="276" t="e">
        <f>AVERAGE(Y8:Y24)</f>
        <v>#DIV/0!</v>
      </c>
      <c r="Z25" s="258">
        <f>SUM(Z8:Z24)</f>
        <v>0</v>
      </c>
      <c r="AA25" s="258">
        <f>SUM(AA8:AA24)</f>
        <v>0</v>
      </c>
      <c r="AB25" s="452">
        <f t="shared" si="4"/>
        <v>0</v>
      </c>
      <c r="AC25" s="260"/>
    </row>
    <row r="26" spans="1:29" ht="35.450000000000003" customHeight="1" x14ac:dyDescent="0.45">
      <c r="A26" s="302" t="str">
        <f>'Horaire dimanche 2'!A25</f>
        <v>PASSOT LA BARGE</v>
      </c>
      <c r="B26" s="303">
        <f>'Horaire dimanche 2'!B25</f>
        <v>0.52083333333333337</v>
      </c>
      <c r="C26" s="303" t="str">
        <f>'Horaire dimanche 2'!C25</f>
        <v>D12</v>
      </c>
      <c r="D26" s="268" t="str">
        <f>VLOOKUP(C26,'Liste chauffeur'!$B$5:$L$18,2,TRUE)&amp;" "&amp;VLOOKUP(C26,'Liste chauffeur'!$B$5:$L$18,3,TRUE)</f>
        <v>VELOU M'COLO M'Berou</v>
      </c>
      <c r="E26" s="314"/>
      <c r="F26" s="315">
        <f t="shared" si="0"/>
        <v>1</v>
      </c>
      <c r="G26" s="315"/>
      <c r="H26" s="316"/>
      <c r="I26" s="316"/>
      <c r="J26" s="316"/>
      <c r="K26" s="314"/>
      <c r="L26" s="314"/>
      <c r="M26" s="316"/>
      <c r="N26" s="316"/>
      <c r="O26" s="314"/>
      <c r="P26" s="314"/>
      <c r="Q26" s="316"/>
      <c r="R26" s="316"/>
      <c r="S26" s="314"/>
      <c r="T26" s="314"/>
      <c r="U26" s="316"/>
      <c r="V26" s="316"/>
      <c r="W26" s="314"/>
      <c r="X26" s="317"/>
      <c r="Y26" s="271"/>
      <c r="Z26" s="270">
        <f t="shared" si="2"/>
        <v>0</v>
      </c>
      <c r="AA26" s="270">
        <f t="shared" si="3"/>
        <v>0</v>
      </c>
      <c r="AB26" s="273">
        <f t="shared" si="4"/>
        <v>0</v>
      </c>
      <c r="AC26" s="260"/>
    </row>
    <row r="27" spans="1:29" ht="35.450000000000003" customHeight="1" x14ac:dyDescent="0.45">
      <c r="A27" s="302" t="str">
        <f>'Horaire dimanche 2'!A26</f>
        <v>DOUJANI</v>
      </c>
      <c r="B27" s="303">
        <f>'Horaire dimanche 2'!B26</f>
        <v>0.52083333333333337</v>
      </c>
      <c r="C27" s="303" t="str">
        <f>'Horaire dimanche 2'!C26</f>
        <v>D7</v>
      </c>
      <c r="D27" s="268" t="str">
        <f>VLOOKUP(C27,'Liste chauffeur'!$B$5:$L$18,2,TRUE)&amp;" "&amp;VLOOKUP(C27,'Liste chauffeur'!$B$5:$L$18,3,TRUE)</f>
        <v>COMBO  Said</v>
      </c>
      <c r="E27" s="314"/>
      <c r="F27" s="315">
        <f t="shared" si="0"/>
        <v>1</v>
      </c>
      <c r="G27" s="315"/>
      <c r="H27" s="316"/>
      <c r="I27" s="316"/>
      <c r="J27" s="316"/>
      <c r="K27" s="314"/>
      <c r="L27" s="314">
        <f t="shared" si="5"/>
        <v>0</v>
      </c>
      <c r="M27" s="316"/>
      <c r="N27" s="316"/>
      <c r="O27" s="314"/>
      <c r="P27" s="314">
        <f t="shared" si="7"/>
        <v>0</v>
      </c>
      <c r="Q27" s="316"/>
      <c r="R27" s="316"/>
      <c r="S27" s="314"/>
      <c r="T27" s="314">
        <f t="shared" si="8"/>
        <v>0</v>
      </c>
      <c r="U27" s="316"/>
      <c r="V27" s="316" t="str">
        <f t="shared" si="9"/>
        <v>OK</v>
      </c>
      <c r="W27" s="314"/>
      <c r="X27" s="317"/>
      <c r="Y27" s="271" t="str">
        <f t="shared" si="6"/>
        <v/>
      </c>
      <c r="Z27" s="270">
        <f t="shared" si="2"/>
        <v>0</v>
      </c>
      <c r="AA27" s="270">
        <f t="shared" si="3"/>
        <v>0</v>
      </c>
      <c r="AB27" s="273">
        <f t="shared" si="4"/>
        <v>0</v>
      </c>
      <c r="AC27" s="260"/>
    </row>
    <row r="28" spans="1:29" ht="35.450000000000003" customHeight="1" x14ac:dyDescent="0.45">
      <c r="A28" s="302" t="str">
        <f>'Horaire dimanche 2'!A27</f>
        <v>PASSOT LA BARGE</v>
      </c>
      <c r="B28" s="303">
        <f>'Horaire dimanche 2'!B27</f>
        <v>0.54166666666666663</v>
      </c>
      <c r="C28" s="303" t="str">
        <f>'Horaire dimanche 2'!C27</f>
        <v>D7</v>
      </c>
      <c r="D28" s="268" t="str">
        <f>VLOOKUP(C28,'Liste chauffeur'!$B$5:$L$18,2,TRUE)&amp;" "&amp;VLOOKUP(C28,'Liste chauffeur'!$B$5:$L$18,3,TRUE)</f>
        <v>COMBO  Said</v>
      </c>
      <c r="E28" s="314"/>
      <c r="F28" s="315">
        <f t="shared" si="0"/>
        <v>1</v>
      </c>
      <c r="G28" s="315"/>
      <c r="H28" s="316"/>
      <c r="I28" s="316"/>
      <c r="J28" s="316"/>
      <c r="K28" s="314"/>
      <c r="L28" s="314">
        <f t="shared" si="5"/>
        <v>0</v>
      </c>
      <c r="M28" s="316"/>
      <c r="N28" s="316"/>
      <c r="O28" s="314"/>
      <c r="P28" s="314">
        <f t="shared" si="7"/>
        <v>0</v>
      </c>
      <c r="Q28" s="316"/>
      <c r="R28" s="316"/>
      <c r="S28" s="314"/>
      <c r="T28" s="314">
        <f t="shared" si="8"/>
        <v>0</v>
      </c>
      <c r="U28" s="316"/>
      <c r="V28" s="316" t="str">
        <f t="shared" si="9"/>
        <v>OK</v>
      </c>
      <c r="W28" s="314"/>
      <c r="X28" s="317"/>
      <c r="Y28" s="271" t="str">
        <f t="shared" si="6"/>
        <v/>
      </c>
      <c r="Z28" s="270">
        <f t="shared" si="2"/>
        <v>0</v>
      </c>
      <c r="AA28" s="270">
        <f t="shared" si="3"/>
        <v>0</v>
      </c>
      <c r="AB28" s="273">
        <f t="shared" si="4"/>
        <v>0</v>
      </c>
      <c r="AC28" s="260"/>
    </row>
    <row r="29" spans="1:29" ht="35.450000000000003" customHeight="1" x14ac:dyDescent="0.45">
      <c r="A29" s="302" t="str">
        <f>'Horaire dimanche 2'!A28</f>
        <v>DOUJANI</v>
      </c>
      <c r="B29" s="303">
        <f>'Horaire dimanche 2'!B28</f>
        <v>0.54166666666666663</v>
      </c>
      <c r="C29" s="303" t="str">
        <f>'Horaire dimanche 2'!C28</f>
        <v>D12</v>
      </c>
      <c r="D29" s="268" t="str">
        <f>VLOOKUP(C29,'Liste chauffeur'!$B$5:$L$18,2,TRUE)&amp;" "&amp;VLOOKUP(C29,'Liste chauffeur'!$B$5:$L$18,3,TRUE)</f>
        <v>VELOU M'COLO M'Berou</v>
      </c>
      <c r="E29" s="314"/>
      <c r="F29" s="315">
        <f t="shared" si="0"/>
        <v>1</v>
      </c>
      <c r="G29" s="315"/>
      <c r="H29" s="316"/>
      <c r="I29" s="316"/>
      <c r="J29" s="316"/>
      <c r="K29" s="314"/>
      <c r="L29" s="314">
        <f t="shared" si="5"/>
        <v>0</v>
      </c>
      <c r="M29" s="316"/>
      <c r="N29" s="316"/>
      <c r="O29" s="314"/>
      <c r="P29" s="314">
        <f t="shared" si="7"/>
        <v>0</v>
      </c>
      <c r="Q29" s="316"/>
      <c r="R29" s="316"/>
      <c r="S29" s="314"/>
      <c r="T29" s="314">
        <f t="shared" si="8"/>
        <v>0</v>
      </c>
      <c r="U29" s="316"/>
      <c r="V29" s="316" t="str">
        <f t="shared" si="9"/>
        <v>OK</v>
      </c>
      <c r="W29" s="314"/>
      <c r="X29" s="317"/>
      <c r="Y29" s="271" t="str">
        <f t="shared" si="6"/>
        <v/>
      </c>
      <c r="Z29" s="270">
        <f t="shared" si="2"/>
        <v>0</v>
      </c>
      <c r="AA29" s="270">
        <f t="shared" si="3"/>
        <v>0</v>
      </c>
      <c r="AB29" s="273">
        <f t="shared" si="4"/>
        <v>0</v>
      </c>
      <c r="AC29" s="260"/>
    </row>
    <row r="30" spans="1:29" ht="35.450000000000003" customHeight="1" x14ac:dyDescent="0.45">
      <c r="A30" s="302" t="str">
        <f>'Horaire dimanche 2'!A29</f>
        <v>PASSOT LA BARGE</v>
      </c>
      <c r="B30" s="303">
        <f>'Horaire dimanche 2'!B29</f>
        <v>0.5625</v>
      </c>
      <c r="C30" s="303" t="str">
        <f>'Horaire dimanche 2'!C29</f>
        <v>D14</v>
      </c>
      <c r="D30" s="268" t="str">
        <f>VLOOKUP(C30,'Liste chauffeur'!$B$5:$L$18,2,TRUE)&amp;" "&amp;VLOOKUP(C30,'Liste chauffeur'!$B$5:$L$18,3,TRUE)</f>
        <v>AHAMADI Laydine</v>
      </c>
      <c r="E30" s="314"/>
      <c r="F30" s="315">
        <f t="shared" si="0"/>
        <v>1</v>
      </c>
      <c r="G30" s="315"/>
      <c r="H30" s="316"/>
      <c r="I30" s="316"/>
      <c r="J30" s="316"/>
      <c r="K30" s="314"/>
      <c r="L30" s="314">
        <f t="shared" si="5"/>
        <v>0</v>
      </c>
      <c r="M30" s="316"/>
      <c r="N30" s="316"/>
      <c r="O30" s="314"/>
      <c r="P30" s="314">
        <f t="shared" si="7"/>
        <v>0</v>
      </c>
      <c r="Q30" s="316"/>
      <c r="R30" s="316"/>
      <c r="S30" s="314"/>
      <c r="T30" s="314">
        <f t="shared" si="8"/>
        <v>0</v>
      </c>
      <c r="U30" s="316"/>
      <c r="V30" s="316" t="str">
        <f t="shared" si="9"/>
        <v>OK</v>
      </c>
      <c r="W30" s="314"/>
      <c r="X30" s="317"/>
      <c r="Y30" s="271" t="str">
        <f t="shared" si="6"/>
        <v/>
      </c>
      <c r="Z30" s="270">
        <f t="shared" si="2"/>
        <v>0</v>
      </c>
      <c r="AA30" s="270">
        <f t="shared" si="3"/>
        <v>0</v>
      </c>
      <c r="AB30" s="273">
        <f t="shared" si="4"/>
        <v>0</v>
      </c>
      <c r="AC30" s="260"/>
    </row>
    <row r="31" spans="1:29" ht="35.450000000000003" customHeight="1" x14ac:dyDescent="0.45">
      <c r="A31" s="302" t="str">
        <f>'Horaire dimanche 2'!A30</f>
        <v>DOUJANI</v>
      </c>
      <c r="B31" s="303">
        <f>'Horaire dimanche 2'!B30</f>
        <v>0.5625</v>
      </c>
      <c r="C31" s="303" t="str">
        <f>'Horaire dimanche 2'!C30</f>
        <v>D7</v>
      </c>
      <c r="D31" s="268" t="str">
        <f>VLOOKUP(C31,'Liste chauffeur'!$B$5:$L$18,2,TRUE)&amp;" "&amp;VLOOKUP(C31,'Liste chauffeur'!$B$5:$L$18,3,TRUE)</f>
        <v>COMBO  Said</v>
      </c>
      <c r="E31" s="314"/>
      <c r="F31" s="315">
        <f t="shared" si="0"/>
        <v>1</v>
      </c>
      <c r="G31" s="315"/>
      <c r="H31" s="316"/>
      <c r="I31" s="316"/>
      <c r="J31" s="316"/>
      <c r="K31" s="314"/>
      <c r="L31" s="314">
        <f t="shared" si="5"/>
        <v>0</v>
      </c>
      <c r="M31" s="316"/>
      <c r="N31" s="316"/>
      <c r="O31" s="314"/>
      <c r="P31" s="314">
        <f t="shared" si="7"/>
        <v>0</v>
      </c>
      <c r="Q31" s="316"/>
      <c r="R31" s="316"/>
      <c r="S31" s="314"/>
      <c r="T31" s="314">
        <f t="shared" si="8"/>
        <v>0</v>
      </c>
      <c r="U31" s="316"/>
      <c r="V31" s="316" t="str">
        <f t="shared" si="9"/>
        <v>OK</v>
      </c>
      <c r="W31" s="314"/>
      <c r="X31" s="317"/>
      <c r="Y31" s="271" t="str">
        <f t="shared" si="6"/>
        <v/>
      </c>
      <c r="Z31" s="270">
        <f t="shared" si="2"/>
        <v>0</v>
      </c>
      <c r="AA31" s="270">
        <f t="shared" si="3"/>
        <v>0</v>
      </c>
      <c r="AB31" s="273">
        <f t="shared" si="4"/>
        <v>0</v>
      </c>
      <c r="AC31" s="260"/>
    </row>
    <row r="32" spans="1:29" ht="35.450000000000003" customHeight="1" x14ac:dyDescent="0.45">
      <c r="A32" s="302" t="str">
        <f>'Horaire dimanche 2'!A31</f>
        <v>PASSOT LA BARGE</v>
      </c>
      <c r="B32" s="303">
        <f>'Horaire dimanche 2'!B31</f>
        <v>0.58333333333333337</v>
      </c>
      <c r="C32" s="303" t="str">
        <f>'Horaire dimanche 2'!C31</f>
        <v>D8</v>
      </c>
      <c r="D32" s="268" t="str">
        <f>VLOOKUP(C32,'Liste chauffeur'!$B$5:$L$18,2,TRUE)&amp;" "&amp;VLOOKUP(C32,'Liste chauffeur'!$B$5:$L$18,3,TRUE)</f>
        <v>ISSOUF Dailami</v>
      </c>
      <c r="E32" s="314"/>
      <c r="F32" s="315">
        <f t="shared" si="0"/>
        <v>1</v>
      </c>
      <c r="G32" s="315"/>
      <c r="H32" s="316"/>
      <c r="I32" s="316"/>
      <c r="J32" s="316"/>
      <c r="K32" s="314"/>
      <c r="L32" s="314">
        <f t="shared" si="5"/>
        <v>0</v>
      </c>
      <c r="M32" s="316"/>
      <c r="N32" s="316"/>
      <c r="O32" s="314"/>
      <c r="P32" s="314">
        <f t="shared" si="7"/>
        <v>0</v>
      </c>
      <c r="Q32" s="316"/>
      <c r="R32" s="316"/>
      <c r="S32" s="314"/>
      <c r="T32" s="314">
        <f t="shared" si="8"/>
        <v>0</v>
      </c>
      <c r="U32" s="316"/>
      <c r="V32" s="316" t="str">
        <f t="shared" si="9"/>
        <v>OK</v>
      </c>
      <c r="W32" s="314"/>
      <c r="X32" s="317"/>
      <c r="Y32" s="271" t="str">
        <f t="shared" si="6"/>
        <v/>
      </c>
      <c r="Z32" s="270">
        <f t="shared" si="2"/>
        <v>0</v>
      </c>
      <c r="AA32" s="270">
        <f t="shared" si="3"/>
        <v>0</v>
      </c>
      <c r="AB32" s="273">
        <f t="shared" si="4"/>
        <v>0</v>
      </c>
      <c r="AC32" s="260"/>
    </row>
    <row r="33" spans="1:29" ht="35.450000000000003" customHeight="1" x14ac:dyDescent="0.45">
      <c r="A33" s="302" t="str">
        <f>'Horaire dimanche 2'!A32</f>
        <v>DOUJANI</v>
      </c>
      <c r="B33" s="303">
        <f>'Horaire dimanche 2'!B32</f>
        <v>0.58333333333333337</v>
      </c>
      <c r="C33" s="303" t="str">
        <f>'Horaire dimanche 2'!C32</f>
        <v>D14</v>
      </c>
      <c r="D33" s="268" t="str">
        <f>VLOOKUP(C33,'Liste chauffeur'!$B$5:$L$18,2,TRUE)&amp;" "&amp;VLOOKUP(C33,'Liste chauffeur'!$B$5:$L$18,3,TRUE)</f>
        <v>AHAMADI Laydine</v>
      </c>
      <c r="E33" s="314"/>
      <c r="F33" s="315">
        <f t="shared" si="0"/>
        <v>1</v>
      </c>
      <c r="G33" s="315"/>
      <c r="H33" s="316"/>
      <c r="I33" s="316"/>
      <c r="J33" s="316"/>
      <c r="K33" s="314"/>
      <c r="L33" s="314"/>
      <c r="M33" s="316"/>
      <c r="N33" s="316"/>
      <c r="O33" s="314"/>
      <c r="P33" s="314"/>
      <c r="Q33" s="316"/>
      <c r="R33" s="316"/>
      <c r="S33" s="314"/>
      <c r="T33" s="314"/>
      <c r="U33" s="316"/>
      <c r="V33" s="316"/>
      <c r="W33" s="314"/>
      <c r="X33" s="317"/>
      <c r="Y33" s="271"/>
      <c r="Z33" s="270">
        <f t="shared" si="2"/>
        <v>0</v>
      </c>
      <c r="AA33" s="270">
        <f t="shared" si="3"/>
        <v>0</v>
      </c>
      <c r="AB33" s="273">
        <f t="shared" si="4"/>
        <v>0</v>
      </c>
      <c r="AC33" s="260"/>
    </row>
    <row r="34" spans="1:29" ht="35.450000000000003" customHeight="1" x14ac:dyDescent="0.45">
      <c r="A34" s="302" t="str">
        <f>'Horaire dimanche 2'!A33</f>
        <v>PASSOT LA BARGE</v>
      </c>
      <c r="B34" s="303">
        <f>'Horaire dimanche 2'!B33</f>
        <v>0.60416666666666663</v>
      </c>
      <c r="C34" s="303" t="str">
        <f>'Horaire dimanche 2'!C33</f>
        <v>D14</v>
      </c>
      <c r="D34" s="268" t="str">
        <f>VLOOKUP(C34,'Liste chauffeur'!$B$5:$L$18,2,TRUE)&amp;" "&amp;VLOOKUP(C34,'Liste chauffeur'!$B$5:$L$18,3,TRUE)</f>
        <v>AHAMADI Laydine</v>
      </c>
      <c r="E34" s="314"/>
      <c r="F34" s="315">
        <f t="shared" si="0"/>
        <v>1</v>
      </c>
      <c r="G34" s="315"/>
      <c r="H34" s="316"/>
      <c r="I34" s="316"/>
      <c r="J34" s="316"/>
      <c r="K34" s="314"/>
      <c r="L34" s="314">
        <f t="shared" si="5"/>
        <v>0</v>
      </c>
      <c r="M34" s="316"/>
      <c r="N34" s="316"/>
      <c r="O34" s="314"/>
      <c r="P34" s="314">
        <f t="shared" si="7"/>
        <v>0</v>
      </c>
      <c r="Q34" s="316"/>
      <c r="R34" s="316"/>
      <c r="S34" s="314"/>
      <c r="T34" s="314">
        <f t="shared" si="8"/>
        <v>0</v>
      </c>
      <c r="U34" s="316"/>
      <c r="V34" s="316" t="str">
        <f t="shared" si="9"/>
        <v>OK</v>
      </c>
      <c r="W34" s="314"/>
      <c r="X34" s="317"/>
      <c r="Y34" s="271" t="str">
        <f t="shared" si="6"/>
        <v/>
      </c>
      <c r="Z34" s="270">
        <f t="shared" si="2"/>
        <v>0</v>
      </c>
      <c r="AA34" s="270">
        <f t="shared" si="3"/>
        <v>0</v>
      </c>
      <c r="AB34" s="273">
        <f t="shared" si="4"/>
        <v>0</v>
      </c>
      <c r="AC34" s="260"/>
    </row>
    <row r="35" spans="1:29" ht="35.450000000000003" customHeight="1" x14ac:dyDescent="0.45">
      <c r="A35" s="302" t="str">
        <f>'Horaire dimanche 2'!A34</f>
        <v>DOUJANI</v>
      </c>
      <c r="B35" s="303">
        <f>'Horaire dimanche 2'!B34</f>
        <v>0.60416666666666663</v>
      </c>
      <c r="C35" s="303" t="str">
        <f>'Horaire dimanche 2'!C34</f>
        <v>D8</v>
      </c>
      <c r="D35" s="268" t="str">
        <f>VLOOKUP(C35,'Liste chauffeur'!$B$5:$L$18,2,TRUE)&amp;" "&amp;VLOOKUP(C35,'Liste chauffeur'!$B$5:$L$18,3,TRUE)</f>
        <v>ISSOUF Dailami</v>
      </c>
      <c r="E35" s="314"/>
      <c r="F35" s="315">
        <f t="shared" si="0"/>
        <v>1</v>
      </c>
      <c r="G35" s="315"/>
      <c r="H35" s="316"/>
      <c r="I35" s="316"/>
      <c r="J35" s="316"/>
      <c r="K35" s="314"/>
      <c r="L35" s="314">
        <f t="shared" si="5"/>
        <v>0</v>
      </c>
      <c r="M35" s="316"/>
      <c r="N35" s="316"/>
      <c r="O35" s="314"/>
      <c r="P35" s="314"/>
      <c r="Q35" s="316"/>
      <c r="R35" s="316"/>
      <c r="S35" s="314"/>
      <c r="T35" s="314"/>
      <c r="U35" s="316"/>
      <c r="V35" s="316" t="str">
        <f t="shared" si="9"/>
        <v>OK</v>
      </c>
      <c r="W35" s="314"/>
      <c r="X35" s="317"/>
      <c r="Y35" s="271" t="str">
        <f t="shared" si="6"/>
        <v/>
      </c>
      <c r="Z35" s="270">
        <f t="shared" si="2"/>
        <v>0</v>
      </c>
      <c r="AA35" s="270">
        <f t="shared" si="3"/>
        <v>0</v>
      </c>
      <c r="AB35" s="273">
        <f t="shared" si="4"/>
        <v>0</v>
      </c>
      <c r="AC35" s="260"/>
    </row>
    <row r="36" spans="1:29" ht="35.450000000000003" customHeight="1" x14ac:dyDescent="0.45">
      <c r="A36" s="302" t="str">
        <f>'Horaire dimanche 2'!A35</f>
        <v>PASSOT LA BARGE</v>
      </c>
      <c r="B36" s="303">
        <f>'Horaire dimanche 2'!B35</f>
        <v>0.625</v>
      </c>
      <c r="C36" s="303" t="str">
        <f>'Horaire dimanche 2'!C35</f>
        <v>D8</v>
      </c>
      <c r="D36" s="268" t="str">
        <f>VLOOKUP(C36,'Liste chauffeur'!$B$5:$L$18,2,TRUE)&amp;" "&amp;VLOOKUP(C36,'Liste chauffeur'!$B$5:$L$18,3,TRUE)</f>
        <v>ISSOUF Dailami</v>
      </c>
      <c r="E36" s="314"/>
      <c r="F36" s="315">
        <f t="shared" si="0"/>
        <v>1</v>
      </c>
      <c r="G36" s="315"/>
      <c r="H36" s="316"/>
      <c r="I36" s="316"/>
      <c r="J36" s="316"/>
      <c r="K36" s="314"/>
      <c r="L36" s="314">
        <f t="shared" si="5"/>
        <v>0</v>
      </c>
      <c r="M36" s="316"/>
      <c r="N36" s="316"/>
      <c r="O36" s="314"/>
      <c r="P36" s="314"/>
      <c r="Q36" s="316"/>
      <c r="R36" s="316"/>
      <c r="S36" s="314"/>
      <c r="T36" s="314"/>
      <c r="U36" s="316"/>
      <c r="V36" s="316" t="str">
        <f t="shared" si="9"/>
        <v>OK</v>
      </c>
      <c r="W36" s="314"/>
      <c r="X36" s="317"/>
      <c r="Y36" s="271" t="str">
        <f t="shared" si="6"/>
        <v/>
      </c>
      <c r="Z36" s="270">
        <f t="shared" si="2"/>
        <v>0</v>
      </c>
      <c r="AA36" s="270">
        <f t="shared" si="3"/>
        <v>0</v>
      </c>
      <c r="AB36" s="273">
        <f t="shared" si="4"/>
        <v>0</v>
      </c>
      <c r="AC36" s="260"/>
    </row>
    <row r="37" spans="1:29" ht="35.450000000000003" customHeight="1" x14ac:dyDescent="0.45">
      <c r="A37" s="302" t="str">
        <f>'Horaire dimanche 2'!A36</f>
        <v>DOUJANI</v>
      </c>
      <c r="B37" s="303">
        <f>'Horaire dimanche 2'!B36</f>
        <v>0.625</v>
      </c>
      <c r="C37" s="303" t="str">
        <f>'Horaire dimanche 2'!C36</f>
        <v>D14</v>
      </c>
      <c r="D37" s="268" t="str">
        <f>VLOOKUP(C37,'Liste chauffeur'!$B$5:$L$18,2,TRUE)&amp;" "&amp;VLOOKUP(C37,'Liste chauffeur'!$B$5:$L$18,3,TRUE)</f>
        <v>AHAMADI Laydine</v>
      </c>
      <c r="E37" s="314"/>
      <c r="F37" s="315">
        <f t="shared" si="0"/>
        <v>1</v>
      </c>
      <c r="G37" s="315"/>
      <c r="H37" s="316"/>
      <c r="I37" s="316"/>
      <c r="J37" s="316"/>
      <c r="K37" s="314"/>
      <c r="L37" s="314">
        <f t="shared" si="5"/>
        <v>0</v>
      </c>
      <c r="M37" s="316"/>
      <c r="N37" s="316"/>
      <c r="O37" s="314"/>
      <c r="P37" s="314"/>
      <c r="Q37" s="316"/>
      <c r="R37" s="316"/>
      <c r="S37" s="314"/>
      <c r="T37" s="314"/>
      <c r="U37" s="316"/>
      <c r="V37" s="316" t="str">
        <f t="shared" si="9"/>
        <v>OK</v>
      </c>
      <c r="W37" s="314"/>
      <c r="X37" s="317"/>
      <c r="Y37" s="271" t="str">
        <f t="shared" si="6"/>
        <v/>
      </c>
      <c r="Z37" s="270">
        <f t="shared" si="2"/>
        <v>0</v>
      </c>
      <c r="AA37" s="270">
        <f t="shared" si="3"/>
        <v>0</v>
      </c>
      <c r="AB37" s="273">
        <f t="shared" si="4"/>
        <v>0</v>
      </c>
      <c r="AC37" s="260"/>
    </row>
    <row r="38" spans="1:29" ht="35.450000000000003" customHeight="1" x14ac:dyDescent="0.45">
      <c r="A38" s="302" t="str">
        <f>'Horaire dimanche 2'!A37</f>
        <v>PASSOT LA BARGE</v>
      </c>
      <c r="B38" s="303">
        <f>'Horaire dimanche 2'!B37</f>
        <v>0.64583333333333337</v>
      </c>
      <c r="C38" s="303" t="str">
        <f>'Horaire dimanche 2'!C37</f>
        <v>D14</v>
      </c>
      <c r="D38" s="268" t="str">
        <f>VLOOKUP(C38,'Liste chauffeur'!$B$5:$L$18,2,TRUE)&amp;" "&amp;VLOOKUP(C38,'Liste chauffeur'!$B$5:$L$18,3,TRUE)</f>
        <v>AHAMADI Laydine</v>
      </c>
      <c r="E38" s="314"/>
      <c r="F38" s="315">
        <f t="shared" si="0"/>
        <v>1</v>
      </c>
      <c r="G38" s="315"/>
      <c r="H38" s="316"/>
      <c r="I38" s="316"/>
      <c r="J38" s="316"/>
      <c r="K38" s="314"/>
      <c r="L38" s="314">
        <f t="shared" si="5"/>
        <v>0</v>
      </c>
      <c r="M38" s="316"/>
      <c r="N38" s="316"/>
      <c r="O38" s="314"/>
      <c r="P38" s="314"/>
      <c r="Q38" s="316"/>
      <c r="R38" s="316"/>
      <c r="S38" s="314"/>
      <c r="T38" s="314"/>
      <c r="U38" s="316"/>
      <c r="V38" s="316" t="str">
        <f t="shared" si="9"/>
        <v>OK</v>
      </c>
      <c r="W38" s="314"/>
      <c r="X38" s="317"/>
      <c r="Y38" s="271" t="str">
        <f t="shared" si="6"/>
        <v/>
      </c>
      <c r="Z38" s="270">
        <f t="shared" si="2"/>
        <v>0</v>
      </c>
      <c r="AA38" s="270">
        <f t="shared" si="3"/>
        <v>0</v>
      </c>
      <c r="AB38" s="273">
        <f t="shared" si="4"/>
        <v>0</v>
      </c>
      <c r="AC38" s="260"/>
    </row>
    <row r="39" spans="1:29" ht="35.450000000000003" customHeight="1" x14ac:dyDescent="0.45">
      <c r="A39" s="302" t="str">
        <f>'Horaire dimanche 2'!A38</f>
        <v>DOUJANI</v>
      </c>
      <c r="B39" s="303">
        <f>'Horaire dimanche 2'!B38</f>
        <v>0.64583333333333337</v>
      </c>
      <c r="C39" s="303" t="str">
        <f>'Horaire dimanche 2'!C38</f>
        <v>D8</v>
      </c>
      <c r="D39" s="268" t="str">
        <f>VLOOKUP(C39,'Liste chauffeur'!$B$5:$L$18,2,TRUE)&amp;" "&amp;VLOOKUP(C39,'Liste chauffeur'!$B$5:$L$18,3,TRUE)</f>
        <v>ISSOUF Dailami</v>
      </c>
      <c r="E39" s="314"/>
      <c r="F39" s="315">
        <f t="shared" si="0"/>
        <v>1</v>
      </c>
      <c r="G39" s="315"/>
      <c r="H39" s="316"/>
      <c r="I39" s="316"/>
      <c r="J39" s="316"/>
      <c r="K39" s="314"/>
      <c r="L39" s="314">
        <f t="shared" si="5"/>
        <v>0</v>
      </c>
      <c r="M39" s="316"/>
      <c r="N39" s="316"/>
      <c r="O39" s="314"/>
      <c r="P39" s="314"/>
      <c r="Q39" s="316"/>
      <c r="R39" s="316"/>
      <c r="S39" s="314"/>
      <c r="T39" s="314"/>
      <c r="U39" s="316"/>
      <c r="V39" s="316" t="str">
        <f t="shared" si="9"/>
        <v>OK</v>
      </c>
      <c r="W39" s="314"/>
      <c r="X39" s="317"/>
      <c r="Y39" s="271" t="str">
        <f t="shared" si="6"/>
        <v/>
      </c>
      <c r="Z39" s="270">
        <f t="shared" si="2"/>
        <v>0</v>
      </c>
      <c r="AA39" s="270">
        <f t="shared" si="3"/>
        <v>0</v>
      </c>
      <c r="AB39" s="273">
        <f t="shared" si="4"/>
        <v>0</v>
      </c>
      <c r="AC39" s="260"/>
    </row>
    <row r="40" spans="1:29" ht="35.450000000000003" customHeight="1" x14ac:dyDescent="0.45">
      <c r="A40" s="302" t="str">
        <f>'Horaire dimanche 2'!A39</f>
        <v>PASSOT LA BARGE</v>
      </c>
      <c r="B40" s="303">
        <f>'Horaire dimanche 2'!B39</f>
        <v>0.66666666666666663</v>
      </c>
      <c r="C40" s="303" t="str">
        <f>'Horaire dimanche 2'!C39</f>
        <v>D8</v>
      </c>
      <c r="D40" s="268" t="str">
        <f>VLOOKUP(C40,'Liste chauffeur'!$B$5:$L$18,2,TRUE)&amp;" "&amp;VLOOKUP(C40,'Liste chauffeur'!$B$5:$L$18,3,TRUE)</f>
        <v>ISSOUF Dailami</v>
      </c>
      <c r="E40" s="314"/>
      <c r="F40" s="315">
        <f t="shared" si="0"/>
        <v>1</v>
      </c>
      <c r="G40" s="315"/>
      <c r="H40" s="316"/>
      <c r="I40" s="316"/>
      <c r="J40" s="316"/>
      <c r="K40" s="314"/>
      <c r="L40" s="314">
        <f t="shared" si="5"/>
        <v>0</v>
      </c>
      <c r="M40" s="316"/>
      <c r="N40" s="316"/>
      <c r="O40" s="314"/>
      <c r="P40" s="314"/>
      <c r="Q40" s="316"/>
      <c r="R40" s="316"/>
      <c r="S40" s="314"/>
      <c r="T40" s="314"/>
      <c r="U40" s="316"/>
      <c r="V40" s="316" t="str">
        <f t="shared" si="9"/>
        <v>OK</v>
      </c>
      <c r="W40" s="314"/>
      <c r="X40" s="317"/>
      <c r="Y40" s="271" t="str">
        <f t="shared" si="6"/>
        <v/>
      </c>
      <c r="Z40" s="270">
        <f t="shared" si="2"/>
        <v>0</v>
      </c>
      <c r="AA40" s="270">
        <f t="shared" si="3"/>
        <v>0</v>
      </c>
      <c r="AB40" s="273">
        <f t="shared" si="4"/>
        <v>0</v>
      </c>
      <c r="AC40" s="260"/>
    </row>
    <row r="41" spans="1:29" ht="35.450000000000003" customHeight="1" x14ac:dyDescent="0.45">
      <c r="A41" s="302" t="str">
        <f>'Horaire dimanche 2'!A40</f>
        <v>DOUJANI</v>
      </c>
      <c r="B41" s="303">
        <f>'Horaire dimanche 2'!B40</f>
        <v>0.66666666666666663</v>
      </c>
      <c r="C41" s="303" t="str">
        <f>'Horaire dimanche 2'!C40</f>
        <v>D14</v>
      </c>
      <c r="D41" s="268" t="str">
        <f>VLOOKUP(C41,'Liste chauffeur'!$B$5:$L$18,2,TRUE)&amp;" "&amp;VLOOKUP(C41,'Liste chauffeur'!$B$5:$L$18,3,TRUE)</f>
        <v>AHAMADI Laydine</v>
      </c>
      <c r="E41" s="314"/>
      <c r="F41" s="315">
        <f t="shared" si="0"/>
        <v>1</v>
      </c>
      <c r="G41" s="315"/>
      <c r="H41" s="316"/>
      <c r="I41" s="316"/>
      <c r="J41" s="316"/>
      <c r="K41" s="314"/>
      <c r="L41" s="314">
        <f t="shared" si="5"/>
        <v>0</v>
      </c>
      <c r="M41" s="316"/>
      <c r="N41" s="316"/>
      <c r="O41" s="314"/>
      <c r="P41" s="314"/>
      <c r="Q41" s="316"/>
      <c r="R41" s="316"/>
      <c r="S41" s="314"/>
      <c r="T41" s="314"/>
      <c r="U41" s="316"/>
      <c r="V41" s="316" t="str">
        <f t="shared" si="9"/>
        <v>OK</v>
      </c>
      <c r="W41" s="314"/>
      <c r="X41" s="317"/>
      <c r="Y41" s="271" t="str">
        <f t="shared" si="6"/>
        <v/>
      </c>
      <c r="Z41" s="270">
        <f t="shared" si="2"/>
        <v>0</v>
      </c>
      <c r="AA41" s="270">
        <f t="shared" si="3"/>
        <v>0</v>
      </c>
      <c r="AB41" s="273">
        <f t="shared" si="4"/>
        <v>0</v>
      </c>
      <c r="AC41" s="260"/>
    </row>
    <row r="42" spans="1:29" ht="35.450000000000003" customHeight="1" x14ac:dyDescent="0.45">
      <c r="A42" s="302" t="str">
        <f>'Horaire dimanche 2'!A41</f>
        <v>PASSOT LA BARGE</v>
      </c>
      <c r="B42" s="303">
        <f>'Horaire dimanche 2'!B41</f>
        <v>0.6875</v>
      </c>
      <c r="C42" s="303" t="str">
        <f>'Horaire dimanche 2'!C41</f>
        <v>D14</v>
      </c>
      <c r="D42" s="268" t="str">
        <f>VLOOKUP(C42,'Liste chauffeur'!$B$5:$L$18,2,TRUE)&amp;" "&amp;VLOOKUP(C42,'Liste chauffeur'!$B$5:$L$18,3,TRUE)</f>
        <v>AHAMADI Laydine</v>
      </c>
      <c r="E42" s="314"/>
      <c r="F42" s="315">
        <f t="shared" si="0"/>
        <v>1</v>
      </c>
      <c r="G42" s="315"/>
      <c r="H42" s="316"/>
      <c r="I42" s="316"/>
      <c r="J42" s="316"/>
      <c r="K42" s="314"/>
      <c r="L42" s="314">
        <f t="shared" si="5"/>
        <v>0</v>
      </c>
      <c r="M42" s="316"/>
      <c r="N42" s="316"/>
      <c r="O42" s="314"/>
      <c r="P42" s="314"/>
      <c r="Q42" s="316"/>
      <c r="R42" s="316"/>
      <c r="S42" s="314"/>
      <c r="T42" s="314"/>
      <c r="U42" s="316"/>
      <c r="V42" s="316" t="str">
        <f t="shared" si="9"/>
        <v>OK</v>
      </c>
      <c r="W42" s="314"/>
      <c r="X42" s="317"/>
      <c r="Y42" s="271" t="str">
        <f t="shared" si="6"/>
        <v/>
      </c>
      <c r="Z42" s="270">
        <f t="shared" si="2"/>
        <v>0</v>
      </c>
      <c r="AA42" s="270">
        <f t="shared" si="3"/>
        <v>0</v>
      </c>
      <c r="AB42" s="273">
        <f t="shared" si="4"/>
        <v>0</v>
      </c>
      <c r="AC42" s="260"/>
    </row>
    <row r="43" spans="1:29" ht="35.450000000000003" customHeight="1" x14ac:dyDescent="0.45">
      <c r="A43" s="302" t="str">
        <f>'Horaire dimanche 2'!A42</f>
        <v>DOUJANI</v>
      </c>
      <c r="B43" s="303">
        <f>'Horaire dimanche 2'!B42</f>
        <v>0.6875</v>
      </c>
      <c r="C43" s="303" t="str">
        <f>'Horaire dimanche 2'!C42</f>
        <v>D8</v>
      </c>
      <c r="D43" s="268" t="str">
        <f>VLOOKUP(C43,'Liste chauffeur'!$B$5:$L$18,2,TRUE)&amp;" "&amp;VLOOKUP(C43,'Liste chauffeur'!$B$5:$L$18,3,TRUE)</f>
        <v>ISSOUF Dailami</v>
      </c>
      <c r="E43" s="314"/>
      <c r="F43" s="315">
        <f t="shared" si="0"/>
        <v>1</v>
      </c>
      <c r="G43" s="315"/>
      <c r="H43" s="316"/>
      <c r="I43" s="316"/>
      <c r="J43" s="316"/>
      <c r="K43" s="314"/>
      <c r="L43" s="314">
        <f t="shared" si="5"/>
        <v>0</v>
      </c>
      <c r="M43" s="316"/>
      <c r="N43" s="316"/>
      <c r="O43" s="314"/>
      <c r="P43" s="314"/>
      <c r="Q43" s="316"/>
      <c r="R43" s="316"/>
      <c r="S43" s="314"/>
      <c r="T43" s="314"/>
      <c r="U43" s="316"/>
      <c r="V43" s="316" t="str">
        <f t="shared" si="9"/>
        <v>OK</v>
      </c>
      <c r="W43" s="314"/>
      <c r="X43" s="317"/>
      <c r="Y43" s="271" t="str">
        <f>IF(F43=1,"",W43-E43)</f>
        <v/>
      </c>
      <c r="Z43" s="270">
        <f t="shared" si="2"/>
        <v>0</v>
      </c>
      <c r="AA43" s="270">
        <f>IF(F43=1,0,AA$6)</f>
        <v>0</v>
      </c>
      <c r="AB43" s="273">
        <f>IF(AA43=0,0,Z43/AA43)</f>
        <v>0</v>
      </c>
      <c r="AC43" s="260"/>
    </row>
    <row r="44" spans="1:29" ht="35.450000000000003" customHeight="1" x14ac:dyDescent="0.45">
      <c r="A44" s="302" t="str">
        <f>'Horaire dimanche 2'!A43</f>
        <v>PASSOT LA BARGE</v>
      </c>
      <c r="B44" s="303">
        <f>'Horaire dimanche 2'!B43</f>
        <v>0.70833333333333337</v>
      </c>
      <c r="C44" s="303" t="str">
        <f>'Horaire dimanche 2'!C43</f>
        <v>D8</v>
      </c>
      <c r="D44" s="268" t="str">
        <f>VLOOKUP(C44,'Liste chauffeur'!$B$5:$L$18,2,TRUE)&amp;" "&amp;VLOOKUP(C44,'Liste chauffeur'!$B$5:$L$18,3,TRUE)</f>
        <v>ISSOUF Dailami</v>
      </c>
      <c r="E44" s="314"/>
      <c r="F44" s="315">
        <f t="shared" si="0"/>
        <v>1</v>
      </c>
      <c r="G44" s="315"/>
      <c r="H44" s="316"/>
      <c r="I44" s="316"/>
      <c r="J44" s="316"/>
      <c r="K44" s="314"/>
      <c r="L44" s="314">
        <f t="shared" si="5"/>
        <v>0</v>
      </c>
      <c r="M44" s="316"/>
      <c r="N44" s="316"/>
      <c r="O44" s="314"/>
      <c r="P44" s="314"/>
      <c r="Q44" s="316"/>
      <c r="R44" s="316"/>
      <c r="S44" s="314"/>
      <c r="T44" s="314"/>
      <c r="U44" s="316"/>
      <c r="V44" s="316" t="str">
        <f t="shared" si="9"/>
        <v>OK</v>
      </c>
      <c r="W44" s="314"/>
      <c r="X44" s="317"/>
      <c r="Y44" s="271" t="str">
        <f t="shared" ref="Y44:Y52" si="10">IF(F44=1,"",W44-E44)</f>
        <v/>
      </c>
      <c r="Z44" s="270">
        <f t="shared" si="2"/>
        <v>0</v>
      </c>
      <c r="AA44" s="270">
        <f t="shared" ref="AA44:AA52" si="11">IF(F44=1,0,AA$6)</f>
        <v>0</v>
      </c>
      <c r="AB44" s="273">
        <f t="shared" ref="AB44:AB54" si="12">IF(AA44=0,0,Z44/AA44)</f>
        <v>0</v>
      </c>
      <c r="AC44" s="260"/>
    </row>
    <row r="45" spans="1:29" ht="35.450000000000003" customHeight="1" x14ac:dyDescent="0.45">
      <c r="A45" s="302" t="str">
        <f>'Horaire dimanche 2'!A44</f>
        <v>DOUJANI</v>
      </c>
      <c r="B45" s="303">
        <f>'Horaire dimanche 2'!B44</f>
        <v>0.70833333333333337</v>
      </c>
      <c r="C45" s="303" t="str">
        <f>'Horaire dimanche 2'!C44</f>
        <v>D14</v>
      </c>
      <c r="D45" s="268" t="str">
        <f>VLOOKUP(C45,'Liste chauffeur'!$B$5:$L$18,2,TRUE)&amp;" "&amp;VLOOKUP(C45,'Liste chauffeur'!$B$5:$L$18,3,TRUE)</f>
        <v>AHAMADI Laydine</v>
      </c>
      <c r="E45" s="314"/>
      <c r="F45" s="315">
        <f t="shared" si="0"/>
        <v>1</v>
      </c>
      <c r="G45" s="315"/>
      <c r="H45" s="316"/>
      <c r="I45" s="316"/>
      <c r="J45" s="316"/>
      <c r="K45" s="314"/>
      <c r="L45" s="314">
        <f t="shared" si="5"/>
        <v>0</v>
      </c>
      <c r="M45" s="316"/>
      <c r="N45" s="316"/>
      <c r="O45" s="314"/>
      <c r="P45" s="314"/>
      <c r="Q45" s="316"/>
      <c r="R45" s="316"/>
      <c r="S45" s="314"/>
      <c r="T45" s="314"/>
      <c r="U45" s="316"/>
      <c r="V45" s="316" t="str">
        <f t="shared" si="9"/>
        <v>OK</v>
      </c>
      <c r="W45" s="314"/>
      <c r="X45" s="317"/>
      <c r="Y45" s="271" t="str">
        <f t="shared" si="10"/>
        <v/>
      </c>
      <c r="Z45" s="270">
        <f t="shared" si="2"/>
        <v>0</v>
      </c>
      <c r="AA45" s="270">
        <f t="shared" si="11"/>
        <v>0</v>
      </c>
      <c r="AB45" s="273">
        <f t="shared" si="12"/>
        <v>0</v>
      </c>
      <c r="AC45" s="260"/>
    </row>
    <row r="46" spans="1:29" ht="35.450000000000003" customHeight="1" x14ac:dyDescent="0.45">
      <c r="A46" s="302" t="str">
        <f>'Horaire dimanche 2'!A45</f>
        <v>PASSOT LA BARGE</v>
      </c>
      <c r="B46" s="303">
        <f>'Horaire dimanche 2'!B45</f>
        <v>0.72916666666666663</v>
      </c>
      <c r="C46" s="303" t="str">
        <f>'Horaire dimanche 2'!C45</f>
        <v>D14</v>
      </c>
      <c r="D46" s="268" t="str">
        <f>VLOOKUP(C46,'Liste chauffeur'!$B$5:$L$18,2,TRUE)&amp;" "&amp;VLOOKUP(C46,'Liste chauffeur'!$B$5:$L$18,3,TRUE)</f>
        <v>AHAMADI Laydine</v>
      </c>
      <c r="E46" s="314"/>
      <c r="F46" s="315">
        <f t="shared" si="0"/>
        <v>1</v>
      </c>
      <c r="G46" s="315"/>
      <c r="H46" s="316"/>
      <c r="I46" s="316"/>
      <c r="J46" s="316"/>
      <c r="K46" s="314"/>
      <c r="L46" s="314">
        <f t="shared" si="5"/>
        <v>0</v>
      </c>
      <c r="M46" s="316"/>
      <c r="N46" s="316"/>
      <c r="O46" s="314"/>
      <c r="P46" s="314"/>
      <c r="Q46" s="316"/>
      <c r="R46" s="316"/>
      <c r="S46" s="314"/>
      <c r="T46" s="314"/>
      <c r="U46" s="316"/>
      <c r="V46" s="316" t="str">
        <f t="shared" si="9"/>
        <v>OK</v>
      </c>
      <c r="W46" s="314"/>
      <c r="X46" s="317"/>
      <c r="Y46" s="271" t="str">
        <f t="shared" si="10"/>
        <v/>
      </c>
      <c r="Z46" s="270">
        <f t="shared" si="2"/>
        <v>0</v>
      </c>
      <c r="AA46" s="270">
        <f t="shared" si="11"/>
        <v>0</v>
      </c>
      <c r="AB46" s="273">
        <f t="shared" si="12"/>
        <v>0</v>
      </c>
      <c r="AC46" s="260"/>
    </row>
    <row r="47" spans="1:29" ht="35.450000000000003" customHeight="1" x14ac:dyDescent="0.45">
      <c r="A47" s="302" t="str">
        <f>'Horaire dimanche 2'!A46</f>
        <v>DOUJANI</v>
      </c>
      <c r="B47" s="303">
        <f>'Horaire dimanche 2'!B46</f>
        <v>0.72916666666666663</v>
      </c>
      <c r="C47" s="303" t="str">
        <f>'Horaire dimanche 2'!C46</f>
        <v>D8</v>
      </c>
      <c r="D47" s="268" t="str">
        <f>VLOOKUP(C47,'Liste chauffeur'!$B$5:$L$18,2,TRUE)&amp;" "&amp;VLOOKUP(C47,'Liste chauffeur'!$B$5:$L$18,3,TRUE)</f>
        <v>ISSOUF Dailami</v>
      </c>
      <c r="E47" s="314"/>
      <c r="F47" s="315">
        <f t="shared" si="0"/>
        <v>1</v>
      </c>
      <c r="G47" s="315"/>
      <c r="H47" s="316"/>
      <c r="I47" s="316"/>
      <c r="J47" s="316"/>
      <c r="K47" s="314"/>
      <c r="L47" s="314">
        <f t="shared" si="5"/>
        <v>0</v>
      </c>
      <c r="M47" s="316"/>
      <c r="N47" s="316"/>
      <c r="O47" s="314"/>
      <c r="P47" s="314"/>
      <c r="Q47" s="316"/>
      <c r="R47" s="316"/>
      <c r="S47" s="314"/>
      <c r="T47" s="314"/>
      <c r="U47" s="316"/>
      <c r="V47" s="316" t="str">
        <f t="shared" si="9"/>
        <v>OK</v>
      </c>
      <c r="W47" s="314"/>
      <c r="X47" s="317"/>
      <c r="Y47" s="271" t="str">
        <f t="shared" si="10"/>
        <v/>
      </c>
      <c r="Z47" s="270">
        <f t="shared" si="2"/>
        <v>0</v>
      </c>
      <c r="AA47" s="270">
        <f t="shared" si="11"/>
        <v>0</v>
      </c>
      <c r="AB47" s="273">
        <f t="shared" si="12"/>
        <v>0</v>
      </c>
      <c r="AC47" s="260"/>
    </row>
    <row r="48" spans="1:29" ht="35.450000000000003" customHeight="1" x14ac:dyDescent="0.45">
      <c r="A48" s="302" t="str">
        <f>'Horaire dimanche 2'!A47</f>
        <v>PASSOT LA BARGE</v>
      </c>
      <c r="B48" s="303">
        <f>'Horaire dimanche 2'!B47</f>
        <v>0.75</v>
      </c>
      <c r="C48" s="303" t="str">
        <f>'Horaire dimanche 2'!C47</f>
        <v>D8</v>
      </c>
      <c r="D48" s="268" t="str">
        <f>VLOOKUP(C48,'Liste chauffeur'!$B$5:$L$18,2,TRUE)&amp;" "&amp;VLOOKUP(C48,'Liste chauffeur'!$B$5:$L$18,3,TRUE)</f>
        <v>ISSOUF Dailami</v>
      </c>
      <c r="E48" s="314"/>
      <c r="F48" s="315">
        <f t="shared" si="0"/>
        <v>1</v>
      </c>
      <c r="G48" s="315"/>
      <c r="H48" s="316"/>
      <c r="I48" s="316"/>
      <c r="J48" s="316"/>
      <c r="K48" s="314"/>
      <c r="L48" s="314">
        <f t="shared" si="5"/>
        <v>0</v>
      </c>
      <c r="M48" s="316"/>
      <c r="N48" s="316"/>
      <c r="O48" s="314"/>
      <c r="P48" s="314"/>
      <c r="Q48" s="316"/>
      <c r="R48" s="316"/>
      <c r="S48" s="314"/>
      <c r="T48" s="314"/>
      <c r="U48" s="316"/>
      <c r="V48" s="316"/>
      <c r="W48" s="314"/>
      <c r="X48" s="317"/>
      <c r="Y48" s="271" t="str">
        <f t="shared" si="10"/>
        <v/>
      </c>
      <c r="Z48" s="270">
        <f t="shared" si="2"/>
        <v>0</v>
      </c>
      <c r="AA48" s="270">
        <f t="shared" si="11"/>
        <v>0</v>
      </c>
      <c r="AB48" s="273">
        <f t="shared" si="12"/>
        <v>0</v>
      </c>
      <c r="AC48" s="260"/>
    </row>
    <row r="49" spans="1:29" ht="35.450000000000003" customHeight="1" x14ac:dyDescent="0.45">
      <c r="A49" s="302" t="str">
        <f>'Horaire dimanche 2'!A48</f>
        <v>DOUJANI</v>
      </c>
      <c r="B49" s="303">
        <f>'Horaire dimanche 2'!B48</f>
        <v>0.75</v>
      </c>
      <c r="C49" s="303" t="str">
        <f>'Horaire dimanche 2'!C48</f>
        <v>D14</v>
      </c>
      <c r="D49" s="268" t="str">
        <f>VLOOKUP(C49,'Liste chauffeur'!$B$5:$L$18,2,TRUE)&amp;" "&amp;VLOOKUP(C49,'Liste chauffeur'!$B$5:$L$18,3,TRUE)</f>
        <v>AHAMADI Laydine</v>
      </c>
      <c r="E49" s="314"/>
      <c r="F49" s="315">
        <f t="shared" si="0"/>
        <v>1</v>
      </c>
      <c r="G49" s="315"/>
      <c r="H49" s="316"/>
      <c r="I49" s="316"/>
      <c r="J49" s="316"/>
      <c r="K49" s="314"/>
      <c r="L49" s="314"/>
      <c r="M49" s="316"/>
      <c r="N49" s="316"/>
      <c r="O49" s="314"/>
      <c r="P49" s="314"/>
      <c r="Q49" s="316"/>
      <c r="R49" s="316"/>
      <c r="S49" s="314"/>
      <c r="T49" s="314"/>
      <c r="U49" s="316"/>
      <c r="V49" s="316"/>
      <c r="W49" s="314"/>
      <c r="X49" s="317"/>
      <c r="Y49" s="271" t="str">
        <f t="shared" si="10"/>
        <v/>
      </c>
      <c r="Z49" s="270">
        <f t="shared" si="2"/>
        <v>0</v>
      </c>
      <c r="AA49" s="270">
        <f t="shared" si="11"/>
        <v>0</v>
      </c>
      <c r="AB49" s="273">
        <f t="shared" si="12"/>
        <v>0</v>
      </c>
      <c r="AC49" s="260"/>
    </row>
    <row r="50" spans="1:29" ht="35.450000000000003" customHeight="1" x14ac:dyDescent="0.45">
      <c r="A50" s="302" t="str">
        <f>'Horaire dimanche 2'!A49</f>
        <v>PASSOT LA BARGE</v>
      </c>
      <c r="B50" s="303">
        <f>'Horaire dimanche 2'!B49</f>
        <v>0.77083333333333337</v>
      </c>
      <c r="C50" s="303" t="str">
        <f>'Horaire dimanche 2'!C49</f>
        <v>D14</v>
      </c>
      <c r="D50" s="268" t="str">
        <f>VLOOKUP(C50,'Liste chauffeur'!$B$5:$L$18,2,TRUE)&amp;" "&amp;VLOOKUP(C50,'Liste chauffeur'!$B$5:$L$18,3,TRUE)</f>
        <v>AHAMADI Laydine</v>
      </c>
      <c r="E50" s="314"/>
      <c r="F50" s="315">
        <f t="shared" si="0"/>
        <v>1</v>
      </c>
      <c r="G50" s="315"/>
      <c r="H50" s="316"/>
      <c r="I50" s="316"/>
      <c r="J50" s="316"/>
      <c r="K50" s="314"/>
      <c r="L50" s="314"/>
      <c r="M50" s="316"/>
      <c r="N50" s="316"/>
      <c r="O50" s="314"/>
      <c r="P50" s="314"/>
      <c r="Q50" s="316"/>
      <c r="R50" s="316"/>
      <c r="S50" s="314"/>
      <c r="T50" s="314"/>
      <c r="U50" s="316"/>
      <c r="V50" s="316"/>
      <c r="W50" s="314"/>
      <c r="X50" s="317"/>
      <c r="Y50" s="271" t="str">
        <f t="shared" si="10"/>
        <v/>
      </c>
      <c r="Z50" s="270">
        <f t="shared" si="2"/>
        <v>0</v>
      </c>
      <c r="AA50" s="270">
        <f t="shared" si="11"/>
        <v>0</v>
      </c>
      <c r="AB50" s="273">
        <f t="shared" si="12"/>
        <v>0</v>
      </c>
      <c r="AC50" s="260"/>
    </row>
    <row r="51" spans="1:29" ht="35.450000000000003" customHeight="1" x14ac:dyDescent="0.45">
      <c r="A51" s="302" t="str">
        <f>'Horaire dimanche 2'!A50</f>
        <v>DOUJANI</v>
      </c>
      <c r="B51" s="303">
        <f>'Horaire dimanche 2'!B50</f>
        <v>0.77083333333333337</v>
      </c>
      <c r="C51" s="303" t="str">
        <f>'Horaire dimanche 2'!C50</f>
        <v>D8</v>
      </c>
      <c r="D51" s="268" t="str">
        <f>VLOOKUP(C51,'Liste chauffeur'!$B$5:$L$18,2,TRUE)&amp;" "&amp;VLOOKUP(C51,'Liste chauffeur'!$B$5:$L$18,3,TRUE)</f>
        <v>ISSOUF Dailami</v>
      </c>
      <c r="E51" s="314"/>
      <c r="F51" s="315">
        <f t="shared" ref="F51" si="13">COUNTBLANK(E51)</f>
        <v>1</v>
      </c>
      <c r="G51" s="315"/>
      <c r="H51" s="316"/>
      <c r="I51" s="316"/>
      <c r="J51" s="316"/>
      <c r="K51" s="314"/>
      <c r="L51" s="314"/>
      <c r="M51" s="316"/>
      <c r="N51" s="316"/>
      <c r="O51" s="314"/>
      <c r="P51" s="314"/>
      <c r="Q51" s="316"/>
      <c r="R51" s="316"/>
      <c r="S51" s="314"/>
      <c r="T51" s="314"/>
      <c r="U51" s="316"/>
      <c r="V51" s="316"/>
      <c r="W51" s="314"/>
      <c r="X51" s="317"/>
      <c r="Y51" s="271" t="str">
        <f t="shared" ref="Y51" si="14">IF(F51=1,"",W51-E51)</f>
        <v/>
      </c>
      <c r="Z51" s="270">
        <f t="shared" ref="Z51" si="15">H51+J51-I51</f>
        <v>0</v>
      </c>
      <c r="AA51" s="270">
        <f t="shared" ref="AA51" si="16">IF(F51=1,0,AA$6)</f>
        <v>0</v>
      </c>
      <c r="AB51" s="273">
        <f t="shared" ref="AB51" si="17">IF(AA51=0,0,Z51/AA51)</f>
        <v>0</v>
      </c>
      <c r="AC51" s="260"/>
    </row>
    <row r="52" spans="1:29" ht="35.450000000000003" customHeight="1" x14ac:dyDescent="0.45">
      <c r="A52" s="302" t="str">
        <f>'Horaire dimanche 2'!A51</f>
        <v>PASSOT LA BARGE</v>
      </c>
      <c r="B52" s="303">
        <f>'Horaire dimanche 2'!B51</f>
        <v>0.79166666666666663</v>
      </c>
      <c r="C52" s="303" t="str">
        <f>'Horaire dimanche 2'!C51</f>
        <v>D8</v>
      </c>
      <c r="D52" s="268" t="str">
        <f>VLOOKUP(C52,'Liste chauffeur'!$B$5:$L$18,2,TRUE)&amp;" "&amp;VLOOKUP(C52,'Liste chauffeur'!$B$5:$L$18,3,TRUE)</f>
        <v>ISSOUF Dailami</v>
      </c>
      <c r="E52" s="314"/>
      <c r="F52" s="315">
        <f t="shared" si="0"/>
        <v>1</v>
      </c>
      <c r="G52" s="315"/>
      <c r="H52" s="316"/>
      <c r="I52" s="316"/>
      <c r="J52" s="316"/>
      <c r="K52" s="314"/>
      <c r="L52" s="314"/>
      <c r="M52" s="316"/>
      <c r="N52" s="316"/>
      <c r="O52" s="314"/>
      <c r="P52" s="314"/>
      <c r="Q52" s="316"/>
      <c r="R52" s="316"/>
      <c r="S52" s="314"/>
      <c r="T52" s="314"/>
      <c r="U52" s="316"/>
      <c r="V52" s="316"/>
      <c r="W52" s="314"/>
      <c r="X52" s="317"/>
      <c r="Y52" s="271" t="str">
        <f t="shared" si="10"/>
        <v/>
      </c>
      <c r="Z52" s="270">
        <f t="shared" si="2"/>
        <v>0</v>
      </c>
      <c r="AA52" s="270">
        <f t="shared" si="11"/>
        <v>0</v>
      </c>
      <c r="AB52" s="273">
        <f t="shared" si="12"/>
        <v>0</v>
      </c>
      <c r="AC52" s="260"/>
    </row>
    <row r="53" spans="1:29" ht="35.450000000000003" customHeight="1" x14ac:dyDescent="0.45">
      <c r="A53" s="280"/>
      <c r="B53" s="281" t="s">
        <v>568</v>
      </c>
      <c r="C53" s="281" t="s">
        <v>351</v>
      </c>
      <c r="D53" s="282"/>
      <c r="E53" s="275"/>
      <c r="F53" s="306">
        <f>SUM(F26:F52)</f>
        <v>27</v>
      </c>
      <c r="G53" s="306">
        <f>SUM(G26:G52)</f>
        <v>0</v>
      </c>
      <c r="H53" s="258"/>
      <c r="I53" s="258"/>
      <c r="J53" s="258"/>
      <c r="K53" s="275"/>
      <c r="L53" s="275"/>
      <c r="M53" s="258"/>
      <c r="N53" s="258"/>
      <c r="O53" s="275"/>
      <c r="P53" s="275"/>
      <c r="Q53" s="258"/>
      <c r="R53" s="258"/>
      <c r="S53" s="275"/>
      <c r="T53" s="275"/>
      <c r="U53" s="258"/>
      <c r="V53" s="258"/>
      <c r="W53" s="275"/>
      <c r="X53" s="274"/>
      <c r="Y53" s="276" t="e">
        <f>AVERAGE(Y26:Y52)</f>
        <v>#DIV/0!</v>
      </c>
      <c r="Z53" s="306">
        <f>SUM(Z26:Z52)</f>
        <v>0</v>
      </c>
      <c r="AA53" s="306">
        <f>SUM(AA26:AA52)</f>
        <v>0</v>
      </c>
      <c r="AB53" s="278">
        <f t="shared" si="12"/>
        <v>0</v>
      </c>
      <c r="AC53" s="260"/>
    </row>
    <row r="54" spans="1:29" ht="35.450000000000003" customHeight="1" x14ac:dyDescent="0.45">
      <c r="A54" s="280"/>
      <c r="B54" s="281" t="s">
        <v>352</v>
      </c>
      <c r="C54" s="281" t="s">
        <v>351</v>
      </c>
      <c r="D54" s="282"/>
      <c r="E54" s="275"/>
      <c r="F54" s="306">
        <f>F25+F53</f>
        <v>44</v>
      </c>
      <c r="G54" s="306">
        <f>G25+G53</f>
        <v>0</v>
      </c>
      <c r="H54" s="258"/>
      <c r="I54" s="258"/>
      <c r="J54" s="258"/>
      <c r="K54" s="275"/>
      <c r="L54" s="275"/>
      <c r="M54" s="258"/>
      <c r="N54" s="258"/>
      <c r="O54" s="275"/>
      <c r="P54" s="275"/>
      <c r="Q54" s="258"/>
      <c r="R54" s="258"/>
      <c r="S54" s="275"/>
      <c r="T54" s="275"/>
      <c r="U54" s="258"/>
      <c r="V54" s="258"/>
      <c r="W54" s="275"/>
      <c r="X54" s="274"/>
      <c r="Y54" s="276" t="e">
        <f>AVERAGE(Y8:Y24,Y26:Y52)</f>
        <v>#DIV/0!</v>
      </c>
      <c r="Z54" s="306">
        <f>Z25+Z53</f>
        <v>0</v>
      </c>
      <c r="AA54" s="306">
        <f>AA25+AA53</f>
        <v>0</v>
      </c>
      <c r="AB54" s="278">
        <f t="shared" si="12"/>
        <v>0</v>
      </c>
      <c r="AC54" s="260"/>
    </row>
    <row r="55" spans="1:29" ht="35.450000000000003" customHeight="1" x14ac:dyDescent="0.45">
      <c r="A55" s="279" t="s">
        <v>349</v>
      </c>
      <c r="B55" s="267"/>
      <c r="C55" s="267" t="s">
        <v>423</v>
      </c>
      <c r="D55" s="268"/>
      <c r="E55" s="269"/>
      <c r="F55" s="270"/>
      <c r="G55" s="270"/>
      <c r="H55" s="270"/>
      <c r="I55" s="270"/>
      <c r="J55" s="277"/>
      <c r="K55" s="270"/>
      <c r="L55" s="270"/>
      <c r="M55" s="269"/>
      <c r="N55" s="260"/>
      <c r="O55" s="271"/>
      <c r="P55" s="270"/>
      <c r="Q55" s="270"/>
      <c r="R55" s="273"/>
      <c r="S55" s="260"/>
      <c r="T55" s="260"/>
      <c r="U55" s="260"/>
      <c r="V55" s="260"/>
      <c r="W55" s="269"/>
      <c r="X55" s="260"/>
      <c r="Y55" s="271"/>
      <c r="Z55" s="270"/>
      <c r="AA55" s="270"/>
      <c r="AB55" s="273"/>
      <c r="AC55" s="260"/>
    </row>
    <row r="56" spans="1:29" ht="35.450000000000003" customHeight="1" x14ac:dyDescent="0.45">
      <c r="A56" s="279" t="s">
        <v>349</v>
      </c>
      <c r="B56" s="267"/>
      <c r="C56" s="267" t="s">
        <v>423</v>
      </c>
      <c r="D56" s="268"/>
      <c r="E56" s="269"/>
      <c r="F56" s="270"/>
      <c r="G56" s="270"/>
      <c r="H56" s="270"/>
      <c r="I56" s="270"/>
      <c r="J56" s="277"/>
      <c r="K56" s="270"/>
      <c r="L56" s="270"/>
      <c r="M56" s="269"/>
      <c r="N56" s="260"/>
      <c r="O56" s="271"/>
      <c r="P56" s="270"/>
      <c r="Q56" s="270"/>
      <c r="R56" s="273"/>
      <c r="S56" s="260"/>
      <c r="T56" s="260"/>
      <c r="U56" s="260"/>
      <c r="V56" s="260"/>
      <c r="W56" s="269"/>
      <c r="X56" s="260"/>
      <c r="Y56" s="271"/>
      <c r="Z56" s="270"/>
      <c r="AA56" s="270"/>
      <c r="AB56" s="273"/>
      <c r="AC56" s="260"/>
    </row>
    <row r="57" spans="1:29" ht="35.450000000000003" customHeight="1" x14ac:dyDescent="0.45">
      <c r="A57" s="279" t="s">
        <v>349</v>
      </c>
      <c r="B57" s="267"/>
      <c r="C57" s="267" t="s">
        <v>423</v>
      </c>
      <c r="D57" s="268"/>
      <c r="E57" s="269"/>
      <c r="F57" s="270"/>
      <c r="G57" s="270"/>
      <c r="H57" s="270"/>
      <c r="I57" s="270"/>
      <c r="J57" s="277"/>
      <c r="K57" s="270"/>
      <c r="L57" s="270"/>
      <c r="M57" s="269"/>
      <c r="N57" s="260"/>
      <c r="O57" s="271" t="e">
        <f t="shared" ref="O57:O58" si="18">M57-#REF!</f>
        <v>#REF!</v>
      </c>
      <c r="P57" s="270" t="e">
        <f t="shared" ref="P57:P58" si="19">#REF!+#REF!-#REF!</f>
        <v>#REF!</v>
      </c>
      <c r="Q57" s="270"/>
      <c r="R57" s="273"/>
      <c r="S57" s="260"/>
      <c r="T57" s="260"/>
      <c r="U57" s="260"/>
      <c r="V57" s="260"/>
      <c r="W57" s="269"/>
      <c r="X57" s="260"/>
      <c r="Y57" s="271"/>
      <c r="Z57" s="270"/>
      <c r="AA57" s="270"/>
      <c r="AB57" s="273"/>
      <c r="AC57" s="260"/>
    </row>
    <row r="58" spans="1:29" ht="35.450000000000003" customHeight="1" x14ac:dyDescent="0.45">
      <c r="A58" s="279" t="s">
        <v>349</v>
      </c>
      <c r="B58" s="267"/>
      <c r="C58" s="267" t="s">
        <v>423</v>
      </c>
      <c r="D58" s="268"/>
      <c r="E58" s="269"/>
      <c r="F58" s="270"/>
      <c r="G58" s="270"/>
      <c r="H58" s="270"/>
      <c r="I58" s="270"/>
      <c r="J58" s="277"/>
      <c r="K58" s="270"/>
      <c r="L58" s="270"/>
      <c r="M58" s="269"/>
      <c r="N58" s="260"/>
      <c r="O58" s="271" t="e">
        <f t="shared" si="18"/>
        <v>#REF!</v>
      </c>
      <c r="P58" s="270" t="e">
        <f t="shared" si="19"/>
        <v>#REF!</v>
      </c>
      <c r="Q58" s="270"/>
      <c r="R58" s="273"/>
      <c r="S58" s="260"/>
      <c r="T58" s="260"/>
      <c r="U58" s="260"/>
      <c r="V58" s="260"/>
      <c r="W58" s="269"/>
      <c r="X58" s="260"/>
      <c r="Y58" s="271"/>
      <c r="Z58" s="270"/>
      <c r="AA58" s="270"/>
      <c r="AB58" s="273"/>
      <c r="AC58" s="260"/>
    </row>
    <row r="60" spans="1:29" x14ac:dyDescent="0.45">
      <c r="E60" s="137" t="s">
        <v>15</v>
      </c>
      <c r="I60" s="137" t="s">
        <v>16</v>
      </c>
    </row>
    <row r="62" spans="1:29" x14ac:dyDescent="0.45">
      <c r="C62" s="252"/>
    </row>
    <row r="63" spans="1:29" ht="57" x14ac:dyDescent="0.45">
      <c r="B63" s="137" t="s">
        <v>373</v>
      </c>
      <c r="C63" s="137" t="s">
        <v>374</v>
      </c>
      <c r="D63" s="137" t="s">
        <v>375</v>
      </c>
      <c r="E63" s="215" t="s">
        <v>376</v>
      </c>
      <c r="F63" s="215" t="s">
        <v>573</v>
      </c>
    </row>
    <row r="64" spans="1:29" x14ac:dyDescent="0.45">
      <c r="B64" s="137" t="s">
        <v>384</v>
      </c>
      <c r="C64" s="305">
        <f>COUNTIF($B$8:$C$52,B64)</f>
        <v>0</v>
      </c>
      <c r="D64" s="453">
        <f>C64-(COUNTIFS(C$8:C$52,B64,X$8:X$52,""))</f>
        <v>0</v>
      </c>
      <c r="E64" s="189">
        <f>COUNTIFS(X$8:X$52,$B64)</f>
        <v>0</v>
      </c>
      <c r="F64" s="189">
        <f>COUNTIFS(G$8:G$52,$B64)</f>
        <v>0</v>
      </c>
    </row>
    <row r="65" spans="2:6" x14ac:dyDescent="0.45">
      <c r="B65" s="137" t="s">
        <v>392</v>
      </c>
      <c r="C65" s="305">
        <f t="shared" ref="C65:C86" si="20">COUNTIF($B$8:$C$52,B65)</f>
        <v>0</v>
      </c>
      <c r="D65" s="453">
        <f t="shared" ref="D65:D86" si="21">C65-(COUNTIFS(C$8:C$52,B65,X$8:X$52,""))</f>
        <v>0</v>
      </c>
      <c r="E65" s="189">
        <f t="shared" ref="E65:E86" si="22">COUNTIFS(X$8:X$52,$B65)</f>
        <v>0</v>
      </c>
      <c r="F65" s="189">
        <f t="shared" ref="F65:F86" si="23">COUNTIFS(G$8:G$52,$B65)</f>
        <v>0</v>
      </c>
    </row>
    <row r="66" spans="2:6" x14ac:dyDescent="0.45">
      <c r="B66" s="137" t="s">
        <v>393</v>
      </c>
      <c r="C66" s="305">
        <f t="shared" si="20"/>
        <v>0</v>
      </c>
      <c r="D66" s="453">
        <f t="shared" si="21"/>
        <v>0</v>
      </c>
      <c r="E66" s="189">
        <f t="shared" si="22"/>
        <v>0</v>
      </c>
      <c r="F66" s="189">
        <f t="shared" si="23"/>
        <v>0</v>
      </c>
    </row>
    <row r="67" spans="2:6" x14ac:dyDescent="0.45">
      <c r="B67" s="137" t="s">
        <v>394</v>
      </c>
      <c r="C67" s="305">
        <f t="shared" si="20"/>
        <v>0</v>
      </c>
      <c r="D67" s="453">
        <f t="shared" si="21"/>
        <v>0</v>
      </c>
      <c r="E67" s="189">
        <f t="shared" si="22"/>
        <v>0</v>
      </c>
      <c r="F67" s="189">
        <f t="shared" si="23"/>
        <v>0</v>
      </c>
    </row>
    <row r="68" spans="2:6" x14ac:dyDescent="0.45">
      <c r="B68" s="137" t="s">
        <v>395</v>
      </c>
      <c r="C68" s="305">
        <f t="shared" si="20"/>
        <v>0</v>
      </c>
      <c r="D68" s="453">
        <f t="shared" si="21"/>
        <v>0</v>
      </c>
      <c r="E68" s="189">
        <f t="shared" si="22"/>
        <v>0</v>
      </c>
      <c r="F68" s="189">
        <f t="shared" si="23"/>
        <v>0</v>
      </c>
    </row>
    <row r="69" spans="2:6" x14ac:dyDescent="0.45">
      <c r="B69" s="137" t="s">
        <v>398</v>
      </c>
      <c r="C69" s="305">
        <f t="shared" si="20"/>
        <v>0</v>
      </c>
      <c r="D69" s="453">
        <f t="shared" si="21"/>
        <v>0</v>
      </c>
      <c r="E69" s="189">
        <f t="shared" si="22"/>
        <v>0</v>
      </c>
      <c r="F69" s="189">
        <f t="shared" si="23"/>
        <v>0</v>
      </c>
    </row>
    <row r="70" spans="2:6" x14ac:dyDescent="0.45">
      <c r="B70" s="137" t="s">
        <v>399</v>
      </c>
      <c r="C70" s="305">
        <f t="shared" si="20"/>
        <v>11</v>
      </c>
      <c r="D70" s="453">
        <f t="shared" si="21"/>
        <v>0</v>
      </c>
      <c r="E70" s="189">
        <f t="shared" si="22"/>
        <v>0</v>
      </c>
      <c r="F70" s="189">
        <f t="shared" si="23"/>
        <v>0</v>
      </c>
    </row>
    <row r="71" spans="2:6" x14ac:dyDescent="0.45">
      <c r="B71" s="137" t="s">
        <v>400</v>
      </c>
      <c r="C71" s="305">
        <f t="shared" si="20"/>
        <v>11</v>
      </c>
      <c r="D71" s="453">
        <f t="shared" si="21"/>
        <v>0</v>
      </c>
      <c r="E71" s="189">
        <f t="shared" si="22"/>
        <v>0</v>
      </c>
      <c r="F71" s="189">
        <f t="shared" si="23"/>
        <v>0</v>
      </c>
    </row>
    <row r="72" spans="2:6" x14ac:dyDescent="0.45">
      <c r="B72" s="137" t="s">
        <v>401</v>
      </c>
      <c r="C72" s="305">
        <f t="shared" si="20"/>
        <v>0</v>
      </c>
      <c r="D72" s="453">
        <f t="shared" si="21"/>
        <v>0</v>
      </c>
      <c r="E72" s="189">
        <f t="shared" si="22"/>
        <v>0</v>
      </c>
      <c r="F72" s="189">
        <f t="shared" si="23"/>
        <v>0</v>
      </c>
    </row>
    <row r="73" spans="2:6" x14ac:dyDescent="0.45">
      <c r="B73" s="137" t="s">
        <v>385</v>
      </c>
      <c r="C73" s="305">
        <f t="shared" si="20"/>
        <v>0</v>
      </c>
      <c r="D73" s="453">
        <f t="shared" si="21"/>
        <v>0</v>
      </c>
      <c r="E73" s="189">
        <f t="shared" si="22"/>
        <v>0</v>
      </c>
      <c r="F73" s="189">
        <f t="shared" si="23"/>
        <v>0</v>
      </c>
    </row>
    <row r="74" spans="2:6" x14ac:dyDescent="0.45">
      <c r="B74" s="137" t="s">
        <v>386</v>
      </c>
      <c r="C74" s="305">
        <f t="shared" si="20"/>
        <v>0</v>
      </c>
      <c r="D74" s="453">
        <f t="shared" si="21"/>
        <v>0</v>
      </c>
      <c r="E74" s="189">
        <f t="shared" si="22"/>
        <v>0</v>
      </c>
      <c r="F74" s="189">
        <f t="shared" si="23"/>
        <v>0</v>
      </c>
    </row>
    <row r="75" spans="2:6" x14ac:dyDescent="0.45">
      <c r="B75" s="137" t="s">
        <v>387</v>
      </c>
      <c r="C75" s="305">
        <f t="shared" si="20"/>
        <v>11</v>
      </c>
      <c r="D75" s="453">
        <f t="shared" si="21"/>
        <v>0</v>
      </c>
      <c r="E75" s="189">
        <f t="shared" si="22"/>
        <v>0</v>
      </c>
      <c r="F75" s="189">
        <f t="shared" si="23"/>
        <v>0</v>
      </c>
    </row>
    <row r="76" spans="2:6" x14ac:dyDescent="0.45">
      <c r="B76" s="137" t="s">
        <v>388</v>
      </c>
      <c r="C76" s="305">
        <f t="shared" si="20"/>
        <v>0</v>
      </c>
      <c r="D76" s="453">
        <f t="shared" si="21"/>
        <v>0</v>
      </c>
      <c r="E76" s="189">
        <f t="shared" si="22"/>
        <v>0</v>
      </c>
      <c r="F76" s="189">
        <f t="shared" si="23"/>
        <v>0</v>
      </c>
    </row>
    <row r="77" spans="2:6" x14ac:dyDescent="0.45">
      <c r="B77" s="137" t="s">
        <v>390</v>
      </c>
      <c r="C77" s="305">
        <f t="shared" si="20"/>
        <v>11</v>
      </c>
      <c r="D77" s="453">
        <f t="shared" si="21"/>
        <v>0</v>
      </c>
      <c r="E77" s="189">
        <f t="shared" si="22"/>
        <v>0</v>
      </c>
      <c r="F77" s="189">
        <f t="shared" si="23"/>
        <v>0</v>
      </c>
    </row>
    <row r="78" spans="2:6" x14ac:dyDescent="0.45">
      <c r="B78" s="137" t="s">
        <v>391</v>
      </c>
      <c r="C78" s="305">
        <f t="shared" si="20"/>
        <v>0</v>
      </c>
      <c r="D78" s="453">
        <f t="shared" si="21"/>
        <v>0</v>
      </c>
      <c r="E78" s="189">
        <f t="shared" si="22"/>
        <v>0</v>
      </c>
      <c r="F78" s="189">
        <f t="shared" si="23"/>
        <v>0</v>
      </c>
    </row>
    <row r="79" spans="2:6" x14ac:dyDescent="0.45">
      <c r="B79" s="137" t="s">
        <v>419</v>
      </c>
      <c r="C79" s="305">
        <f t="shared" si="20"/>
        <v>0</v>
      </c>
      <c r="D79" s="453">
        <f t="shared" si="21"/>
        <v>0</v>
      </c>
      <c r="E79" s="189">
        <f t="shared" si="22"/>
        <v>0</v>
      </c>
      <c r="F79" s="189">
        <f t="shared" si="23"/>
        <v>0</v>
      </c>
    </row>
    <row r="80" spans="2:6" x14ac:dyDescent="0.45">
      <c r="B80" s="137" t="s">
        <v>420</v>
      </c>
      <c r="C80" s="305">
        <f t="shared" si="20"/>
        <v>0</v>
      </c>
      <c r="D80" s="453">
        <f t="shared" si="21"/>
        <v>0</v>
      </c>
      <c r="E80" s="189">
        <f t="shared" si="22"/>
        <v>0</v>
      </c>
      <c r="F80" s="189">
        <f t="shared" si="23"/>
        <v>0</v>
      </c>
    </row>
    <row r="81" spans="2:6" x14ac:dyDescent="0.45">
      <c r="B81" s="137" t="s">
        <v>421</v>
      </c>
      <c r="C81" s="305">
        <f t="shared" si="20"/>
        <v>0</v>
      </c>
      <c r="D81" s="453">
        <f t="shared" si="21"/>
        <v>0</v>
      </c>
      <c r="E81" s="189">
        <f t="shared" si="22"/>
        <v>0</v>
      </c>
      <c r="F81" s="189">
        <f t="shared" si="23"/>
        <v>0</v>
      </c>
    </row>
    <row r="82" spans="2:6" x14ac:dyDescent="0.45">
      <c r="B82" s="137" t="s">
        <v>422</v>
      </c>
      <c r="C82" s="305">
        <f t="shared" si="20"/>
        <v>0</v>
      </c>
      <c r="D82" s="453">
        <f t="shared" si="21"/>
        <v>0</v>
      </c>
      <c r="E82" s="189">
        <f t="shared" si="22"/>
        <v>0</v>
      </c>
      <c r="F82" s="189">
        <f t="shared" si="23"/>
        <v>0</v>
      </c>
    </row>
    <row r="83" spans="2:6" x14ac:dyDescent="0.45">
      <c r="B83" s="137" t="s">
        <v>569</v>
      </c>
      <c r="C83" s="305">
        <f t="shared" si="20"/>
        <v>0</v>
      </c>
      <c r="D83" s="453">
        <f t="shared" si="21"/>
        <v>0</v>
      </c>
      <c r="E83" s="189">
        <f t="shared" si="22"/>
        <v>0</v>
      </c>
      <c r="F83" s="189">
        <f t="shared" si="23"/>
        <v>0</v>
      </c>
    </row>
    <row r="84" spans="2:6" x14ac:dyDescent="0.45">
      <c r="B84" s="137" t="s">
        <v>570</v>
      </c>
      <c r="C84" s="305">
        <f t="shared" si="20"/>
        <v>0</v>
      </c>
      <c r="D84" s="453">
        <f t="shared" si="21"/>
        <v>0</v>
      </c>
      <c r="E84" s="189">
        <f t="shared" si="22"/>
        <v>0</v>
      </c>
      <c r="F84" s="189">
        <f t="shared" si="23"/>
        <v>0</v>
      </c>
    </row>
    <row r="85" spans="2:6" x14ac:dyDescent="0.45">
      <c r="B85" s="137" t="s">
        <v>571</v>
      </c>
      <c r="C85" s="305">
        <f t="shared" si="20"/>
        <v>0</v>
      </c>
      <c r="D85" s="453">
        <f t="shared" si="21"/>
        <v>0</v>
      </c>
      <c r="E85" s="189">
        <f t="shared" si="22"/>
        <v>0</v>
      </c>
      <c r="F85" s="189">
        <f t="shared" si="23"/>
        <v>0</v>
      </c>
    </row>
    <row r="86" spans="2:6" x14ac:dyDescent="0.45">
      <c r="B86" s="137" t="s">
        <v>572</v>
      </c>
      <c r="C86" s="305">
        <f t="shared" si="20"/>
        <v>0</v>
      </c>
      <c r="D86" s="453">
        <f t="shared" si="21"/>
        <v>0</v>
      </c>
      <c r="E86" s="189">
        <f t="shared" si="22"/>
        <v>0</v>
      </c>
      <c r="F86" s="189">
        <f t="shared" si="23"/>
        <v>0</v>
      </c>
    </row>
    <row r="87" spans="2:6" x14ac:dyDescent="0.45">
      <c r="C87" s="454">
        <f>SUM(C64:C86)</f>
        <v>44</v>
      </c>
      <c r="D87" s="455">
        <f t="shared" ref="D87:F87" si="24">SUM(D64:D86)</f>
        <v>0</v>
      </c>
      <c r="E87" s="455">
        <f t="shared" si="24"/>
        <v>0</v>
      </c>
      <c r="F87" s="455">
        <f t="shared" si="24"/>
        <v>0</v>
      </c>
    </row>
    <row r="88" spans="2:6" x14ac:dyDescent="0.45">
      <c r="E88" s="189">
        <f>D87-E87</f>
        <v>0</v>
      </c>
      <c r="F88" s="189" t="str">
        <f>IF(E88=F87,"OK","ERREUR")</f>
        <v>OK</v>
      </c>
    </row>
  </sheetData>
  <sheetProtection formatCells="0" formatColumns="0" formatRows="0" autoFilter="0"/>
  <autoFilter ref="A7:AB58" xr:uid="{5B5BBBDE-33E3-4462-B288-63EC9F5FA152}"/>
  <mergeCells count="4">
    <mergeCell ref="B3:D3"/>
    <mergeCell ref="I6:J6"/>
    <mergeCell ref="M6:O6"/>
    <mergeCell ref="Q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orientation="portrait" copies="1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E119-2645-4680-ABA4-211EDBAC8958}">
  <sheetPr>
    <pageSetUpPr fitToPage="1"/>
  </sheetPr>
  <dimension ref="A1:I157"/>
  <sheetViews>
    <sheetView topLeftCell="A2" workbookViewId="0">
      <selection sqref="A1:F1"/>
    </sheetView>
  </sheetViews>
  <sheetFormatPr baseColWidth="10" defaultColWidth="10.796875" defaultRowHeight="14.25" x14ac:dyDescent="0.45"/>
  <cols>
    <col min="1" max="1" width="28.796875" style="137" customWidth="1"/>
    <col min="2" max="2" width="17.796875" style="288" bestFit="1" customWidth="1"/>
    <col min="3" max="3" width="13" style="293" customWidth="1"/>
    <col min="4" max="4" width="49.8632812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290" t="s">
        <v>563</v>
      </c>
      <c r="E1" s="464">
        <v>46082</v>
      </c>
      <c r="F1" s="464"/>
      <c r="I1" s="291" t="s">
        <v>530</v>
      </c>
    </row>
    <row r="2" spans="1:9" s="189" customFormat="1" ht="54" x14ac:dyDescent="0.45">
      <c r="A2" s="286" t="s">
        <v>327</v>
      </c>
      <c r="B2" s="289" t="s">
        <v>0</v>
      </c>
      <c r="C2" s="294" t="s">
        <v>25</v>
      </c>
      <c r="D2" s="254" t="s">
        <v>26</v>
      </c>
      <c r="E2" s="254" t="s">
        <v>32</v>
      </c>
      <c r="F2" s="254" t="s">
        <v>368</v>
      </c>
      <c r="G2" s="254" t="s">
        <v>1</v>
      </c>
      <c r="H2" s="254" t="s">
        <v>331</v>
      </c>
      <c r="I2" s="254"/>
    </row>
    <row r="3" spans="1:9" s="189" customFormat="1" ht="40.5" hidden="1" customHeight="1" x14ac:dyDescent="0.45">
      <c r="A3" s="364" t="str">
        <f>Horaire!A8</f>
        <v>DOUJANI</v>
      </c>
      <c r="B3" s="366">
        <f>Horaire!B8</f>
        <v>0.20833333333333334</v>
      </c>
      <c r="C3" s="322" t="str">
        <f>Horaire!C8</f>
        <v>D1</v>
      </c>
      <c r="D3" s="320" t="str">
        <f>VLOOKUP(C3,'Liste chauffeur'!$B$5:$L$19,2,TRUE)&amp;" "&amp;VLOOKUP(C3,'Liste chauffeur'!$B$5:$L$19,3,TRUE)</f>
        <v>MOHAMED Ali (laglace)</v>
      </c>
      <c r="E3" s="363" t="s">
        <v>390</v>
      </c>
      <c r="F3" s="254"/>
      <c r="G3" s="254"/>
      <c r="H3" s="254"/>
      <c r="I3" s="301"/>
    </row>
    <row r="4" spans="1:9" s="189" customFormat="1" ht="40.5" hidden="1" customHeight="1" x14ac:dyDescent="0.45">
      <c r="A4" s="364" t="str">
        <f>Horaire!A9</f>
        <v>DOUJANI</v>
      </c>
      <c r="B4" s="366">
        <f>Horaire!B9</f>
        <v>0.21527777777777779</v>
      </c>
      <c r="C4" s="322" t="str">
        <f>Horaire!C9</f>
        <v>D12</v>
      </c>
      <c r="D4" s="321" t="str">
        <f>VLOOKUP(C4,'Liste chauffeur'!$B$5:$L$18,2,TRUE)&amp;" "&amp;VLOOKUP(C4,'Liste chauffeur'!$B$5:$L$18,3,TRUE)</f>
        <v>VELOU M'COLO M'Berou</v>
      </c>
      <c r="E4" s="363" t="s">
        <v>390</v>
      </c>
      <c r="F4" s="254"/>
      <c r="G4" s="254"/>
      <c r="H4" s="254"/>
      <c r="I4" s="301"/>
    </row>
    <row r="5" spans="1:9" s="189" customFormat="1" ht="40.5" hidden="1" customHeight="1" x14ac:dyDescent="0.45">
      <c r="A5" s="364" t="str">
        <f>Horaire!A10</f>
        <v>DOUJANI</v>
      </c>
      <c r="B5" s="366">
        <f>Horaire!B10</f>
        <v>0.22222222222222221</v>
      </c>
      <c r="C5" s="322" t="str">
        <f>Horaire!C10</f>
        <v>D5</v>
      </c>
      <c r="D5" s="321" t="str">
        <f>VLOOKUP(C5,'Liste chauffeur'!$B$5:$L$18,2,TRUE)&amp;" "&amp;VLOOKUP(C5,'Liste chauffeur'!$B$5:$L$18,3,TRUE)</f>
        <v>AMINA Selemani</v>
      </c>
      <c r="E5" s="363" t="s">
        <v>390</v>
      </c>
      <c r="F5" s="254"/>
      <c r="G5" s="254"/>
      <c r="H5" s="254"/>
      <c r="I5" s="301"/>
    </row>
    <row r="6" spans="1:9" s="189" customFormat="1" ht="40.5" hidden="1" customHeight="1" x14ac:dyDescent="0.45">
      <c r="A6" s="364" t="str">
        <f>Horaire!A11</f>
        <v>DOUJANI</v>
      </c>
      <c r="B6" s="366">
        <f>Horaire!B11</f>
        <v>0.22916666666666666</v>
      </c>
      <c r="C6" s="322" t="str">
        <f>Horaire!C11</f>
        <v>D13</v>
      </c>
      <c r="D6" s="321" t="str">
        <f>VLOOKUP(C6,'Liste chauffeur'!$B$5:$L$18,2,TRUE)&amp;" "&amp;VLOOKUP(C6,'Liste chauffeur'!$B$5:$L$18,3,TRUE)</f>
        <v>MOURIDI Aktoir</v>
      </c>
      <c r="E6" s="363" t="s">
        <v>390</v>
      </c>
      <c r="F6" s="254"/>
      <c r="G6" s="254"/>
      <c r="H6" s="254"/>
      <c r="I6" s="301"/>
    </row>
    <row r="7" spans="1:9" ht="40.5" hidden="1" customHeight="1" x14ac:dyDescent="0.45">
      <c r="A7" s="431" t="str">
        <f>Horaire!A12</f>
        <v>PASSOT LA BARGE</v>
      </c>
      <c r="B7" s="432">
        <f>Horaire!B12</f>
        <v>0.22916666666666666</v>
      </c>
      <c r="C7" s="433" t="str">
        <f>Horaire!C12</f>
        <v>D1</v>
      </c>
      <c r="D7" s="434" t="str">
        <f>VLOOKUP(C7,'Liste chauffeur'!$B$5:$L$18,2,TRUE)&amp;" "&amp;VLOOKUP(C7,'Liste chauffeur'!$B$5:$L$18,3,TRUE)</f>
        <v>MOHAMED Ali (laglace)</v>
      </c>
      <c r="E7" s="435" t="s">
        <v>390</v>
      </c>
      <c r="F7" s="436" t="str">
        <f>IF(ISBLANK('Feuille saisie'!X12)=TRUE,"",'Feuille saisie'!X12)</f>
        <v/>
      </c>
      <c r="G7" s="436"/>
      <c r="H7" s="437"/>
    </row>
    <row r="8" spans="1:9" ht="40.5" hidden="1" customHeight="1" x14ac:dyDescent="0.45">
      <c r="A8" s="364" t="str">
        <f>Horaire!A13</f>
        <v>DOUJANI</v>
      </c>
      <c r="B8" s="366">
        <f>Horaire!B13</f>
        <v>0.2361111111111111</v>
      </c>
      <c r="C8" s="322" t="str">
        <f>Horaire!C13</f>
        <v>D3</v>
      </c>
      <c r="D8" s="320" t="str">
        <f>VLOOKUP(C8,'Liste chauffeur'!$B$5:$L$18,2,TRUE)&amp;" "&amp;VLOOKUP(C8,'Liste chauffeur'!$B$5:$L$18,3,TRUE)</f>
        <v>ABDOURAHIM Mohamed</v>
      </c>
      <c r="E8" s="363" t="s">
        <v>390</v>
      </c>
      <c r="F8" s="255" t="str">
        <f>IF(ISBLANK('Feuille saisie'!X13)=TRUE,"",'Feuille saisie'!X13)</f>
        <v/>
      </c>
      <c r="G8" s="255"/>
      <c r="H8" s="256"/>
      <c r="I8" s="287" t="s">
        <v>364</v>
      </c>
    </row>
    <row r="9" spans="1:9" ht="40.5" hidden="1" customHeight="1" x14ac:dyDescent="0.45">
      <c r="A9" s="431" t="str">
        <f>Horaire!A14</f>
        <v>PASSOT LA BARGE</v>
      </c>
      <c r="B9" s="432">
        <f>Horaire!B14</f>
        <v>0.2361111111111111</v>
      </c>
      <c r="C9" s="433" t="str">
        <f>Horaire!C14</f>
        <v>D12</v>
      </c>
      <c r="D9" s="434" t="str">
        <f>VLOOKUP(C9,'Liste chauffeur'!$B$5:$L$18,2,TRUE)&amp;" "&amp;VLOOKUP(C9,'Liste chauffeur'!$B$5:$L$18,3,TRUE)</f>
        <v>VELOU M'COLO M'Berou</v>
      </c>
      <c r="E9" s="435" t="s">
        <v>390</v>
      </c>
      <c r="F9" s="438" t="str">
        <f>IF(ISBLANK('Feuille saisie'!X14)=TRUE,"",'Feuille saisie'!X14)</f>
        <v/>
      </c>
      <c r="G9" s="436"/>
      <c r="H9" s="437"/>
      <c r="I9" s="287"/>
    </row>
    <row r="10" spans="1:9" ht="40.5" hidden="1" customHeight="1" x14ac:dyDescent="0.45">
      <c r="A10" s="364" t="str">
        <f>Horaire!A15</f>
        <v>DOUJANI</v>
      </c>
      <c r="B10" s="366">
        <f>Horaire!B15</f>
        <v>0.24305555555555555</v>
      </c>
      <c r="C10" s="322" t="str">
        <f>Horaire!C15</f>
        <v>D10</v>
      </c>
      <c r="D10" s="320" t="str">
        <f>VLOOKUP(C10,'Liste chauffeur'!$B$5:$L$18,2,TRUE)&amp;" "&amp;VLOOKUP(C10,'Liste chauffeur'!$B$5:$L$18,3,TRUE)</f>
        <v>KAMARDINE Mansour (Salarié)</v>
      </c>
      <c r="E10" s="363"/>
      <c r="F10" s="255" t="str">
        <f>IF(ISBLANK('Feuille saisie'!X15)=TRUE,"",'Feuille saisie'!X15)</f>
        <v/>
      </c>
      <c r="G10" s="255"/>
      <c r="H10" s="256"/>
      <c r="I10" s="287"/>
    </row>
    <row r="11" spans="1:9" ht="40.5" hidden="1" customHeight="1" x14ac:dyDescent="0.45">
      <c r="A11" s="431" t="str">
        <f>Horaire!A16</f>
        <v>PASSOT LA BARGE</v>
      </c>
      <c r="B11" s="432">
        <f>Horaire!B16</f>
        <v>0.24305555555555555</v>
      </c>
      <c r="C11" s="433" t="str">
        <f>Horaire!C16</f>
        <v>D5</v>
      </c>
      <c r="D11" s="434" t="str">
        <f>VLOOKUP(C11,'Liste chauffeur'!$B$5:$L$18,2,TRUE)&amp;" "&amp;VLOOKUP(C11,'Liste chauffeur'!$B$5:$L$18,3,TRUE)</f>
        <v>AMINA Selemani</v>
      </c>
      <c r="E11" s="435"/>
      <c r="F11" s="436" t="str">
        <f>IF(ISBLANK('Feuille saisie'!X16)=TRUE,"",'Feuille saisie'!X16)</f>
        <v/>
      </c>
      <c r="G11" s="436"/>
      <c r="H11" s="437"/>
      <c r="I11" s="287"/>
    </row>
    <row r="12" spans="1:9" ht="40.5" hidden="1" customHeight="1" x14ac:dyDescent="0.45">
      <c r="A12" s="364" t="str">
        <f>Horaire!A17</f>
        <v>DOUJANI</v>
      </c>
      <c r="B12" s="323">
        <f>Horaire!B17</f>
        <v>0.25</v>
      </c>
      <c r="C12" s="322" t="str">
        <f>Horaire!C17</f>
        <v>D1</v>
      </c>
      <c r="D12" s="320" t="str">
        <f>VLOOKUP(C12,'Liste chauffeur'!$B$5:$L$18,2,TRUE)&amp;" "&amp;VLOOKUP(C12,'Liste chauffeur'!$B$5:$L$18,3,TRUE)</f>
        <v>MOHAMED Ali (laglace)</v>
      </c>
      <c r="E12" s="363"/>
      <c r="F12" s="255" t="str">
        <f>IF(ISBLANK('Feuille saisie'!X17)=TRUE,"",'Feuille saisie'!X17)</f>
        <v/>
      </c>
      <c r="G12" s="255"/>
      <c r="H12" s="256"/>
      <c r="I12" s="287"/>
    </row>
    <row r="13" spans="1:9" ht="40.5" hidden="1" customHeight="1" x14ac:dyDescent="0.45">
      <c r="A13" s="431" t="str">
        <f>Horaire!A18</f>
        <v>PASSOT LA BARGE</v>
      </c>
      <c r="B13" s="432">
        <f>Horaire!B18</f>
        <v>0.25</v>
      </c>
      <c r="C13" s="433" t="str">
        <f>Horaire!C18</f>
        <v>D13</v>
      </c>
      <c r="D13" s="434" t="str">
        <f>VLOOKUP(C13,'Liste chauffeur'!$B$5:$L$18,2,TRUE)&amp;" "&amp;VLOOKUP(C13,'Liste chauffeur'!$B$5:$L$18,3,TRUE)</f>
        <v>MOURIDI Aktoir</v>
      </c>
      <c r="E13" s="435"/>
      <c r="F13" s="436"/>
      <c r="G13" s="436"/>
      <c r="H13" s="437"/>
      <c r="I13" s="287"/>
    </row>
    <row r="14" spans="1:9" ht="40.5" hidden="1" customHeight="1" x14ac:dyDescent="0.45">
      <c r="A14" s="365" t="str">
        <f>Horaire!A19</f>
        <v>M'TSAPERE</v>
      </c>
      <c r="B14" s="366">
        <f>Horaire!B19</f>
        <v>0.25</v>
      </c>
      <c r="C14" s="322" t="str">
        <f>Horaire!C19</f>
        <v>D4</v>
      </c>
      <c r="D14" s="320" t="str">
        <f>VLOOKUP(C14,'Liste chauffeur'!$B$5:$L$18,2,TRUE)&amp;" "&amp;VLOOKUP(C14,'Liste chauffeur'!$B$5:$L$18,3,TRUE)</f>
        <v>AMBDI  Houmadi</v>
      </c>
      <c r="E14" s="292"/>
      <c r="F14" s="255" t="str">
        <f>IF(ISBLANK('Feuille saisie'!X19)=TRUE,"",'Feuille saisie'!X19)</f>
        <v/>
      </c>
      <c r="G14" s="255"/>
      <c r="H14" s="256"/>
      <c r="I14" s="287"/>
    </row>
    <row r="15" spans="1:9" ht="40.5" hidden="1" customHeight="1" x14ac:dyDescent="0.45">
      <c r="A15" s="431" t="str">
        <f>Horaire!A20</f>
        <v>PASSOT LA BARGE</v>
      </c>
      <c r="B15" s="366">
        <f>Horaire!B20</f>
        <v>0.25</v>
      </c>
      <c r="C15" s="433" t="str">
        <f>Horaire!C20</f>
        <v>D11</v>
      </c>
      <c r="D15" s="434" t="str">
        <f>VLOOKUP(C15,'Liste chauffeur'!$B$5:$L$18,2,TRUE)&amp;" "&amp;VLOOKUP(C15,'Liste chauffeur'!$B$5:$L$18,3,TRUE)</f>
        <v>ALLAOUI  Soibrane</v>
      </c>
      <c r="E15" s="439"/>
      <c r="F15" s="436" t="str">
        <f>IF(ISBLANK('Feuille saisie'!X20)=TRUE,"",'Feuille saisie'!X20)</f>
        <v/>
      </c>
      <c r="G15" s="436"/>
      <c r="H15" s="437"/>
      <c r="I15" s="287"/>
    </row>
    <row r="16" spans="1:9" ht="40.5" hidden="1" customHeight="1" x14ac:dyDescent="0.45">
      <c r="A16" s="364" t="str">
        <f>Horaire!A21</f>
        <v>DOUJANI</v>
      </c>
      <c r="B16" s="323">
        <f>Horaire!B21</f>
        <v>0.25694444444444442</v>
      </c>
      <c r="C16" s="322" t="str">
        <f>Horaire!C21</f>
        <v>D12</v>
      </c>
      <c r="D16" s="320" t="str">
        <f>VLOOKUP(C16,'Liste chauffeur'!$B$5:$L$18,2,TRUE)&amp;" "&amp;VLOOKUP(C16,'Liste chauffeur'!$B$5:$L$18,3,TRUE)</f>
        <v>VELOU M'COLO M'Berou</v>
      </c>
      <c r="E16" s="292"/>
      <c r="F16" s="255" t="str">
        <f>IF(ISBLANK('Feuille saisie'!X21)=TRUE,"",'Feuille saisie'!X21)</f>
        <v/>
      </c>
      <c r="G16" s="255"/>
      <c r="H16" s="256"/>
      <c r="I16" s="287"/>
    </row>
    <row r="17" spans="1:9" ht="40.5" hidden="1" customHeight="1" x14ac:dyDescent="0.45">
      <c r="A17" s="431" t="str">
        <f>Horaire!A22</f>
        <v>PASSOT LA BARGE</v>
      </c>
      <c r="B17" s="432">
        <f>Horaire!B22</f>
        <v>0.25694444444444442</v>
      </c>
      <c r="C17" s="433" t="str">
        <f>Horaire!C22</f>
        <v>D3</v>
      </c>
      <c r="D17" s="434" t="str">
        <f>VLOOKUP(C17,'Liste chauffeur'!$B$5:$L$18,2,TRUE)&amp;" "&amp;VLOOKUP(C17,'Liste chauffeur'!$B$5:$L$18,3,TRUE)</f>
        <v>ABDOURAHIM Mohamed</v>
      </c>
      <c r="E17" s="439"/>
      <c r="F17" s="436" t="str">
        <f>IF(ISBLANK('Feuille saisie'!X22)=TRUE,"",'Feuille saisie'!X22)</f>
        <v/>
      </c>
      <c r="G17" s="436"/>
      <c r="H17" s="437"/>
      <c r="I17" s="287"/>
    </row>
    <row r="18" spans="1:9" ht="40.5" hidden="1" customHeight="1" x14ac:dyDescent="0.45">
      <c r="A18" s="365" t="str">
        <f>Horaire!A23</f>
        <v>M'TSAPERE</v>
      </c>
      <c r="B18" s="323">
        <f>Horaire!B23</f>
        <v>0.25694444444444442</v>
      </c>
      <c r="C18" s="322" t="str">
        <f>Horaire!C23</f>
        <v>D5</v>
      </c>
      <c r="D18" s="320" t="str">
        <f>VLOOKUP(C18,'Liste chauffeur'!$B$5:$L$18,2,TRUE)&amp;" "&amp;VLOOKUP(C18,'Liste chauffeur'!$B$5:$L$18,3,TRUE)</f>
        <v>AMINA Selemani</v>
      </c>
      <c r="E18" s="292"/>
      <c r="F18" s="255" t="str">
        <f>IF(ISBLANK('Feuille saisie'!X23)=TRUE,"",'Feuille saisie'!X23)</f>
        <v/>
      </c>
      <c r="G18" s="255"/>
      <c r="H18" s="256"/>
      <c r="I18" s="287"/>
    </row>
    <row r="19" spans="1:9" ht="40.5" hidden="1" customHeight="1" x14ac:dyDescent="0.45">
      <c r="A19" s="431" t="str">
        <f>Horaire!A24</f>
        <v>PASSOT LA BARGE</v>
      </c>
      <c r="B19" s="366">
        <f>Horaire!B24</f>
        <v>0.25694444444444442</v>
      </c>
      <c r="C19" s="433" t="str">
        <f>Horaire!C24</f>
        <v>D14</v>
      </c>
      <c r="D19" s="434" t="str">
        <f>VLOOKUP(C19,'Liste chauffeur'!$B$5:$L$18,2,TRUE)&amp;" "&amp;VLOOKUP(C19,'Liste chauffeur'!$B$5:$L$18,3,TRUE)</f>
        <v>AHAMADI Laydine</v>
      </c>
      <c r="E19" s="439"/>
      <c r="F19" s="436" t="str">
        <f>IF(ISBLANK('Feuille saisie'!X24)=TRUE,"",'Feuille saisie'!X24)</f>
        <v/>
      </c>
      <c r="G19" s="436"/>
      <c r="H19" s="437"/>
      <c r="I19" s="287"/>
    </row>
    <row r="20" spans="1:9" ht="40.5" hidden="1" customHeight="1" x14ac:dyDescent="0.45">
      <c r="A20" s="364" t="str">
        <f>Horaire!A25</f>
        <v>DOUJANI</v>
      </c>
      <c r="B20" s="366">
        <f>Horaire!B25</f>
        <v>0.2638888888888889</v>
      </c>
      <c r="C20" s="322" t="str">
        <f>Horaire!C25</f>
        <v>D2</v>
      </c>
      <c r="D20" s="320" t="str">
        <f>VLOOKUP(C20,'Liste chauffeur'!$B$5:$L$18,2,TRUE)&amp;" "&amp;VLOOKUP(C20,'Liste chauffeur'!$B$5:$L$18,3,TRUE)</f>
        <v>BARAKA  Soumaila</v>
      </c>
      <c r="E20" s="292"/>
      <c r="F20" s="255"/>
      <c r="G20" s="255"/>
      <c r="H20" s="256"/>
      <c r="I20" s="287"/>
    </row>
    <row r="21" spans="1:9" ht="40.5" hidden="1" customHeight="1" x14ac:dyDescent="0.45">
      <c r="A21" s="431" t="str">
        <f>Horaire!A26</f>
        <v>PASSOT LA BARGE</v>
      </c>
      <c r="B21" s="432">
        <f>Horaire!B26</f>
        <v>0.2638888888888889</v>
      </c>
      <c r="C21" s="433" t="str">
        <f>Horaire!C26</f>
        <v>D10</v>
      </c>
      <c r="D21" s="434" t="str">
        <f>VLOOKUP(C21,'Liste chauffeur'!$B$5:$L$18,2,TRUE)&amp;" "&amp;VLOOKUP(C21,'Liste chauffeur'!$B$5:$L$18,3,TRUE)</f>
        <v>KAMARDINE Mansour (Salarié)</v>
      </c>
      <c r="E21" s="439"/>
      <c r="F21" s="436" t="str">
        <f>IF(ISBLANK('Feuille saisie'!X26)=TRUE,"",'Feuille saisie'!X26)</f>
        <v/>
      </c>
      <c r="G21" s="436"/>
      <c r="H21" s="437"/>
      <c r="I21" s="287"/>
    </row>
    <row r="22" spans="1:9" ht="40.5" hidden="1" customHeight="1" x14ac:dyDescent="0.45">
      <c r="A22" s="365" t="str">
        <f>Horaire!A27</f>
        <v>M'TSAPERE</v>
      </c>
      <c r="B22" s="366">
        <f>Horaire!B27</f>
        <v>0.2638888888888889</v>
      </c>
      <c r="C22" s="322" t="str">
        <f>Horaire!C27</f>
        <v>D7</v>
      </c>
      <c r="D22" s="320" t="str">
        <f>VLOOKUP(C22,'Liste chauffeur'!$B$5:$L$18,2,TRUE)&amp;" "&amp;VLOOKUP(C22,'Liste chauffeur'!$B$5:$L$18,3,TRUE)</f>
        <v>COMBO  Said</v>
      </c>
      <c r="E22" s="292"/>
      <c r="F22" s="255" t="str">
        <f>IF(ISBLANK('Feuille saisie'!X27)=TRUE,"",'Feuille saisie'!X27)</f>
        <v/>
      </c>
      <c r="G22" s="255"/>
      <c r="H22" s="256"/>
    </row>
    <row r="23" spans="1:9" ht="40.5" hidden="1" customHeight="1" x14ac:dyDescent="0.45">
      <c r="A23" s="431" t="str">
        <f>Horaire!A28</f>
        <v>PASSOT LA BARGE</v>
      </c>
      <c r="B23" s="366">
        <f>Horaire!B28</f>
        <v>0.2638888888888889</v>
      </c>
      <c r="C23" s="433" t="str">
        <f>Horaire!C28</f>
        <v>D6</v>
      </c>
      <c r="D23" s="434" t="str">
        <f>VLOOKUP(C23,'Liste chauffeur'!$B$5:$L$18,2,TRUE)&amp;" "&amp;VLOOKUP(C23,'Liste chauffeur'!$B$5:$L$18,3,TRUE)</f>
        <v>ABDOU HAMIDOUNE Nassabia</v>
      </c>
      <c r="E23" s="439"/>
      <c r="F23" s="436" t="str">
        <f>IF(ISBLANK('Feuille saisie'!X28)=TRUE,"",'Feuille saisie'!X28)</f>
        <v/>
      </c>
      <c r="G23" s="436"/>
      <c r="H23" s="437"/>
    </row>
    <row r="24" spans="1:9" ht="40.5" hidden="1" customHeight="1" x14ac:dyDescent="0.45">
      <c r="A24" s="364" t="str">
        <f>Horaire!A29</f>
        <v>DOUJANI</v>
      </c>
      <c r="B24" s="323">
        <f>Horaire!B29</f>
        <v>0.27083333333333331</v>
      </c>
      <c r="C24" s="322" t="str">
        <f>Horaire!C29</f>
        <v>D13</v>
      </c>
      <c r="D24" s="320" t="str">
        <f>VLOOKUP(C24,'Liste chauffeur'!$B$5:$L$18,2,TRUE)&amp;" "&amp;VLOOKUP(C24,'Liste chauffeur'!$B$5:$L$18,3,TRUE)</f>
        <v>MOURIDI Aktoir</v>
      </c>
      <c r="E24" s="292"/>
      <c r="F24" s="255" t="str">
        <f>IF(ISBLANK('Feuille saisie'!X29)=TRUE,"",'Feuille saisie'!X29)</f>
        <v/>
      </c>
      <c r="G24" s="255"/>
      <c r="H24" s="256"/>
      <c r="I24" s="287" t="s">
        <v>365</v>
      </c>
    </row>
    <row r="25" spans="1:9" ht="40.5" hidden="1" customHeight="1" x14ac:dyDescent="0.45">
      <c r="A25" s="431" t="str">
        <f>Horaire!A30</f>
        <v>PASSOT LA BARGE</v>
      </c>
      <c r="B25" s="432">
        <f>Horaire!B30</f>
        <v>0.27083333333333331</v>
      </c>
      <c r="C25" s="433" t="str">
        <f>Horaire!C30</f>
        <v>D1</v>
      </c>
      <c r="D25" s="434" t="str">
        <f>VLOOKUP(C25,'Liste chauffeur'!$B$5:$L$18,2,TRUE)&amp;" "&amp;VLOOKUP(C25,'Liste chauffeur'!$B$5:$L$18,3,TRUE)</f>
        <v>MOHAMED Ali (laglace)</v>
      </c>
      <c r="E25" s="439"/>
      <c r="F25" s="436" t="str">
        <f>IF(ISBLANK('Feuille saisie'!X30)=TRUE,"",'Feuille saisie'!X30)</f>
        <v/>
      </c>
      <c r="G25" s="436"/>
      <c r="H25" s="437"/>
    </row>
    <row r="26" spans="1:9" ht="40.5" hidden="1" customHeight="1" x14ac:dyDescent="0.45">
      <c r="A26" s="365" t="str">
        <f>Horaire!A31</f>
        <v>M'TSAPERE</v>
      </c>
      <c r="B26" s="323">
        <f>Horaire!B31</f>
        <v>0.27083333333333331</v>
      </c>
      <c r="C26" s="322" t="str">
        <f>Horaire!C31</f>
        <v>D11</v>
      </c>
      <c r="D26" s="320" t="str">
        <f>VLOOKUP(C26,'Liste chauffeur'!$B$5:$L$18,2,TRUE)&amp;" "&amp;VLOOKUP(C26,'Liste chauffeur'!$B$5:$L$18,3,TRUE)</f>
        <v>ALLAOUI  Soibrane</v>
      </c>
      <c r="E26" s="292"/>
      <c r="F26" s="255" t="str">
        <f>IF(ISBLANK('Feuille saisie'!X31)=TRUE,"",'Feuille saisie'!X31)</f>
        <v/>
      </c>
      <c r="G26" s="255"/>
      <c r="H26" s="256"/>
    </row>
    <row r="27" spans="1:9" ht="40.5" hidden="1" customHeight="1" x14ac:dyDescent="0.45">
      <c r="A27" s="431" t="str">
        <f>Horaire!A32</f>
        <v>PASSOT LA BARGE</v>
      </c>
      <c r="B27" s="432">
        <f>Horaire!B32</f>
        <v>0.27083333333333331</v>
      </c>
      <c r="C27" s="433" t="str">
        <f>Horaire!C32</f>
        <v>D4</v>
      </c>
      <c r="D27" s="434" t="str">
        <f>VLOOKUP(C27,'Liste chauffeur'!$B$5:$L$18,2,TRUE)&amp;" "&amp;VLOOKUP(C27,'Liste chauffeur'!$B$5:$L$18,3,TRUE)</f>
        <v>AMBDI  Houmadi</v>
      </c>
      <c r="E27" s="439"/>
      <c r="F27" s="436"/>
      <c r="G27" s="436"/>
      <c r="H27" s="437"/>
    </row>
    <row r="28" spans="1:9" ht="40.5" hidden="1" customHeight="1" x14ac:dyDescent="0.45">
      <c r="A28" s="364" t="str">
        <f>Horaire!A33</f>
        <v>DOUJANI</v>
      </c>
      <c r="B28" s="323">
        <f>Horaire!B33</f>
        <v>0.27777777777777779</v>
      </c>
      <c r="C28" s="322" t="str">
        <f>Horaire!C33</f>
        <v>D3</v>
      </c>
      <c r="D28" s="320" t="str">
        <f>VLOOKUP(C28,'Liste chauffeur'!$B$5:$L$18,2,TRUE)&amp;" "&amp;VLOOKUP(C28,'Liste chauffeur'!$B$5:$L$18,3,TRUE)</f>
        <v>ABDOURAHIM Mohamed</v>
      </c>
      <c r="E28" s="292"/>
      <c r="F28" s="255" t="str">
        <f>IF(ISBLANK('Feuille saisie'!X33)=TRUE,"",'Feuille saisie'!X33)</f>
        <v/>
      </c>
      <c r="G28" s="255"/>
      <c r="H28" s="256"/>
      <c r="I28" s="287"/>
    </row>
    <row r="29" spans="1:9" ht="40.5" hidden="1" customHeight="1" x14ac:dyDescent="0.45">
      <c r="A29" s="431" t="str">
        <f>Horaire!A34</f>
        <v>PASSOT LA BARGE</v>
      </c>
      <c r="B29" s="432">
        <f>Horaire!B34</f>
        <v>0.27777777777777779</v>
      </c>
      <c r="C29" s="433" t="str">
        <f>Horaire!C34</f>
        <v>D12</v>
      </c>
      <c r="D29" s="434" t="str">
        <f>VLOOKUP(C29,'Liste chauffeur'!$B$5:$L$18,2,TRUE)&amp;" "&amp;VLOOKUP(C29,'Liste chauffeur'!$B$5:$L$18,3,TRUE)</f>
        <v>VELOU M'COLO M'Berou</v>
      </c>
      <c r="E29" s="439"/>
      <c r="F29" s="436" t="str">
        <f>IF(ISBLANK('Feuille saisie'!X34)=TRUE,"",'Feuille saisie'!X34)</f>
        <v/>
      </c>
      <c r="G29" s="436"/>
      <c r="H29" s="437"/>
    </row>
    <row r="30" spans="1:9" ht="40.5" hidden="1" customHeight="1" x14ac:dyDescent="0.45">
      <c r="A30" s="365" t="str">
        <f>Horaire!A35</f>
        <v>M'TSAPERE</v>
      </c>
      <c r="B30" s="323">
        <f>Horaire!B35</f>
        <v>0.27777777777777779</v>
      </c>
      <c r="C30" s="322" t="str">
        <f>Horaire!C35</f>
        <v>D14</v>
      </c>
      <c r="D30" s="320" t="str">
        <f>VLOOKUP(C30,'Liste chauffeur'!$B$5:$L$18,2,TRUE)&amp;" "&amp;VLOOKUP(C30,'Liste chauffeur'!$B$5:$L$18,3,TRUE)</f>
        <v>AHAMADI Laydine</v>
      </c>
      <c r="E30" s="292"/>
      <c r="F30" s="255" t="str">
        <f>IF(ISBLANK('Feuille saisie'!X35)=TRUE,"",'Feuille saisie'!X35)</f>
        <v/>
      </c>
      <c r="G30" s="255"/>
      <c r="H30" s="256"/>
    </row>
    <row r="31" spans="1:9" ht="40.5" hidden="1" customHeight="1" x14ac:dyDescent="0.45">
      <c r="A31" s="431" t="str">
        <f>Horaire!A36</f>
        <v>PASSOT LA BARGE</v>
      </c>
      <c r="B31" s="432">
        <f>Horaire!B36</f>
        <v>0.27777777777777779</v>
      </c>
      <c r="C31" s="433" t="str">
        <f>Horaire!C36</f>
        <v>D5</v>
      </c>
      <c r="D31" s="434" t="str">
        <f>VLOOKUP(C31,'Liste chauffeur'!$B$5:$L$18,2,TRUE)&amp;" "&amp;VLOOKUP(C31,'Liste chauffeur'!$B$5:$L$18,3,TRUE)</f>
        <v>AMINA Selemani</v>
      </c>
      <c r="E31" s="439"/>
      <c r="F31" s="436" t="str">
        <f>IF(ISBLANK('Feuille saisie'!X36)=TRUE,"",'Feuille saisie'!X36)</f>
        <v/>
      </c>
      <c r="G31" s="436"/>
      <c r="H31" s="437"/>
    </row>
    <row r="32" spans="1:9" ht="40.5" hidden="1" customHeight="1" x14ac:dyDescent="0.45">
      <c r="A32" s="364" t="str">
        <f>Horaire!A37</f>
        <v>DOUJANI</v>
      </c>
      <c r="B32" s="323">
        <f>Horaire!B37</f>
        <v>0.28472222222222221</v>
      </c>
      <c r="C32" s="322" t="str">
        <f>Horaire!C37</f>
        <v>D10</v>
      </c>
      <c r="D32" s="320" t="str">
        <f>VLOOKUP(C32,'Liste chauffeur'!$B$5:$L$18,2,TRUE)&amp;" "&amp;VLOOKUP(C32,'Liste chauffeur'!$B$5:$L$18,3,TRUE)</f>
        <v>KAMARDINE Mansour (Salarié)</v>
      </c>
      <c r="E32" s="292"/>
      <c r="F32" s="255" t="str">
        <f>IF(ISBLANK('Feuille saisie'!X37)=TRUE,"",'Feuille saisie'!X37)</f>
        <v/>
      </c>
      <c r="G32" s="255"/>
      <c r="H32" s="256"/>
      <c r="I32" s="287" t="s">
        <v>367</v>
      </c>
    </row>
    <row r="33" spans="1:9" ht="40.5" hidden="1" customHeight="1" x14ac:dyDescent="0.45">
      <c r="A33" s="431" t="str">
        <f>Horaire!A38</f>
        <v>PASSOT LA BARGE</v>
      </c>
      <c r="B33" s="432">
        <f>Horaire!B38</f>
        <v>0.28472222222222221</v>
      </c>
      <c r="C33" s="433" t="str">
        <f>Horaire!C38</f>
        <v>D2</v>
      </c>
      <c r="D33" s="434" t="str">
        <f>VLOOKUP(C33,'Liste chauffeur'!$B$5:$L$18,2,TRUE)&amp;" "&amp;VLOOKUP(C33,'Liste chauffeur'!$B$5:$L$18,3,TRUE)</f>
        <v>BARAKA  Soumaila</v>
      </c>
      <c r="E33" s="439"/>
      <c r="F33" s="436" t="str">
        <f>IF(ISBLANK('Feuille saisie'!X38)=TRUE,"",'Feuille saisie'!X38)</f>
        <v/>
      </c>
      <c r="G33" s="436"/>
      <c r="H33" s="437"/>
    </row>
    <row r="34" spans="1:9" ht="40.5" hidden="1" customHeight="1" x14ac:dyDescent="0.45">
      <c r="A34" s="365" t="str">
        <f>Horaire!A39</f>
        <v>M'TSAPERE</v>
      </c>
      <c r="B34" s="323">
        <f>Horaire!B39</f>
        <v>0.28472222222222221</v>
      </c>
      <c r="C34" s="322" t="str">
        <f>Horaire!C39</f>
        <v>D6</v>
      </c>
      <c r="D34" s="320" t="str">
        <f>VLOOKUP(C34,'Liste chauffeur'!$B$5:$L$18,2,TRUE)&amp;" "&amp;VLOOKUP(C34,'Liste chauffeur'!$B$5:$L$18,3,TRUE)</f>
        <v>ABDOU HAMIDOUNE Nassabia</v>
      </c>
      <c r="E34" s="292"/>
      <c r="F34" s="255" t="str">
        <f>IF(ISBLANK('Feuille saisie'!X39)=TRUE,"",'Feuille saisie'!X39)</f>
        <v/>
      </c>
      <c r="G34" s="255"/>
      <c r="H34" s="256"/>
      <c r="I34" s="137"/>
    </row>
    <row r="35" spans="1:9" ht="40.5" hidden="1" customHeight="1" x14ac:dyDescent="0.45">
      <c r="A35" s="431" t="str">
        <f>Horaire!A40</f>
        <v>PASSOT LA BARGE</v>
      </c>
      <c r="B35" s="432">
        <f>Horaire!B40</f>
        <v>0.28472222222222221</v>
      </c>
      <c r="C35" s="433" t="str">
        <f>Horaire!C40</f>
        <v>D7</v>
      </c>
      <c r="D35" s="434" t="str">
        <f>VLOOKUP(C35,'Liste chauffeur'!$B$5:$L$18,2,TRUE)&amp;" "&amp;VLOOKUP(C35,'Liste chauffeur'!$B$5:$L$18,3,TRUE)</f>
        <v>COMBO  Said</v>
      </c>
      <c r="E35" s="439"/>
      <c r="F35" s="436" t="str">
        <f>IF(ISBLANK('Feuille saisie'!X40)=TRUE,"",'Feuille saisie'!X40)</f>
        <v/>
      </c>
      <c r="G35" s="436"/>
      <c r="H35" s="437"/>
      <c r="I35" s="287" t="s">
        <v>366</v>
      </c>
    </row>
    <row r="36" spans="1:9" ht="40.5" hidden="1" customHeight="1" x14ac:dyDescent="0.45">
      <c r="A36" s="364" t="str">
        <f>Horaire!A41</f>
        <v>DOUJANI</v>
      </c>
      <c r="B36" s="323">
        <f>Horaire!B41</f>
        <v>0.29166666666666669</v>
      </c>
      <c r="C36" s="322" t="str">
        <f>Horaire!C41</f>
        <v>D1</v>
      </c>
      <c r="D36" s="320" t="str">
        <f>VLOOKUP(C36,'Liste chauffeur'!$B$5:$L$18,2,TRUE)&amp;" "&amp;VLOOKUP(C36,'Liste chauffeur'!$B$5:$L$18,3,TRUE)</f>
        <v>MOHAMED Ali (laglace)</v>
      </c>
      <c r="E36" s="292"/>
      <c r="F36" s="255" t="str">
        <f>IF(ISBLANK('Feuille saisie'!X41)=TRUE,"",'Feuille saisie'!X41)</f>
        <v/>
      </c>
      <c r="G36" s="255"/>
      <c r="H36" s="256"/>
    </row>
    <row r="37" spans="1:9" ht="40.5" hidden="1" customHeight="1" x14ac:dyDescent="0.45">
      <c r="A37" s="431" t="str">
        <f>Horaire!A42</f>
        <v>PASSOT LA BARGE</v>
      </c>
      <c r="B37" s="432">
        <f>Horaire!B42</f>
        <v>0.29166666666666669</v>
      </c>
      <c r="C37" s="433" t="str">
        <f>Horaire!C42</f>
        <v>D13</v>
      </c>
      <c r="D37" s="434" t="str">
        <f>VLOOKUP(C37,'Liste chauffeur'!$B$5:$L$18,2,TRUE)&amp;" "&amp;VLOOKUP(C37,'Liste chauffeur'!$B$5:$L$18,3,TRUE)</f>
        <v>MOURIDI Aktoir</v>
      </c>
      <c r="E37" s="439"/>
      <c r="F37" s="436" t="str">
        <f>IF(ISBLANK('Feuille saisie'!X42)=TRUE,"",'Feuille saisie'!X42)</f>
        <v/>
      </c>
      <c r="G37" s="436"/>
      <c r="H37" s="437"/>
    </row>
    <row r="38" spans="1:9" ht="40.5" hidden="1" customHeight="1" x14ac:dyDescent="0.45">
      <c r="A38" s="365" t="str">
        <f>Horaire!A43</f>
        <v>M'TSAPERE</v>
      </c>
      <c r="B38" s="323">
        <f>Horaire!B43</f>
        <v>0.29166666666666669</v>
      </c>
      <c r="C38" s="322" t="str">
        <f>Horaire!C43</f>
        <v>D4</v>
      </c>
      <c r="D38" s="320" t="str">
        <f>VLOOKUP(C38,'Liste chauffeur'!$B$5:$L$18,2,TRUE)&amp;" "&amp;VLOOKUP(C38,'Liste chauffeur'!$B$5:$L$18,3,TRUE)</f>
        <v>AMBDI  Houmadi</v>
      </c>
      <c r="E38" s="292"/>
      <c r="F38" s="255" t="str">
        <f>IF(ISBLANK('Feuille saisie'!X43)=TRUE,"",'Feuille saisie'!X43)</f>
        <v/>
      </c>
      <c r="G38" s="255"/>
      <c r="H38" s="256"/>
    </row>
    <row r="39" spans="1:9" ht="40.5" hidden="1" customHeight="1" x14ac:dyDescent="0.45">
      <c r="A39" s="431" t="str">
        <f>Horaire!A44</f>
        <v>PASSOT LA BARGE</v>
      </c>
      <c r="B39" s="432">
        <f>Horaire!B44</f>
        <v>0.29166666666666669</v>
      </c>
      <c r="C39" s="433" t="str">
        <f>Horaire!C44</f>
        <v>D11</v>
      </c>
      <c r="D39" s="434" t="str">
        <f>VLOOKUP(C39,'Liste chauffeur'!$B$5:$L$18,2,TRUE)&amp;" "&amp;VLOOKUP(C39,'Liste chauffeur'!$B$5:$L$18,3,TRUE)</f>
        <v>ALLAOUI  Soibrane</v>
      </c>
      <c r="E39" s="439"/>
      <c r="F39" s="436" t="str">
        <f>IF(ISBLANK('Feuille saisie'!X44)=TRUE,"",'Feuille saisie'!X44)</f>
        <v/>
      </c>
      <c r="G39" s="436"/>
      <c r="H39" s="437"/>
    </row>
    <row r="40" spans="1:9" ht="40.5" hidden="1" customHeight="1" x14ac:dyDescent="0.45">
      <c r="A40" s="364" t="str">
        <f>Horaire!A45</f>
        <v>DOUJANI</v>
      </c>
      <c r="B40" s="323">
        <f>Horaire!B45</f>
        <v>0.2986111111111111</v>
      </c>
      <c r="C40" s="322" t="str">
        <f>Horaire!C45</f>
        <v>D12</v>
      </c>
      <c r="D40" s="320" t="str">
        <f>VLOOKUP(C40,'Liste chauffeur'!$B$5:$L$18,2,TRUE)&amp;" "&amp;VLOOKUP(C40,'Liste chauffeur'!$B$5:$L$18,3,TRUE)</f>
        <v>VELOU M'COLO M'Berou</v>
      </c>
      <c r="E40" s="292"/>
      <c r="F40" s="255" t="str">
        <f>IF(ISBLANK('Feuille saisie'!X45)=TRUE,"",'Feuille saisie'!X45)</f>
        <v/>
      </c>
      <c r="G40" s="255"/>
      <c r="H40" s="256"/>
      <c r="I40" s="287"/>
    </row>
    <row r="41" spans="1:9" ht="40.5" hidden="1" customHeight="1" x14ac:dyDescent="0.45">
      <c r="A41" s="431" t="str">
        <f>Horaire!A46</f>
        <v>PASSOT LA BARGE</v>
      </c>
      <c r="B41" s="432">
        <f>Horaire!B46</f>
        <v>0.2986111111111111</v>
      </c>
      <c r="C41" s="433" t="str">
        <f>Horaire!C46</f>
        <v>D3</v>
      </c>
      <c r="D41" s="434" t="str">
        <f>VLOOKUP(C41,'Liste chauffeur'!$B$5:$L$18,2,TRUE)&amp;" "&amp;VLOOKUP(C41,'Liste chauffeur'!$B$5:$L$18,3,TRUE)</f>
        <v>ABDOURAHIM Mohamed</v>
      </c>
      <c r="E41" s="439"/>
      <c r="F41" s="436" t="str">
        <f>IF(ISBLANK('Feuille saisie'!X46)=TRUE,"",'Feuille saisie'!X46)</f>
        <v/>
      </c>
      <c r="G41" s="436"/>
      <c r="H41" s="437"/>
      <c r="I41" s="287"/>
    </row>
    <row r="42" spans="1:9" ht="40.5" hidden="1" customHeight="1" x14ac:dyDescent="0.45">
      <c r="A42" s="365" t="str">
        <f>Horaire!A47</f>
        <v>M'TSAPERE</v>
      </c>
      <c r="B42" s="323">
        <f>Horaire!B47</f>
        <v>0.2986111111111111</v>
      </c>
      <c r="C42" s="322" t="str">
        <f>Horaire!C47</f>
        <v>D5</v>
      </c>
      <c r="D42" s="320" t="str">
        <f>VLOOKUP(C42,'Liste chauffeur'!$B$5:$L$18,2,TRUE)&amp;" "&amp;VLOOKUP(C42,'Liste chauffeur'!$B$5:$L$18,3,TRUE)</f>
        <v>AMINA Selemani</v>
      </c>
      <c r="E42" s="292"/>
      <c r="F42" s="255" t="str">
        <f>IF(ISBLANK('Feuille saisie'!X47)=TRUE,"",'Feuille saisie'!X47)</f>
        <v/>
      </c>
      <c r="G42" s="255"/>
      <c r="H42" s="256"/>
    </row>
    <row r="43" spans="1:9" ht="40.5" hidden="1" customHeight="1" x14ac:dyDescent="0.45">
      <c r="A43" s="431" t="str">
        <f>Horaire!A48</f>
        <v>PASSOT LA BARGE</v>
      </c>
      <c r="B43" s="432">
        <f>Horaire!B48</f>
        <v>0.2986111111111111</v>
      </c>
      <c r="C43" s="433" t="str">
        <f>Horaire!C48</f>
        <v>D14</v>
      </c>
      <c r="D43" s="434" t="str">
        <f>VLOOKUP(C43,'Liste chauffeur'!$B$5:$L$18,2,TRUE)&amp;" "&amp;VLOOKUP(C43,'Liste chauffeur'!$B$5:$L$18,3,TRUE)</f>
        <v>AHAMADI Laydine</v>
      </c>
      <c r="E43" s="439"/>
      <c r="F43" s="436" t="str">
        <f>IF(ISBLANK('Feuille saisie'!X48)=TRUE,"",'Feuille saisie'!X48)</f>
        <v/>
      </c>
      <c r="G43" s="436"/>
      <c r="H43" s="437"/>
      <c r="I43" s="287"/>
    </row>
    <row r="44" spans="1:9" ht="40.5" hidden="1" customHeight="1" x14ac:dyDescent="0.45">
      <c r="A44" s="364" t="str">
        <f>Horaire!A49</f>
        <v>DOUJANI</v>
      </c>
      <c r="B44" s="323">
        <f>Horaire!B49</f>
        <v>0.30555555555555558</v>
      </c>
      <c r="C44" s="322" t="str">
        <f>Horaire!C49</f>
        <v>D2</v>
      </c>
      <c r="D44" s="320" t="str">
        <f>VLOOKUP(C44,'Liste chauffeur'!$B$5:$L$19,2,TRUE)&amp;" "&amp;VLOOKUP(C44,'Liste chauffeur'!$B$5:$L$19,3,TRUE)</f>
        <v>BARAKA  Soumaila</v>
      </c>
      <c r="E44" s="292"/>
      <c r="F44" s="255" t="str">
        <f>IF(ISBLANK('Feuille saisie'!X49)=TRUE,"",'Feuille saisie'!X49)</f>
        <v/>
      </c>
      <c r="G44" s="255"/>
      <c r="H44" s="256"/>
      <c r="I44" s="287"/>
    </row>
    <row r="45" spans="1:9" ht="40.5" hidden="1" customHeight="1" x14ac:dyDescent="0.45">
      <c r="A45" s="431" t="str">
        <f>Horaire!A50</f>
        <v>PASSOT LA BARGE</v>
      </c>
      <c r="B45" s="432">
        <f>Horaire!B50</f>
        <v>0.30555555555555558</v>
      </c>
      <c r="C45" s="433" t="str">
        <f>Horaire!C50</f>
        <v>D10</v>
      </c>
      <c r="D45" s="434" t="str">
        <f>VLOOKUP(C45,'Liste chauffeur'!$B$5:$L$19,2,TRUE)&amp;" "&amp;VLOOKUP(C45,'Liste chauffeur'!$B$5:$L$19,3,TRUE)</f>
        <v>KAMARDINE Mansour (Salarié)</v>
      </c>
      <c r="E45" s="439"/>
      <c r="F45" s="436" t="str">
        <f>IF(ISBLANK('Feuille saisie'!X50)=TRUE,"",'Feuille saisie'!X50)</f>
        <v/>
      </c>
      <c r="G45" s="436"/>
      <c r="H45" s="437"/>
      <c r="I45" s="287"/>
    </row>
    <row r="46" spans="1:9" ht="40.5" hidden="1" customHeight="1" x14ac:dyDescent="0.45">
      <c r="A46" s="365" t="str">
        <f>Horaire!A51</f>
        <v>M'TSAPERE</v>
      </c>
      <c r="B46" s="323">
        <f>Horaire!B51</f>
        <v>0.30555555555555558</v>
      </c>
      <c r="C46" s="322" t="str">
        <f>Horaire!C51</f>
        <v>D7</v>
      </c>
      <c r="D46" s="320" t="str">
        <f>VLOOKUP(C46,'Liste chauffeur'!$B$5:$L$19,2,TRUE)&amp;" "&amp;VLOOKUP(C46,'Liste chauffeur'!$B$5:$L$19,3,TRUE)</f>
        <v>COMBO  Said</v>
      </c>
      <c r="E46" s="292"/>
      <c r="F46" s="255" t="str">
        <f>IF(ISBLANK('Feuille saisie'!X51)=TRUE,"",'Feuille saisie'!X51)</f>
        <v/>
      </c>
      <c r="G46" s="255"/>
      <c r="H46" s="256"/>
      <c r="I46" s="287"/>
    </row>
    <row r="47" spans="1:9" ht="40.5" hidden="1" customHeight="1" x14ac:dyDescent="0.45">
      <c r="A47" s="431" t="str">
        <f>Horaire!A52</f>
        <v>PASSOT LA BARGE</v>
      </c>
      <c r="B47" s="432">
        <f>Horaire!B52</f>
        <v>0.30555555555555558</v>
      </c>
      <c r="C47" s="433" t="str">
        <f>Horaire!C52</f>
        <v>D6</v>
      </c>
      <c r="D47" s="434" t="str">
        <f>VLOOKUP(C47,'Liste chauffeur'!$B$5:$L$19,2,TRUE)&amp;" "&amp;VLOOKUP(C47,'Liste chauffeur'!$B$5:$L$19,3,TRUE)</f>
        <v>ABDOU HAMIDOUNE Nassabia</v>
      </c>
      <c r="E47" s="439"/>
      <c r="F47" s="436" t="str">
        <f>IF(ISBLANK('Feuille saisie'!X52)=TRUE,"",'Feuille saisie'!X52)</f>
        <v/>
      </c>
      <c r="G47" s="436"/>
      <c r="H47" s="437"/>
      <c r="I47" s="287"/>
    </row>
    <row r="48" spans="1:9" ht="40.5" hidden="1" customHeight="1" x14ac:dyDescent="0.45">
      <c r="A48" s="364" t="str">
        <f>Horaire!A53</f>
        <v>DOUJANI</v>
      </c>
      <c r="B48" s="323">
        <f>Horaire!B53</f>
        <v>0.3125</v>
      </c>
      <c r="C48" s="322" t="str">
        <f>Horaire!C53</f>
        <v>D13</v>
      </c>
      <c r="D48" s="320" t="str">
        <f>VLOOKUP(C48,'Liste chauffeur'!$B$5:$L$19,2,TRUE)&amp;" "&amp;VLOOKUP(C48,'Liste chauffeur'!$B$5:$L$19,3,TRUE)</f>
        <v>MOURIDI Aktoir</v>
      </c>
      <c r="E48" s="292"/>
      <c r="F48" s="255" t="str">
        <f>IF(ISBLANK('Feuille saisie'!X53)=TRUE,"",'Feuille saisie'!X53)</f>
        <v/>
      </c>
      <c r="G48" s="255"/>
      <c r="H48" s="256"/>
      <c r="I48" s="287"/>
    </row>
    <row r="49" spans="1:9" ht="40.5" hidden="1" customHeight="1" x14ac:dyDescent="0.45">
      <c r="A49" s="431" t="str">
        <f>Horaire!A54</f>
        <v>PASSOT LA BARGE</v>
      </c>
      <c r="B49" s="432">
        <f>Horaire!B54</f>
        <v>0.3125</v>
      </c>
      <c r="C49" s="433" t="str">
        <f>Horaire!C54</f>
        <v>D1</v>
      </c>
      <c r="D49" s="434" t="str">
        <f>VLOOKUP(C49,'Liste chauffeur'!$B$5:$L$19,2,TRUE)&amp;" "&amp;VLOOKUP(C49,'Liste chauffeur'!$B$5:$L$19,3,TRUE)</f>
        <v>MOHAMED Ali (laglace)</v>
      </c>
      <c r="E49" s="439"/>
      <c r="F49" s="436" t="str">
        <f>IF(ISBLANK('Feuille saisie'!X54)=TRUE,"",'Feuille saisie'!X54)</f>
        <v/>
      </c>
      <c r="G49" s="436"/>
      <c r="H49" s="437"/>
      <c r="I49" s="287"/>
    </row>
    <row r="50" spans="1:9" ht="40.5" hidden="1" customHeight="1" x14ac:dyDescent="0.45">
      <c r="A50" s="365" t="str">
        <f>Horaire!A55</f>
        <v>M'TSAPERE</v>
      </c>
      <c r="B50" s="323">
        <f>Horaire!B55</f>
        <v>0.3125</v>
      </c>
      <c r="C50" s="322" t="str">
        <f>Horaire!C55</f>
        <v>D11</v>
      </c>
      <c r="D50" s="320" t="str">
        <f>VLOOKUP(C50,'Liste chauffeur'!$B$5:$L$19,2,TRUE)&amp;" "&amp;VLOOKUP(C50,'Liste chauffeur'!$B$5:$L$19,3,TRUE)</f>
        <v>ALLAOUI  Soibrane</v>
      </c>
      <c r="E50" s="292"/>
      <c r="F50" s="255" t="str">
        <f>IF(ISBLANK('Feuille saisie'!X55)=TRUE,"",'Feuille saisie'!X55)</f>
        <v/>
      </c>
      <c r="G50" s="255"/>
      <c r="H50" s="256"/>
      <c r="I50" s="287"/>
    </row>
    <row r="51" spans="1:9" ht="40.5" hidden="1" customHeight="1" x14ac:dyDescent="0.45">
      <c r="A51" s="431" t="str">
        <f>Horaire!A56</f>
        <v>PASSOT LA BARGE</v>
      </c>
      <c r="B51" s="432">
        <f>Horaire!B56</f>
        <v>0.3125</v>
      </c>
      <c r="C51" s="433" t="str">
        <f>Horaire!C56</f>
        <v>D4</v>
      </c>
      <c r="D51" s="434" t="str">
        <f>VLOOKUP(C51,'Liste chauffeur'!$B$5:$L$19,2,TRUE)&amp;" "&amp;VLOOKUP(C51,'Liste chauffeur'!$B$5:$L$19,3,TRUE)</f>
        <v>AMBDI  Houmadi</v>
      </c>
      <c r="E51" s="439"/>
      <c r="F51" s="436"/>
      <c r="G51" s="436"/>
      <c r="H51" s="437"/>
      <c r="I51" s="287"/>
    </row>
    <row r="52" spans="1:9" ht="40.5" hidden="1" customHeight="1" x14ac:dyDescent="0.45">
      <c r="A52" s="364" t="str">
        <f>Horaire!A57</f>
        <v>DOUJANI</v>
      </c>
      <c r="B52" s="367">
        <f>Horaire!B57</f>
        <v>0.31944444444444442</v>
      </c>
      <c r="C52" s="322" t="str">
        <f>Horaire!C57</f>
        <v>D3</v>
      </c>
      <c r="D52" s="320" t="str">
        <f>VLOOKUP(C52,'Liste chauffeur'!$B$5:$L$19,2,TRUE)&amp;" "&amp;VLOOKUP(C52,'Liste chauffeur'!$B$5:$L$19,3,TRUE)</f>
        <v>ABDOURAHIM Mohamed</v>
      </c>
      <c r="E52" s="292"/>
      <c r="F52" s="255"/>
      <c r="G52" s="255"/>
      <c r="H52" s="256"/>
      <c r="I52" s="287"/>
    </row>
    <row r="53" spans="1:9" ht="40.5" hidden="1" customHeight="1" x14ac:dyDescent="0.45">
      <c r="A53" s="431" t="str">
        <f>Horaire!A58</f>
        <v>PASSOT LA BARGE</v>
      </c>
      <c r="B53" s="367">
        <f>Horaire!B58</f>
        <v>0.31944444444444442</v>
      </c>
      <c r="C53" s="433" t="str">
        <f>Horaire!C58</f>
        <v>D12</v>
      </c>
      <c r="D53" s="434" t="str">
        <f>VLOOKUP(C53,'Liste chauffeur'!$B$5:$L$19,2,TRUE)&amp;" "&amp;VLOOKUP(C53,'Liste chauffeur'!$B$5:$L$19,3,TRUE)</f>
        <v>VELOU M'COLO M'Berou</v>
      </c>
      <c r="E53" s="439"/>
      <c r="F53" s="436"/>
      <c r="G53" s="436"/>
      <c r="H53" s="437"/>
      <c r="I53" s="287" t="s">
        <v>364</v>
      </c>
    </row>
    <row r="54" spans="1:9" ht="40.5" hidden="1" customHeight="1" x14ac:dyDescent="0.45">
      <c r="A54" s="365" t="str">
        <f>Horaire!A59</f>
        <v>M'TSAPERE</v>
      </c>
      <c r="B54" s="367">
        <f>Horaire!B59</f>
        <v>0.31944444444444442</v>
      </c>
      <c r="C54" s="322" t="str">
        <f>Horaire!C59</f>
        <v>D14</v>
      </c>
      <c r="D54" s="320" t="str">
        <f>VLOOKUP(C54,'Liste chauffeur'!$B$5:$L$19,2,TRUE)&amp;" "&amp;VLOOKUP(C54,'Liste chauffeur'!$B$5:$L$19,3,TRUE)</f>
        <v>AHAMADI Laydine</v>
      </c>
      <c r="E54" s="292"/>
      <c r="F54" s="255"/>
      <c r="G54" s="255"/>
      <c r="H54" s="256"/>
    </row>
    <row r="55" spans="1:9" ht="40.5" hidden="1" customHeight="1" x14ac:dyDescent="0.45">
      <c r="A55" s="431" t="str">
        <f>Horaire!A60</f>
        <v>PASSOT LA BARGE</v>
      </c>
      <c r="B55" s="367">
        <f>Horaire!B60</f>
        <v>0.31944444444444442</v>
      </c>
      <c r="C55" s="433" t="str">
        <f>Horaire!C60</f>
        <v>D5</v>
      </c>
      <c r="D55" s="434" t="str">
        <f>VLOOKUP(C55,'Liste chauffeur'!$B$5:$L$19,2,TRUE)&amp;" "&amp;VLOOKUP(C55,'Liste chauffeur'!$B$5:$L$19,3,TRUE)</f>
        <v>AMINA Selemani</v>
      </c>
      <c r="E55" s="439"/>
      <c r="F55" s="436"/>
      <c r="G55" s="436"/>
      <c r="H55" s="437"/>
    </row>
    <row r="56" spans="1:9" ht="40.5" hidden="1" customHeight="1" x14ac:dyDescent="0.45">
      <c r="A56" s="364" t="str">
        <f>Horaire!A61</f>
        <v>DOUJANI</v>
      </c>
      <c r="B56" s="323">
        <f>Horaire!B61</f>
        <v>0.3263888888888889</v>
      </c>
      <c r="C56" s="322" t="str">
        <f>Horaire!C61</f>
        <v>D10</v>
      </c>
      <c r="D56" s="320" t="str">
        <f>VLOOKUP(C56,'Liste chauffeur'!$B$5:$L$19,2,TRUE)&amp;" "&amp;VLOOKUP(C56,'Liste chauffeur'!$B$5:$L$19,3,TRUE)</f>
        <v>KAMARDINE Mansour (Salarié)</v>
      </c>
      <c r="E56" s="292"/>
      <c r="F56" s="255"/>
      <c r="G56" s="255"/>
      <c r="H56" s="256"/>
      <c r="I56" s="287" t="s">
        <v>365</v>
      </c>
    </row>
    <row r="57" spans="1:9" ht="40.5" hidden="1" customHeight="1" x14ac:dyDescent="0.45">
      <c r="A57" s="431" t="str">
        <f>Horaire!A62</f>
        <v>PASSOT LA BARGE</v>
      </c>
      <c r="B57" s="432">
        <f>Horaire!B62</f>
        <v>0.3263888888888889</v>
      </c>
      <c r="C57" s="433" t="str">
        <f>Horaire!C62</f>
        <v>D2</v>
      </c>
      <c r="D57" s="434" t="str">
        <f>VLOOKUP(C57,'Liste chauffeur'!$B$5:$L$19,2,TRUE)&amp;" "&amp;VLOOKUP(C57,'Liste chauffeur'!$B$5:$L$19,3,TRUE)</f>
        <v>BARAKA  Soumaila</v>
      </c>
      <c r="E57" s="439"/>
      <c r="F57" s="436"/>
      <c r="G57" s="436"/>
      <c r="H57" s="437"/>
    </row>
    <row r="58" spans="1:9" ht="40.5" hidden="1" customHeight="1" x14ac:dyDescent="0.45">
      <c r="A58" s="365" t="str">
        <f>Horaire!A63</f>
        <v>M'TSAPERE</v>
      </c>
      <c r="B58" s="367">
        <f>Horaire!B63</f>
        <v>0.3263888888888889</v>
      </c>
      <c r="C58" s="322" t="str">
        <f>Horaire!C63</f>
        <v>D6</v>
      </c>
      <c r="D58" s="320" t="str">
        <f>VLOOKUP(C58,'Liste chauffeur'!$B$5:$L$19,2,TRUE)&amp;" "&amp;VLOOKUP(C58,'Liste chauffeur'!$B$5:$L$19,3,TRUE)</f>
        <v>ABDOU HAMIDOUNE Nassabia</v>
      </c>
      <c r="E58" s="292"/>
      <c r="F58" s="255"/>
      <c r="G58" s="255"/>
      <c r="H58" s="256"/>
    </row>
    <row r="59" spans="1:9" ht="40.5" hidden="1" customHeight="1" x14ac:dyDescent="0.45">
      <c r="A59" s="431" t="str">
        <f>Horaire!A64</f>
        <v>PASSOT LA BARGE</v>
      </c>
      <c r="B59" s="367">
        <f>Horaire!B64</f>
        <v>0.3263888888888889</v>
      </c>
      <c r="C59" s="433" t="str">
        <f>Horaire!C64</f>
        <v>D7</v>
      </c>
      <c r="D59" s="434" t="str">
        <f>VLOOKUP(C59,'Liste chauffeur'!$B$5:$L$19,2,TRUE)&amp;" "&amp;VLOOKUP(C59,'Liste chauffeur'!$B$5:$L$19,3,TRUE)</f>
        <v>COMBO  Said</v>
      </c>
      <c r="E59" s="439"/>
      <c r="F59" s="436"/>
      <c r="G59" s="436"/>
      <c r="H59" s="437"/>
      <c r="I59" s="287"/>
    </row>
    <row r="60" spans="1:9" ht="40.5" hidden="1" customHeight="1" x14ac:dyDescent="0.45">
      <c r="A60" s="364" t="str">
        <f>Horaire!A65</f>
        <v>DOUJANI</v>
      </c>
      <c r="B60" s="367">
        <f>Horaire!B65</f>
        <v>0.33333333333333331</v>
      </c>
      <c r="C60" s="322" t="str">
        <f>Horaire!C65</f>
        <v>D1</v>
      </c>
      <c r="D60" s="320" t="str">
        <f>VLOOKUP(C60,'Liste chauffeur'!$B$5:$L$19,2,TRUE)&amp;" "&amp;VLOOKUP(C60,'Liste chauffeur'!$B$5:$L$19,3,TRUE)</f>
        <v>MOHAMED Ali (laglace)</v>
      </c>
      <c r="E60" s="292"/>
      <c r="F60" s="255"/>
      <c r="G60" s="255"/>
      <c r="H60" s="256"/>
    </row>
    <row r="61" spans="1:9" ht="40.5" hidden="1" customHeight="1" x14ac:dyDescent="0.45">
      <c r="A61" s="431" t="str">
        <f>Horaire!A66</f>
        <v>PASSOT LA BARGE</v>
      </c>
      <c r="B61" s="367">
        <f>Horaire!B66</f>
        <v>0.33333333333333331</v>
      </c>
      <c r="C61" s="433" t="str">
        <f>Horaire!C66</f>
        <v>D13</v>
      </c>
      <c r="D61" s="434" t="str">
        <f>VLOOKUP(C61,'Liste chauffeur'!$B$5:$L$19,2,TRUE)&amp;" "&amp;VLOOKUP(C61,'Liste chauffeur'!$B$5:$L$19,3,TRUE)</f>
        <v>MOURIDI Aktoir</v>
      </c>
      <c r="E61" s="439"/>
      <c r="F61" s="436"/>
      <c r="G61" s="436"/>
      <c r="H61" s="437"/>
    </row>
    <row r="62" spans="1:9" ht="40.5" hidden="1" customHeight="1" x14ac:dyDescent="0.45">
      <c r="A62" s="365" t="str">
        <f>Horaire!A67</f>
        <v>M'TSAPERE</v>
      </c>
      <c r="B62" s="323">
        <f>Horaire!B67</f>
        <v>0.33333333333333331</v>
      </c>
      <c r="C62" s="322" t="str">
        <f>Horaire!C67</f>
        <v>D4</v>
      </c>
      <c r="D62" s="320" t="str">
        <f>VLOOKUP(C62,'Liste chauffeur'!$B$5:$L$19,2,TRUE)&amp;" "&amp;VLOOKUP(C62,'Liste chauffeur'!$B$5:$L$19,3,TRUE)</f>
        <v>AMBDI  Houmadi</v>
      </c>
      <c r="E62" s="292"/>
      <c r="F62" s="255"/>
      <c r="G62" s="255"/>
      <c r="H62" s="256"/>
    </row>
    <row r="63" spans="1:9" ht="40.5" hidden="1" customHeight="1" x14ac:dyDescent="0.45">
      <c r="A63" s="431" t="str">
        <f>Horaire!A68</f>
        <v>PASSOT LA BARGE</v>
      </c>
      <c r="B63" s="432">
        <f>Horaire!B68</f>
        <v>0.33333333333333331</v>
      </c>
      <c r="C63" s="433" t="str">
        <f>Horaire!C68</f>
        <v>D11</v>
      </c>
      <c r="D63" s="434" t="str">
        <f>VLOOKUP(C63,'Liste chauffeur'!$B$5:$L$19,2,TRUE)&amp;" "&amp;VLOOKUP(C63,'Liste chauffeur'!$B$5:$L$19,3,TRUE)</f>
        <v>ALLAOUI  Soibrane</v>
      </c>
      <c r="E63" s="439"/>
      <c r="F63" s="436"/>
      <c r="G63" s="436"/>
      <c r="H63" s="437"/>
      <c r="I63" s="287" t="s">
        <v>367</v>
      </c>
    </row>
    <row r="64" spans="1:9" ht="40.5" hidden="1" customHeight="1" x14ac:dyDescent="0.45">
      <c r="A64" s="364" t="str">
        <f>Horaire!A69</f>
        <v>DOUJANI</v>
      </c>
      <c r="B64" s="323">
        <f>Horaire!B69</f>
        <v>0.34722222222222221</v>
      </c>
      <c r="C64" s="322" t="str">
        <f>Horaire!C69</f>
        <v>D2</v>
      </c>
      <c r="D64" s="320" t="str">
        <f>VLOOKUP(C64,'Liste chauffeur'!$B$5:$L$19,2,TRUE)&amp;" "&amp;VLOOKUP(C64,'Liste chauffeur'!$B$5:$L$19,3,TRUE)</f>
        <v>BARAKA  Soumaila</v>
      </c>
      <c r="E64" s="363" t="s">
        <v>390</v>
      </c>
      <c r="F64" s="255"/>
      <c r="G64" s="255"/>
      <c r="H64" s="256"/>
    </row>
    <row r="65" spans="1:9" ht="40.5" hidden="1" customHeight="1" x14ac:dyDescent="0.45">
      <c r="A65" s="431" t="str">
        <f>Horaire!A70</f>
        <v>PASSOT LA BARGE</v>
      </c>
      <c r="B65" s="432">
        <f>Horaire!B70</f>
        <v>0.34722222222222221</v>
      </c>
      <c r="C65" s="433" t="str">
        <f>Horaire!C70</f>
        <v>D10</v>
      </c>
      <c r="D65" s="434" t="str">
        <f>VLOOKUP(C65,'Liste chauffeur'!$B$5:$L$19,2,TRUE)&amp;" "&amp;VLOOKUP(C65,'Liste chauffeur'!$B$5:$L$19,3,TRUE)</f>
        <v>KAMARDINE Mansour (Salarié)</v>
      </c>
      <c r="E65" s="435" t="s">
        <v>390</v>
      </c>
      <c r="F65" s="436"/>
      <c r="G65" s="436"/>
      <c r="H65" s="437"/>
      <c r="I65" s="137"/>
    </row>
    <row r="66" spans="1:9" ht="40.5" hidden="1" customHeight="1" x14ac:dyDescent="0.45">
      <c r="A66" s="364" t="str">
        <f>Horaire!A71</f>
        <v>DOUJANI</v>
      </c>
      <c r="B66" s="323">
        <f>Horaire!B71</f>
        <v>0.3611111111111111</v>
      </c>
      <c r="C66" s="322" t="str">
        <f>Horaire!C71</f>
        <v>D11</v>
      </c>
      <c r="D66" s="320" t="str">
        <f>VLOOKUP(C66,'Liste chauffeur'!$B$5:$L$19,2,TRUE)&amp;" "&amp;VLOOKUP(C66,'Liste chauffeur'!$B$5:$L$19,3,TRUE)</f>
        <v>ALLAOUI  Soibrane</v>
      </c>
      <c r="E66" s="363" t="s">
        <v>390</v>
      </c>
      <c r="F66" s="255"/>
      <c r="G66" s="255"/>
      <c r="H66" s="256"/>
      <c r="I66" s="287" t="s">
        <v>366</v>
      </c>
    </row>
    <row r="67" spans="1:9" ht="40.5" hidden="1" customHeight="1" x14ac:dyDescent="0.45">
      <c r="A67" s="431" t="str">
        <f>Horaire!A72</f>
        <v>PASSOT LA BARGE</v>
      </c>
      <c r="B67" s="432">
        <f>Horaire!B72</f>
        <v>0.3611111111111111</v>
      </c>
      <c r="C67" s="433" t="str">
        <f>Horaire!C72</f>
        <v>D4</v>
      </c>
      <c r="D67" s="434" t="str">
        <f>VLOOKUP(C67,'Liste chauffeur'!$B$5:$L$19,2,TRUE)&amp;" "&amp;VLOOKUP(C67,'Liste chauffeur'!$B$5:$L$19,3,TRUE)</f>
        <v>AMBDI  Houmadi</v>
      </c>
      <c r="E67" s="435" t="s">
        <v>390</v>
      </c>
      <c r="F67" s="436"/>
      <c r="G67" s="436"/>
      <c r="H67" s="437"/>
    </row>
    <row r="68" spans="1:9" ht="40.5" hidden="1" customHeight="1" x14ac:dyDescent="0.45">
      <c r="A68" s="364" t="str">
        <f>Horaire!A73</f>
        <v>DOUJANI</v>
      </c>
      <c r="B68" s="323">
        <f>Horaire!B73</f>
        <v>0.375</v>
      </c>
      <c r="C68" s="322" t="str">
        <f>Horaire!C73</f>
        <v>D10</v>
      </c>
      <c r="D68" s="320" t="str">
        <f>VLOOKUP(C68,'Liste chauffeur'!$B$5:$L$19,2,TRUE)&amp;" "&amp;VLOOKUP(C68,'Liste chauffeur'!$B$5:$L$19,3,TRUE)</f>
        <v>KAMARDINE Mansour (Salarié)</v>
      </c>
      <c r="E68" s="363" t="s">
        <v>390</v>
      </c>
      <c r="F68" s="255"/>
      <c r="G68" s="255"/>
      <c r="H68" s="256"/>
    </row>
    <row r="69" spans="1:9" ht="40.5" hidden="1" customHeight="1" x14ac:dyDescent="0.45">
      <c r="A69" s="431" t="str">
        <f>Horaire!A74</f>
        <v>PASSOT LA BARGE</v>
      </c>
      <c r="B69" s="432">
        <f>Horaire!B74</f>
        <v>0.375</v>
      </c>
      <c r="C69" s="433" t="str">
        <f>Horaire!C74</f>
        <v>D2</v>
      </c>
      <c r="D69" s="434" t="str">
        <f>VLOOKUP(C69,'Liste chauffeur'!$B$5:$L$19,2,TRUE)&amp;" "&amp;VLOOKUP(C69,'Liste chauffeur'!$B$5:$L$19,3,TRUE)</f>
        <v>BARAKA  Soumaila</v>
      </c>
      <c r="E69" s="435" t="s">
        <v>390</v>
      </c>
      <c r="F69" s="436"/>
      <c r="G69" s="436"/>
      <c r="H69" s="437"/>
    </row>
    <row r="70" spans="1:9" ht="40.5" hidden="1" customHeight="1" x14ac:dyDescent="0.45">
      <c r="A70" s="364" t="str">
        <f>Horaire!A75</f>
        <v>DOUJANI</v>
      </c>
      <c r="B70" s="323">
        <f>Horaire!B75</f>
        <v>0.3888888888888889</v>
      </c>
      <c r="C70" s="322" t="str">
        <f>Horaire!C75</f>
        <v>D4</v>
      </c>
      <c r="D70" s="320" t="str">
        <f>VLOOKUP(C70,'Liste chauffeur'!$B$5:$L$19,2,TRUE)&amp;" "&amp;VLOOKUP(C70,'Liste chauffeur'!$B$5:$L$19,3,TRUE)</f>
        <v>AMBDI  Houmadi</v>
      </c>
      <c r="E70" s="363" t="s">
        <v>390</v>
      </c>
      <c r="F70" s="255"/>
      <c r="G70" s="255"/>
      <c r="H70" s="256"/>
    </row>
    <row r="71" spans="1:9" ht="40.5" hidden="1" customHeight="1" x14ac:dyDescent="0.45">
      <c r="A71" s="431" t="str">
        <f>Horaire!A76</f>
        <v>PASSOT LA BARGE</v>
      </c>
      <c r="B71" s="432">
        <f>Horaire!B76</f>
        <v>0.3888888888888889</v>
      </c>
      <c r="C71" s="433" t="str">
        <f>Horaire!C76</f>
        <v>D11</v>
      </c>
      <c r="D71" s="434" t="str">
        <f>VLOOKUP(C71,'Liste chauffeur'!$B$5:$L$19,2,TRUE)&amp;" "&amp;VLOOKUP(C71,'Liste chauffeur'!$B$5:$L$19,3,TRUE)</f>
        <v>ALLAOUI  Soibrane</v>
      </c>
      <c r="E71" s="435" t="s">
        <v>390</v>
      </c>
      <c r="F71" s="436"/>
      <c r="G71" s="436"/>
      <c r="H71" s="437"/>
    </row>
    <row r="72" spans="1:9" ht="40.5" hidden="1" customHeight="1" x14ac:dyDescent="0.45">
      <c r="A72" s="364" t="str">
        <f>Horaire!A77</f>
        <v>DOUJANI</v>
      </c>
      <c r="B72" s="323">
        <f>Horaire!B77</f>
        <v>0.40277777777777779</v>
      </c>
      <c r="C72" s="322" t="str">
        <f>Horaire!C77</f>
        <v>D2</v>
      </c>
      <c r="D72" s="320" t="str">
        <f>VLOOKUP(C72,'Liste chauffeur'!$B$5:$L$19,2,TRUE)&amp;" "&amp;VLOOKUP(C72,'Liste chauffeur'!$B$5:$L$19,3,TRUE)</f>
        <v>BARAKA  Soumaila</v>
      </c>
      <c r="E72" s="363" t="s">
        <v>390</v>
      </c>
      <c r="F72" s="255"/>
      <c r="G72" s="255"/>
      <c r="H72" s="256"/>
    </row>
    <row r="73" spans="1:9" ht="40.5" hidden="1" customHeight="1" x14ac:dyDescent="0.45">
      <c r="A73" s="431" t="str">
        <f>Horaire!A78</f>
        <v>PASSOT LA BARGE</v>
      </c>
      <c r="B73" s="432">
        <f>Horaire!B78</f>
        <v>0.40277777777777779</v>
      </c>
      <c r="C73" s="433" t="str">
        <f>Horaire!C78</f>
        <v>D10</v>
      </c>
      <c r="D73" s="434" t="str">
        <f>VLOOKUP(C73,'Liste chauffeur'!$B$5:$L$19,2,TRUE)&amp;" "&amp;VLOOKUP(C73,'Liste chauffeur'!$B$5:$L$19,3,TRUE)</f>
        <v>KAMARDINE Mansour (Salarié)</v>
      </c>
      <c r="E73" s="435" t="s">
        <v>390</v>
      </c>
      <c r="F73" s="436"/>
      <c r="G73" s="436"/>
      <c r="H73" s="437"/>
    </row>
    <row r="74" spans="1:9" ht="40.5" hidden="1" customHeight="1" x14ac:dyDescent="0.45">
      <c r="A74" s="364" t="str">
        <f>Horaire!A79</f>
        <v>DOUJANI</v>
      </c>
      <c r="B74" s="323">
        <f>Horaire!B79</f>
        <v>0.41666666666666669</v>
      </c>
      <c r="C74" s="322" t="str">
        <f>Horaire!C79</f>
        <v>D11</v>
      </c>
      <c r="D74" s="320" t="str">
        <f>VLOOKUP(C74,'Liste chauffeur'!$B$5:$L$19,2,TRUE)&amp;" "&amp;VLOOKUP(C74,'Liste chauffeur'!$B$5:$L$19,3,TRUE)</f>
        <v>ALLAOUI  Soibrane</v>
      </c>
      <c r="E74" s="363" t="s">
        <v>390</v>
      </c>
      <c r="F74" s="255"/>
      <c r="G74" s="255"/>
      <c r="H74" s="256"/>
    </row>
    <row r="75" spans="1:9" ht="40.5" hidden="1" customHeight="1" x14ac:dyDescent="0.45">
      <c r="A75" s="431" t="str">
        <f>Horaire!A80</f>
        <v>PASSOT LA BARGE</v>
      </c>
      <c r="B75" s="432">
        <f>Horaire!B80</f>
        <v>0.41666666666666669</v>
      </c>
      <c r="C75" s="433" t="str">
        <f>Horaire!C80</f>
        <v>D4</v>
      </c>
      <c r="D75" s="434" t="str">
        <f>VLOOKUP(C75,'Liste chauffeur'!$B$5:$L$19,2,TRUE)&amp;" "&amp;VLOOKUP(C75,'Liste chauffeur'!$B$5:$L$19,3,TRUE)</f>
        <v>AMBDI  Houmadi</v>
      </c>
      <c r="E75" s="435" t="s">
        <v>390</v>
      </c>
      <c r="F75" s="436"/>
      <c r="G75" s="436"/>
      <c r="H75" s="437"/>
    </row>
    <row r="76" spans="1:9" ht="40.5" hidden="1" customHeight="1" x14ac:dyDescent="0.45">
      <c r="A76" s="364" t="str">
        <f>Horaire!A81</f>
        <v>DOUJANI</v>
      </c>
      <c r="B76" s="323">
        <f>Horaire!B81</f>
        <v>0.43055555555555558</v>
      </c>
      <c r="C76" s="322" t="str">
        <f>Horaire!C81</f>
        <v>D10</v>
      </c>
      <c r="D76" s="320" t="str">
        <f>VLOOKUP(C76,'Liste chauffeur'!$B$5:$L$19,2,TRUE)&amp;" "&amp;VLOOKUP(C76,'Liste chauffeur'!$B$5:$L$19,3,TRUE)</f>
        <v>KAMARDINE Mansour (Salarié)</v>
      </c>
      <c r="E76" s="363" t="s">
        <v>390</v>
      </c>
      <c r="F76" s="255"/>
      <c r="G76" s="255"/>
      <c r="H76" s="256"/>
    </row>
    <row r="77" spans="1:9" ht="40.5" hidden="1" customHeight="1" x14ac:dyDescent="0.45">
      <c r="A77" s="431" t="str">
        <f>Horaire!A82</f>
        <v>PASSOT LA BARGE</v>
      </c>
      <c r="B77" s="432">
        <f>Horaire!B82</f>
        <v>0.43055555555555558</v>
      </c>
      <c r="C77" s="433" t="str">
        <f>Horaire!C82</f>
        <v>D2</v>
      </c>
      <c r="D77" s="434" t="str">
        <f>VLOOKUP(C77,'Liste chauffeur'!$B$5:$L$19,2,TRUE)&amp;" "&amp;VLOOKUP(C77,'Liste chauffeur'!$B$5:$L$19,3,TRUE)</f>
        <v>BARAKA  Soumaila</v>
      </c>
      <c r="E77" s="435" t="s">
        <v>390</v>
      </c>
      <c r="F77" s="436"/>
      <c r="G77" s="436"/>
      <c r="H77" s="437"/>
    </row>
    <row r="78" spans="1:9" ht="40.5" hidden="1" customHeight="1" x14ac:dyDescent="0.45">
      <c r="A78" s="364" t="str">
        <f>Horaire!A83</f>
        <v>DOUJANI</v>
      </c>
      <c r="B78" s="323">
        <f>Horaire!B83</f>
        <v>0.44444444444444442</v>
      </c>
      <c r="C78" s="322" t="str">
        <f>Horaire!C83</f>
        <v>D4</v>
      </c>
      <c r="D78" s="320" t="str">
        <f>VLOOKUP(C78,'Liste chauffeur'!$B$5:$L$19,2,TRUE)&amp;" "&amp;VLOOKUP(C78,'Liste chauffeur'!$B$5:$L$19,3,TRUE)</f>
        <v>AMBDI  Houmadi</v>
      </c>
      <c r="E78" s="363" t="s">
        <v>390</v>
      </c>
      <c r="F78" s="255"/>
      <c r="G78" s="255"/>
      <c r="H78" s="256"/>
    </row>
    <row r="79" spans="1:9" ht="40.5" hidden="1" customHeight="1" x14ac:dyDescent="0.45">
      <c r="A79" s="431" t="str">
        <f>Horaire!A84</f>
        <v>PASSOT LA BARGE</v>
      </c>
      <c r="B79" s="432">
        <f>Horaire!B84</f>
        <v>0.44444444444444442</v>
      </c>
      <c r="C79" s="433" t="str">
        <f>Horaire!C84</f>
        <v>D11</v>
      </c>
      <c r="D79" s="434" t="str">
        <f>VLOOKUP(C79,'Liste chauffeur'!$B$5:$L$19,2,TRUE)&amp;" "&amp;VLOOKUP(C79,'Liste chauffeur'!$B$5:$L$19,3,TRUE)</f>
        <v>ALLAOUI  Soibrane</v>
      </c>
      <c r="E79" s="435" t="s">
        <v>390</v>
      </c>
      <c r="F79" s="436"/>
      <c r="G79" s="436"/>
      <c r="H79" s="437"/>
    </row>
    <row r="80" spans="1:9" ht="40.5" hidden="1" customHeight="1" x14ac:dyDescent="0.45">
      <c r="A80" s="364" t="str">
        <f>Horaire!A85</f>
        <v>DOUJANI</v>
      </c>
      <c r="B80" s="323">
        <f>Horaire!B85</f>
        <v>0.45833333333333331</v>
      </c>
      <c r="C80" s="322" t="str">
        <f>Horaire!C85</f>
        <v>D2</v>
      </c>
      <c r="D80" s="320" t="str">
        <f>VLOOKUP(C80,'Liste chauffeur'!$B$5:$L$19,2,TRUE)&amp;" "&amp;VLOOKUP(C80,'Liste chauffeur'!$B$5:$L$19,3,TRUE)</f>
        <v>BARAKA  Soumaila</v>
      </c>
      <c r="E80" s="363" t="s">
        <v>390</v>
      </c>
      <c r="F80" s="255"/>
      <c r="G80" s="255"/>
      <c r="H80" s="256"/>
    </row>
    <row r="81" spans="1:9" ht="40.5" hidden="1" customHeight="1" x14ac:dyDescent="0.45">
      <c r="A81" s="431" t="str">
        <f>Horaire!A86</f>
        <v>PASSOT LA BARGE</v>
      </c>
      <c r="B81" s="432">
        <f>Horaire!B86</f>
        <v>0.45833333333333331</v>
      </c>
      <c r="C81" s="433" t="str">
        <f>Horaire!C86</f>
        <v>D10</v>
      </c>
      <c r="D81" s="434" t="str">
        <f>VLOOKUP(C81,'Liste chauffeur'!$B$5:$L$19,2,TRUE)&amp;" "&amp;VLOOKUP(C81,'Liste chauffeur'!$B$5:$L$19,3,TRUE)</f>
        <v>KAMARDINE Mansour (Salarié)</v>
      </c>
      <c r="E81" s="435" t="s">
        <v>390</v>
      </c>
      <c r="F81" s="436"/>
      <c r="G81" s="436"/>
      <c r="H81" s="437"/>
    </row>
    <row r="82" spans="1:9" ht="40.5" hidden="1" customHeight="1" x14ac:dyDescent="0.45">
      <c r="A82" s="364" t="str">
        <f>Horaire!A87</f>
        <v>DOUJANI</v>
      </c>
      <c r="B82" s="323">
        <f>Horaire!B87</f>
        <v>0.47222222222222221</v>
      </c>
      <c r="C82" s="322" t="str">
        <f>Horaire!C87</f>
        <v>D11</v>
      </c>
      <c r="D82" s="320" t="str">
        <f>VLOOKUP(C82,'Liste chauffeur'!$B$5:$L$19,2,TRUE)&amp;" "&amp;VLOOKUP(C82,'Liste chauffeur'!$B$5:$L$19,3,TRUE)</f>
        <v>ALLAOUI  Soibrane</v>
      </c>
      <c r="E82" s="292"/>
      <c r="F82" s="255"/>
      <c r="G82" s="255"/>
      <c r="H82" s="256"/>
    </row>
    <row r="83" spans="1:9" ht="40.5" hidden="1" customHeight="1" x14ac:dyDescent="0.45">
      <c r="A83" s="431" t="str">
        <f>Horaire!A88</f>
        <v>PASSOT LA BARGE</v>
      </c>
      <c r="B83" s="432">
        <f>Horaire!B88</f>
        <v>0.47222222222222221</v>
      </c>
      <c r="C83" s="433" t="str">
        <f>Horaire!C88</f>
        <v>D4</v>
      </c>
      <c r="D83" s="434" t="str">
        <f>VLOOKUP(C83,'Liste chauffeur'!$B$5:$L$19,2,TRUE)&amp;" "&amp;VLOOKUP(C83,'Liste chauffeur'!$B$5:$L$19,3,TRUE)</f>
        <v>AMBDI  Houmadi</v>
      </c>
      <c r="E83" s="439"/>
      <c r="F83" s="436"/>
      <c r="G83" s="436"/>
      <c r="H83" s="437"/>
    </row>
    <row r="84" spans="1:9" ht="40.5" hidden="1" customHeight="1" x14ac:dyDescent="0.45">
      <c r="A84" s="364" t="str">
        <f>Horaire!A89</f>
        <v>DOUJANI</v>
      </c>
      <c r="B84" s="323">
        <f>Horaire!B89</f>
        <v>0.4861111111111111</v>
      </c>
      <c r="C84" s="322" t="str">
        <f>Horaire!C89</f>
        <v>D10</v>
      </c>
      <c r="D84" s="320" t="str">
        <f>VLOOKUP(C84,'Liste chauffeur'!$B$5:$L$19,2,TRUE)&amp;" "&amp;VLOOKUP(C84,'Liste chauffeur'!$B$5:$L$19,3,TRUE)</f>
        <v>KAMARDINE Mansour (Salarié)</v>
      </c>
      <c r="E84" s="292"/>
      <c r="F84" s="255"/>
      <c r="G84" s="255"/>
      <c r="H84" s="256"/>
    </row>
    <row r="85" spans="1:9" ht="40.5" hidden="1" customHeight="1" x14ac:dyDescent="0.45">
      <c r="A85" s="431" t="str">
        <f>Horaire!A90</f>
        <v>PASSOT LA BARGE</v>
      </c>
      <c r="B85" s="432">
        <f>Horaire!B90</f>
        <v>0.4861111111111111</v>
      </c>
      <c r="C85" s="433" t="str">
        <f>Horaire!C90</f>
        <v>D2</v>
      </c>
      <c r="D85" s="434" t="str">
        <f>VLOOKUP(C85,'Liste chauffeur'!$B$5:$L$19,2,TRUE)&amp;" "&amp;VLOOKUP(C85,'Liste chauffeur'!$B$5:$L$19,3,TRUE)</f>
        <v>BARAKA  Soumaila</v>
      </c>
      <c r="E85" s="439"/>
      <c r="F85" s="436"/>
      <c r="G85" s="436"/>
      <c r="H85" s="437"/>
    </row>
    <row r="86" spans="1:9" ht="40.5" hidden="1" customHeight="1" x14ac:dyDescent="0.45">
      <c r="A86" s="364" t="str">
        <f>Horaire!A91</f>
        <v>DOUJANI</v>
      </c>
      <c r="B86" s="323">
        <f>Horaire!B91</f>
        <v>0.5</v>
      </c>
      <c r="C86" s="322" t="str">
        <f>Horaire!C91</f>
        <v>D4</v>
      </c>
      <c r="D86" s="320" t="str">
        <f>VLOOKUP(C86,'Liste chauffeur'!$B$5:$L$19,2,TRUE)&amp;" "&amp;VLOOKUP(C86,'Liste chauffeur'!$B$5:$L$19,3,TRUE)</f>
        <v>AMBDI  Houmadi</v>
      </c>
      <c r="E86" s="292"/>
      <c r="F86" s="255"/>
      <c r="G86" s="255"/>
      <c r="H86" s="256"/>
    </row>
    <row r="87" spans="1:9" ht="40.5" hidden="1" customHeight="1" x14ac:dyDescent="0.45">
      <c r="A87" s="431" t="str">
        <f>Horaire!A92</f>
        <v>PASSOT LA BARGE</v>
      </c>
      <c r="B87" s="432">
        <f>Horaire!B92</f>
        <v>0.5</v>
      </c>
      <c r="C87" s="433" t="str">
        <f>Horaire!C92</f>
        <v>D11</v>
      </c>
      <c r="D87" s="434" t="str">
        <f>VLOOKUP(C87,'Liste chauffeur'!$B$5:$L$19,2,TRUE)&amp;" "&amp;VLOOKUP(C87,'Liste chauffeur'!$B$5:$L$19,3,TRUE)</f>
        <v>ALLAOUI  Soibrane</v>
      </c>
      <c r="E87" s="439"/>
      <c r="F87" s="436"/>
      <c r="G87" s="436"/>
      <c r="H87" s="437"/>
    </row>
    <row r="88" spans="1:9" ht="40.5" hidden="1" customHeight="1" x14ac:dyDescent="0.45">
      <c r="A88" s="364" t="str">
        <f>Horaire!A93</f>
        <v>DOUJANI</v>
      </c>
      <c r="B88" s="323">
        <f>Horaire!B93</f>
        <v>0.51388888888888884</v>
      </c>
      <c r="C88" s="322" t="str">
        <f>Horaire!C93</f>
        <v>D2</v>
      </c>
      <c r="D88" s="320" t="str">
        <f>VLOOKUP(C88,'Liste chauffeur'!$B$5:$L$19,2,TRUE)&amp;" "&amp;VLOOKUP(C88,'Liste chauffeur'!$B$5:$L$19,3,TRUE)</f>
        <v>BARAKA  Soumaila</v>
      </c>
      <c r="E88" s="292"/>
      <c r="F88" s="255"/>
      <c r="G88" s="255"/>
      <c r="H88" s="256"/>
    </row>
    <row r="89" spans="1:9" ht="40.5" hidden="1" customHeight="1" x14ac:dyDescent="0.45">
      <c r="A89" s="431" t="str">
        <f>Horaire!A94</f>
        <v>PASSOT LA BARGE</v>
      </c>
      <c r="B89" s="432">
        <f>Horaire!B94</f>
        <v>0.51388888888888884</v>
      </c>
      <c r="C89" s="433" t="str">
        <f>Horaire!C94</f>
        <v>D10</v>
      </c>
      <c r="D89" s="434" t="str">
        <f>VLOOKUP(C89,'Liste chauffeur'!$B$5:$L$19,2,TRUE)&amp;" "&amp;VLOOKUP(C89,'Liste chauffeur'!$B$5:$L$19,3,TRUE)</f>
        <v>KAMARDINE Mansour (Salarié)</v>
      </c>
      <c r="E89" s="439"/>
      <c r="F89" s="436"/>
      <c r="G89" s="436"/>
      <c r="H89" s="437"/>
    </row>
    <row r="90" spans="1:9" ht="40.5" hidden="1" customHeight="1" x14ac:dyDescent="0.45">
      <c r="A90" s="364" t="str">
        <f>Horaire!A95</f>
        <v>DOUJANI</v>
      </c>
      <c r="B90" s="323">
        <f>Horaire!B95</f>
        <v>0.52777777777777779</v>
      </c>
      <c r="C90" s="322" t="str">
        <f>Horaire!C95</f>
        <v>D11</v>
      </c>
      <c r="D90" s="320" t="str">
        <f>VLOOKUP(C90,'Liste chauffeur'!$B$5:$L$19,2,TRUE)&amp;" "&amp;VLOOKUP(C90,'Liste chauffeur'!$B$5:$L$19,3,TRUE)</f>
        <v>ALLAOUI  Soibrane</v>
      </c>
      <c r="E90" s="292"/>
      <c r="F90" s="255"/>
      <c r="G90" s="255"/>
      <c r="H90" s="256"/>
    </row>
    <row r="91" spans="1:9" ht="40.5" hidden="1" customHeight="1" x14ac:dyDescent="0.45">
      <c r="A91" s="431" t="str">
        <f>Horaire!A96</f>
        <v>PASSOT LA BARGE</v>
      </c>
      <c r="B91" s="432">
        <f>Horaire!B96</f>
        <v>0.52777777777777779</v>
      </c>
      <c r="C91" s="433" t="str">
        <f>Horaire!C96</f>
        <v>D4</v>
      </c>
      <c r="D91" s="434" t="str">
        <f>VLOOKUP(C91,'Liste chauffeur'!$B$5:$L$19,2,TRUE)&amp;" "&amp;VLOOKUP(C91,'Liste chauffeur'!$B$5:$L$19,3,TRUE)</f>
        <v>AMBDI  Houmadi</v>
      </c>
      <c r="E91" s="439"/>
      <c r="F91" s="436"/>
      <c r="G91" s="436"/>
      <c r="H91" s="437"/>
    </row>
    <row r="92" spans="1:9" ht="40.5" hidden="1" customHeight="1" x14ac:dyDescent="0.45">
      <c r="A92" s="364" t="str">
        <f>Horaire!A97</f>
        <v>DOUJANI</v>
      </c>
      <c r="B92" s="323">
        <f>Horaire!B97</f>
        <v>0.54166666666666663</v>
      </c>
      <c r="C92" s="322" t="str">
        <f>Horaire!C97</f>
        <v>D10</v>
      </c>
      <c r="D92" s="320" t="str">
        <f>VLOOKUP(C92,'Liste chauffeur'!$B$5:$L$19,2,TRUE)&amp;" "&amp;VLOOKUP(C92,'Liste chauffeur'!$B$5:$L$19,3,TRUE)</f>
        <v>KAMARDINE Mansour (Salarié)</v>
      </c>
      <c r="E92" s="292"/>
      <c r="F92" s="255"/>
      <c r="G92" s="255"/>
      <c r="H92" s="256"/>
    </row>
    <row r="93" spans="1:9" ht="40.5" hidden="1" customHeight="1" x14ac:dyDescent="0.45">
      <c r="A93" s="431" t="str">
        <f>Horaire!A98</f>
        <v>PASSOT LA BARGE</v>
      </c>
      <c r="B93" s="432">
        <f>Horaire!B98</f>
        <v>0.54166666666666663</v>
      </c>
      <c r="C93" s="433" t="str">
        <f>Horaire!C98</f>
        <v>D2</v>
      </c>
      <c r="D93" s="434" t="str">
        <f>VLOOKUP(C93,'Liste chauffeur'!$B$5:$L$19,2,TRUE)&amp;" "&amp;VLOOKUP(C93,'Liste chauffeur'!$B$5:$L$19,3,TRUE)</f>
        <v>BARAKA  Soumaila</v>
      </c>
      <c r="E93" s="439"/>
      <c r="F93" s="436"/>
      <c r="G93" s="436"/>
      <c r="H93" s="437"/>
    </row>
    <row r="94" spans="1:9" ht="40.5" hidden="1" customHeight="1" x14ac:dyDescent="0.45">
      <c r="A94" s="364" t="str">
        <f>Horaire!A99</f>
        <v>DOUJANI</v>
      </c>
      <c r="B94" s="323">
        <f>Horaire!B99</f>
        <v>0.55555555555555558</v>
      </c>
      <c r="C94" s="322" t="str">
        <f>Horaire!C99</f>
        <v>D4</v>
      </c>
      <c r="D94" s="320" t="str">
        <f>VLOOKUP(C94,'Liste chauffeur'!$B$5:$L$19,2,TRUE)&amp;" "&amp;VLOOKUP(C94,'Liste chauffeur'!$B$5:$L$19,3,TRUE)</f>
        <v>AMBDI  Houmadi</v>
      </c>
      <c r="E94" s="292"/>
      <c r="F94" s="255"/>
      <c r="G94" s="255"/>
      <c r="H94" s="256"/>
    </row>
    <row r="95" spans="1:9" ht="40.5" hidden="1" customHeight="1" x14ac:dyDescent="0.45">
      <c r="A95" s="431" t="str">
        <f>Horaire!A100</f>
        <v>PASSOT LA BARGE</v>
      </c>
      <c r="B95" s="367">
        <f>Horaire!B100</f>
        <v>0.55555555555555558</v>
      </c>
      <c r="C95" s="433" t="str">
        <f>Horaire!C100</f>
        <v>D11</v>
      </c>
      <c r="D95" s="434" t="str">
        <f>VLOOKUP(C95,'Liste chauffeur'!$B$5:$L$19,2,TRUE)&amp;" "&amp;VLOOKUP(C95,'Liste chauffeur'!$B$5:$L$19,3,TRUE)</f>
        <v>ALLAOUI  Soibrane</v>
      </c>
      <c r="E95" s="439"/>
      <c r="F95" s="436"/>
      <c r="G95" s="436"/>
      <c r="H95" s="437"/>
      <c r="I95" s="287" t="s">
        <v>364</v>
      </c>
    </row>
    <row r="96" spans="1:9" ht="40.5" hidden="1" customHeight="1" x14ac:dyDescent="0.45">
      <c r="A96" s="364" t="str">
        <f>Horaire!A101</f>
        <v>DOUJANI</v>
      </c>
      <c r="B96" s="323">
        <f>Horaire!B101</f>
        <v>0.56944444444444442</v>
      </c>
      <c r="C96" s="322" t="str">
        <f>Horaire!C101</f>
        <v>D2</v>
      </c>
      <c r="D96" s="320" t="str">
        <f>VLOOKUP(C96,'Liste chauffeur'!$B$5:$L$19,2,TRUE)&amp;" "&amp;VLOOKUP(C96,'Liste chauffeur'!$B$5:$L$19,3,TRUE)</f>
        <v>BARAKA  Soumaila</v>
      </c>
      <c r="E96" s="292"/>
      <c r="F96" s="255"/>
      <c r="G96" s="255"/>
      <c r="H96" s="256"/>
    </row>
    <row r="97" spans="1:9" ht="40.5" hidden="1" customHeight="1" x14ac:dyDescent="0.45">
      <c r="A97" s="431" t="str">
        <f>Horaire!A102</f>
        <v>PASSOT LA BARGE</v>
      </c>
      <c r="B97" s="367">
        <f>Horaire!B102</f>
        <v>0.56944444444444442</v>
      </c>
      <c r="C97" s="433" t="str">
        <f>Horaire!C102</f>
        <v>D10</v>
      </c>
      <c r="D97" s="434" t="str">
        <f>VLOOKUP(C97,'Liste chauffeur'!$B$5:$L$19,2,TRUE)&amp;" "&amp;VLOOKUP(C97,'Liste chauffeur'!$B$5:$L$19,3,TRUE)</f>
        <v>KAMARDINE Mansour (Salarié)</v>
      </c>
      <c r="E97" s="439"/>
      <c r="F97" s="436"/>
      <c r="G97" s="436"/>
      <c r="H97" s="437"/>
    </row>
    <row r="98" spans="1:9" ht="40.5" hidden="1" customHeight="1" x14ac:dyDescent="0.45">
      <c r="A98" s="364" t="str">
        <f>Horaire!A103</f>
        <v>DOUJANI</v>
      </c>
      <c r="B98" s="366">
        <f>Horaire!B103</f>
        <v>0.58333333333333304</v>
      </c>
      <c r="C98" s="322" t="str">
        <f>Horaire!C103</f>
        <v>D1</v>
      </c>
      <c r="D98" s="320" t="str">
        <f>VLOOKUP(C98,'Liste chauffeur'!$B$5:$L$19,2,TRUE)&amp;" "&amp;VLOOKUP(C98,'Liste chauffeur'!$B$5:$L$19,3,TRUE)</f>
        <v>MOHAMED Ali (laglace)</v>
      </c>
      <c r="E98" s="292"/>
      <c r="F98" s="255"/>
      <c r="G98" s="255"/>
      <c r="H98" s="256"/>
      <c r="I98" s="287" t="s">
        <v>365</v>
      </c>
    </row>
    <row r="99" spans="1:9" ht="40.5" hidden="1" customHeight="1" x14ac:dyDescent="0.45">
      <c r="A99" s="431" t="str">
        <f>Horaire!A104</f>
        <v>PASSOT LA BARGE</v>
      </c>
      <c r="B99" s="367">
        <f>Horaire!B104</f>
        <v>0.58333333333333337</v>
      </c>
      <c r="C99" s="433" t="str">
        <f>Horaire!C104</f>
        <v>D4</v>
      </c>
      <c r="D99" s="434" t="str">
        <f>VLOOKUP(C99,'Liste chauffeur'!$B$5:$L$19,2,TRUE)&amp;" "&amp;VLOOKUP(C99,'Liste chauffeur'!$B$5:$L$19,3,TRUE)</f>
        <v>AMBDI  Houmadi</v>
      </c>
      <c r="E99" s="439"/>
      <c r="F99" s="436"/>
      <c r="G99" s="436"/>
      <c r="H99" s="437"/>
    </row>
    <row r="100" spans="1:9" ht="40.5" hidden="1" customHeight="1" x14ac:dyDescent="0.45">
      <c r="A100" s="364" t="str">
        <f>Horaire!A105</f>
        <v>DOUJANI</v>
      </c>
      <c r="B100" s="366">
        <f>Horaire!B105</f>
        <v>0.59722222222222199</v>
      </c>
      <c r="C100" s="322" t="str">
        <f>Horaire!C105</f>
        <v>D8</v>
      </c>
      <c r="D100" s="320" t="str">
        <f>VLOOKUP(C100,'Liste chauffeur'!$B$5:$L$19,2,TRUE)&amp;" "&amp;VLOOKUP(C100,'Liste chauffeur'!$B$5:$L$19,3,TRUE)</f>
        <v>ISSOUF Dailami</v>
      </c>
      <c r="E100" s="292"/>
      <c r="F100" s="255"/>
      <c r="G100" s="255"/>
      <c r="H100" s="256"/>
    </row>
    <row r="101" spans="1:9" ht="40.5" hidden="1" customHeight="1" x14ac:dyDescent="0.45">
      <c r="A101" s="431" t="str">
        <f>Horaire!A106</f>
        <v>PASSOT LA BARGE</v>
      </c>
      <c r="B101" s="367">
        <f>Horaire!B106</f>
        <v>0.59722222222222221</v>
      </c>
      <c r="C101" s="433" t="str">
        <f>Horaire!C106</f>
        <v>D2</v>
      </c>
      <c r="D101" s="434" t="str">
        <f>VLOOKUP(C101,'Liste chauffeur'!$B$5:$L$19,2,TRUE)&amp;" "&amp;VLOOKUP(C101,'Liste chauffeur'!$B$5:$L$19,3,TRUE)</f>
        <v>BARAKA  Soumaila</v>
      </c>
      <c r="E101" s="439"/>
      <c r="F101" s="436"/>
      <c r="G101" s="436"/>
      <c r="H101" s="437"/>
      <c r="I101" s="287"/>
    </row>
    <row r="102" spans="1:9" ht="40.5" hidden="1" customHeight="1" x14ac:dyDescent="0.45">
      <c r="A102" s="364" t="str">
        <f>Horaire!A107</f>
        <v>DOUJANI</v>
      </c>
      <c r="B102" s="366">
        <f>Horaire!B107</f>
        <v>0.61111111111111105</v>
      </c>
      <c r="C102" s="322" t="str">
        <f>Horaire!C107</f>
        <v>D3</v>
      </c>
      <c r="D102" s="320" t="str">
        <f>VLOOKUP(C102,'Liste chauffeur'!$B$5:$L$19,2,TRUE)&amp;" "&amp;VLOOKUP(C102,'Liste chauffeur'!$B$5:$L$19,3,TRUE)</f>
        <v>ABDOURAHIM Mohamed</v>
      </c>
      <c r="E102" s="292"/>
      <c r="F102" s="255"/>
      <c r="G102" s="255"/>
      <c r="H102" s="256"/>
    </row>
    <row r="103" spans="1:9" ht="40.5" hidden="1" customHeight="1" x14ac:dyDescent="0.45">
      <c r="A103" s="431" t="str">
        <f>Horaire!A108</f>
        <v>PASSOT LA BARGE</v>
      </c>
      <c r="B103" s="432">
        <f>Horaire!B108</f>
        <v>0.61111111111111116</v>
      </c>
      <c r="C103" s="433" t="str">
        <f>Horaire!C108</f>
        <v>D1</v>
      </c>
      <c r="D103" s="434" t="str">
        <f>VLOOKUP(C103,'Liste chauffeur'!$B$5:$L$19,2,TRUE)&amp;" "&amp;VLOOKUP(C103,'Liste chauffeur'!$B$5:$L$19,3,TRUE)</f>
        <v>MOHAMED Ali (laglace)</v>
      </c>
      <c r="E103" s="439"/>
      <c r="F103" s="436"/>
      <c r="G103" s="436"/>
      <c r="H103" s="437"/>
    </row>
    <row r="104" spans="1:9" ht="40.5" hidden="1" customHeight="1" x14ac:dyDescent="0.45">
      <c r="A104" s="364" t="str">
        <f>Horaire!A109</f>
        <v>DOUJANI</v>
      </c>
      <c r="B104" s="366">
        <f>Horaire!B109</f>
        <v>0.625</v>
      </c>
      <c r="C104" s="322" t="str">
        <f>Horaire!C109</f>
        <v>D6</v>
      </c>
      <c r="D104" s="320" t="str">
        <f>VLOOKUP(C104,'Liste chauffeur'!$B$5:$L$19,2,TRUE)&amp;" "&amp;VLOOKUP(C104,'Liste chauffeur'!$B$5:$L$19,3,TRUE)</f>
        <v>ABDOU HAMIDOUNE Nassabia</v>
      </c>
      <c r="E104" s="292"/>
      <c r="F104" s="255"/>
      <c r="G104" s="255"/>
      <c r="H104" s="256"/>
    </row>
    <row r="105" spans="1:9" ht="40.5" hidden="1" customHeight="1" x14ac:dyDescent="0.45">
      <c r="A105" s="431" t="str">
        <f>Horaire!A110</f>
        <v>PASSOT LA BARGE</v>
      </c>
      <c r="B105" s="432">
        <f>Horaire!B110</f>
        <v>0.625</v>
      </c>
      <c r="C105" s="433" t="str">
        <f>Horaire!C110</f>
        <v>D8</v>
      </c>
      <c r="D105" s="434" t="str">
        <f>VLOOKUP(C105,'Liste chauffeur'!$B$5:$L$19,2,TRUE)&amp;" "&amp;VLOOKUP(C105,'Liste chauffeur'!$B$5:$L$19,3,TRUE)</f>
        <v>ISSOUF Dailami</v>
      </c>
      <c r="E105" s="439"/>
      <c r="F105" s="436"/>
      <c r="G105" s="436"/>
      <c r="H105" s="437"/>
      <c r="I105" s="287" t="s">
        <v>367</v>
      </c>
    </row>
    <row r="106" spans="1:9" ht="40.5" hidden="1" customHeight="1" x14ac:dyDescent="0.45">
      <c r="A106" s="364" t="str">
        <f>Horaire!A111</f>
        <v>DOUJANI</v>
      </c>
      <c r="B106" s="323">
        <f>Horaire!B111</f>
        <v>0.63194444444444442</v>
      </c>
      <c r="C106" s="322" t="str">
        <f>Horaire!C111</f>
        <v>D1</v>
      </c>
      <c r="D106" s="320" t="str">
        <f>VLOOKUP(C106,'Liste chauffeur'!$B$5:$L$19,2,TRUE)&amp;" "&amp;VLOOKUP(C106,'Liste chauffeur'!$B$5:$L$19,3,TRUE)</f>
        <v>MOHAMED Ali (laglace)</v>
      </c>
      <c r="E106" s="292"/>
      <c r="F106" s="255"/>
      <c r="G106" s="255"/>
      <c r="H106" s="256"/>
    </row>
    <row r="107" spans="1:9" ht="40.5" hidden="1" customHeight="1" x14ac:dyDescent="0.45">
      <c r="A107" s="431" t="str">
        <f>Horaire!A112</f>
        <v>PASSOT LA BARGE</v>
      </c>
      <c r="B107" s="432">
        <f>Horaire!B112</f>
        <v>0.63194444444444442</v>
      </c>
      <c r="C107" s="433" t="str">
        <f>Horaire!C112</f>
        <v>D3</v>
      </c>
      <c r="D107" s="434" t="str">
        <f>VLOOKUP(C107,'Liste chauffeur'!$B$5:$L$19,2,TRUE)&amp;" "&amp;VLOOKUP(C107,'Liste chauffeur'!$B$5:$L$19,3,TRUE)</f>
        <v>ABDOURAHIM Mohamed</v>
      </c>
      <c r="E107" s="439"/>
      <c r="F107" s="436"/>
      <c r="G107" s="436"/>
      <c r="H107" s="437"/>
      <c r="I107" s="137"/>
    </row>
    <row r="108" spans="1:9" ht="40.5" hidden="1" customHeight="1" x14ac:dyDescent="0.45">
      <c r="A108" s="364" t="str">
        <f>Horaire!A113</f>
        <v>DOUJANI</v>
      </c>
      <c r="B108" s="366">
        <f>Horaire!B113</f>
        <v>0.63888888888888884</v>
      </c>
      <c r="C108" s="322" t="str">
        <f>Horaire!C113</f>
        <v>D5</v>
      </c>
      <c r="D108" s="320" t="str">
        <f>VLOOKUP(C108,'Liste chauffeur'!$B$5:$L$19,2,TRUE)&amp;" "&amp;VLOOKUP(C108,'Liste chauffeur'!$B$5:$L$19,3,TRUE)</f>
        <v>AMINA Selemani</v>
      </c>
      <c r="E108" s="292"/>
      <c r="F108" s="255"/>
      <c r="G108" s="255"/>
      <c r="H108" s="256"/>
      <c r="I108" s="287" t="s">
        <v>366</v>
      </c>
    </row>
    <row r="109" spans="1:9" ht="40.5" hidden="1" customHeight="1" x14ac:dyDescent="0.45">
      <c r="A109" s="431" t="str">
        <f>Horaire!A114</f>
        <v>PASSOT LA BARGE</v>
      </c>
      <c r="B109" s="366">
        <f>Horaire!B114</f>
        <v>0.63888888888888884</v>
      </c>
      <c r="C109" s="433" t="str">
        <f>Horaire!C114</f>
        <v>D9</v>
      </c>
      <c r="D109" s="434" t="str">
        <f>VLOOKUP(C109,'Liste chauffeur'!$B$5:$L$19,2,TRUE)&amp;" "&amp;VLOOKUP(C109,'Liste chauffeur'!$B$5:$L$19,3,TRUE)</f>
        <v>RENEE Assanati</v>
      </c>
      <c r="E109" s="439"/>
      <c r="F109" s="436"/>
      <c r="G109" s="436"/>
      <c r="H109" s="437"/>
    </row>
    <row r="110" spans="1:9" ht="40.5" hidden="1" customHeight="1" x14ac:dyDescent="0.45">
      <c r="A110" s="364" t="str">
        <f>Horaire!A115</f>
        <v>DOUJANI</v>
      </c>
      <c r="B110" s="323">
        <f>Horaire!B115</f>
        <v>0.64583333333333337</v>
      </c>
      <c r="C110" s="322" t="str">
        <f>Horaire!C115</f>
        <v>D8</v>
      </c>
      <c r="D110" s="320" t="str">
        <f>VLOOKUP(C110,'Liste chauffeur'!$B$5:$L$19,2,TRUE)&amp;" "&amp;VLOOKUP(C110,'Liste chauffeur'!$B$5:$L$19,3,TRUE)</f>
        <v>ISSOUF Dailami</v>
      </c>
      <c r="E110" s="292"/>
      <c r="F110" s="255"/>
      <c r="G110" s="255"/>
      <c r="H110" s="256"/>
    </row>
    <row r="111" spans="1:9" ht="40.5" hidden="1" customHeight="1" x14ac:dyDescent="0.45">
      <c r="A111" s="431" t="str">
        <f>Horaire!A116</f>
        <v>PASSOT LA BARGE</v>
      </c>
      <c r="B111" s="432">
        <f>Horaire!B116</f>
        <v>0.64583333333333337</v>
      </c>
      <c r="C111" s="433" t="str">
        <f>Horaire!C116</f>
        <v>D6</v>
      </c>
      <c r="D111" s="434" t="str">
        <f>VLOOKUP(C111,'Liste chauffeur'!$B$5:$L$19,2,TRUE)&amp;" "&amp;VLOOKUP(C111,'Liste chauffeur'!$B$5:$L$19,3,TRUE)</f>
        <v>ABDOU HAMIDOUNE Nassabia</v>
      </c>
      <c r="E111" s="439"/>
      <c r="F111" s="436"/>
      <c r="G111" s="436"/>
      <c r="H111" s="437"/>
    </row>
    <row r="112" spans="1:9" ht="40.5" hidden="1" customHeight="1" x14ac:dyDescent="0.45">
      <c r="A112" s="364" t="str">
        <f>Horaire!A117</f>
        <v>DOUJANI</v>
      </c>
      <c r="B112" s="323">
        <f>Horaire!B117</f>
        <v>0.65277777777777779</v>
      </c>
      <c r="C112" s="322" t="str">
        <f>Horaire!C117</f>
        <v>D3</v>
      </c>
      <c r="D112" s="320" t="str">
        <f>VLOOKUP(C112,'Liste chauffeur'!$B$5:$L$19,2,TRUE)&amp;" "&amp;VLOOKUP(C112,'Liste chauffeur'!$B$5:$L$19,3,TRUE)</f>
        <v>ABDOURAHIM Mohamed</v>
      </c>
      <c r="E112" s="292"/>
      <c r="F112" s="255"/>
      <c r="G112" s="255"/>
      <c r="H112" s="256"/>
    </row>
    <row r="113" spans="1:9" ht="40.5" hidden="1" customHeight="1" x14ac:dyDescent="0.45">
      <c r="A113" s="431" t="str">
        <f>Horaire!A118</f>
        <v>PASSOT LA BARGE</v>
      </c>
      <c r="B113" s="432">
        <f>Horaire!B118</f>
        <v>0.65277777777777779</v>
      </c>
      <c r="C113" s="433" t="str">
        <f>Horaire!C118</f>
        <v>D1</v>
      </c>
      <c r="D113" s="434" t="str">
        <f>VLOOKUP(C113,'Liste chauffeur'!$B$5:$L$19,2,TRUE)&amp;" "&amp;VLOOKUP(C113,'Liste chauffeur'!$B$5:$L$19,3,TRUE)</f>
        <v>MOHAMED Ali (laglace)</v>
      </c>
      <c r="E113" s="439"/>
      <c r="F113" s="436"/>
      <c r="G113" s="436"/>
      <c r="H113" s="437"/>
    </row>
    <row r="114" spans="1:9" ht="40.5" hidden="1" customHeight="1" x14ac:dyDescent="0.45">
      <c r="A114" s="364" t="str">
        <f>Horaire!A119</f>
        <v>DOUJANI</v>
      </c>
      <c r="B114" s="323">
        <f>Horaire!B119</f>
        <v>0.65972222222222221</v>
      </c>
      <c r="C114" s="322" t="str">
        <f>Horaire!C119</f>
        <v>D9</v>
      </c>
      <c r="D114" s="320" t="str">
        <f>VLOOKUP(C114,'Liste chauffeur'!$B$5:$L$19,2,TRUE)&amp;" "&amp;VLOOKUP(C114,'Liste chauffeur'!$B$5:$L$19,3,TRUE)</f>
        <v>RENEE Assanati</v>
      </c>
      <c r="E114" s="292"/>
      <c r="F114" s="255"/>
      <c r="G114" s="255"/>
      <c r="H114" s="256"/>
    </row>
    <row r="115" spans="1:9" ht="40.5" hidden="1" customHeight="1" x14ac:dyDescent="0.45">
      <c r="A115" s="431" t="str">
        <f>Horaire!A120</f>
        <v>PASSOT LA BARGE</v>
      </c>
      <c r="B115" s="432">
        <f>Horaire!B120</f>
        <v>0.65972222222222221</v>
      </c>
      <c r="C115" s="433" t="str">
        <f>Horaire!C120</f>
        <v>D5</v>
      </c>
      <c r="D115" s="434" t="str">
        <f>VLOOKUP(C115,'Liste chauffeur'!$B$5:$L$19,2,TRUE)&amp;" "&amp;VLOOKUP(C115,'Liste chauffeur'!$B$5:$L$19,3,TRUE)</f>
        <v>AMINA Selemani</v>
      </c>
      <c r="E115" s="439"/>
      <c r="F115" s="436"/>
      <c r="G115" s="436"/>
      <c r="H115" s="437"/>
    </row>
    <row r="116" spans="1:9" ht="40.5" hidden="1" customHeight="1" x14ac:dyDescent="0.45">
      <c r="A116" s="364" t="str">
        <f>Horaire!A121</f>
        <v>DOUJANI</v>
      </c>
      <c r="B116" s="323">
        <f>Horaire!B121</f>
        <v>0.66666666666666663</v>
      </c>
      <c r="C116" s="322" t="str">
        <f>Horaire!C121</f>
        <v>D6</v>
      </c>
      <c r="D116" s="320" t="str">
        <f>VLOOKUP(C116,'Liste chauffeur'!$B$5:$L$19,2,TRUE)&amp;" "&amp;VLOOKUP(C116,'Liste chauffeur'!$B$5:$L$19,3,TRUE)</f>
        <v>ABDOU HAMIDOUNE Nassabia</v>
      </c>
      <c r="E116" s="292"/>
      <c r="F116" s="255"/>
      <c r="G116" s="255"/>
      <c r="H116" s="256"/>
    </row>
    <row r="117" spans="1:9" ht="40.5" hidden="1" customHeight="1" x14ac:dyDescent="0.45">
      <c r="A117" s="431" t="str">
        <f>Horaire!A122</f>
        <v>PASSOT LA BARGE</v>
      </c>
      <c r="B117" s="432">
        <f>Horaire!B122</f>
        <v>0.66666666666666663</v>
      </c>
      <c r="C117" s="433" t="str">
        <f>Horaire!C122</f>
        <v>D8</v>
      </c>
      <c r="D117" s="434" t="str">
        <f>VLOOKUP(C117,'Liste chauffeur'!$B$5:$L$19,2,TRUE)&amp;" "&amp;VLOOKUP(C117,'Liste chauffeur'!$B$5:$L$19,3,TRUE)</f>
        <v>ISSOUF Dailami</v>
      </c>
      <c r="E117" s="439"/>
      <c r="F117" s="436"/>
      <c r="G117" s="436"/>
      <c r="H117" s="437"/>
    </row>
    <row r="118" spans="1:9" ht="40.5" hidden="1" customHeight="1" x14ac:dyDescent="0.45">
      <c r="A118" s="364" t="str">
        <f>Horaire!A123</f>
        <v>DOUJANI</v>
      </c>
      <c r="B118" s="323">
        <f>Horaire!B123</f>
        <v>0.67361111111111116</v>
      </c>
      <c r="C118" s="322" t="str">
        <f>Horaire!C123</f>
        <v>D1</v>
      </c>
      <c r="D118" s="320" t="str">
        <f>VLOOKUP(C118,'Liste chauffeur'!$B$5:$L$19,2,TRUE)&amp;" "&amp;VLOOKUP(C118,'Liste chauffeur'!$B$5:$L$19,3,TRUE)</f>
        <v>MOHAMED Ali (laglace)</v>
      </c>
      <c r="E118" s="292"/>
      <c r="F118" s="255"/>
      <c r="G118" s="255"/>
      <c r="H118" s="256"/>
    </row>
    <row r="119" spans="1:9" ht="40.5" hidden="1" customHeight="1" x14ac:dyDescent="0.45">
      <c r="A119" s="431" t="str">
        <f>Horaire!A124</f>
        <v>PASSOT LA BARGE</v>
      </c>
      <c r="B119" s="432">
        <f>Horaire!B124</f>
        <v>0.67361111111111116</v>
      </c>
      <c r="C119" s="433" t="str">
        <f>Horaire!C124</f>
        <v>D3</v>
      </c>
      <c r="D119" s="434" t="str">
        <f>VLOOKUP(C119,'Liste chauffeur'!$B$5:$L$19,2,TRUE)&amp;" "&amp;VLOOKUP(C119,'Liste chauffeur'!$B$5:$L$19,3,TRUE)</f>
        <v>ABDOURAHIM Mohamed</v>
      </c>
      <c r="E119" s="439"/>
      <c r="F119" s="436"/>
      <c r="G119" s="436"/>
      <c r="H119" s="437"/>
    </row>
    <row r="120" spans="1:9" ht="40.5" hidden="1" customHeight="1" x14ac:dyDescent="0.45">
      <c r="A120" s="364" t="str">
        <f>Horaire!A125</f>
        <v>DOUJANI</v>
      </c>
      <c r="B120" s="323">
        <f>Horaire!B125</f>
        <v>0.68055555555555558</v>
      </c>
      <c r="C120" s="322" t="str">
        <f>Horaire!C125</f>
        <v>D5</v>
      </c>
      <c r="D120" s="320" t="str">
        <f>VLOOKUP(C120,'Liste chauffeur'!$B$5:$L$19,2,TRUE)&amp;" "&amp;VLOOKUP(C120,'Liste chauffeur'!$B$5:$L$19,3,TRUE)</f>
        <v>AMINA Selemani</v>
      </c>
      <c r="E120" s="292"/>
      <c r="F120" s="255"/>
      <c r="G120" s="255"/>
      <c r="H120" s="256"/>
    </row>
    <row r="121" spans="1:9" ht="40.5" hidden="1" customHeight="1" x14ac:dyDescent="0.45">
      <c r="A121" s="431" t="str">
        <f>Horaire!A126</f>
        <v>PASSOT LA BARGE</v>
      </c>
      <c r="B121" s="432">
        <f>Horaire!B126</f>
        <v>0.68055555555555558</v>
      </c>
      <c r="C121" s="433" t="str">
        <f>Horaire!C126</f>
        <v>D9</v>
      </c>
      <c r="D121" s="434" t="str">
        <f>VLOOKUP(C121,'Liste chauffeur'!$B$5:$L$19,2,TRUE)&amp;" "&amp;VLOOKUP(C121,'Liste chauffeur'!$B$5:$L$19,3,TRUE)</f>
        <v>RENEE Assanati</v>
      </c>
      <c r="E121" s="439"/>
      <c r="F121" s="436"/>
      <c r="G121" s="436"/>
      <c r="H121" s="437"/>
    </row>
    <row r="122" spans="1:9" ht="40.5" customHeight="1" x14ac:dyDescent="0.45">
      <c r="A122" s="364" t="str">
        <f>Horaire!A127</f>
        <v>DOUJANI</v>
      </c>
      <c r="B122" s="323">
        <f>Horaire!B127</f>
        <v>0.6875</v>
      </c>
      <c r="C122" s="322" t="str">
        <f>Horaire!C127</f>
        <v>D8</v>
      </c>
      <c r="D122" s="320" t="str">
        <f>VLOOKUP(C122,'Liste chauffeur'!$B$5:$L$19,2,TRUE)&amp;" "&amp;VLOOKUP(C122,'Liste chauffeur'!$B$5:$L$19,3,TRUE)</f>
        <v>ISSOUF Dailami</v>
      </c>
      <c r="E122" s="292"/>
      <c r="F122" s="255"/>
      <c r="G122" s="255"/>
      <c r="H122" s="256"/>
    </row>
    <row r="123" spans="1:9" ht="40.5" customHeight="1" x14ac:dyDescent="0.45">
      <c r="A123" s="431" t="str">
        <f>Horaire!A128</f>
        <v>PASSOT LA BARGE</v>
      </c>
      <c r="B123" s="432">
        <f>Horaire!B128</f>
        <v>0.6875</v>
      </c>
      <c r="C123" s="433" t="str">
        <f>Horaire!C128</f>
        <v>D6</v>
      </c>
      <c r="D123" s="434" t="str">
        <f>VLOOKUP(C123,'Liste chauffeur'!$B$5:$L$19,2,TRUE)&amp;" "&amp;VLOOKUP(C123,'Liste chauffeur'!$B$5:$L$19,3,TRUE)</f>
        <v>ABDOU HAMIDOUNE Nassabia</v>
      </c>
      <c r="E123" s="439"/>
      <c r="F123" s="436"/>
      <c r="G123" s="436"/>
      <c r="H123" s="437"/>
    </row>
    <row r="124" spans="1:9" ht="40.5" customHeight="1" x14ac:dyDescent="0.45">
      <c r="A124" s="364" t="str">
        <f>Horaire!A129</f>
        <v>DOUJANI</v>
      </c>
      <c r="B124" s="323">
        <f>Horaire!B129</f>
        <v>0.69444444444444442</v>
      </c>
      <c r="C124" s="322" t="str">
        <f>Horaire!C129</f>
        <v>D3</v>
      </c>
      <c r="D124" s="320" t="str">
        <f>VLOOKUP(C124,'Liste chauffeur'!$B$5:$L$19,2,TRUE)&amp;" "&amp;VLOOKUP(C124,'Liste chauffeur'!$B$5:$L$19,3,TRUE)</f>
        <v>ABDOURAHIM Mohamed</v>
      </c>
      <c r="E124" s="292"/>
      <c r="F124" s="255"/>
      <c r="G124" s="255"/>
      <c r="H124" s="256"/>
    </row>
    <row r="125" spans="1:9" ht="40.5" customHeight="1" x14ac:dyDescent="0.45">
      <c r="A125" s="431" t="str">
        <f>Horaire!A130</f>
        <v>PASSOT LA BARGE</v>
      </c>
      <c r="B125" s="432">
        <f>Horaire!B130</f>
        <v>0.69444444444444442</v>
      </c>
      <c r="C125" s="433" t="str">
        <f>Horaire!C130</f>
        <v>D1</v>
      </c>
      <c r="D125" s="434" t="str">
        <f>VLOOKUP(C125,'Liste chauffeur'!$B$5:$L$19,2,TRUE)&amp;" "&amp;VLOOKUP(C125,'Liste chauffeur'!$B$5:$L$19,3,TRUE)</f>
        <v>MOHAMED Ali (laglace)</v>
      </c>
      <c r="E125" s="439"/>
      <c r="F125" s="436"/>
      <c r="G125" s="436"/>
      <c r="H125" s="437"/>
    </row>
    <row r="126" spans="1:9" ht="40.5" customHeight="1" x14ac:dyDescent="0.45">
      <c r="A126" s="364" t="str">
        <f>Horaire!A131</f>
        <v>DOUJANI</v>
      </c>
      <c r="B126" s="323">
        <f>Horaire!B131</f>
        <v>0.70138888888888884</v>
      </c>
      <c r="C126" s="322" t="str">
        <f>Horaire!C131</f>
        <v>D9</v>
      </c>
      <c r="D126" s="320" t="str">
        <f>VLOOKUP(C126,'Liste chauffeur'!$B$5:$L$19,2,TRUE)&amp;" "&amp;VLOOKUP(C126,'Liste chauffeur'!$B$5:$L$19,3,TRUE)</f>
        <v>RENEE Assanati</v>
      </c>
      <c r="E126" s="292"/>
      <c r="F126" s="255"/>
      <c r="G126" s="255"/>
      <c r="H126" s="256"/>
      <c r="I126" s="287" t="s">
        <v>364</v>
      </c>
    </row>
    <row r="127" spans="1:9" ht="40.5" customHeight="1" x14ac:dyDescent="0.45">
      <c r="A127" s="431" t="str">
        <f>Horaire!A132</f>
        <v>PASSOT LA BARGE</v>
      </c>
      <c r="B127" s="432">
        <f>Horaire!B132</f>
        <v>0.70138888888888884</v>
      </c>
      <c r="C127" s="433" t="str">
        <f>Horaire!C132</f>
        <v>D5</v>
      </c>
      <c r="D127" s="434" t="str">
        <f>VLOOKUP(C127,'Liste chauffeur'!$B$5:$L$19,2,TRUE)&amp;" "&amp;VLOOKUP(C127,'Liste chauffeur'!$B$5:$L$19,3,TRUE)</f>
        <v>AMINA Selemani</v>
      </c>
      <c r="E127" s="439"/>
      <c r="F127" s="436"/>
      <c r="G127" s="436"/>
      <c r="H127" s="437"/>
    </row>
    <row r="128" spans="1:9" ht="40.5" customHeight="1" x14ac:dyDescent="0.45">
      <c r="A128" s="364" t="str">
        <f>Horaire!A133</f>
        <v>DOUJANI</v>
      </c>
      <c r="B128" s="323">
        <f>Horaire!B133</f>
        <v>0.70833333333333337</v>
      </c>
      <c r="C128" s="322" t="str">
        <f>Horaire!C133</f>
        <v>D6</v>
      </c>
      <c r="D128" s="320" t="str">
        <f>VLOOKUP(C128,'Liste chauffeur'!$B$5:$L$19,2,TRUE)&amp;" "&amp;VLOOKUP(C128,'Liste chauffeur'!$B$5:$L$19,3,TRUE)</f>
        <v>ABDOU HAMIDOUNE Nassabia</v>
      </c>
      <c r="E128" s="292"/>
      <c r="F128" s="255"/>
      <c r="G128" s="255"/>
      <c r="H128" s="256"/>
    </row>
    <row r="129" spans="1:9" ht="40.5" customHeight="1" x14ac:dyDescent="0.45">
      <c r="A129" s="431" t="str">
        <f>Horaire!A134</f>
        <v>PASSOT LA BARGE</v>
      </c>
      <c r="B129" s="432">
        <f>Horaire!B134</f>
        <v>0.70833333333333337</v>
      </c>
      <c r="C129" s="433" t="str">
        <f>Horaire!C134</f>
        <v>D8</v>
      </c>
      <c r="D129" s="434" t="str">
        <f>VLOOKUP(C129,'Liste chauffeur'!$B$5:$L$19,2,TRUE)&amp;" "&amp;VLOOKUP(C129,'Liste chauffeur'!$B$5:$L$19,3,TRUE)</f>
        <v>ISSOUF Dailami</v>
      </c>
      <c r="E129" s="439"/>
      <c r="F129" s="436"/>
      <c r="G129" s="436"/>
      <c r="H129" s="437"/>
      <c r="I129" s="287" t="s">
        <v>365</v>
      </c>
    </row>
    <row r="130" spans="1:9" ht="40.5" customHeight="1" x14ac:dyDescent="0.45">
      <c r="A130" s="364" t="str">
        <f>Horaire!A135</f>
        <v>DOUJANI</v>
      </c>
      <c r="B130" s="323">
        <f>Horaire!B135</f>
        <v>0.71527777777777779</v>
      </c>
      <c r="C130" s="322" t="str">
        <f>Horaire!C135</f>
        <v>D1</v>
      </c>
      <c r="D130" s="320" t="str">
        <f>VLOOKUP(C130,'Liste chauffeur'!$B$5:$L$19,2,TRUE)&amp;" "&amp;VLOOKUP(C130,'Liste chauffeur'!$B$5:$L$19,3,TRUE)</f>
        <v>MOHAMED Ali (laglace)</v>
      </c>
      <c r="E130" s="292"/>
      <c r="F130" s="255"/>
      <c r="G130" s="255"/>
      <c r="H130" s="256"/>
    </row>
    <row r="131" spans="1:9" ht="40.5" customHeight="1" x14ac:dyDescent="0.45">
      <c r="A131" s="431" t="str">
        <f>Horaire!A136</f>
        <v>PASSOT LA BARGE</v>
      </c>
      <c r="B131" s="432">
        <f>Horaire!B136</f>
        <v>0.71527777777777779</v>
      </c>
      <c r="C131" s="433" t="str">
        <f>Horaire!C136</f>
        <v>D3</v>
      </c>
      <c r="D131" s="434" t="str">
        <f>VLOOKUP(C131,'Liste chauffeur'!$B$5:$L$19,2,TRUE)&amp;" "&amp;VLOOKUP(C131,'Liste chauffeur'!$B$5:$L$19,3,TRUE)</f>
        <v>ABDOURAHIM Mohamed</v>
      </c>
      <c r="E131" s="439"/>
      <c r="F131" s="436"/>
      <c r="G131" s="436"/>
      <c r="H131" s="437"/>
    </row>
    <row r="132" spans="1:9" ht="40.5" customHeight="1" x14ac:dyDescent="0.45">
      <c r="A132" s="364" t="str">
        <f>Horaire!A137</f>
        <v>DOUJANI</v>
      </c>
      <c r="B132" s="367">
        <f>Horaire!B137</f>
        <v>0.72222222222223398</v>
      </c>
      <c r="C132" s="322" t="str">
        <f>Horaire!C137</f>
        <v>D5</v>
      </c>
      <c r="D132" s="320" t="str">
        <f>VLOOKUP(C132,'Liste chauffeur'!$B$5:$L$19,2,TRUE)&amp;" "&amp;VLOOKUP(C132,'Liste chauffeur'!$B$5:$L$19,3,TRUE)</f>
        <v>AMINA Selemani</v>
      </c>
      <c r="E132" s="292"/>
      <c r="F132" s="255"/>
      <c r="G132" s="255"/>
      <c r="H132" s="256"/>
      <c r="I132" s="287"/>
    </row>
    <row r="133" spans="1:9" ht="40.5" customHeight="1" x14ac:dyDescent="0.45">
      <c r="A133" s="431" t="str">
        <f>Horaire!A138</f>
        <v>PASSOT LA BARGE</v>
      </c>
      <c r="B133" s="432">
        <f>Horaire!B138</f>
        <v>0.72222222222222221</v>
      </c>
      <c r="C133" s="433" t="str">
        <f>Horaire!C138</f>
        <v>D9</v>
      </c>
      <c r="D133" s="434" t="str">
        <f>VLOOKUP(C133,'Liste chauffeur'!$B$5:$L$19,2,TRUE)&amp;" "&amp;VLOOKUP(C133,'Liste chauffeur'!$B$5:$L$19,3,TRUE)</f>
        <v>RENEE Assanati</v>
      </c>
      <c r="E133" s="439"/>
      <c r="F133" s="436"/>
      <c r="G133" s="436"/>
      <c r="H133" s="437"/>
    </row>
    <row r="134" spans="1:9" ht="40.5" customHeight="1" x14ac:dyDescent="0.45">
      <c r="A134" s="364" t="str">
        <f>Horaire!A139</f>
        <v>DOUJANI</v>
      </c>
      <c r="B134" s="323">
        <f>Horaire!B139</f>
        <v>0.72916666666666663</v>
      </c>
      <c r="C134" s="322" t="str">
        <f>Horaire!C139</f>
        <v>D8</v>
      </c>
      <c r="D134" s="320" t="str">
        <f>VLOOKUP(C134,'Liste chauffeur'!$B$5:$L$19,2,TRUE)&amp;" "&amp;VLOOKUP(C134,'Liste chauffeur'!$B$5:$L$19,3,TRUE)</f>
        <v>ISSOUF Dailami</v>
      </c>
      <c r="E134" s="292"/>
      <c r="F134" s="255"/>
      <c r="G134" s="255"/>
      <c r="H134" s="256"/>
    </row>
    <row r="135" spans="1:9" ht="40.5" customHeight="1" x14ac:dyDescent="0.45">
      <c r="A135" s="431" t="str">
        <f>Horaire!A140</f>
        <v>PASSOT LA BARGE</v>
      </c>
      <c r="B135" s="432">
        <f>Horaire!B140</f>
        <v>0.72916666666666663</v>
      </c>
      <c r="C135" s="433" t="str">
        <f>Horaire!C140</f>
        <v>D6</v>
      </c>
      <c r="D135" s="434" t="str">
        <f>VLOOKUP(C135,'Liste chauffeur'!$B$5:$L$19,2,TRUE)&amp;" "&amp;VLOOKUP(C135,'Liste chauffeur'!$B$5:$L$19,3,TRUE)</f>
        <v>ABDOU HAMIDOUNE Nassabia</v>
      </c>
      <c r="E135" s="439"/>
      <c r="F135" s="436"/>
      <c r="G135" s="436"/>
      <c r="H135" s="437"/>
    </row>
    <row r="136" spans="1:9" ht="40.5" customHeight="1" x14ac:dyDescent="0.45">
      <c r="A136" s="364" t="str">
        <f>Horaire!A141</f>
        <v>DOUJANI</v>
      </c>
      <c r="B136" s="367">
        <f>Horaire!B141</f>
        <v>0.73611111111112504</v>
      </c>
      <c r="C136" s="322" t="str">
        <f>Horaire!C141</f>
        <v>D3</v>
      </c>
      <c r="D136" s="320" t="str">
        <f>VLOOKUP(C136,'Liste chauffeur'!$B$5:$L$19,2,TRUE)&amp;" "&amp;VLOOKUP(C136,'Liste chauffeur'!$B$5:$L$19,3,TRUE)</f>
        <v>ABDOURAHIM Mohamed</v>
      </c>
      <c r="E136" s="292"/>
      <c r="F136" s="255"/>
      <c r="G136" s="255"/>
      <c r="H136" s="256"/>
      <c r="I136" s="287" t="s">
        <v>367</v>
      </c>
    </row>
    <row r="137" spans="1:9" ht="40.5" customHeight="1" x14ac:dyDescent="0.45">
      <c r="A137" s="431" t="str">
        <f>Horaire!A142</f>
        <v>PASSOT LA BARGE</v>
      </c>
      <c r="B137" s="367">
        <f>Horaire!B142</f>
        <v>0.73611111111111116</v>
      </c>
      <c r="C137" s="433" t="str">
        <f>Horaire!C142</f>
        <v>D1</v>
      </c>
      <c r="D137" s="434" t="str">
        <f>VLOOKUP(C137,'Liste chauffeur'!$B$5:$L$19,2,TRUE)&amp;" "&amp;VLOOKUP(C137,'Liste chauffeur'!$B$5:$L$19,3,TRUE)</f>
        <v>MOHAMED Ali (laglace)</v>
      </c>
      <c r="E137" s="439"/>
      <c r="F137" s="436"/>
      <c r="G137" s="436"/>
      <c r="H137" s="437"/>
    </row>
    <row r="138" spans="1:9" ht="40.5" customHeight="1" x14ac:dyDescent="0.45">
      <c r="A138" s="364" t="str">
        <f>Horaire!A143</f>
        <v>DOUJANI</v>
      </c>
      <c r="B138" s="323">
        <f>Horaire!B143</f>
        <v>0.74305555555555558</v>
      </c>
      <c r="C138" s="322" t="str">
        <f>Horaire!C143</f>
        <v>D9</v>
      </c>
      <c r="D138" s="320" t="str">
        <f>VLOOKUP(C138,'Liste chauffeur'!$B$5:$L$19,2,TRUE)&amp;" "&amp;VLOOKUP(C138,'Liste chauffeur'!$B$5:$L$19,3,TRUE)</f>
        <v>RENEE Assanati</v>
      </c>
      <c r="E138" s="292"/>
      <c r="F138" s="255"/>
      <c r="G138" s="255"/>
      <c r="H138" s="256"/>
      <c r="I138" s="137"/>
    </row>
    <row r="139" spans="1:9" ht="40.5" customHeight="1" x14ac:dyDescent="0.45">
      <c r="A139" s="431" t="str">
        <f>Horaire!A144</f>
        <v>PASSOT LA BARGE</v>
      </c>
      <c r="B139" s="366">
        <f>Horaire!B144</f>
        <v>0.74305555555555558</v>
      </c>
      <c r="C139" s="433" t="str">
        <f>Horaire!C144</f>
        <v>D7</v>
      </c>
      <c r="D139" s="434" t="str">
        <f>VLOOKUP(C139,'Liste chauffeur'!$B$5:$L$19,2,TRUE)&amp;" "&amp;VLOOKUP(C139,'Liste chauffeur'!$B$5:$L$19,3,TRUE)</f>
        <v>COMBO  Said</v>
      </c>
      <c r="E139" s="439"/>
      <c r="F139" s="436"/>
      <c r="G139" s="436"/>
      <c r="H139" s="437"/>
      <c r="I139" s="287" t="s">
        <v>366</v>
      </c>
    </row>
    <row r="140" spans="1:9" ht="40.5" customHeight="1" x14ac:dyDescent="0.45">
      <c r="A140" s="364" t="str">
        <f>Horaire!A145</f>
        <v>DOUJANI</v>
      </c>
      <c r="B140" s="323">
        <f>Horaire!B145</f>
        <v>0.75000000000001699</v>
      </c>
      <c r="C140" s="322" t="str">
        <f>Horaire!C145</f>
        <v>D6</v>
      </c>
      <c r="D140" s="320" t="str">
        <f>VLOOKUP(C140,'Liste chauffeur'!$B$5:$L$19,2,TRUE)&amp;" "&amp;VLOOKUP(C140,'Liste chauffeur'!$B$5:$L$19,3,TRUE)</f>
        <v>ABDOU HAMIDOUNE Nassabia</v>
      </c>
      <c r="E140" s="292"/>
      <c r="F140" s="255"/>
      <c r="G140" s="255"/>
      <c r="H140" s="256"/>
    </row>
    <row r="141" spans="1:9" ht="40.5" customHeight="1" x14ac:dyDescent="0.45">
      <c r="A141" s="431" t="str">
        <f>Horaire!A146</f>
        <v>PASSOT LA BARGE</v>
      </c>
      <c r="B141" s="432">
        <f>Horaire!B146</f>
        <v>0.75</v>
      </c>
      <c r="C141" s="433" t="str">
        <f>Horaire!C146</f>
        <v>D8</v>
      </c>
      <c r="D141" s="434" t="str">
        <f>VLOOKUP(C141,'Liste chauffeur'!$B$5:$L$19,2,TRUE)&amp;" "&amp;VLOOKUP(C141,'Liste chauffeur'!$B$5:$L$19,3,TRUE)</f>
        <v>ISSOUF Dailami</v>
      </c>
      <c r="E141" s="439"/>
      <c r="F141" s="436"/>
      <c r="G141" s="436"/>
      <c r="H141" s="437"/>
    </row>
    <row r="142" spans="1:9" ht="40.5" customHeight="1" x14ac:dyDescent="0.45">
      <c r="A142" s="364" t="str">
        <f>Horaire!A147</f>
        <v>DOUJANI</v>
      </c>
      <c r="B142" s="323">
        <f>Horaire!B147</f>
        <v>0.76388888888888884</v>
      </c>
      <c r="C142" s="322" t="str">
        <f>Horaire!C147</f>
        <v>D7</v>
      </c>
      <c r="D142" s="320" t="str">
        <f>VLOOKUP(C142,'Liste chauffeur'!$B$5:$L$19,2,TRUE)&amp;" "&amp;VLOOKUP(C142,'Liste chauffeur'!$B$5:$L$19,3,TRUE)</f>
        <v>COMBO  Said</v>
      </c>
      <c r="E142" s="292"/>
      <c r="F142" s="255"/>
      <c r="G142" s="255"/>
      <c r="H142" s="256"/>
    </row>
    <row r="143" spans="1:9" ht="40.5" customHeight="1" x14ac:dyDescent="0.45">
      <c r="A143" s="431" t="str">
        <f>Horaire!A148</f>
        <v>PASSOT LA BARGE</v>
      </c>
      <c r="B143" s="432">
        <f>Horaire!B148</f>
        <v>0.76388888888888884</v>
      </c>
      <c r="C143" s="433" t="str">
        <f>Horaire!C148</f>
        <v>D9</v>
      </c>
      <c r="D143" s="434" t="str">
        <f>VLOOKUP(C143,'Liste chauffeur'!$B$5:$L$19,2,TRUE)&amp;" "&amp;VLOOKUP(C143,'Liste chauffeur'!$B$5:$L$19,3,TRUE)</f>
        <v>RENEE Assanati</v>
      </c>
      <c r="E143" s="439"/>
      <c r="F143" s="436"/>
      <c r="G143" s="436"/>
      <c r="H143" s="437"/>
    </row>
    <row r="144" spans="1:9" ht="40.5" customHeight="1" x14ac:dyDescent="0.45">
      <c r="A144" s="364" t="str">
        <f>Horaire!A149</f>
        <v>DOUJANI</v>
      </c>
      <c r="B144" s="323">
        <f>Horaire!B149</f>
        <v>0.77777777777777779</v>
      </c>
      <c r="C144" s="322" t="str">
        <f>Horaire!C149</f>
        <v>D8</v>
      </c>
      <c r="D144" s="320" t="str">
        <f>VLOOKUP(C144,'Liste chauffeur'!$B$5:$L$19,2,TRUE)&amp;" "&amp;VLOOKUP(C144,'Liste chauffeur'!$B$5:$L$19,3,TRUE)</f>
        <v>ISSOUF Dailami</v>
      </c>
      <c r="E144" s="292"/>
      <c r="F144" s="255"/>
      <c r="G144" s="255"/>
      <c r="H144" s="256"/>
    </row>
    <row r="145" spans="1:8" ht="40.5" customHeight="1" x14ac:dyDescent="0.45">
      <c r="A145" s="431" t="str">
        <f>Horaire!A150</f>
        <v>PASSOT LA BARGE</v>
      </c>
      <c r="B145" s="432">
        <f>Horaire!B150</f>
        <v>0.77777777777777779</v>
      </c>
      <c r="C145" s="433" t="str">
        <f>Horaire!C150</f>
        <v>D6</v>
      </c>
      <c r="D145" s="434" t="str">
        <f>VLOOKUP(C145,'Liste chauffeur'!$B$5:$L$19,2,TRUE)&amp;" "&amp;VLOOKUP(C145,'Liste chauffeur'!$B$5:$L$19,3,TRUE)</f>
        <v>ABDOU HAMIDOUNE Nassabia</v>
      </c>
      <c r="E145" s="439"/>
      <c r="F145" s="436"/>
      <c r="G145" s="436"/>
      <c r="H145" s="437"/>
    </row>
    <row r="146" spans="1:8" ht="40.5" customHeight="1" x14ac:dyDescent="0.45">
      <c r="A146" s="364" t="str">
        <f>Horaire!A151</f>
        <v>DOUJANI</v>
      </c>
      <c r="B146" s="323">
        <f>Horaire!B151</f>
        <v>0.79166666666666663</v>
      </c>
      <c r="C146" s="322" t="str">
        <f>Horaire!C151</f>
        <v>D9</v>
      </c>
      <c r="D146" s="320" t="str">
        <f>VLOOKUP(C146,'Liste chauffeur'!$B$5:$L$19,2,TRUE)&amp;" "&amp;VLOOKUP(C146,'Liste chauffeur'!$B$5:$L$19,3,TRUE)</f>
        <v>RENEE Assanati</v>
      </c>
      <c r="E146" s="292"/>
      <c r="F146" s="255"/>
      <c r="G146" s="255"/>
      <c r="H146" s="256"/>
    </row>
    <row r="147" spans="1:8" ht="40.5" customHeight="1" x14ac:dyDescent="0.45">
      <c r="A147" s="431" t="str">
        <f>Horaire!A152</f>
        <v>PASSOT LA BARGE</v>
      </c>
      <c r="B147" s="432">
        <f>Horaire!B152</f>
        <v>0.79166666666666663</v>
      </c>
      <c r="C147" s="433" t="str">
        <f>Horaire!C152</f>
        <v>D7</v>
      </c>
      <c r="D147" s="434" t="str">
        <f>VLOOKUP(C147,'Liste chauffeur'!$B$5:$L$19,2,TRUE)&amp;" "&amp;VLOOKUP(C147,'Liste chauffeur'!$B$5:$L$19,3,TRUE)</f>
        <v>COMBO  Said</v>
      </c>
      <c r="E147" s="439"/>
      <c r="F147" s="436"/>
      <c r="G147" s="436"/>
      <c r="H147" s="437"/>
    </row>
    <row r="148" spans="1:8" ht="40.5" customHeight="1" x14ac:dyDescent="0.45">
      <c r="A148" s="364" t="str">
        <f>Horaire!A153</f>
        <v>DOUJANI</v>
      </c>
      <c r="B148" s="323">
        <f>Horaire!B153</f>
        <v>0.80555555555555558</v>
      </c>
      <c r="C148" s="322" t="str">
        <f>Horaire!C153</f>
        <v>D6</v>
      </c>
      <c r="D148" s="320" t="str">
        <f>VLOOKUP(C148,'Liste chauffeur'!$B$5:$L$19,2,TRUE)&amp;" "&amp;VLOOKUP(C148,'Liste chauffeur'!$B$5:$L$19,3,TRUE)</f>
        <v>ABDOU HAMIDOUNE Nassabia</v>
      </c>
      <c r="E148" s="292"/>
      <c r="F148" s="255"/>
      <c r="G148" s="255"/>
      <c r="H148" s="256"/>
    </row>
    <row r="149" spans="1:8" ht="40.5" customHeight="1" x14ac:dyDescent="0.45">
      <c r="A149" s="431" t="str">
        <f>Horaire!A154</f>
        <v>PASSOT LA BARGE</v>
      </c>
      <c r="B149" s="432">
        <f>Horaire!B154</f>
        <v>0.80555555555555558</v>
      </c>
      <c r="C149" s="433" t="str">
        <f>Horaire!C154</f>
        <v>D8</v>
      </c>
      <c r="D149" s="434" t="str">
        <f>VLOOKUP(C149,'Liste chauffeur'!$B$5:$L$19,2,TRUE)&amp;" "&amp;VLOOKUP(C149,'Liste chauffeur'!$B$5:$L$19,3,TRUE)</f>
        <v>ISSOUF Dailami</v>
      </c>
      <c r="E149" s="439"/>
      <c r="F149" s="436"/>
      <c r="G149" s="436"/>
      <c r="H149" s="437"/>
    </row>
    <row r="150" spans="1:8" ht="40.5" customHeight="1" x14ac:dyDescent="0.45">
      <c r="A150" s="364" t="str">
        <f>Horaire!A155</f>
        <v>DOUJANI</v>
      </c>
      <c r="B150" s="323">
        <f>Horaire!B155</f>
        <v>0.81944444444444442</v>
      </c>
      <c r="C150" s="322" t="str">
        <f>Horaire!C155</f>
        <v>D7</v>
      </c>
      <c r="D150" s="320" t="str">
        <f>VLOOKUP(C150,'Liste chauffeur'!$B$5:$L$19,2,TRUE)&amp;" "&amp;VLOOKUP(C150,'Liste chauffeur'!$B$5:$L$19,3,TRUE)</f>
        <v>COMBO  Said</v>
      </c>
      <c r="E150" s="292"/>
      <c r="F150" s="255"/>
      <c r="G150" s="255"/>
      <c r="H150" s="256"/>
    </row>
    <row r="151" spans="1:8" ht="40.5" customHeight="1" x14ac:dyDescent="0.45">
      <c r="A151" s="431" t="str">
        <f>Horaire!A156</f>
        <v>PASSOT LA BARGE</v>
      </c>
      <c r="B151" s="432">
        <f>Horaire!B156</f>
        <v>0.81944444444444442</v>
      </c>
      <c r="C151" s="433" t="str">
        <f>Horaire!C156</f>
        <v>D9</v>
      </c>
      <c r="D151" s="434" t="str">
        <f>VLOOKUP(C151,'Liste chauffeur'!$B$5:$L$19,2,TRUE)&amp;" "&amp;VLOOKUP(C151,'Liste chauffeur'!$B$5:$L$19,3,TRUE)</f>
        <v>RENEE Assanati</v>
      </c>
      <c r="E151" s="439"/>
      <c r="F151" s="436"/>
      <c r="G151" s="436"/>
      <c r="H151" s="437"/>
    </row>
    <row r="152" spans="1:8" ht="40.5" customHeight="1" x14ac:dyDescent="0.45">
      <c r="A152" s="364" t="str">
        <f>Horaire!A157</f>
        <v>DOUJANI</v>
      </c>
      <c r="B152" s="323">
        <f>Horaire!B157</f>
        <v>0.83333333333333337</v>
      </c>
      <c r="C152" s="322" t="str">
        <f>Horaire!C157</f>
        <v>D8</v>
      </c>
      <c r="D152" s="320" t="str">
        <f>VLOOKUP(C152,'Liste chauffeur'!$B$5:$L$19,2,TRUE)&amp;" "&amp;VLOOKUP(C152,'Liste chauffeur'!$B$5:$L$19,3,TRUE)</f>
        <v>ISSOUF Dailami</v>
      </c>
      <c r="E152" s="292"/>
      <c r="F152" s="255"/>
      <c r="G152" s="255"/>
      <c r="H152" s="256"/>
    </row>
    <row r="153" spans="1:8" ht="40.5" customHeight="1" x14ac:dyDescent="0.45">
      <c r="A153" s="431" t="str">
        <f>Horaire!A158</f>
        <v>PASSOT LA BARGE</v>
      </c>
      <c r="B153" s="367">
        <f>Horaire!B158</f>
        <v>0.83333333333333337</v>
      </c>
      <c r="C153" s="433" t="str">
        <f>Horaire!C158</f>
        <v>D6</v>
      </c>
      <c r="D153" s="434" t="str">
        <f>VLOOKUP(C153,'Liste chauffeur'!$B$5:$L$19,2,TRUE)&amp;" "&amp;VLOOKUP(C153,'Liste chauffeur'!$B$5:$L$19,3,TRUE)</f>
        <v>ABDOU HAMIDOUNE Nassabia</v>
      </c>
      <c r="E153" s="439"/>
      <c r="F153" s="436"/>
      <c r="G153" s="436"/>
      <c r="H153" s="437"/>
    </row>
    <row r="154" spans="1:8" ht="40.5" customHeight="1" x14ac:dyDescent="0.45">
      <c r="A154" s="364" t="str">
        <f>Horaire!A159</f>
        <v>DOUJANI</v>
      </c>
      <c r="B154" s="323">
        <f>Horaire!B159</f>
        <v>0.84722222222222221</v>
      </c>
      <c r="C154" s="322" t="str">
        <f>Horaire!C159</f>
        <v>D9</v>
      </c>
      <c r="D154" s="320" t="str">
        <f>VLOOKUP(C154,'Liste chauffeur'!$B$5:$L$19,2,TRUE)&amp;" "&amp;VLOOKUP(C154,'Liste chauffeur'!$B$5:$L$19,3,TRUE)</f>
        <v>RENEE Assanati</v>
      </c>
      <c r="E154" s="292"/>
      <c r="F154" s="255"/>
      <c r="G154" s="255"/>
      <c r="H154" s="256"/>
    </row>
    <row r="155" spans="1:8" ht="40.5" customHeight="1" x14ac:dyDescent="0.45">
      <c r="A155" s="431" t="str">
        <f>Horaire!A160</f>
        <v>PASSOT LA BARGE</v>
      </c>
      <c r="B155" s="367">
        <f>Horaire!B160</f>
        <v>0.84722222222222221</v>
      </c>
      <c r="C155" s="433" t="str">
        <f>Horaire!C160</f>
        <v>D7</v>
      </c>
      <c r="D155" s="434" t="str">
        <f>VLOOKUP(C155,'Liste chauffeur'!$B$5:$L$19,2,TRUE)&amp;" "&amp;VLOOKUP(C155,'Liste chauffeur'!$B$5:$L$19,3,TRUE)</f>
        <v>COMBO  Said</v>
      </c>
      <c r="E155" s="439"/>
      <c r="F155" s="436"/>
      <c r="G155" s="436"/>
      <c r="H155" s="437"/>
    </row>
    <row r="156" spans="1:8" ht="40.5" customHeight="1" x14ac:dyDescent="0.45">
      <c r="A156" s="431" t="str">
        <f>Horaire!A161</f>
        <v>PASSOT LA BARGE</v>
      </c>
      <c r="B156" s="367">
        <f>Horaire!B161</f>
        <v>0.86111111111111116</v>
      </c>
      <c r="C156" s="433" t="str">
        <f>Horaire!C161</f>
        <v>D8</v>
      </c>
      <c r="D156" s="434" t="str">
        <f>VLOOKUP(C156,'Liste chauffeur'!$B$5:$L$19,2,TRUE)&amp;" "&amp;VLOOKUP(C156,'Liste chauffeur'!$B$5:$L$19,3,TRUE)</f>
        <v>ISSOUF Dailami</v>
      </c>
      <c r="E156" s="439"/>
      <c r="F156" s="436"/>
      <c r="G156" s="436"/>
      <c r="H156" s="437"/>
    </row>
    <row r="157" spans="1:8" ht="40.5" customHeight="1" x14ac:dyDescent="0.45">
      <c r="A157" s="431" t="str">
        <f>Horaire!A162</f>
        <v>PASSOT LA BARGE</v>
      </c>
      <c r="B157" s="367">
        <f>Horaire!B162</f>
        <v>0.875</v>
      </c>
      <c r="C157" s="433" t="str">
        <f>Horaire!C162</f>
        <v>D9</v>
      </c>
      <c r="D157" s="434" t="str">
        <f>VLOOKUP(C157,'Liste chauffeur'!$B$5:$L$19,2,TRUE)&amp;" "&amp;VLOOKUP(C157,'Liste chauffeur'!$B$5:$L$19,3,TRUE)</f>
        <v>RENEE Assanati</v>
      </c>
      <c r="E157" s="439"/>
      <c r="F157" s="436"/>
      <c r="G157" s="436"/>
      <c r="H157" s="437"/>
    </row>
  </sheetData>
  <autoFilter ref="A2:H157" xr:uid="{6A06E119-2645-4680-ABA4-211EDBAC8958}"/>
  <mergeCells count="1">
    <mergeCell ref="E1:F1"/>
  </mergeCells>
  <printOptions horizontalCentered="1"/>
  <pageMargins left="0.23622047244094499" right="0.23622047244094499" top="0.74803149606299202" bottom="0.74803149606299202" header="0.31496062992126" footer="0.31496062992126"/>
  <pageSetup paperSize="9"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4A82-C6E5-4054-B03E-213660924AAC}">
  <sheetPr>
    <pageSetUpPr fitToPage="1"/>
  </sheetPr>
  <dimension ref="A1:I157"/>
  <sheetViews>
    <sheetView topLeftCell="A132" workbookViewId="0">
      <selection sqref="A1:I157"/>
    </sheetView>
  </sheetViews>
  <sheetFormatPr baseColWidth="10" defaultColWidth="10.796875" defaultRowHeight="14.25" x14ac:dyDescent="0.45"/>
  <cols>
    <col min="1" max="1" width="28.796875" style="137" customWidth="1"/>
    <col min="2" max="2" width="17.796875" style="288" bestFit="1" customWidth="1"/>
    <col min="3" max="3" width="13" style="293" customWidth="1"/>
    <col min="4" max="4" width="49.8632812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290" t="s">
        <v>528</v>
      </c>
      <c r="I1" s="291" t="s">
        <v>529</v>
      </c>
    </row>
    <row r="2" spans="1:9" s="189" customFormat="1" ht="54" x14ac:dyDescent="0.45">
      <c r="A2" s="286" t="s">
        <v>327</v>
      </c>
      <c r="B2" s="289" t="s">
        <v>0</v>
      </c>
      <c r="C2" s="294" t="s">
        <v>25</v>
      </c>
      <c r="D2" s="254" t="s">
        <v>26</v>
      </c>
      <c r="E2" s="254" t="s">
        <v>32</v>
      </c>
      <c r="F2" s="254" t="s">
        <v>368</v>
      </c>
      <c r="G2" s="254" t="s">
        <v>1</v>
      </c>
      <c r="H2" s="254" t="s">
        <v>331</v>
      </c>
      <c r="I2" s="254"/>
    </row>
    <row r="3" spans="1:9" s="189" customFormat="1" ht="40.5" hidden="1" customHeight="1" x14ac:dyDescent="0.45">
      <c r="A3" s="364" t="str">
        <f>Horaire!A8</f>
        <v>DOUJANI</v>
      </c>
      <c r="B3" s="366">
        <f>Horaire!B8</f>
        <v>0.20833333333333334</v>
      </c>
      <c r="C3" s="322" t="str">
        <f>Horaire!C8</f>
        <v>D1</v>
      </c>
      <c r="D3" s="320" t="str">
        <f>VLOOKUP(C3,'Liste chauffeur'!$B$5:$L$19,2,TRUE)&amp;" "&amp;VLOOKUP(C3,'Liste chauffeur'!$B$5:$L$19,3,TRUE)</f>
        <v>MOHAMED Ali (laglace)</v>
      </c>
      <c r="E3" s="363" t="s">
        <v>390</v>
      </c>
      <c r="F3" s="254"/>
      <c r="G3" s="254"/>
      <c r="H3" s="254"/>
      <c r="I3" s="301"/>
    </row>
    <row r="4" spans="1:9" s="189" customFormat="1" ht="40.5" hidden="1" customHeight="1" x14ac:dyDescent="0.45">
      <c r="A4" s="364" t="str">
        <f>Horaire!A9</f>
        <v>DOUJANI</v>
      </c>
      <c r="B4" s="366">
        <f>Horaire!B9</f>
        <v>0.21527777777777779</v>
      </c>
      <c r="C4" s="322" t="str">
        <f>Horaire!C9</f>
        <v>D12</v>
      </c>
      <c r="D4" s="321" t="str">
        <f>VLOOKUP(C4,'Liste chauffeur'!$B$5:$L$18,2,TRUE)&amp;" "&amp;VLOOKUP(C4,'Liste chauffeur'!$B$5:$L$18,3,TRUE)</f>
        <v>VELOU M'COLO M'Berou</v>
      </c>
      <c r="E4" s="363" t="s">
        <v>390</v>
      </c>
      <c r="F4" s="254"/>
      <c r="G4" s="254"/>
      <c r="H4" s="254"/>
      <c r="I4" s="301"/>
    </row>
    <row r="5" spans="1:9" s="189" customFormat="1" ht="40.5" hidden="1" customHeight="1" x14ac:dyDescent="0.45">
      <c r="A5" s="364" t="str">
        <f>Horaire!A10</f>
        <v>DOUJANI</v>
      </c>
      <c r="B5" s="366">
        <f>Horaire!B10</f>
        <v>0.22222222222222221</v>
      </c>
      <c r="C5" s="322" t="str">
        <f>Horaire!C10</f>
        <v>D5</v>
      </c>
      <c r="D5" s="321" t="str">
        <f>VLOOKUP(C5,'Liste chauffeur'!$B$5:$L$18,2,TRUE)&amp;" "&amp;VLOOKUP(C5,'Liste chauffeur'!$B$5:$L$18,3,TRUE)</f>
        <v>AMINA Selemani</v>
      </c>
      <c r="E5" s="363" t="s">
        <v>390</v>
      </c>
      <c r="F5" s="254"/>
      <c r="G5" s="254"/>
      <c r="H5" s="254"/>
      <c r="I5" s="301"/>
    </row>
    <row r="6" spans="1:9" s="189" customFormat="1" ht="40.5" hidden="1" customHeight="1" x14ac:dyDescent="0.45">
      <c r="A6" s="364" t="str">
        <f>Horaire!A11</f>
        <v>DOUJANI</v>
      </c>
      <c r="B6" s="366">
        <f>Horaire!B11</f>
        <v>0.22916666666666666</v>
      </c>
      <c r="C6" s="322" t="str">
        <f>Horaire!C11</f>
        <v>D13</v>
      </c>
      <c r="D6" s="321" t="str">
        <f>VLOOKUP(C6,'Liste chauffeur'!$B$5:$L$18,2,TRUE)&amp;" "&amp;VLOOKUP(C6,'Liste chauffeur'!$B$5:$L$18,3,TRUE)</f>
        <v>MOURIDI Aktoir</v>
      </c>
      <c r="E6" s="363" t="s">
        <v>390</v>
      </c>
      <c r="F6" s="254"/>
      <c r="G6" s="254"/>
      <c r="H6" s="254"/>
      <c r="I6" s="301"/>
    </row>
    <row r="7" spans="1:9" ht="40.5" hidden="1" customHeight="1" x14ac:dyDescent="0.45">
      <c r="A7" s="364" t="str">
        <f>Horaire!A12</f>
        <v>PASSOT LA BARGE</v>
      </c>
      <c r="B7" s="323">
        <f>Horaire!B12</f>
        <v>0.22916666666666666</v>
      </c>
      <c r="C7" s="322" t="str">
        <f>Horaire!C12</f>
        <v>D1</v>
      </c>
      <c r="D7" s="320" t="str">
        <f>VLOOKUP(C7,'Liste chauffeur'!$B$5:$L$18,2,TRUE)&amp;" "&amp;VLOOKUP(C7,'Liste chauffeur'!$B$5:$L$18,3,TRUE)</f>
        <v>MOHAMED Ali (laglace)</v>
      </c>
      <c r="E7" s="363" t="s">
        <v>390</v>
      </c>
      <c r="F7" s="255" t="str">
        <f>IF(ISBLANK('Feuille saisie'!X12)=TRUE,"",'Feuille saisie'!X12)</f>
        <v/>
      </c>
      <c r="G7" s="255"/>
      <c r="H7" s="256"/>
    </row>
    <row r="8" spans="1:9" ht="40.5" hidden="1" customHeight="1" x14ac:dyDescent="0.45">
      <c r="A8" s="364" t="str">
        <f>Horaire!A13</f>
        <v>DOUJANI</v>
      </c>
      <c r="B8" s="366">
        <f>Horaire!B13</f>
        <v>0.2361111111111111</v>
      </c>
      <c r="C8" s="322" t="str">
        <f>Horaire!C13</f>
        <v>D3</v>
      </c>
      <c r="D8" s="320" t="str">
        <f>VLOOKUP(C8,'Liste chauffeur'!$B$5:$L$18,2,TRUE)&amp;" "&amp;VLOOKUP(C8,'Liste chauffeur'!$B$5:$L$18,3,TRUE)</f>
        <v>ABDOURAHIM Mohamed</v>
      </c>
      <c r="E8" s="363" t="s">
        <v>390</v>
      </c>
      <c r="F8" s="255" t="str">
        <f>IF(ISBLANK('Feuille saisie'!X13)=TRUE,"",'Feuille saisie'!X13)</f>
        <v/>
      </c>
      <c r="G8" s="255"/>
      <c r="H8" s="256"/>
      <c r="I8" s="287" t="s">
        <v>364</v>
      </c>
    </row>
    <row r="9" spans="1:9" ht="40.5" hidden="1" customHeight="1" x14ac:dyDescent="0.45">
      <c r="A9" s="364" t="str">
        <f>Horaire!A14</f>
        <v>PASSOT LA BARGE</v>
      </c>
      <c r="B9" s="323">
        <f>Horaire!B14</f>
        <v>0.2361111111111111</v>
      </c>
      <c r="C9" s="322" t="str">
        <f>Horaire!C14</f>
        <v>D12</v>
      </c>
      <c r="D9" s="320" t="str">
        <f>VLOOKUP(C9,'Liste chauffeur'!$B$5:$L$18,2,TRUE)&amp;" "&amp;VLOOKUP(C9,'Liste chauffeur'!$B$5:$L$18,3,TRUE)</f>
        <v>VELOU M'COLO M'Berou</v>
      </c>
      <c r="E9" s="363" t="s">
        <v>390</v>
      </c>
      <c r="F9" s="285" t="str">
        <f>IF(ISBLANK('Feuille saisie'!X14)=TRUE,"",'Feuille saisie'!X14)</f>
        <v/>
      </c>
      <c r="G9" s="255"/>
      <c r="H9" s="256"/>
      <c r="I9" s="287"/>
    </row>
    <row r="10" spans="1:9" ht="40.5" hidden="1" customHeight="1" x14ac:dyDescent="0.45">
      <c r="A10" s="364" t="str">
        <f>Horaire!A15</f>
        <v>DOUJANI</v>
      </c>
      <c r="B10" s="366">
        <f>Horaire!B15</f>
        <v>0.24305555555555555</v>
      </c>
      <c r="C10" s="322" t="str">
        <f>Horaire!C15</f>
        <v>D10</v>
      </c>
      <c r="D10" s="320" t="str">
        <f>VLOOKUP(C10,'Liste chauffeur'!$B$5:$L$18,2,TRUE)&amp;" "&amp;VLOOKUP(C10,'Liste chauffeur'!$B$5:$L$18,3,TRUE)</f>
        <v>KAMARDINE Mansour (Salarié)</v>
      </c>
      <c r="E10" s="363" t="s">
        <v>390</v>
      </c>
      <c r="F10" s="255" t="str">
        <f>IF(ISBLANK('Feuille saisie'!X15)=TRUE,"",'Feuille saisie'!X15)</f>
        <v/>
      </c>
      <c r="G10" s="255"/>
      <c r="H10" s="256"/>
      <c r="I10" s="287"/>
    </row>
    <row r="11" spans="1:9" ht="40.5" hidden="1" customHeight="1" x14ac:dyDescent="0.45">
      <c r="A11" s="364" t="str">
        <f>Horaire!A16</f>
        <v>PASSOT LA BARGE</v>
      </c>
      <c r="B11" s="323">
        <f>Horaire!B16</f>
        <v>0.24305555555555555</v>
      </c>
      <c r="C11" s="322" t="str">
        <f>Horaire!C16</f>
        <v>D5</v>
      </c>
      <c r="D11" s="320" t="str">
        <f>VLOOKUP(C11,'Liste chauffeur'!$B$5:$L$18,2,TRUE)&amp;" "&amp;VLOOKUP(C11,'Liste chauffeur'!$B$5:$L$18,3,TRUE)</f>
        <v>AMINA Selemani</v>
      </c>
      <c r="E11" s="363" t="s">
        <v>390</v>
      </c>
      <c r="F11" s="255" t="str">
        <f>IF(ISBLANK('Feuille saisie'!X16)=TRUE,"",'Feuille saisie'!X16)</f>
        <v/>
      </c>
      <c r="G11" s="255"/>
      <c r="H11" s="256"/>
      <c r="I11" s="287"/>
    </row>
    <row r="12" spans="1:9" ht="40.5" hidden="1" customHeight="1" x14ac:dyDescent="0.45">
      <c r="A12" s="364" t="str">
        <f>Horaire!A17</f>
        <v>DOUJANI</v>
      </c>
      <c r="B12" s="323">
        <f>Horaire!B17</f>
        <v>0.25</v>
      </c>
      <c r="C12" s="322" t="str">
        <f>Horaire!C17</f>
        <v>D1</v>
      </c>
      <c r="D12" s="320" t="str">
        <f>VLOOKUP(C12,'Liste chauffeur'!$B$5:$L$18,2,TRUE)&amp;" "&amp;VLOOKUP(C12,'Liste chauffeur'!$B$5:$L$18,3,TRUE)</f>
        <v>MOHAMED Ali (laglace)</v>
      </c>
      <c r="E12" s="363" t="s">
        <v>390</v>
      </c>
      <c r="F12" s="255" t="str">
        <f>IF(ISBLANK('Feuille saisie'!X17)=TRUE,"",'Feuille saisie'!X17)</f>
        <v/>
      </c>
      <c r="G12" s="255"/>
      <c r="H12" s="256"/>
      <c r="I12" s="287"/>
    </row>
    <row r="13" spans="1:9" ht="40.5" hidden="1" customHeight="1" x14ac:dyDescent="0.45">
      <c r="A13" s="364" t="str">
        <f>Horaire!A18</f>
        <v>PASSOT LA BARGE</v>
      </c>
      <c r="B13" s="323">
        <f>Horaire!B18</f>
        <v>0.25</v>
      </c>
      <c r="C13" s="322" t="str">
        <f>Horaire!C18</f>
        <v>D13</v>
      </c>
      <c r="D13" s="320" t="str">
        <f>VLOOKUP(C13,'Liste chauffeur'!$B$5:$L$18,2,TRUE)&amp;" "&amp;VLOOKUP(C13,'Liste chauffeur'!$B$5:$L$18,3,TRUE)</f>
        <v>MOURIDI Aktoir</v>
      </c>
      <c r="E13" s="292"/>
      <c r="F13" s="255"/>
      <c r="G13" s="255"/>
      <c r="H13" s="256"/>
      <c r="I13" s="287"/>
    </row>
    <row r="14" spans="1:9" ht="40.5" hidden="1" customHeight="1" x14ac:dyDescent="0.45">
      <c r="A14" s="365" t="str">
        <f>Horaire!A19</f>
        <v>M'TSAPERE</v>
      </c>
      <c r="B14" s="366">
        <f>Horaire!B19</f>
        <v>0.25</v>
      </c>
      <c r="C14" s="322" t="str">
        <f>Horaire!C19</f>
        <v>D4</v>
      </c>
      <c r="D14" s="320" t="str">
        <f>VLOOKUP(C14,'Liste chauffeur'!$B$5:$L$18,2,TRUE)&amp;" "&amp;VLOOKUP(C14,'Liste chauffeur'!$B$5:$L$18,3,TRUE)</f>
        <v>AMBDI  Houmadi</v>
      </c>
      <c r="E14" s="292"/>
      <c r="F14" s="255" t="str">
        <f>IF(ISBLANK('Feuille saisie'!X19)=TRUE,"",'Feuille saisie'!X19)</f>
        <v/>
      </c>
      <c r="G14" s="255"/>
      <c r="H14" s="256"/>
      <c r="I14" s="287"/>
    </row>
    <row r="15" spans="1:9" ht="40.5" hidden="1" customHeight="1" x14ac:dyDescent="0.45">
      <c r="A15" s="364" t="str">
        <f>Horaire!A20</f>
        <v>PASSOT LA BARGE</v>
      </c>
      <c r="B15" s="366">
        <f>Horaire!B20</f>
        <v>0.25</v>
      </c>
      <c r="C15" s="322" t="str">
        <f>Horaire!C20</f>
        <v>D11</v>
      </c>
      <c r="D15" s="320" t="str">
        <f>VLOOKUP(C15,'Liste chauffeur'!$B$5:$L$18,2,TRUE)&amp;" "&amp;VLOOKUP(C15,'Liste chauffeur'!$B$5:$L$18,3,TRUE)</f>
        <v>ALLAOUI  Soibrane</v>
      </c>
      <c r="E15" s="292"/>
      <c r="F15" s="255" t="str">
        <f>IF(ISBLANK('Feuille saisie'!X20)=TRUE,"",'Feuille saisie'!X20)</f>
        <v/>
      </c>
      <c r="G15" s="255"/>
      <c r="H15" s="256"/>
      <c r="I15" s="287"/>
    </row>
    <row r="16" spans="1:9" ht="40.5" hidden="1" customHeight="1" x14ac:dyDescent="0.45">
      <c r="A16" s="364" t="str">
        <f>Horaire!A21</f>
        <v>DOUJANI</v>
      </c>
      <c r="B16" s="323">
        <f>Horaire!B21</f>
        <v>0.25694444444444442</v>
      </c>
      <c r="C16" s="322" t="str">
        <f>Horaire!C21</f>
        <v>D12</v>
      </c>
      <c r="D16" s="320" t="str">
        <f>VLOOKUP(C16,'Liste chauffeur'!$B$5:$L$18,2,TRUE)&amp;" "&amp;VLOOKUP(C16,'Liste chauffeur'!$B$5:$L$18,3,TRUE)</f>
        <v>VELOU M'COLO M'Berou</v>
      </c>
      <c r="E16" s="292"/>
      <c r="F16" s="255" t="str">
        <f>IF(ISBLANK('Feuille saisie'!X21)=TRUE,"",'Feuille saisie'!X21)</f>
        <v/>
      </c>
      <c r="G16" s="255"/>
      <c r="H16" s="256"/>
      <c r="I16" s="287"/>
    </row>
    <row r="17" spans="1:9" ht="40.5" hidden="1" customHeight="1" x14ac:dyDescent="0.45">
      <c r="A17" s="364" t="str">
        <f>Horaire!A22</f>
        <v>PASSOT LA BARGE</v>
      </c>
      <c r="B17" s="323">
        <f>Horaire!B22</f>
        <v>0.25694444444444442</v>
      </c>
      <c r="C17" s="322" t="str">
        <f>Horaire!C22</f>
        <v>D3</v>
      </c>
      <c r="D17" s="320" t="str">
        <f>VLOOKUP(C17,'Liste chauffeur'!$B$5:$L$18,2,TRUE)&amp;" "&amp;VLOOKUP(C17,'Liste chauffeur'!$B$5:$L$18,3,TRUE)</f>
        <v>ABDOURAHIM Mohamed</v>
      </c>
      <c r="E17" s="292"/>
      <c r="F17" s="255" t="str">
        <f>IF(ISBLANK('Feuille saisie'!X22)=TRUE,"",'Feuille saisie'!X22)</f>
        <v/>
      </c>
      <c r="G17" s="255"/>
      <c r="H17" s="256"/>
      <c r="I17" s="287"/>
    </row>
    <row r="18" spans="1:9" ht="40.5" hidden="1" customHeight="1" x14ac:dyDescent="0.45">
      <c r="A18" s="365" t="str">
        <f>Horaire!A23</f>
        <v>M'TSAPERE</v>
      </c>
      <c r="B18" s="323">
        <f>Horaire!B23</f>
        <v>0.25694444444444442</v>
      </c>
      <c r="C18" s="322" t="str">
        <f>Horaire!C23</f>
        <v>D5</v>
      </c>
      <c r="D18" s="320" t="str">
        <f>VLOOKUP(C18,'Liste chauffeur'!$B$5:$L$18,2,TRUE)&amp;" "&amp;VLOOKUP(C18,'Liste chauffeur'!$B$5:$L$18,3,TRUE)</f>
        <v>AMINA Selemani</v>
      </c>
      <c r="E18" s="292"/>
      <c r="F18" s="255" t="str">
        <f>IF(ISBLANK('Feuille saisie'!X23)=TRUE,"",'Feuille saisie'!X23)</f>
        <v/>
      </c>
      <c r="G18" s="255"/>
      <c r="H18" s="256"/>
      <c r="I18" s="287"/>
    </row>
    <row r="19" spans="1:9" ht="40.5" hidden="1" customHeight="1" x14ac:dyDescent="0.45">
      <c r="A19" s="364" t="str">
        <f>Horaire!A24</f>
        <v>PASSOT LA BARGE</v>
      </c>
      <c r="B19" s="366">
        <f>Horaire!B24</f>
        <v>0.25694444444444442</v>
      </c>
      <c r="C19" s="322" t="str">
        <f>Horaire!C24</f>
        <v>D14</v>
      </c>
      <c r="D19" s="320" t="str">
        <f>VLOOKUP(C19,'Liste chauffeur'!$B$5:$L$18,2,TRUE)&amp;" "&amp;VLOOKUP(C19,'Liste chauffeur'!$B$5:$L$18,3,TRUE)</f>
        <v>AHAMADI Laydine</v>
      </c>
      <c r="E19" s="292"/>
      <c r="F19" s="255" t="str">
        <f>IF(ISBLANK('Feuille saisie'!X24)=TRUE,"",'Feuille saisie'!X24)</f>
        <v/>
      </c>
      <c r="G19" s="255"/>
      <c r="H19" s="256"/>
      <c r="I19" s="287"/>
    </row>
    <row r="20" spans="1:9" ht="40.5" hidden="1" customHeight="1" x14ac:dyDescent="0.45">
      <c r="A20" s="364" t="str">
        <f>Horaire!A25</f>
        <v>DOUJANI</v>
      </c>
      <c r="B20" s="366">
        <f>Horaire!B25</f>
        <v>0.2638888888888889</v>
      </c>
      <c r="C20" s="322" t="str">
        <f>Horaire!C25</f>
        <v>D2</v>
      </c>
      <c r="D20" s="320" t="str">
        <f>VLOOKUP(C20,'Liste chauffeur'!$B$5:$L$18,2,TRUE)&amp;" "&amp;VLOOKUP(C20,'Liste chauffeur'!$B$5:$L$18,3,TRUE)</f>
        <v>BARAKA  Soumaila</v>
      </c>
      <c r="E20" s="292"/>
      <c r="F20" s="255"/>
      <c r="G20" s="255"/>
      <c r="H20" s="256"/>
      <c r="I20" s="287"/>
    </row>
    <row r="21" spans="1:9" ht="40.5" hidden="1" customHeight="1" x14ac:dyDescent="0.45">
      <c r="A21" s="364" t="str">
        <f>Horaire!A26</f>
        <v>PASSOT LA BARGE</v>
      </c>
      <c r="B21" s="323">
        <f>Horaire!B26</f>
        <v>0.2638888888888889</v>
      </c>
      <c r="C21" s="322" t="str">
        <f>Horaire!C26</f>
        <v>D10</v>
      </c>
      <c r="D21" s="320" t="str">
        <f>VLOOKUP(C21,'Liste chauffeur'!$B$5:$L$18,2,TRUE)&amp;" "&amp;VLOOKUP(C21,'Liste chauffeur'!$B$5:$L$18,3,TRUE)</f>
        <v>KAMARDINE Mansour (Salarié)</v>
      </c>
      <c r="E21" s="292"/>
      <c r="F21" s="255" t="str">
        <f>IF(ISBLANK('Feuille saisie'!X26)=TRUE,"",'Feuille saisie'!X26)</f>
        <v/>
      </c>
      <c r="G21" s="255"/>
      <c r="H21" s="256"/>
      <c r="I21" s="287"/>
    </row>
    <row r="22" spans="1:9" ht="40.5" hidden="1" customHeight="1" x14ac:dyDescent="0.45">
      <c r="A22" s="365" t="str">
        <f>Horaire!A27</f>
        <v>M'TSAPERE</v>
      </c>
      <c r="B22" s="366">
        <f>Horaire!B27</f>
        <v>0.2638888888888889</v>
      </c>
      <c r="C22" s="322" t="str">
        <f>Horaire!C27</f>
        <v>D7</v>
      </c>
      <c r="D22" s="320" t="str">
        <f>VLOOKUP(C22,'Liste chauffeur'!$B$5:$L$18,2,TRUE)&amp;" "&amp;VLOOKUP(C22,'Liste chauffeur'!$B$5:$L$18,3,TRUE)</f>
        <v>COMBO  Said</v>
      </c>
      <c r="E22" s="292"/>
      <c r="F22" s="255" t="str">
        <f>IF(ISBLANK('Feuille saisie'!X27)=TRUE,"",'Feuille saisie'!X27)</f>
        <v/>
      </c>
      <c r="G22" s="255"/>
      <c r="H22" s="256"/>
    </row>
    <row r="23" spans="1:9" ht="40.5" hidden="1" customHeight="1" x14ac:dyDescent="0.45">
      <c r="A23" s="364" t="str">
        <f>Horaire!A28</f>
        <v>PASSOT LA BARGE</v>
      </c>
      <c r="B23" s="366">
        <f>Horaire!B28</f>
        <v>0.2638888888888889</v>
      </c>
      <c r="C23" s="322" t="str">
        <f>Horaire!C28</f>
        <v>D6</v>
      </c>
      <c r="D23" s="320" t="str">
        <f>VLOOKUP(C23,'Liste chauffeur'!$B$5:$L$18,2,TRUE)&amp;" "&amp;VLOOKUP(C23,'Liste chauffeur'!$B$5:$L$18,3,TRUE)</f>
        <v>ABDOU HAMIDOUNE Nassabia</v>
      </c>
      <c r="E23" s="292"/>
      <c r="F23" s="255" t="str">
        <f>IF(ISBLANK('Feuille saisie'!X28)=TRUE,"",'Feuille saisie'!X28)</f>
        <v/>
      </c>
      <c r="G23" s="255"/>
      <c r="H23" s="256"/>
    </row>
    <row r="24" spans="1:9" ht="40.5" hidden="1" customHeight="1" x14ac:dyDescent="0.45">
      <c r="A24" s="364" t="str">
        <f>Horaire!A29</f>
        <v>DOUJANI</v>
      </c>
      <c r="B24" s="323">
        <f>Horaire!B29</f>
        <v>0.27083333333333331</v>
      </c>
      <c r="C24" s="322" t="str">
        <f>Horaire!C29</f>
        <v>D13</v>
      </c>
      <c r="D24" s="320" t="str">
        <f>VLOOKUP(C24,'Liste chauffeur'!$B$5:$L$18,2,TRUE)&amp;" "&amp;VLOOKUP(C24,'Liste chauffeur'!$B$5:$L$18,3,TRUE)</f>
        <v>MOURIDI Aktoir</v>
      </c>
      <c r="E24" s="292"/>
      <c r="F24" s="255" t="str">
        <f>IF(ISBLANK('Feuille saisie'!X29)=TRUE,"",'Feuille saisie'!X29)</f>
        <v/>
      </c>
      <c r="G24" s="255"/>
      <c r="H24" s="256"/>
      <c r="I24" s="287" t="s">
        <v>365</v>
      </c>
    </row>
    <row r="25" spans="1:9" ht="40.5" hidden="1" customHeight="1" x14ac:dyDescent="0.45">
      <c r="A25" s="364" t="str">
        <f>Horaire!A30</f>
        <v>PASSOT LA BARGE</v>
      </c>
      <c r="B25" s="323">
        <f>Horaire!B30</f>
        <v>0.27083333333333331</v>
      </c>
      <c r="C25" s="322" t="str">
        <f>Horaire!C30</f>
        <v>D1</v>
      </c>
      <c r="D25" s="320" t="str">
        <f>VLOOKUP(C25,'Liste chauffeur'!$B$5:$L$18,2,TRUE)&amp;" "&amp;VLOOKUP(C25,'Liste chauffeur'!$B$5:$L$18,3,TRUE)</f>
        <v>MOHAMED Ali (laglace)</v>
      </c>
      <c r="E25" s="292"/>
      <c r="F25" s="255" t="str">
        <f>IF(ISBLANK('Feuille saisie'!X30)=TRUE,"",'Feuille saisie'!X30)</f>
        <v/>
      </c>
      <c r="G25" s="255"/>
      <c r="H25" s="256"/>
    </row>
    <row r="26" spans="1:9" ht="40.5" hidden="1" customHeight="1" x14ac:dyDescent="0.45">
      <c r="A26" s="365" t="str">
        <f>Horaire!A31</f>
        <v>M'TSAPERE</v>
      </c>
      <c r="B26" s="323">
        <f>Horaire!B31</f>
        <v>0.27083333333333331</v>
      </c>
      <c r="C26" s="322" t="str">
        <f>Horaire!C31</f>
        <v>D11</v>
      </c>
      <c r="D26" s="320" t="str">
        <f>VLOOKUP(C26,'Liste chauffeur'!$B$5:$L$18,2,TRUE)&amp;" "&amp;VLOOKUP(C26,'Liste chauffeur'!$B$5:$L$18,3,TRUE)</f>
        <v>ALLAOUI  Soibrane</v>
      </c>
      <c r="E26" s="292"/>
      <c r="F26" s="255" t="str">
        <f>IF(ISBLANK('Feuille saisie'!X31)=TRUE,"",'Feuille saisie'!X31)</f>
        <v/>
      </c>
      <c r="G26" s="255"/>
      <c r="H26" s="256"/>
    </row>
    <row r="27" spans="1:9" ht="40.5" hidden="1" customHeight="1" x14ac:dyDescent="0.45">
      <c r="A27" s="364" t="str">
        <f>Horaire!A32</f>
        <v>PASSOT LA BARGE</v>
      </c>
      <c r="B27" s="323">
        <f>Horaire!B32</f>
        <v>0.27083333333333331</v>
      </c>
      <c r="C27" s="322" t="str">
        <f>Horaire!C32</f>
        <v>D4</v>
      </c>
      <c r="D27" s="320" t="str">
        <f>VLOOKUP(C27,'Liste chauffeur'!$B$5:$L$18,2,TRUE)&amp;" "&amp;VLOOKUP(C27,'Liste chauffeur'!$B$5:$L$18,3,TRUE)</f>
        <v>AMBDI  Houmadi</v>
      </c>
      <c r="E27" s="292"/>
      <c r="F27" s="255"/>
      <c r="G27" s="255"/>
      <c r="H27" s="256"/>
    </row>
    <row r="28" spans="1:9" ht="40.5" hidden="1" customHeight="1" x14ac:dyDescent="0.45">
      <c r="A28" s="364" t="str">
        <f>Horaire!A33</f>
        <v>DOUJANI</v>
      </c>
      <c r="B28" s="323">
        <f>Horaire!B33</f>
        <v>0.27777777777777779</v>
      </c>
      <c r="C28" s="322" t="str">
        <f>Horaire!C33</f>
        <v>D3</v>
      </c>
      <c r="D28" s="320" t="str">
        <f>VLOOKUP(C28,'Liste chauffeur'!$B$5:$L$18,2,TRUE)&amp;" "&amp;VLOOKUP(C28,'Liste chauffeur'!$B$5:$L$18,3,TRUE)</f>
        <v>ABDOURAHIM Mohamed</v>
      </c>
      <c r="E28" s="292"/>
      <c r="F28" s="255" t="str">
        <f>IF(ISBLANK('Feuille saisie'!X33)=TRUE,"",'Feuille saisie'!X33)</f>
        <v/>
      </c>
      <c r="G28" s="255"/>
      <c r="H28" s="256"/>
      <c r="I28" s="287"/>
    </row>
    <row r="29" spans="1:9" ht="40.5" hidden="1" customHeight="1" x14ac:dyDescent="0.45">
      <c r="A29" s="364" t="str">
        <f>Horaire!A34</f>
        <v>PASSOT LA BARGE</v>
      </c>
      <c r="B29" s="323">
        <f>Horaire!B34</f>
        <v>0.27777777777777779</v>
      </c>
      <c r="C29" s="322" t="str">
        <f>Horaire!C34</f>
        <v>D12</v>
      </c>
      <c r="D29" s="320" t="str">
        <f>VLOOKUP(C29,'Liste chauffeur'!$B$5:$L$18,2,TRUE)&amp;" "&amp;VLOOKUP(C29,'Liste chauffeur'!$B$5:$L$18,3,TRUE)</f>
        <v>VELOU M'COLO M'Berou</v>
      </c>
      <c r="E29" s="292"/>
      <c r="F29" s="255" t="str">
        <f>IF(ISBLANK('Feuille saisie'!X34)=TRUE,"",'Feuille saisie'!X34)</f>
        <v/>
      </c>
      <c r="G29" s="255"/>
      <c r="H29" s="256"/>
    </row>
    <row r="30" spans="1:9" ht="40.5" hidden="1" customHeight="1" x14ac:dyDescent="0.45">
      <c r="A30" s="365" t="str">
        <f>Horaire!A35</f>
        <v>M'TSAPERE</v>
      </c>
      <c r="B30" s="323">
        <f>Horaire!B35</f>
        <v>0.27777777777777779</v>
      </c>
      <c r="C30" s="322" t="str">
        <f>Horaire!C35</f>
        <v>D14</v>
      </c>
      <c r="D30" s="320" t="str">
        <f>VLOOKUP(C30,'Liste chauffeur'!$B$5:$L$18,2,TRUE)&amp;" "&amp;VLOOKUP(C30,'Liste chauffeur'!$B$5:$L$18,3,TRUE)</f>
        <v>AHAMADI Laydine</v>
      </c>
      <c r="E30" s="292"/>
      <c r="F30" s="255" t="str">
        <f>IF(ISBLANK('Feuille saisie'!X35)=TRUE,"",'Feuille saisie'!X35)</f>
        <v/>
      </c>
      <c r="G30" s="255"/>
      <c r="H30" s="256"/>
    </row>
    <row r="31" spans="1:9" ht="40.5" hidden="1" customHeight="1" x14ac:dyDescent="0.45">
      <c r="A31" s="364" t="str">
        <f>Horaire!A36</f>
        <v>PASSOT LA BARGE</v>
      </c>
      <c r="B31" s="323">
        <f>Horaire!B36</f>
        <v>0.27777777777777779</v>
      </c>
      <c r="C31" s="322" t="str">
        <f>Horaire!C36</f>
        <v>D5</v>
      </c>
      <c r="D31" s="320" t="str">
        <f>VLOOKUP(C31,'Liste chauffeur'!$B$5:$L$18,2,TRUE)&amp;" "&amp;VLOOKUP(C31,'Liste chauffeur'!$B$5:$L$18,3,TRUE)</f>
        <v>AMINA Selemani</v>
      </c>
      <c r="E31" s="292"/>
      <c r="F31" s="255" t="str">
        <f>IF(ISBLANK('Feuille saisie'!X36)=TRUE,"",'Feuille saisie'!X36)</f>
        <v/>
      </c>
      <c r="G31" s="255"/>
      <c r="H31" s="256"/>
    </row>
    <row r="32" spans="1:9" ht="40.5" hidden="1" customHeight="1" x14ac:dyDescent="0.45">
      <c r="A32" s="364" t="str">
        <f>Horaire!A37</f>
        <v>DOUJANI</v>
      </c>
      <c r="B32" s="323">
        <f>Horaire!B37</f>
        <v>0.28472222222222221</v>
      </c>
      <c r="C32" s="322" t="str">
        <f>Horaire!C37</f>
        <v>D10</v>
      </c>
      <c r="D32" s="320" t="str">
        <f>VLOOKUP(C32,'Liste chauffeur'!$B$5:$L$18,2,TRUE)&amp;" "&amp;VLOOKUP(C32,'Liste chauffeur'!$B$5:$L$18,3,TRUE)</f>
        <v>KAMARDINE Mansour (Salarié)</v>
      </c>
      <c r="E32" s="292"/>
      <c r="F32" s="255" t="str">
        <f>IF(ISBLANK('Feuille saisie'!X37)=TRUE,"",'Feuille saisie'!X37)</f>
        <v/>
      </c>
      <c r="G32" s="255"/>
      <c r="H32" s="256"/>
      <c r="I32" s="287" t="s">
        <v>367</v>
      </c>
    </row>
    <row r="33" spans="1:9" ht="40.5" hidden="1" customHeight="1" x14ac:dyDescent="0.45">
      <c r="A33" s="364" t="str">
        <f>Horaire!A38</f>
        <v>PASSOT LA BARGE</v>
      </c>
      <c r="B33" s="323">
        <f>Horaire!B38</f>
        <v>0.28472222222222221</v>
      </c>
      <c r="C33" s="322" t="str">
        <f>Horaire!C38</f>
        <v>D2</v>
      </c>
      <c r="D33" s="320" t="str">
        <f>VLOOKUP(C33,'Liste chauffeur'!$B$5:$L$18,2,TRUE)&amp;" "&amp;VLOOKUP(C33,'Liste chauffeur'!$B$5:$L$18,3,TRUE)</f>
        <v>BARAKA  Soumaila</v>
      </c>
      <c r="E33" s="292"/>
      <c r="F33" s="255" t="str">
        <f>IF(ISBLANK('Feuille saisie'!X38)=TRUE,"",'Feuille saisie'!X38)</f>
        <v/>
      </c>
      <c r="G33" s="255"/>
      <c r="H33" s="256"/>
    </row>
    <row r="34" spans="1:9" ht="40.5" hidden="1" customHeight="1" x14ac:dyDescent="0.45">
      <c r="A34" s="365" t="str">
        <f>Horaire!A39</f>
        <v>M'TSAPERE</v>
      </c>
      <c r="B34" s="323">
        <f>Horaire!B39</f>
        <v>0.28472222222222221</v>
      </c>
      <c r="C34" s="322" t="str">
        <f>Horaire!C39</f>
        <v>D6</v>
      </c>
      <c r="D34" s="320" t="str">
        <f>VLOOKUP(C34,'Liste chauffeur'!$B$5:$L$18,2,TRUE)&amp;" "&amp;VLOOKUP(C34,'Liste chauffeur'!$B$5:$L$18,3,TRUE)</f>
        <v>ABDOU HAMIDOUNE Nassabia</v>
      </c>
      <c r="E34" s="292"/>
      <c r="F34" s="255" t="str">
        <f>IF(ISBLANK('Feuille saisie'!X39)=TRUE,"",'Feuille saisie'!X39)</f>
        <v/>
      </c>
      <c r="G34" s="255"/>
      <c r="H34" s="256"/>
      <c r="I34" s="137"/>
    </row>
    <row r="35" spans="1:9" ht="40.5" hidden="1" customHeight="1" x14ac:dyDescent="0.45">
      <c r="A35" s="364" t="str">
        <f>Horaire!A40</f>
        <v>PASSOT LA BARGE</v>
      </c>
      <c r="B35" s="323">
        <f>Horaire!B40</f>
        <v>0.28472222222222221</v>
      </c>
      <c r="C35" s="322" t="str">
        <f>Horaire!C40</f>
        <v>D7</v>
      </c>
      <c r="D35" s="320" t="str">
        <f>VLOOKUP(C35,'Liste chauffeur'!$B$5:$L$18,2,TRUE)&amp;" "&amp;VLOOKUP(C35,'Liste chauffeur'!$B$5:$L$18,3,TRUE)</f>
        <v>COMBO  Said</v>
      </c>
      <c r="E35" s="292"/>
      <c r="F35" s="255" t="str">
        <f>IF(ISBLANK('Feuille saisie'!X40)=TRUE,"",'Feuille saisie'!X40)</f>
        <v/>
      </c>
      <c r="G35" s="255"/>
      <c r="H35" s="256"/>
      <c r="I35" s="287" t="s">
        <v>366</v>
      </c>
    </row>
    <row r="36" spans="1:9" ht="40.5" hidden="1" customHeight="1" x14ac:dyDescent="0.45">
      <c r="A36" s="364" t="str">
        <f>Horaire!A41</f>
        <v>DOUJANI</v>
      </c>
      <c r="B36" s="323">
        <f>Horaire!B41</f>
        <v>0.29166666666666669</v>
      </c>
      <c r="C36" s="322" t="str">
        <f>Horaire!C41</f>
        <v>D1</v>
      </c>
      <c r="D36" s="320" t="str">
        <f>VLOOKUP(C36,'Liste chauffeur'!$B$5:$L$18,2,TRUE)&amp;" "&amp;VLOOKUP(C36,'Liste chauffeur'!$B$5:$L$18,3,TRUE)</f>
        <v>MOHAMED Ali (laglace)</v>
      </c>
      <c r="E36" s="292"/>
      <c r="F36" s="255" t="str">
        <f>IF(ISBLANK('Feuille saisie'!X41)=TRUE,"",'Feuille saisie'!X41)</f>
        <v/>
      </c>
      <c r="G36" s="255"/>
      <c r="H36" s="256"/>
    </row>
    <row r="37" spans="1:9" ht="40.5" hidden="1" customHeight="1" x14ac:dyDescent="0.45">
      <c r="A37" s="364" t="str">
        <f>Horaire!A42</f>
        <v>PASSOT LA BARGE</v>
      </c>
      <c r="B37" s="323">
        <f>Horaire!B42</f>
        <v>0.29166666666666669</v>
      </c>
      <c r="C37" s="322" t="str">
        <f>Horaire!C42</f>
        <v>D13</v>
      </c>
      <c r="D37" s="320" t="str">
        <f>VLOOKUP(C37,'Liste chauffeur'!$B$5:$L$18,2,TRUE)&amp;" "&amp;VLOOKUP(C37,'Liste chauffeur'!$B$5:$L$18,3,TRUE)</f>
        <v>MOURIDI Aktoir</v>
      </c>
      <c r="E37" s="292"/>
      <c r="F37" s="259" t="str">
        <f>IF(ISBLANK('Feuille saisie'!X42)=TRUE,"",'Feuille saisie'!X42)</f>
        <v/>
      </c>
      <c r="G37" s="255"/>
      <c r="H37" s="256"/>
    </row>
    <row r="38" spans="1:9" ht="40.5" hidden="1" customHeight="1" x14ac:dyDescent="0.45">
      <c r="A38" s="365" t="str">
        <f>Horaire!A43</f>
        <v>M'TSAPERE</v>
      </c>
      <c r="B38" s="323">
        <f>Horaire!B43</f>
        <v>0.29166666666666669</v>
      </c>
      <c r="C38" s="322" t="str">
        <f>Horaire!C43</f>
        <v>D4</v>
      </c>
      <c r="D38" s="320" t="str">
        <f>VLOOKUP(C38,'Liste chauffeur'!$B$5:$L$18,2,TRUE)&amp;" "&amp;VLOOKUP(C38,'Liste chauffeur'!$B$5:$L$18,3,TRUE)</f>
        <v>AMBDI  Houmadi</v>
      </c>
      <c r="E38" s="292"/>
      <c r="F38" s="255" t="str">
        <f>IF(ISBLANK('Feuille saisie'!X43)=TRUE,"",'Feuille saisie'!X43)</f>
        <v/>
      </c>
      <c r="G38" s="255"/>
      <c r="H38" s="256"/>
    </row>
    <row r="39" spans="1:9" ht="40.5" hidden="1" customHeight="1" x14ac:dyDescent="0.45">
      <c r="A39" s="364" t="str">
        <f>Horaire!A44</f>
        <v>PASSOT LA BARGE</v>
      </c>
      <c r="B39" s="323">
        <f>Horaire!B44</f>
        <v>0.29166666666666669</v>
      </c>
      <c r="C39" s="322" t="str">
        <f>Horaire!C44</f>
        <v>D11</v>
      </c>
      <c r="D39" s="320" t="str">
        <f>VLOOKUP(C39,'Liste chauffeur'!$B$5:$L$18,2,TRUE)&amp;" "&amp;VLOOKUP(C39,'Liste chauffeur'!$B$5:$L$18,3,TRUE)</f>
        <v>ALLAOUI  Soibrane</v>
      </c>
      <c r="E39" s="292"/>
      <c r="F39" s="255" t="str">
        <f>IF(ISBLANK('Feuille saisie'!X44)=TRUE,"",'Feuille saisie'!X44)</f>
        <v/>
      </c>
      <c r="G39" s="255"/>
      <c r="H39" s="256"/>
    </row>
    <row r="40" spans="1:9" ht="40.5" hidden="1" customHeight="1" x14ac:dyDescent="0.45">
      <c r="A40" s="364" t="str">
        <f>Horaire!A45</f>
        <v>DOUJANI</v>
      </c>
      <c r="B40" s="323">
        <f>Horaire!B45</f>
        <v>0.2986111111111111</v>
      </c>
      <c r="C40" s="322" t="str">
        <f>Horaire!C45</f>
        <v>D12</v>
      </c>
      <c r="D40" s="320" t="str">
        <f>VLOOKUP(C40,'Liste chauffeur'!$B$5:$L$18,2,TRUE)&amp;" "&amp;VLOOKUP(C40,'Liste chauffeur'!$B$5:$L$18,3,TRUE)</f>
        <v>VELOU M'COLO M'Berou</v>
      </c>
      <c r="E40" s="292"/>
      <c r="F40" s="255" t="str">
        <f>IF(ISBLANK('Feuille saisie'!X45)=TRUE,"",'Feuille saisie'!X45)</f>
        <v/>
      </c>
      <c r="G40" s="255"/>
      <c r="H40" s="256"/>
      <c r="I40" s="287"/>
    </row>
    <row r="41" spans="1:9" ht="40.5" hidden="1" customHeight="1" x14ac:dyDescent="0.45">
      <c r="A41" s="364" t="str">
        <f>Horaire!A46</f>
        <v>PASSOT LA BARGE</v>
      </c>
      <c r="B41" s="323">
        <f>Horaire!B46</f>
        <v>0.2986111111111111</v>
      </c>
      <c r="C41" s="322" t="str">
        <f>Horaire!C46</f>
        <v>D3</v>
      </c>
      <c r="D41" s="320" t="str">
        <f>VLOOKUP(C41,'Liste chauffeur'!$B$5:$L$18,2,TRUE)&amp;" "&amp;VLOOKUP(C41,'Liste chauffeur'!$B$5:$L$18,3,TRUE)</f>
        <v>ABDOURAHIM Mohamed</v>
      </c>
      <c r="E41" s="292"/>
      <c r="F41" s="255" t="str">
        <f>IF(ISBLANK('Feuille saisie'!X46)=TRUE,"",'Feuille saisie'!X46)</f>
        <v/>
      </c>
      <c r="G41" s="255"/>
      <c r="H41" s="256"/>
      <c r="I41" s="287"/>
    </row>
    <row r="42" spans="1:9" ht="40.5" hidden="1" customHeight="1" x14ac:dyDescent="0.45">
      <c r="A42" s="365" t="str">
        <f>Horaire!A47</f>
        <v>M'TSAPERE</v>
      </c>
      <c r="B42" s="323">
        <f>Horaire!B47</f>
        <v>0.2986111111111111</v>
      </c>
      <c r="C42" s="322" t="str">
        <f>Horaire!C47</f>
        <v>D5</v>
      </c>
      <c r="D42" s="320" t="str">
        <f>VLOOKUP(C42,'Liste chauffeur'!$B$5:$L$18,2,TRUE)&amp;" "&amp;VLOOKUP(C42,'Liste chauffeur'!$B$5:$L$18,3,TRUE)</f>
        <v>AMINA Selemani</v>
      </c>
      <c r="E42" s="292"/>
      <c r="F42" s="255" t="str">
        <f>IF(ISBLANK('Feuille saisie'!X47)=TRUE,"",'Feuille saisie'!X47)</f>
        <v/>
      </c>
      <c r="G42" s="255"/>
      <c r="H42" s="256"/>
    </row>
    <row r="43" spans="1:9" ht="40.5" hidden="1" customHeight="1" x14ac:dyDescent="0.45">
      <c r="A43" s="364" t="str">
        <f>Horaire!A48</f>
        <v>PASSOT LA BARGE</v>
      </c>
      <c r="B43" s="323">
        <f>Horaire!B48</f>
        <v>0.2986111111111111</v>
      </c>
      <c r="C43" s="322" t="str">
        <f>Horaire!C48</f>
        <v>D14</v>
      </c>
      <c r="D43" s="320" t="str">
        <f>VLOOKUP(C43,'Liste chauffeur'!$B$5:$L$18,2,TRUE)&amp;" "&amp;VLOOKUP(C43,'Liste chauffeur'!$B$5:$L$18,3,TRUE)</f>
        <v>AHAMADI Laydine</v>
      </c>
      <c r="E43" s="292"/>
      <c r="F43" s="255" t="str">
        <f>IF(ISBLANK('Feuille saisie'!X48)=TRUE,"",'Feuille saisie'!X48)</f>
        <v/>
      </c>
      <c r="G43" s="255"/>
      <c r="H43" s="256"/>
      <c r="I43" s="287"/>
    </row>
    <row r="44" spans="1:9" ht="40.5" hidden="1" customHeight="1" x14ac:dyDescent="0.45">
      <c r="A44" s="364" t="str">
        <f>Horaire!A49</f>
        <v>DOUJANI</v>
      </c>
      <c r="B44" s="323">
        <f>Horaire!B49</f>
        <v>0.30555555555555558</v>
      </c>
      <c r="C44" s="322" t="str">
        <f>Horaire!C49</f>
        <v>D2</v>
      </c>
      <c r="D44" s="320" t="str">
        <f>VLOOKUP(C44,'Liste chauffeur'!$B$5:$L$18,2,TRUE)&amp;" "&amp;VLOOKUP(C44,'Liste chauffeur'!$B$5:$L$18,3,TRUE)</f>
        <v>BARAKA  Soumaila</v>
      </c>
      <c r="E44" s="292"/>
      <c r="F44" s="255" t="str">
        <f>IF(ISBLANK('Feuille saisie'!X49)=TRUE,"",'Feuille saisie'!X49)</f>
        <v/>
      </c>
      <c r="G44" s="255"/>
      <c r="H44" s="256"/>
      <c r="I44" s="287"/>
    </row>
    <row r="45" spans="1:9" ht="40.5" hidden="1" customHeight="1" x14ac:dyDescent="0.45">
      <c r="A45" s="364" t="str">
        <f>Horaire!A50</f>
        <v>PASSOT LA BARGE</v>
      </c>
      <c r="B45" s="323">
        <f>Horaire!B50</f>
        <v>0.30555555555555558</v>
      </c>
      <c r="C45" s="322" t="str">
        <f>Horaire!C50</f>
        <v>D10</v>
      </c>
      <c r="D45" s="320" t="str">
        <f>VLOOKUP(C45,'Liste chauffeur'!$B$5:$L$18,2,TRUE)&amp;" "&amp;VLOOKUP(C45,'Liste chauffeur'!$B$5:$L$18,3,TRUE)</f>
        <v>KAMARDINE Mansour (Salarié)</v>
      </c>
      <c r="E45" s="292"/>
      <c r="F45" s="255" t="str">
        <f>IF(ISBLANK('Feuille saisie'!X50)=TRUE,"",'Feuille saisie'!X50)</f>
        <v/>
      </c>
      <c r="G45" s="255"/>
      <c r="H45" s="256"/>
      <c r="I45" s="287"/>
    </row>
    <row r="46" spans="1:9" ht="40.5" hidden="1" customHeight="1" x14ac:dyDescent="0.45">
      <c r="A46" s="365" t="str">
        <f>Horaire!A51</f>
        <v>M'TSAPERE</v>
      </c>
      <c r="B46" s="323">
        <f>Horaire!B51</f>
        <v>0.30555555555555558</v>
      </c>
      <c r="C46" s="322" t="str">
        <f>Horaire!C51</f>
        <v>D7</v>
      </c>
      <c r="D46" s="320" t="str">
        <f>VLOOKUP(C46,'Liste chauffeur'!$B$5:$L$18,2,TRUE)&amp;" "&amp;VLOOKUP(C46,'Liste chauffeur'!$B$5:$L$18,3,TRUE)</f>
        <v>COMBO  Said</v>
      </c>
      <c r="E46" s="292"/>
      <c r="F46" s="255" t="str">
        <f>IF(ISBLANK('Feuille saisie'!X51)=TRUE,"",'Feuille saisie'!X51)</f>
        <v/>
      </c>
      <c r="G46" s="255"/>
      <c r="H46" s="256"/>
      <c r="I46" s="287"/>
    </row>
    <row r="47" spans="1:9" ht="40.5" hidden="1" customHeight="1" x14ac:dyDescent="0.45">
      <c r="A47" s="364" t="str">
        <f>Horaire!A52</f>
        <v>PASSOT LA BARGE</v>
      </c>
      <c r="B47" s="323">
        <f>Horaire!B52</f>
        <v>0.30555555555555558</v>
      </c>
      <c r="C47" s="322" t="str">
        <f>Horaire!C52</f>
        <v>D6</v>
      </c>
      <c r="D47" s="320" t="str">
        <f>VLOOKUP(C47,'Liste chauffeur'!$B$5:$L$18,2,TRUE)&amp;" "&amp;VLOOKUP(C47,'Liste chauffeur'!$B$5:$L$18,3,TRUE)</f>
        <v>ABDOU HAMIDOUNE Nassabia</v>
      </c>
      <c r="E47" s="292"/>
      <c r="F47" s="255" t="str">
        <f>IF(ISBLANK('Feuille saisie'!X52)=TRUE,"",'Feuille saisie'!X52)</f>
        <v/>
      </c>
      <c r="G47" s="255"/>
      <c r="H47" s="256"/>
      <c r="I47" s="287"/>
    </row>
    <row r="48" spans="1:9" ht="40.5" hidden="1" customHeight="1" x14ac:dyDescent="0.45">
      <c r="A48" s="364" t="str">
        <f>Horaire!A53</f>
        <v>DOUJANI</v>
      </c>
      <c r="B48" s="323">
        <f>Horaire!B53</f>
        <v>0.3125</v>
      </c>
      <c r="C48" s="322" t="str">
        <f>Horaire!C53</f>
        <v>D13</v>
      </c>
      <c r="D48" s="320" t="str">
        <f>VLOOKUP(C48,'Liste chauffeur'!$B$5:$L$18,2,TRUE)&amp;" "&amp;VLOOKUP(C48,'Liste chauffeur'!$B$5:$L$18,3,TRUE)</f>
        <v>MOURIDI Aktoir</v>
      </c>
      <c r="E48" s="292"/>
      <c r="F48" s="255" t="str">
        <f>IF(ISBLANK('Feuille saisie'!X53)=TRUE,"",'Feuille saisie'!X53)</f>
        <v/>
      </c>
      <c r="G48" s="255"/>
      <c r="H48" s="256"/>
      <c r="I48" s="287"/>
    </row>
    <row r="49" spans="1:9" ht="40.5" hidden="1" customHeight="1" x14ac:dyDescent="0.45">
      <c r="A49" s="364" t="str">
        <f>Horaire!A54</f>
        <v>PASSOT LA BARGE</v>
      </c>
      <c r="B49" s="323">
        <f>Horaire!B54</f>
        <v>0.3125</v>
      </c>
      <c r="C49" s="322" t="str">
        <f>Horaire!C54</f>
        <v>D1</v>
      </c>
      <c r="D49" s="320" t="str">
        <f>VLOOKUP(C49,'Liste chauffeur'!$B$5:$L$18,2,TRUE)&amp;" "&amp;VLOOKUP(C49,'Liste chauffeur'!$B$5:$L$18,3,TRUE)</f>
        <v>MOHAMED Ali (laglace)</v>
      </c>
      <c r="E49" s="292"/>
      <c r="F49" s="255" t="str">
        <f>IF(ISBLANK('Feuille saisie'!X54)=TRUE,"",'Feuille saisie'!X54)</f>
        <v/>
      </c>
      <c r="G49" s="255"/>
      <c r="H49" s="256"/>
      <c r="I49" s="287"/>
    </row>
    <row r="50" spans="1:9" ht="40.5" hidden="1" customHeight="1" x14ac:dyDescent="0.45">
      <c r="A50" s="365" t="str">
        <f>Horaire!A55</f>
        <v>M'TSAPERE</v>
      </c>
      <c r="B50" s="323">
        <f>Horaire!B55</f>
        <v>0.3125</v>
      </c>
      <c r="C50" s="322" t="str">
        <f>Horaire!C55</f>
        <v>D11</v>
      </c>
      <c r="D50" s="320" t="str">
        <f>VLOOKUP(C50,'Liste chauffeur'!$B$5:$L$18,2,TRUE)&amp;" "&amp;VLOOKUP(C50,'Liste chauffeur'!$B$5:$L$18,3,TRUE)</f>
        <v>ALLAOUI  Soibrane</v>
      </c>
      <c r="E50" s="292"/>
      <c r="F50" s="255" t="str">
        <f>IF(ISBLANK('Feuille saisie'!X55)=TRUE,"",'Feuille saisie'!X55)</f>
        <v/>
      </c>
      <c r="G50" s="255"/>
      <c r="H50" s="256"/>
      <c r="I50" s="287"/>
    </row>
    <row r="51" spans="1:9" ht="40.5" hidden="1" customHeight="1" x14ac:dyDescent="0.45">
      <c r="A51" s="364" t="str">
        <f>Horaire!A56</f>
        <v>PASSOT LA BARGE</v>
      </c>
      <c r="B51" s="323">
        <f>Horaire!B56</f>
        <v>0.3125</v>
      </c>
      <c r="C51" s="322" t="str">
        <f>Horaire!C56</f>
        <v>D4</v>
      </c>
      <c r="D51" s="320" t="str">
        <f>VLOOKUP(C51,'Liste chauffeur'!$B$5:$L$18,2,TRUE)&amp;" "&amp;VLOOKUP(C51,'Liste chauffeur'!$B$5:$L$18,3,TRUE)</f>
        <v>AMBDI  Houmadi</v>
      </c>
      <c r="E51" s="292"/>
      <c r="F51" s="255"/>
      <c r="G51" s="255"/>
      <c r="H51" s="256"/>
      <c r="I51" s="287"/>
    </row>
    <row r="52" spans="1:9" ht="40.5" hidden="1" customHeight="1" x14ac:dyDescent="0.45">
      <c r="A52" s="364" t="str">
        <f>Horaire!A57</f>
        <v>DOUJANI</v>
      </c>
      <c r="B52" s="367">
        <f>Horaire!B57</f>
        <v>0.31944444444444442</v>
      </c>
      <c r="C52" s="322" t="str">
        <f>Horaire!C57</f>
        <v>D3</v>
      </c>
      <c r="D52" s="320" t="str">
        <f>VLOOKUP(C52,'Liste chauffeur'!$B$5:$L$18,2,TRUE)&amp;" "&amp;VLOOKUP(C52,'Liste chauffeur'!$B$5:$L$18,3,TRUE)</f>
        <v>ABDOURAHIM Mohamed</v>
      </c>
      <c r="E52" s="292"/>
      <c r="F52" s="255"/>
      <c r="G52" s="255"/>
      <c r="H52" s="256"/>
      <c r="I52" s="287"/>
    </row>
    <row r="53" spans="1:9" ht="40.5" hidden="1" customHeight="1" x14ac:dyDescent="0.45">
      <c r="A53" s="364" t="str">
        <f>Horaire!A58</f>
        <v>PASSOT LA BARGE</v>
      </c>
      <c r="B53" s="367">
        <f>Horaire!B58</f>
        <v>0.31944444444444442</v>
      </c>
      <c r="C53" s="322" t="str">
        <f>Horaire!C58</f>
        <v>D12</v>
      </c>
      <c r="D53" s="320" t="str">
        <f>VLOOKUP(C53,'Liste chauffeur'!$B$5:$L$18,2,TRUE)&amp;" "&amp;VLOOKUP(C53,'Liste chauffeur'!$B$5:$L$18,3,TRUE)</f>
        <v>VELOU M'COLO M'Berou</v>
      </c>
      <c r="E53" s="292"/>
      <c r="F53" s="255"/>
      <c r="G53" s="255"/>
      <c r="H53" s="256"/>
      <c r="I53" s="287" t="s">
        <v>364</v>
      </c>
    </row>
    <row r="54" spans="1:9" ht="40.5" hidden="1" customHeight="1" x14ac:dyDescent="0.45">
      <c r="A54" s="365" t="str">
        <f>Horaire!A59</f>
        <v>M'TSAPERE</v>
      </c>
      <c r="B54" s="367">
        <f>Horaire!B59</f>
        <v>0.31944444444444442</v>
      </c>
      <c r="C54" s="322" t="str">
        <f>Horaire!C59</f>
        <v>D14</v>
      </c>
      <c r="D54" s="320" t="str">
        <f>VLOOKUP(C54,'Liste chauffeur'!$B$5:$L$18,2,TRUE)&amp;" "&amp;VLOOKUP(C54,'Liste chauffeur'!$B$5:$L$18,3,TRUE)</f>
        <v>AHAMADI Laydine</v>
      </c>
      <c r="E54" s="292"/>
      <c r="F54" s="255"/>
      <c r="G54" s="255"/>
      <c r="H54" s="256"/>
    </row>
    <row r="55" spans="1:9" ht="40.5" hidden="1" customHeight="1" x14ac:dyDescent="0.45">
      <c r="A55" s="364" t="str">
        <f>Horaire!A60</f>
        <v>PASSOT LA BARGE</v>
      </c>
      <c r="B55" s="367">
        <f>Horaire!B60</f>
        <v>0.31944444444444442</v>
      </c>
      <c r="C55" s="322" t="str">
        <f>Horaire!C60</f>
        <v>D5</v>
      </c>
      <c r="D55" s="320" t="str">
        <f>VLOOKUP(C55,'Liste chauffeur'!$B$5:$L$18,2,TRUE)&amp;" "&amp;VLOOKUP(C55,'Liste chauffeur'!$B$5:$L$18,3,TRUE)</f>
        <v>AMINA Selemani</v>
      </c>
      <c r="E55" s="292"/>
      <c r="F55" s="255"/>
      <c r="G55" s="255"/>
      <c r="H55" s="256"/>
    </row>
    <row r="56" spans="1:9" ht="40.5" hidden="1" customHeight="1" x14ac:dyDescent="0.45">
      <c r="A56" s="364" t="str">
        <f>Horaire!A61</f>
        <v>DOUJANI</v>
      </c>
      <c r="B56" s="323">
        <f>Horaire!B61</f>
        <v>0.3263888888888889</v>
      </c>
      <c r="C56" s="322" t="str">
        <f>Horaire!C61</f>
        <v>D10</v>
      </c>
      <c r="D56" s="320" t="str">
        <f>VLOOKUP(C56,'Liste chauffeur'!$B$5:$L$18,2,TRUE)&amp;" "&amp;VLOOKUP(C56,'Liste chauffeur'!$B$5:$L$18,3,TRUE)</f>
        <v>KAMARDINE Mansour (Salarié)</v>
      </c>
      <c r="E56" s="292"/>
      <c r="F56" s="255"/>
      <c r="G56" s="255"/>
      <c r="H56" s="256"/>
      <c r="I56" s="287" t="s">
        <v>365</v>
      </c>
    </row>
    <row r="57" spans="1:9" ht="40.5" hidden="1" customHeight="1" x14ac:dyDescent="0.45">
      <c r="A57" s="364" t="str">
        <f>Horaire!A62</f>
        <v>PASSOT LA BARGE</v>
      </c>
      <c r="B57" s="323">
        <f>Horaire!B62</f>
        <v>0.3263888888888889</v>
      </c>
      <c r="C57" s="322" t="str">
        <f>Horaire!C62</f>
        <v>D2</v>
      </c>
      <c r="D57" s="320" t="str">
        <f>VLOOKUP(C57,'Liste chauffeur'!$B$5:$L$18,2,TRUE)&amp;" "&amp;VLOOKUP(C57,'Liste chauffeur'!$B$5:$L$18,3,TRUE)</f>
        <v>BARAKA  Soumaila</v>
      </c>
      <c r="E57" s="292"/>
      <c r="F57" s="255"/>
      <c r="G57" s="255"/>
      <c r="H57" s="256"/>
    </row>
    <row r="58" spans="1:9" ht="40.5" hidden="1" customHeight="1" x14ac:dyDescent="0.45">
      <c r="A58" s="365" t="str">
        <f>Horaire!A63</f>
        <v>M'TSAPERE</v>
      </c>
      <c r="B58" s="367">
        <f>Horaire!B63</f>
        <v>0.3263888888888889</v>
      </c>
      <c r="C58" s="322" t="str">
        <f>Horaire!C63</f>
        <v>D6</v>
      </c>
      <c r="D58" s="320" t="str">
        <f>VLOOKUP(C58,'Liste chauffeur'!$B$5:$L$18,2,TRUE)&amp;" "&amp;VLOOKUP(C58,'Liste chauffeur'!$B$5:$L$18,3,TRUE)</f>
        <v>ABDOU HAMIDOUNE Nassabia</v>
      </c>
      <c r="E58" s="292"/>
      <c r="F58" s="255"/>
      <c r="G58" s="255"/>
      <c r="H58" s="256"/>
    </row>
    <row r="59" spans="1:9" ht="40.5" hidden="1" customHeight="1" x14ac:dyDescent="0.45">
      <c r="A59" s="364" t="str">
        <f>Horaire!A64</f>
        <v>PASSOT LA BARGE</v>
      </c>
      <c r="B59" s="367">
        <f>Horaire!B64</f>
        <v>0.3263888888888889</v>
      </c>
      <c r="C59" s="322" t="str">
        <f>Horaire!C64</f>
        <v>D7</v>
      </c>
      <c r="D59" s="320" t="str">
        <f>VLOOKUP(C59,'Liste chauffeur'!$B$5:$L$18,2,TRUE)&amp;" "&amp;VLOOKUP(C59,'Liste chauffeur'!$B$5:$L$18,3,TRUE)</f>
        <v>COMBO  Said</v>
      </c>
      <c r="E59" s="292"/>
      <c r="F59" s="255"/>
      <c r="G59" s="255"/>
      <c r="H59" s="256"/>
      <c r="I59" s="287"/>
    </row>
    <row r="60" spans="1:9" ht="40.5" hidden="1" customHeight="1" x14ac:dyDescent="0.45">
      <c r="A60" s="364" t="str">
        <f>Horaire!A65</f>
        <v>DOUJANI</v>
      </c>
      <c r="B60" s="367">
        <f>Horaire!B65</f>
        <v>0.33333333333333331</v>
      </c>
      <c r="C60" s="322" t="str">
        <f>Horaire!C65</f>
        <v>D1</v>
      </c>
      <c r="D60" s="320" t="str">
        <f>VLOOKUP(C60,'Liste chauffeur'!$B$5:$L$18,2,TRUE)&amp;" "&amp;VLOOKUP(C60,'Liste chauffeur'!$B$5:$L$18,3,TRUE)</f>
        <v>MOHAMED Ali (laglace)</v>
      </c>
      <c r="E60" s="292"/>
      <c r="F60" s="255"/>
      <c r="G60" s="255"/>
      <c r="H60" s="256"/>
    </row>
    <row r="61" spans="1:9" ht="40.5" hidden="1" customHeight="1" x14ac:dyDescent="0.45">
      <c r="A61" s="364" t="str">
        <f>Horaire!A66</f>
        <v>PASSOT LA BARGE</v>
      </c>
      <c r="B61" s="367">
        <f>Horaire!B66</f>
        <v>0.33333333333333331</v>
      </c>
      <c r="C61" s="322" t="str">
        <f>Horaire!C66</f>
        <v>D13</v>
      </c>
      <c r="D61" s="320" t="str">
        <f>VLOOKUP(C61,'Liste chauffeur'!$B$5:$L$18,2,TRUE)&amp;" "&amp;VLOOKUP(C61,'Liste chauffeur'!$B$5:$L$18,3,TRUE)</f>
        <v>MOURIDI Aktoir</v>
      </c>
      <c r="E61" s="292"/>
      <c r="F61" s="255"/>
      <c r="G61" s="255"/>
      <c r="H61" s="256"/>
    </row>
    <row r="62" spans="1:9" ht="40.5" hidden="1" customHeight="1" x14ac:dyDescent="0.45">
      <c r="A62" s="365" t="str">
        <f>Horaire!A67</f>
        <v>M'TSAPERE</v>
      </c>
      <c r="B62" s="323">
        <f>Horaire!B67</f>
        <v>0.33333333333333331</v>
      </c>
      <c r="C62" s="322" t="str">
        <f>Horaire!C67</f>
        <v>D4</v>
      </c>
      <c r="D62" s="320" t="str">
        <f>VLOOKUP(C62,'Liste chauffeur'!$B$5:$L$18,2,TRUE)&amp;" "&amp;VLOOKUP(C62,'Liste chauffeur'!$B$5:$L$18,3,TRUE)</f>
        <v>AMBDI  Houmadi</v>
      </c>
      <c r="E62" s="292"/>
      <c r="F62" s="255"/>
      <c r="G62" s="255"/>
      <c r="H62" s="256"/>
    </row>
    <row r="63" spans="1:9" ht="40.5" hidden="1" customHeight="1" x14ac:dyDescent="0.45">
      <c r="A63" s="364" t="str">
        <f>Horaire!A68</f>
        <v>PASSOT LA BARGE</v>
      </c>
      <c r="B63" s="323">
        <f>Horaire!B68</f>
        <v>0.33333333333333331</v>
      </c>
      <c r="C63" s="322" t="str">
        <f>Horaire!C68</f>
        <v>D11</v>
      </c>
      <c r="D63" s="320" t="str">
        <f>VLOOKUP(C63,'Liste chauffeur'!$B$5:$L$18,2,TRUE)&amp;" "&amp;VLOOKUP(C63,'Liste chauffeur'!$B$5:$L$18,3,TRUE)</f>
        <v>ALLAOUI  Soibrane</v>
      </c>
      <c r="E63" s="292"/>
      <c r="F63" s="255"/>
      <c r="G63" s="255"/>
      <c r="H63" s="256"/>
      <c r="I63" s="287" t="s">
        <v>367</v>
      </c>
    </row>
    <row r="64" spans="1:9" ht="40.5" hidden="1" customHeight="1" x14ac:dyDescent="0.45">
      <c r="A64" s="364" t="str">
        <f>Horaire!A69</f>
        <v>DOUJANI</v>
      </c>
      <c r="B64" s="323">
        <f>Horaire!B69</f>
        <v>0.34722222222222221</v>
      </c>
      <c r="C64" s="322" t="str">
        <f>Horaire!C69</f>
        <v>D2</v>
      </c>
      <c r="D64" s="320" t="str">
        <f>VLOOKUP(C64,'Liste chauffeur'!$B$5:$L$18,2,TRUE)&amp;" "&amp;VLOOKUP(C64,'Liste chauffeur'!$B$5:$L$18,3,TRUE)</f>
        <v>BARAKA  Soumaila</v>
      </c>
      <c r="E64" s="363" t="s">
        <v>390</v>
      </c>
      <c r="F64" s="255"/>
      <c r="G64" s="255"/>
      <c r="H64" s="256"/>
    </row>
    <row r="65" spans="1:9" ht="40.5" hidden="1" customHeight="1" x14ac:dyDescent="0.45">
      <c r="A65" s="364" t="str">
        <f>Horaire!A70</f>
        <v>PASSOT LA BARGE</v>
      </c>
      <c r="B65" s="323">
        <f>Horaire!B70</f>
        <v>0.34722222222222221</v>
      </c>
      <c r="C65" s="322" t="str">
        <f>Horaire!C70</f>
        <v>D10</v>
      </c>
      <c r="D65" s="320" t="str">
        <f>VLOOKUP(C65,'Liste chauffeur'!$B$5:$L$18,2,TRUE)&amp;" "&amp;VLOOKUP(C65,'Liste chauffeur'!$B$5:$L$18,3,TRUE)</f>
        <v>KAMARDINE Mansour (Salarié)</v>
      </c>
      <c r="E65" s="363" t="s">
        <v>390</v>
      </c>
      <c r="F65" s="255"/>
      <c r="G65" s="255"/>
      <c r="H65" s="256"/>
      <c r="I65" s="137"/>
    </row>
    <row r="66" spans="1:9" ht="40.5" hidden="1" customHeight="1" x14ac:dyDescent="0.45">
      <c r="A66" s="364" t="str">
        <f>Horaire!A71</f>
        <v>DOUJANI</v>
      </c>
      <c r="B66" s="323">
        <f>Horaire!B71</f>
        <v>0.3611111111111111</v>
      </c>
      <c r="C66" s="322" t="str">
        <f>Horaire!C71</f>
        <v>D11</v>
      </c>
      <c r="D66" s="320" t="str">
        <f>VLOOKUP(C66,'Liste chauffeur'!$B$5:$L$18,2,TRUE)&amp;" "&amp;VLOOKUP(C66,'Liste chauffeur'!$B$5:$L$18,3,TRUE)</f>
        <v>ALLAOUI  Soibrane</v>
      </c>
      <c r="E66" s="363" t="s">
        <v>390</v>
      </c>
      <c r="F66" s="255"/>
      <c r="G66" s="255"/>
      <c r="H66" s="256"/>
      <c r="I66" s="287" t="s">
        <v>366</v>
      </c>
    </row>
    <row r="67" spans="1:9" ht="40.5" hidden="1" customHeight="1" x14ac:dyDescent="0.45">
      <c r="A67" s="364" t="str">
        <f>Horaire!A72</f>
        <v>PASSOT LA BARGE</v>
      </c>
      <c r="B67" s="323">
        <f>Horaire!B72</f>
        <v>0.3611111111111111</v>
      </c>
      <c r="C67" s="322" t="str">
        <f>Horaire!C72</f>
        <v>D4</v>
      </c>
      <c r="D67" s="320" t="str">
        <f>VLOOKUP(C67,'Liste chauffeur'!$B$5:$L$18,2,TRUE)&amp;" "&amp;VLOOKUP(C67,'Liste chauffeur'!$B$5:$L$18,3,TRUE)</f>
        <v>AMBDI  Houmadi</v>
      </c>
      <c r="E67" s="363" t="s">
        <v>390</v>
      </c>
      <c r="F67" s="255"/>
      <c r="G67" s="255"/>
      <c r="H67" s="256"/>
    </row>
    <row r="68" spans="1:9" ht="40.5" hidden="1" customHeight="1" x14ac:dyDescent="0.45">
      <c r="A68" s="364" t="str">
        <f>Horaire!A73</f>
        <v>DOUJANI</v>
      </c>
      <c r="B68" s="323">
        <f>Horaire!B73</f>
        <v>0.375</v>
      </c>
      <c r="C68" s="322" t="str">
        <f>Horaire!C73</f>
        <v>D10</v>
      </c>
      <c r="D68" s="320" t="str">
        <f>VLOOKUP(C68,'Liste chauffeur'!$B$5:$L$18,2,TRUE)&amp;" "&amp;VLOOKUP(C68,'Liste chauffeur'!$B$5:$L$18,3,TRUE)</f>
        <v>KAMARDINE Mansour (Salarié)</v>
      </c>
      <c r="E68" s="363" t="s">
        <v>390</v>
      </c>
      <c r="F68" s="255"/>
      <c r="G68" s="255"/>
      <c r="H68" s="256"/>
    </row>
    <row r="69" spans="1:9" ht="40.5" hidden="1" customHeight="1" x14ac:dyDescent="0.45">
      <c r="A69" s="364" t="str">
        <f>Horaire!A74</f>
        <v>PASSOT LA BARGE</v>
      </c>
      <c r="B69" s="323">
        <f>Horaire!B74</f>
        <v>0.375</v>
      </c>
      <c r="C69" s="322" t="str">
        <f>Horaire!C74</f>
        <v>D2</v>
      </c>
      <c r="D69" s="320" t="str">
        <f>VLOOKUP(C69,'Liste chauffeur'!$B$5:$L$18,2,TRUE)&amp;" "&amp;VLOOKUP(C69,'Liste chauffeur'!$B$5:$L$18,3,TRUE)</f>
        <v>BARAKA  Soumaila</v>
      </c>
      <c r="E69" s="363" t="s">
        <v>390</v>
      </c>
      <c r="F69" s="255"/>
      <c r="G69" s="255"/>
      <c r="H69" s="256"/>
    </row>
    <row r="70" spans="1:9" ht="40.5" hidden="1" customHeight="1" x14ac:dyDescent="0.45">
      <c r="A70" s="364" t="str">
        <f>Horaire!A75</f>
        <v>DOUJANI</v>
      </c>
      <c r="B70" s="323">
        <f>Horaire!B75</f>
        <v>0.3888888888888889</v>
      </c>
      <c r="C70" s="322" t="str">
        <f>Horaire!C75</f>
        <v>D4</v>
      </c>
      <c r="D70" s="320" t="str">
        <f>VLOOKUP(C70,'Liste chauffeur'!$B$5:$L$18,2,TRUE)&amp;" "&amp;VLOOKUP(C70,'Liste chauffeur'!$B$5:$L$18,3,TRUE)</f>
        <v>AMBDI  Houmadi</v>
      </c>
      <c r="E70" s="363" t="s">
        <v>390</v>
      </c>
      <c r="F70" s="255"/>
      <c r="G70" s="255"/>
      <c r="H70" s="256"/>
    </row>
    <row r="71" spans="1:9" ht="40.5" hidden="1" customHeight="1" x14ac:dyDescent="0.45">
      <c r="A71" s="364" t="str">
        <f>Horaire!A76</f>
        <v>PASSOT LA BARGE</v>
      </c>
      <c r="B71" s="323">
        <f>Horaire!B76</f>
        <v>0.3888888888888889</v>
      </c>
      <c r="C71" s="322" t="str">
        <f>Horaire!C76</f>
        <v>D11</v>
      </c>
      <c r="D71" s="320" t="str">
        <f>VLOOKUP(C71,'Liste chauffeur'!$B$5:$L$18,2,TRUE)&amp;" "&amp;VLOOKUP(C71,'Liste chauffeur'!$B$5:$L$18,3,TRUE)</f>
        <v>ALLAOUI  Soibrane</v>
      </c>
      <c r="E71" s="363" t="s">
        <v>390</v>
      </c>
      <c r="F71" s="255"/>
      <c r="G71" s="255"/>
      <c r="H71" s="256"/>
    </row>
    <row r="72" spans="1:9" ht="40.5" hidden="1" customHeight="1" x14ac:dyDescent="0.45">
      <c r="A72" s="364" t="str">
        <f>Horaire!A77</f>
        <v>DOUJANI</v>
      </c>
      <c r="B72" s="323">
        <f>Horaire!B77</f>
        <v>0.40277777777777779</v>
      </c>
      <c r="C72" s="322" t="str">
        <f>Horaire!C77</f>
        <v>D2</v>
      </c>
      <c r="D72" s="320" t="str">
        <f>VLOOKUP(C72,'Liste chauffeur'!$B$5:$L$18,2,TRUE)&amp;" "&amp;VLOOKUP(C72,'Liste chauffeur'!$B$5:$L$18,3,TRUE)</f>
        <v>BARAKA  Soumaila</v>
      </c>
      <c r="E72" s="363" t="s">
        <v>390</v>
      </c>
      <c r="F72" s="255"/>
      <c r="G72" s="255"/>
      <c r="H72" s="256"/>
    </row>
    <row r="73" spans="1:9" ht="40.5" hidden="1" customHeight="1" x14ac:dyDescent="0.45">
      <c r="A73" s="364" t="str">
        <f>Horaire!A78</f>
        <v>PASSOT LA BARGE</v>
      </c>
      <c r="B73" s="323">
        <f>Horaire!B78</f>
        <v>0.40277777777777779</v>
      </c>
      <c r="C73" s="322" t="str">
        <f>Horaire!C78</f>
        <v>D10</v>
      </c>
      <c r="D73" s="320" t="str">
        <f>VLOOKUP(C73,'Liste chauffeur'!$B$5:$L$18,2,TRUE)&amp;" "&amp;VLOOKUP(C73,'Liste chauffeur'!$B$5:$L$18,3,TRUE)</f>
        <v>KAMARDINE Mansour (Salarié)</v>
      </c>
      <c r="E73" s="363" t="s">
        <v>390</v>
      </c>
      <c r="F73" s="255"/>
      <c r="G73" s="255"/>
      <c r="H73" s="256"/>
    </row>
    <row r="74" spans="1:9" ht="40.5" hidden="1" customHeight="1" x14ac:dyDescent="0.45">
      <c r="A74" s="364" t="str">
        <f>Horaire!A79</f>
        <v>DOUJANI</v>
      </c>
      <c r="B74" s="323">
        <f>Horaire!B79</f>
        <v>0.41666666666666669</v>
      </c>
      <c r="C74" s="322" t="str">
        <f>Horaire!C79</f>
        <v>D11</v>
      </c>
      <c r="D74" s="320" t="str">
        <f>VLOOKUP(C74,'Liste chauffeur'!$B$5:$L$18,2,TRUE)&amp;" "&amp;VLOOKUP(C74,'Liste chauffeur'!$B$5:$L$18,3,TRUE)</f>
        <v>ALLAOUI  Soibrane</v>
      </c>
      <c r="E74" s="363" t="s">
        <v>390</v>
      </c>
      <c r="F74" s="255"/>
      <c r="G74" s="255"/>
      <c r="H74" s="256"/>
    </row>
    <row r="75" spans="1:9" ht="40.5" hidden="1" customHeight="1" x14ac:dyDescent="0.45">
      <c r="A75" s="364" t="str">
        <f>Horaire!A80</f>
        <v>PASSOT LA BARGE</v>
      </c>
      <c r="B75" s="323">
        <f>Horaire!B80</f>
        <v>0.41666666666666669</v>
      </c>
      <c r="C75" s="322" t="str">
        <f>Horaire!C80</f>
        <v>D4</v>
      </c>
      <c r="D75" s="320" t="str">
        <f>VLOOKUP(C75,'Liste chauffeur'!$B$5:$L$18,2,TRUE)&amp;" "&amp;VLOOKUP(C75,'Liste chauffeur'!$B$5:$L$18,3,TRUE)</f>
        <v>AMBDI  Houmadi</v>
      </c>
      <c r="E75" s="363" t="s">
        <v>390</v>
      </c>
      <c r="F75" s="255"/>
      <c r="G75" s="255"/>
      <c r="H75" s="256"/>
    </row>
    <row r="76" spans="1:9" ht="40.5" hidden="1" customHeight="1" x14ac:dyDescent="0.45">
      <c r="A76" s="364" t="str">
        <f>Horaire!A81</f>
        <v>DOUJANI</v>
      </c>
      <c r="B76" s="323">
        <f>Horaire!B81</f>
        <v>0.43055555555555558</v>
      </c>
      <c r="C76" s="322" t="str">
        <f>Horaire!C81</f>
        <v>D10</v>
      </c>
      <c r="D76" s="320" t="str">
        <f>VLOOKUP(C76,'Liste chauffeur'!$B$5:$L$18,2,TRUE)&amp;" "&amp;VLOOKUP(C76,'Liste chauffeur'!$B$5:$L$18,3,TRUE)</f>
        <v>KAMARDINE Mansour (Salarié)</v>
      </c>
      <c r="E76" s="363" t="s">
        <v>390</v>
      </c>
      <c r="F76" s="255"/>
      <c r="G76" s="255"/>
      <c r="H76" s="256"/>
    </row>
    <row r="77" spans="1:9" ht="40.5" hidden="1" customHeight="1" x14ac:dyDescent="0.45">
      <c r="A77" s="364" t="str">
        <f>Horaire!A82</f>
        <v>PASSOT LA BARGE</v>
      </c>
      <c r="B77" s="323">
        <f>Horaire!B82</f>
        <v>0.43055555555555558</v>
      </c>
      <c r="C77" s="322" t="str">
        <f>Horaire!C82</f>
        <v>D2</v>
      </c>
      <c r="D77" s="320" t="str">
        <f>VLOOKUP(C77,'Liste chauffeur'!$B$5:$L$18,2,TRUE)&amp;" "&amp;VLOOKUP(C77,'Liste chauffeur'!$B$5:$L$18,3,TRUE)</f>
        <v>BARAKA  Soumaila</v>
      </c>
      <c r="E77" s="363" t="s">
        <v>390</v>
      </c>
      <c r="F77" s="255"/>
      <c r="G77" s="255"/>
      <c r="H77" s="256"/>
    </row>
    <row r="78" spans="1:9" ht="40.5" hidden="1" customHeight="1" x14ac:dyDescent="0.45">
      <c r="A78" s="364" t="str">
        <f>Horaire!A83</f>
        <v>DOUJANI</v>
      </c>
      <c r="B78" s="323">
        <f>Horaire!B83</f>
        <v>0.44444444444444442</v>
      </c>
      <c r="C78" s="322" t="str">
        <f>Horaire!C83</f>
        <v>D4</v>
      </c>
      <c r="D78" s="320" t="str">
        <f>VLOOKUP(C78,'Liste chauffeur'!$B$5:$L$18,2,TRUE)&amp;" "&amp;VLOOKUP(C78,'Liste chauffeur'!$B$5:$L$18,3,TRUE)</f>
        <v>AMBDI  Houmadi</v>
      </c>
      <c r="E78" s="363" t="s">
        <v>390</v>
      </c>
      <c r="F78" s="255"/>
      <c r="G78" s="255"/>
      <c r="H78" s="256"/>
    </row>
    <row r="79" spans="1:9" ht="40.5" hidden="1" customHeight="1" x14ac:dyDescent="0.45">
      <c r="A79" s="364" t="str">
        <f>Horaire!A84</f>
        <v>PASSOT LA BARGE</v>
      </c>
      <c r="B79" s="323">
        <f>Horaire!B84</f>
        <v>0.44444444444444442</v>
      </c>
      <c r="C79" s="322" t="str">
        <f>Horaire!C84</f>
        <v>D11</v>
      </c>
      <c r="D79" s="320" t="str">
        <f>VLOOKUP(C79,'Liste chauffeur'!$B$5:$L$18,2,TRUE)&amp;" "&amp;VLOOKUP(C79,'Liste chauffeur'!$B$5:$L$18,3,TRUE)</f>
        <v>ALLAOUI  Soibrane</v>
      </c>
      <c r="E79" s="363" t="s">
        <v>390</v>
      </c>
      <c r="F79" s="255"/>
      <c r="G79" s="255"/>
      <c r="H79" s="256"/>
    </row>
    <row r="80" spans="1:9" ht="40.5" hidden="1" customHeight="1" x14ac:dyDescent="0.45">
      <c r="A80" s="364" t="str">
        <f>Horaire!A85</f>
        <v>DOUJANI</v>
      </c>
      <c r="B80" s="323">
        <f>Horaire!B85</f>
        <v>0.45833333333333331</v>
      </c>
      <c r="C80" s="322" t="str">
        <f>Horaire!C85</f>
        <v>D2</v>
      </c>
      <c r="D80" s="320" t="str">
        <f>VLOOKUP(C80,'Liste chauffeur'!$B$5:$L$18,2,TRUE)&amp;" "&amp;VLOOKUP(C80,'Liste chauffeur'!$B$5:$L$18,3,TRUE)</f>
        <v>BARAKA  Soumaila</v>
      </c>
      <c r="E80" s="363" t="s">
        <v>390</v>
      </c>
      <c r="F80" s="255"/>
      <c r="G80" s="255"/>
      <c r="H80" s="256"/>
    </row>
    <row r="81" spans="1:9" ht="40.5" hidden="1" customHeight="1" x14ac:dyDescent="0.45">
      <c r="A81" s="364" t="str">
        <f>Horaire!A86</f>
        <v>PASSOT LA BARGE</v>
      </c>
      <c r="B81" s="323">
        <f>Horaire!B86</f>
        <v>0.45833333333333331</v>
      </c>
      <c r="C81" s="322" t="str">
        <f>Horaire!C86</f>
        <v>D10</v>
      </c>
      <c r="D81" s="320" t="str">
        <f>VLOOKUP(C81,'Liste chauffeur'!$B$5:$L$18,2,TRUE)&amp;" "&amp;VLOOKUP(C81,'Liste chauffeur'!$B$5:$L$18,3,TRUE)</f>
        <v>KAMARDINE Mansour (Salarié)</v>
      </c>
      <c r="E81" s="363" t="s">
        <v>390</v>
      </c>
      <c r="F81" s="255"/>
      <c r="G81" s="255"/>
      <c r="H81" s="256"/>
    </row>
    <row r="82" spans="1:9" ht="40.5" hidden="1" customHeight="1" x14ac:dyDescent="0.45">
      <c r="A82" s="364" t="str">
        <f>Horaire!A87</f>
        <v>DOUJANI</v>
      </c>
      <c r="B82" s="323">
        <f>Horaire!B87</f>
        <v>0.47222222222222221</v>
      </c>
      <c r="C82" s="322" t="str">
        <f>Horaire!C87</f>
        <v>D11</v>
      </c>
      <c r="D82" s="320" t="str">
        <f>VLOOKUP(C82,'Liste chauffeur'!$B$5:$L$18,2,TRUE)&amp;" "&amp;VLOOKUP(C82,'Liste chauffeur'!$B$5:$L$18,3,TRUE)</f>
        <v>ALLAOUI  Soibrane</v>
      </c>
      <c r="E82" s="292"/>
      <c r="F82" s="255"/>
      <c r="G82" s="255"/>
      <c r="H82" s="256"/>
    </row>
    <row r="83" spans="1:9" ht="40.5" hidden="1" customHeight="1" x14ac:dyDescent="0.45">
      <c r="A83" s="364" t="str">
        <f>Horaire!A88</f>
        <v>PASSOT LA BARGE</v>
      </c>
      <c r="B83" s="323">
        <f>Horaire!B88</f>
        <v>0.47222222222222221</v>
      </c>
      <c r="C83" s="322" t="str">
        <f>Horaire!C88</f>
        <v>D4</v>
      </c>
      <c r="D83" s="320" t="str">
        <f>VLOOKUP(C83,'Liste chauffeur'!$B$5:$L$18,2,TRUE)&amp;" "&amp;VLOOKUP(C83,'Liste chauffeur'!$B$5:$L$18,3,TRUE)</f>
        <v>AMBDI  Houmadi</v>
      </c>
      <c r="E83" s="292"/>
      <c r="F83" s="255"/>
      <c r="G83" s="255"/>
      <c r="H83" s="256"/>
    </row>
    <row r="84" spans="1:9" ht="40.5" hidden="1" customHeight="1" x14ac:dyDescent="0.45">
      <c r="A84" s="364" t="str">
        <f>Horaire!A89</f>
        <v>DOUJANI</v>
      </c>
      <c r="B84" s="323">
        <f>Horaire!B89</f>
        <v>0.4861111111111111</v>
      </c>
      <c r="C84" s="322" t="str">
        <f>Horaire!C89</f>
        <v>D10</v>
      </c>
      <c r="D84" s="320" t="str">
        <f>VLOOKUP(C84,'Liste chauffeur'!$B$5:$L$18,2,TRUE)&amp;" "&amp;VLOOKUP(C84,'Liste chauffeur'!$B$5:$L$18,3,TRUE)</f>
        <v>KAMARDINE Mansour (Salarié)</v>
      </c>
      <c r="E84" s="292"/>
      <c r="F84" s="255"/>
      <c r="G84" s="255"/>
      <c r="H84" s="256"/>
    </row>
    <row r="85" spans="1:9" ht="40.5" hidden="1" customHeight="1" x14ac:dyDescent="0.45">
      <c r="A85" s="364" t="str">
        <f>Horaire!A90</f>
        <v>PASSOT LA BARGE</v>
      </c>
      <c r="B85" s="323">
        <f>Horaire!B90</f>
        <v>0.4861111111111111</v>
      </c>
      <c r="C85" s="322" t="str">
        <f>Horaire!C90</f>
        <v>D2</v>
      </c>
      <c r="D85" s="320" t="str">
        <f>VLOOKUP(C85,'Liste chauffeur'!$B$5:$L$18,2,TRUE)&amp;" "&amp;VLOOKUP(C85,'Liste chauffeur'!$B$5:$L$18,3,TRUE)</f>
        <v>BARAKA  Soumaila</v>
      </c>
      <c r="E85" s="292"/>
      <c r="F85" s="255"/>
      <c r="G85" s="255"/>
      <c r="H85" s="256"/>
    </row>
    <row r="86" spans="1:9" ht="40.5" hidden="1" customHeight="1" x14ac:dyDescent="0.45">
      <c r="A86" s="364" t="str">
        <f>Horaire!A91</f>
        <v>DOUJANI</v>
      </c>
      <c r="B86" s="323">
        <f>Horaire!B91</f>
        <v>0.5</v>
      </c>
      <c r="C86" s="322" t="str">
        <f>Horaire!C91</f>
        <v>D4</v>
      </c>
      <c r="D86" s="320" t="str">
        <f>VLOOKUP(C86,'Liste chauffeur'!$B$5:$L$18,2,TRUE)&amp;" "&amp;VLOOKUP(C86,'Liste chauffeur'!$B$5:$L$18,3,TRUE)</f>
        <v>AMBDI  Houmadi</v>
      </c>
      <c r="E86" s="292"/>
      <c r="F86" s="255"/>
      <c r="G86" s="255"/>
      <c r="H86" s="256"/>
    </row>
    <row r="87" spans="1:9" ht="40.5" hidden="1" customHeight="1" x14ac:dyDescent="0.45">
      <c r="A87" s="364" t="str">
        <f>Horaire!A92</f>
        <v>PASSOT LA BARGE</v>
      </c>
      <c r="B87" s="323">
        <f>Horaire!B92</f>
        <v>0.5</v>
      </c>
      <c r="C87" s="322" t="str">
        <f>Horaire!C92</f>
        <v>D11</v>
      </c>
      <c r="D87" s="320" t="str">
        <f>VLOOKUP(C87,'Liste chauffeur'!$B$5:$L$18,2,TRUE)&amp;" "&amp;VLOOKUP(C87,'Liste chauffeur'!$B$5:$L$18,3,TRUE)</f>
        <v>ALLAOUI  Soibrane</v>
      </c>
      <c r="E87" s="292"/>
      <c r="F87" s="255"/>
      <c r="G87" s="255"/>
      <c r="H87" s="256"/>
    </row>
    <row r="88" spans="1:9" ht="40.5" hidden="1" customHeight="1" x14ac:dyDescent="0.45">
      <c r="A88" s="364" t="str">
        <f>Horaire!A93</f>
        <v>DOUJANI</v>
      </c>
      <c r="B88" s="323">
        <f>Horaire!B93</f>
        <v>0.51388888888888884</v>
      </c>
      <c r="C88" s="322" t="str">
        <f>Horaire!C93</f>
        <v>D2</v>
      </c>
      <c r="D88" s="320" t="str">
        <f>VLOOKUP(C88,'Liste chauffeur'!$B$5:$L$18,2,TRUE)&amp;" "&amp;VLOOKUP(C88,'Liste chauffeur'!$B$5:$L$18,3,TRUE)</f>
        <v>BARAKA  Soumaila</v>
      </c>
      <c r="E88" s="292"/>
      <c r="F88" s="255"/>
      <c r="G88" s="255"/>
      <c r="H88" s="256"/>
    </row>
    <row r="89" spans="1:9" ht="40.5" hidden="1" customHeight="1" x14ac:dyDescent="0.45">
      <c r="A89" s="364" t="str">
        <f>Horaire!A94</f>
        <v>PASSOT LA BARGE</v>
      </c>
      <c r="B89" s="323">
        <f>Horaire!B94</f>
        <v>0.51388888888888884</v>
      </c>
      <c r="C89" s="322" t="str">
        <f>Horaire!C94</f>
        <v>D10</v>
      </c>
      <c r="D89" s="320" t="str">
        <f>VLOOKUP(C89,'Liste chauffeur'!$B$5:$L$18,2,TRUE)&amp;" "&amp;VLOOKUP(C89,'Liste chauffeur'!$B$5:$L$18,3,TRUE)</f>
        <v>KAMARDINE Mansour (Salarié)</v>
      </c>
      <c r="E89" s="292"/>
      <c r="F89" s="255"/>
      <c r="G89" s="255"/>
      <c r="H89" s="256"/>
    </row>
    <row r="90" spans="1:9" ht="40.5" hidden="1" customHeight="1" x14ac:dyDescent="0.45">
      <c r="A90" s="364" t="str">
        <f>Horaire!A95</f>
        <v>DOUJANI</v>
      </c>
      <c r="B90" s="323">
        <f>Horaire!B95</f>
        <v>0.52777777777777779</v>
      </c>
      <c r="C90" s="322" t="str">
        <f>Horaire!C95</f>
        <v>D11</v>
      </c>
      <c r="D90" s="320" t="str">
        <f>VLOOKUP(C90,'Liste chauffeur'!$B$5:$L$18,2,TRUE)&amp;" "&amp;VLOOKUP(C90,'Liste chauffeur'!$B$5:$L$18,3,TRUE)</f>
        <v>ALLAOUI  Soibrane</v>
      </c>
      <c r="E90" s="292"/>
      <c r="F90" s="255"/>
      <c r="G90" s="255"/>
      <c r="H90" s="256"/>
    </row>
    <row r="91" spans="1:9" ht="40.5" hidden="1" customHeight="1" x14ac:dyDescent="0.45">
      <c r="A91" s="364" t="str">
        <f>Horaire!A96</f>
        <v>PASSOT LA BARGE</v>
      </c>
      <c r="B91" s="323">
        <f>Horaire!B96</f>
        <v>0.52777777777777779</v>
      </c>
      <c r="C91" s="322" t="str">
        <f>Horaire!C96</f>
        <v>D4</v>
      </c>
      <c r="D91" s="320" t="str">
        <f>VLOOKUP(C91,'Liste chauffeur'!$B$5:$L$18,2,TRUE)&amp;" "&amp;VLOOKUP(C91,'Liste chauffeur'!$B$5:$L$18,3,TRUE)</f>
        <v>AMBDI  Houmadi</v>
      </c>
      <c r="E91" s="292"/>
      <c r="F91" s="255"/>
      <c r="G91" s="255"/>
      <c r="H91" s="256"/>
    </row>
    <row r="92" spans="1:9" ht="40.5" hidden="1" customHeight="1" x14ac:dyDescent="0.45">
      <c r="A92" s="364" t="str">
        <f>Horaire!A97</f>
        <v>DOUJANI</v>
      </c>
      <c r="B92" s="323">
        <f>Horaire!B97</f>
        <v>0.54166666666666663</v>
      </c>
      <c r="C92" s="322" t="str">
        <f>Horaire!C97</f>
        <v>D10</v>
      </c>
      <c r="D92" s="320" t="str">
        <f>VLOOKUP(C92,'Liste chauffeur'!$B$5:$L$18,2,TRUE)&amp;" "&amp;VLOOKUP(C92,'Liste chauffeur'!$B$5:$L$18,3,TRUE)</f>
        <v>KAMARDINE Mansour (Salarié)</v>
      </c>
      <c r="E92" s="292"/>
      <c r="F92" s="255"/>
      <c r="G92" s="255"/>
      <c r="H92" s="256"/>
    </row>
    <row r="93" spans="1:9" ht="40.5" hidden="1" customHeight="1" x14ac:dyDescent="0.45">
      <c r="A93" s="364" t="str">
        <f>Horaire!A98</f>
        <v>PASSOT LA BARGE</v>
      </c>
      <c r="B93" s="323">
        <f>Horaire!B98</f>
        <v>0.54166666666666663</v>
      </c>
      <c r="C93" s="322" t="str">
        <f>Horaire!C98</f>
        <v>D2</v>
      </c>
      <c r="D93" s="320" t="str">
        <f>VLOOKUP(C93,'Liste chauffeur'!$B$5:$L$18,2,TRUE)&amp;" "&amp;VLOOKUP(C93,'Liste chauffeur'!$B$5:$L$18,3,TRUE)</f>
        <v>BARAKA  Soumaila</v>
      </c>
      <c r="E93" s="292"/>
      <c r="F93" s="255"/>
      <c r="G93" s="255"/>
      <c r="H93" s="256"/>
    </row>
    <row r="94" spans="1:9" ht="40.5" hidden="1" customHeight="1" x14ac:dyDescent="0.45">
      <c r="A94" s="364" t="str">
        <f>Horaire!A99</f>
        <v>DOUJANI</v>
      </c>
      <c r="B94" s="323">
        <f>Horaire!B99</f>
        <v>0.55555555555555558</v>
      </c>
      <c r="C94" s="322" t="str">
        <f>Horaire!C99</f>
        <v>D4</v>
      </c>
      <c r="D94" s="320" t="str">
        <f>VLOOKUP(C94,'Liste chauffeur'!$B$5:$L$18,2,TRUE)&amp;" "&amp;VLOOKUP(C94,'Liste chauffeur'!$B$5:$L$18,3,TRUE)</f>
        <v>AMBDI  Houmadi</v>
      </c>
      <c r="E94" s="292"/>
      <c r="F94" s="255"/>
      <c r="G94" s="255"/>
      <c r="H94" s="256"/>
    </row>
    <row r="95" spans="1:9" ht="40.5" hidden="1" customHeight="1" x14ac:dyDescent="0.45">
      <c r="A95" s="364" t="str">
        <f>Horaire!A100</f>
        <v>PASSOT LA BARGE</v>
      </c>
      <c r="B95" s="367">
        <f>Horaire!B100</f>
        <v>0.55555555555555558</v>
      </c>
      <c r="C95" s="322" t="str">
        <f>Horaire!C100</f>
        <v>D11</v>
      </c>
      <c r="D95" s="320" t="str">
        <f>VLOOKUP(C95,'Liste chauffeur'!$B$5:$L$18,2,TRUE)&amp;" "&amp;VLOOKUP(C95,'Liste chauffeur'!$B$5:$L$18,3,TRUE)</f>
        <v>ALLAOUI  Soibrane</v>
      </c>
      <c r="E95" s="292"/>
      <c r="F95" s="255"/>
      <c r="G95" s="255"/>
      <c r="H95" s="256"/>
      <c r="I95" s="287" t="s">
        <v>364</v>
      </c>
    </row>
    <row r="96" spans="1:9" ht="40.5" hidden="1" customHeight="1" x14ac:dyDescent="0.45">
      <c r="A96" s="364" t="str">
        <f>Horaire!A101</f>
        <v>DOUJANI</v>
      </c>
      <c r="B96" s="323">
        <f>Horaire!B101</f>
        <v>0.56944444444444442</v>
      </c>
      <c r="C96" s="322" t="str">
        <f>Horaire!C101</f>
        <v>D2</v>
      </c>
      <c r="D96" s="320" t="str">
        <f>VLOOKUP(C96,'Liste chauffeur'!$B$5:$L$18,2,TRUE)&amp;" "&amp;VLOOKUP(C96,'Liste chauffeur'!$B$5:$L$18,3,TRUE)</f>
        <v>BARAKA  Soumaila</v>
      </c>
      <c r="E96" s="292"/>
      <c r="F96" s="255"/>
      <c r="G96" s="255"/>
      <c r="H96" s="256"/>
    </row>
    <row r="97" spans="1:9" ht="40.5" hidden="1" customHeight="1" x14ac:dyDescent="0.45">
      <c r="A97" s="364" t="str">
        <f>Horaire!A102</f>
        <v>PASSOT LA BARGE</v>
      </c>
      <c r="B97" s="367">
        <f>Horaire!B102</f>
        <v>0.56944444444444442</v>
      </c>
      <c r="C97" s="322" t="str">
        <f>Horaire!C102</f>
        <v>D10</v>
      </c>
      <c r="D97" s="320" t="str">
        <f>VLOOKUP(C97,'Liste chauffeur'!$B$5:$L$18,2,TRUE)&amp;" "&amp;VLOOKUP(C97,'Liste chauffeur'!$B$5:$L$18,3,TRUE)</f>
        <v>KAMARDINE Mansour (Salarié)</v>
      </c>
      <c r="E97" s="292"/>
      <c r="F97" s="255"/>
      <c r="G97" s="255"/>
      <c r="H97" s="256"/>
    </row>
    <row r="98" spans="1:9" ht="40.5" hidden="1" customHeight="1" x14ac:dyDescent="0.45">
      <c r="A98" s="364" t="str">
        <f>Horaire!A103</f>
        <v>DOUJANI</v>
      </c>
      <c r="B98" s="366">
        <f>Horaire!B103</f>
        <v>0.58333333333333304</v>
      </c>
      <c r="C98" s="322" t="str">
        <f>Horaire!C103</f>
        <v>D1</v>
      </c>
      <c r="D98" s="320" t="str">
        <f>VLOOKUP(C98,'Liste chauffeur'!$B$5:$L$18,2,TRUE)&amp;" "&amp;VLOOKUP(C98,'Liste chauffeur'!$B$5:$L$18,3,TRUE)</f>
        <v>MOHAMED Ali (laglace)</v>
      </c>
      <c r="E98" s="292"/>
      <c r="F98" s="255"/>
      <c r="G98" s="255"/>
      <c r="H98" s="256"/>
      <c r="I98" s="287" t="s">
        <v>365</v>
      </c>
    </row>
    <row r="99" spans="1:9" ht="40.5" hidden="1" customHeight="1" x14ac:dyDescent="0.45">
      <c r="A99" s="364" t="str">
        <f>Horaire!A104</f>
        <v>PASSOT LA BARGE</v>
      </c>
      <c r="B99" s="367">
        <f>Horaire!B104</f>
        <v>0.58333333333333337</v>
      </c>
      <c r="C99" s="322" t="str">
        <f>Horaire!C104</f>
        <v>D4</v>
      </c>
      <c r="D99" s="320" t="str">
        <f>VLOOKUP(C99,'Liste chauffeur'!$B$5:$L$18,2,TRUE)&amp;" "&amp;VLOOKUP(C99,'Liste chauffeur'!$B$5:$L$18,3,TRUE)</f>
        <v>AMBDI  Houmadi</v>
      </c>
      <c r="E99" s="292"/>
      <c r="F99" s="255"/>
      <c r="G99" s="255"/>
      <c r="H99" s="256"/>
    </row>
    <row r="100" spans="1:9" ht="40.5" hidden="1" customHeight="1" x14ac:dyDescent="0.45">
      <c r="A100" s="364" t="str">
        <f>Horaire!A105</f>
        <v>DOUJANI</v>
      </c>
      <c r="B100" s="366">
        <f>Horaire!B105</f>
        <v>0.59722222222222199</v>
      </c>
      <c r="C100" s="322" t="str">
        <f>Horaire!C105</f>
        <v>D8</v>
      </c>
      <c r="D100" s="320" t="str">
        <f>VLOOKUP(C100,'Liste chauffeur'!$B$5:$L$18,2,TRUE)&amp;" "&amp;VLOOKUP(C100,'Liste chauffeur'!$B$5:$L$18,3,TRUE)</f>
        <v>ISSOUF Dailami</v>
      </c>
      <c r="E100" s="292"/>
      <c r="F100" s="255"/>
      <c r="G100" s="255"/>
      <c r="H100" s="256"/>
    </row>
    <row r="101" spans="1:9" ht="40.5" hidden="1" customHeight="1" x14ac:dyDescent="0.45">
      <c r="A101" s="364" t="str">
        <f>Horaire!A106</f>
        <v>PASSOT LA BARGE</v>
      </c>
      <c r="B101" s="367">
        <f>Horaire!B106</f>
        <v>0.59722222222222221</v>
      </c>
      <c r="C101" s="322" t="str">
        <f>Horaire!C106</f>
        <v>D2</v>
      </c>
      <c r="D101" s="320" t="str">
        <f>VLOOKUP(C101,'Liste chauffeur'!$B$5:$L$18,2,TRUE)&amp;" "&amp;VLOOKUP(C101,'Liste chauffeur'!$B$5:$L$18,3,TRUE)</f>
        <v>BARAKA  Soumaila</v>
      </c>
      <c r="E101" s="292"/>
      <c r="F101" s="255"/>
      <c r="G101" s="255"/>
      <c r="H101" s="256"/>
      <c r="I101" s="287"/>
    </row>
    <row r="102" spans="1:9" ht="40.5" hidden="1" customHeight="1" x14ac:dyDescent="0.45">
      <c r="A102" s="364" t="str">
        <f>Horaire!A107</f>
        <v>DOUJANI</v>
      </c>
      <c r="B102" s="366">
        <f>Horaire!B107</f>
        <v>0.61111111111111105</v>
      </c>
      <c r="C102" s="322" t="str">
        <f>Horaire!C107</f>
        <v>D3</v>
      </c>
      <c r="D102" s="320" t="str">
        <f>VLOOKUP(C102,'Liste chauffeur'!$B$5:$L$18,2,TRUE)&amp;" "&amp;VLOOKUP(C102,'Liste chauffeur'!$B$5:$L$18,3,TRUE)</f>
        <v>ABDOURAHIM Mohamed</v>
      </c>
      <c r="E102" s="292"/>
      <c r="F102" s="255"/>
      <c r="G102" s="255"/>
      <c r="H102" s="256"/>
    </row>
    <row r="103" spans="1:9" ht="40.5" hidden="1" customHeight="1" x14ac:dyDescent="0.45">
      <c r="A103" s="364" t="str">
        <f>Horaire!A108</f>
        <v>PASSOT LA BARGE</v>
      </c>
      <c r="B103" s="323">
        <f>Horaire!B108</f>
        <v>0.61111111111111116</v>
      </c>
      <c r="C103" s="322" t="str">
        <f>Horaire!C108</f>
        <v>D1</v>
      </c>
      <c r="D103" s="320" t="str">
        <f>VLOOKUP(C103,'Liste chauffeur'!$B$5:$L$18,2,TRUE)&amp;" "&amp;VLOOKUP(C103,'Liste chauffeur'!$B$5:$L$18,3,TRUE)</f>
        <v>MOHAMED Ali (laglace)</v>
      </c>
      <c r="E103" s="292"/>
      <c r="F103" s="255"/>
      <c r="G103" s="255"/>
      <c r="H103" s="256"/>
    </row>
    <row r="104" spans="1:9" ht="40.5" hidden="1" customHeight="1" x14ac:dyDescent="0.45">
      <c r="A104" s="364" t="str">
        <f>Horaire!A109</f>
        <v>DOUJANI</v>
      </c>
      <c r="B104" s="366">
        <f>Horaire!B109</f>
        <v>0.625</v>
      </c>
      <c r="C104" s="322" t="str">
        <f>Horaire!C109</f>
        <v>D6</v>
      </c>
      <c r="D104" s="320" t="str">
        <f>VLOOKUP(C104,'Liste chauffeur'!$B$5:$L$18,2,TRUE)&amp;" "&amp;VLOOKUP(C104,'Liste chauffeur'!$B$5:$L$18,3,TRUE)</f>
        <v>ABDOU HAMIDOUNE Nassabia</v>
      </c>
      <c r="E104" s="292"/>
      <c r="F104" s="255"/>
      <c r="G104" s="255"/>
      <c r="H104" s="256"/>
    </row>
    <row r="105" spans="1:9" ht="40.5" hidden="1" customHeight="1" x14ac:dyDescent="0.45">
      <c r="A105" s="364" t="str">
        <f>Horaire!A110</f>
        <v>PASSOT LA BARGE</v>
      </c>
      <c r="B105" s="323">
        <f>Horaire!B110</f>
        <v>0.625</v>
      </c>
      <c r="C105" s="322" t="str">
        <f>Horaire!C110</f>
        <v>D8</v>
      </c>
      <c r="D105" s="320" t="str">
        <f>VLOOKUP(C105,'Liste chauffeur'!$B$5:$L$18,2,TRUE)&amp;" "&amp;VLOOKUP(C105,'Liste chauffeur'!$B$5:$L$18,3,TRUE)</f>
        <v>ISSOUF Dailami</v>
      </c>
      <c r="E105" s="292"/>
      <c r="F105" s="255"/>
      <c r="G105" s="255"/>
      <c r="H105" s="256"/>
      <c r="I105" s="287" t="s">
        <v>367</v>
      </c>
    </row>
    <row r="106" spans="1:9" ht="40.5" hidden="1" customHeight="1" x14ac:dyDescent="0.45">
      <c r="A106" s="364" t="str">
        <f>Horaire!A111</f>
        <v>DOUJANI</v>
      </c>
      <c r="B106" s="323">
        <f>Horaire!B111</f>
        <v>0.63194444444444442</v>
      </c>
      <c r="C106" s="322" t="str">
        <f>Horaire!C111</f>
        <v>D1</v>
      </c>
      <c r="D106" s="320" t="str">
        <f>VLOOKUP(C106,'Liste chauffeur'!$B$5:$L$18,2,TRUE)&amp;" "&amp;VLOOKUP(C106,'Liste chauffeur'!$B$5:$L$18,3,TRUE)</f>
        <v>MOHAMED Ali (laglace)</v>
      </c>
      <c r="E106" s="292"/>
      <c r="F106" s="255"/>
      <c r="G106" s="255"/>
      <c r="H106" s="256"/>
    </row>
    <row r="107" spans="1:9" ht="40.5" hidden="1" customHeight="1" x14ac:dyDescent="0.45">
      <c r="A107" s="364" t="str">
        <f>Horaire!A112</f>
        <v>PASSOT LA BARGE</v>
      </c>
      <c r="B107" s="323">
        <f>Horaire!B112</f>
        <v>0.63194444444444442</v>
      </c>
      <c r="C107" s="322" t="str">
        <f>Horaire!C112</f>
        <v>D3</v>
      </c>
      <c r="D107" s="320" t="str">
        <f>VLOOKUP(C107,'Liste chauffeur'!$B$5:$L$18,2,TRUE)&amp;" "&amp;VLOOKUP(C107,'Liste chauffeur'!$B$5:$L$18,3,TRUE)</f>
        <v>ABDOURAHIM Mohamed</v>
      </c>
      <c r="E107" s="292"/>
      <c r="F107" s="255"/>
      <c r="G107" s="255"/>
      <c r="H107" s="256"/>
      <c r="I107" s="137"/>
    </row>
    <row r="108" spans="1:9" ht="40.5" hidden="1" customHeight="1" x14ac:dyDescent="0.45">
      <c r="A108" s="364" t="str">
        <f>Horaire!A113</f>
        <v>DOUJANI</v>
      </c>
      <c r="B108" s="366">
        <f>Horaire!B113</f>
        <v>0.63888888888888884</v>
      </c>
      <c r="C108" s="322" t="str">
        <f>Horaire!C113</f>
        <v>D5</v>
      </c>
      <c r="D108" s="320" t="str">
        <f>VLOOKUP(C108,'Liste chauffeur'!$B$5:$L$18,2,TRUE)&amp;" "&amp;VLOOKUP(C108,'Liste chauffeur'!$B$5:$L$18,3,TRUE)</f>
        <v>AMINA Selemani</v>
      </c>
      <c r="E108" s="292"/>
      <c r="F108" s="255"/>
      <c r="G108" s="255"/>
      <c r="H108" s="256"/>
      <c r="I108" s="287" t="s">
        <v>366</v>
      </c>
    </row>
    <row r="109" spans="1:9" ht="40.5" hidden="1" customHeight="1" x14ac:dyDescent="0.45">
      <c r="A109" s="364" t="str">
        <f>Horaire!A114</f>
        <v>PASSOT LA BARGE</v>
      </c>
      <c r="B109" s="366">
        <f>Horaire!B114</f>
        <v>0.63888888888888884</v>
      </c>
      <c r="C109" s="322" t="str">
        <f>Horaire!C114</f>
        <v>D9</v>
      </c>
      <c r="D109" s="320" t="str">
        <f>VLOOKUP(C109,'Liste chauffeur'!$B$5:$L$18,2,TRUE)&amp;" "&amp;VLOOKUP(C109,'Liste chauffeur'!$B$5:$L$18,3,TRUE)</f>
        <v>ISSOUF Dailami</v>
      </c>
      <c r="E109" s="292"/>
      <c r="F109" s="255"/>
      <c r="G109" s="255"/>
      <c r="H109" s="256"/>
    </row>
    <row r="110" spans="1:9" ht="40.5" hidden="1" customHeight="1" x14ac:dyDescent="0.45">
      <c r="A110" s="364" t="str">
        <f>Horaire!A115</f>
        <v>DOUJANI</v>
      </c>
      <c r="B110" s="323">
        <f>Horaire!B115</f>
        <v>0.64583333333333337</v>
      </c>
      <c r="C110" s="322" t="str">
        <f>Horaire!C115</f>
        <v>D8</v>
      </c>
      <c r="D110" s="320" t="str">
        <f>VLOOKUP(C110,'Liste chauffeur'!$B$5:$L$18,2,TRUE)&amp;" "&amp;VLOOKUP(C110,'Liste chauffeur'!$B$5:$L$18,3,TRUE)</f>
        <v>ISSOUF Dailami</v>
      </c>
      <c r="E110" s="292"/>
      <c r="F110" s="255"/>
      <c r="G110" s="255"/>
      <c r="H110" s="256"/>
    </row>
    <row r="111" spans="1:9" ht="40.5" hidden="1" customHeight="1" x14ac:dyDescent="0.45">
      <c r="A111" s="364" t="str">
        <f>Horaire!A116</f>
        <v>PASSOT LA BARGE</v>
      </c>
      <c r="B111" s="323">
        <f>Horaire!B116</f>
        <v>0.64583333333333337</v>
      </c>
      <c r="C111" s="322" t="str">
        <f>Horaire!C116</f>
        <v>D6</v>
      </c>
      <c r="D111" s="320" t="str">
        <f>VLOOKUP(C111,'Liste chauffeur'!$B$5:$L$18,2,TRUE)&amp;" "&amp;VLOOKUP(C111,'Liste chauffeur'!$B$5:$L$18,3,TRUE)</f>
        <v>ABDOU HAMIDOUNE Nassabia</v>
      </c>
      <c r="E111" s="292"/>
      <c r="F111" s="255"/>
      <c r="G111" s="255"/>
      <c r="H111" s="256"/>
    </row>
    <row r="112" spans="1:9" ht="40.5" hidden="1" customHeight="1" x14ac:dyDescent="0.45">
      <c r="A112" s="364" t="str">
        <f>Horaire!A117</f>
        <v>DOUJANI</v>
      </c>
      <c r="B112" s="323">
        <f>Horaire!B117</f>
        <v>0.65277777777777779</v>
      </c>
      <c r="C112" s="322" t="str">
        <f>Horaire!C117</f>
        <v>D3</v>
      </c>
      <c r="D112" s="320" t="str">
        <f>VLOOKUP(C112,'Liste chauffeur'!$B$5:$L$18,2,TRUE)&amp;" "&amp;VLOOKUP(C112,'Liste chauffeur'!$B$5:$L$18,3,TRUE)</f>
        <v>ABDOURAHIM Mohamed</v>
      </c>
      <c r="E112" s="292"/>
      <c r="F112" s="255"/>
      <c r="G112" s="255"/>
      <c r="H112" s="256"/>
    </row>
    <row r="113" spans="1:9" ht="40.5" hidden="1" customHeight="1" x14ac:dyDescent="0.45">
      <c r="A113" s="364" t="str">
        <f>Horaire!A118</f>
        <v>PASSOT LA BARGE</v>
      </c>
      <c r="B113" s="323">
        <f>Horaire!B118</f>
        <v>0.65277777777777779</v>
      </c>
      <c r="C113" s="322" t="str">
        <f>Horaire!C118</f>
        <v>D1</v>
      </c>
      <c r="D113" s="320" t="str">
        <f>VLOOKUP(C113,'Liste chauffeur'!$B$5:$L$18,2,TRUE)&amp;" "&amp;VLOOKUP(C113,'Liste chauffeur'!$B$5:$L$18,3,TRUE)</f>
        <v>MOHAMED Ali (laglace)</v>
      </c>
      <c r="E113" s="292"/>
      <c r="F113" s="255"/>
      <c r="G113" s="255"/>
      <c r="H113" s="256"/>
    </row>
    <row r="114" spans="1:9" ht="40.5" hidden="1" customHeight="1" x14ac:dyDescent="0.45">
      <c r="A114" s="364" t="str">
        <f>Horaire!A119</f>
        <v>DOUJANI</v>
      </c>
      <c r="B114" s="323">
        <f>Horaire!B119</f>
        <v>0.65972222222222221</v>
      </c>
      <c r="C114" s="322" t="str">
        <f>Horaire!C119</f>
        <v>D9</v>
      </c>
      <c r="D114" s="320" t="str">
        <f>VLOOKUP(C114,'Liste chauffeur'!$B$5:$L$18,2,TRUE)&amp;" "&amp;VLOOKUP(C114,'Liste chauffeur'!$B$5:$L$18,3,TRUE)</f>
        <v>ISSOUF Dailami</v>
      </c>
      <c r="E114" s="292"/>
      <c r="F114" s="255"/>
      <c r="G114" s="255"/>
      <c r="H114" s="256"/>
    </row>
    <row r="115" spans="1:9" ht="40.5" hidden="1" customHeight="1" x14ac:dyDescent="0.45">
      <c r="A115" s="364" t="str">
        <f>Horaire!A120</f>
        <v>PASSOT LA BARGE</v>
      </c>
      <c r="B115" s="323">
        <f>Horaire!B120</f>
        <v>0.65972222222222221</v>
      </c>
      <c r="C115" s="322" t="str">
        <f>Horaire!C120</f>
        <v>D5</v>
      </c>
      <c r="D115" s="320" t="str">
        <f>VLOOKUP(C115,'Liste chauffeur'!$B$5:$L$18,2,TRUE)&amp;" "&amp;VLOOKUP(C115,'Liste chauffeur'!$B$5:$L$18,3,TRUE)</f>
        <v>AMINA Selemani</v>
      </c>
      <c r="E115" s="292"/>
      <c r="F115" s="255"/>
      <c r="G115" s="255"/>
      <c r="H115" s="256"/>
    </row>
    <row r="116" spans="1:9" ht="40.5" hidden="1" customHeight="1" x14ac:dyDescent="0.45">
      <c r="A116" s="364" t="str">
        <f>Horaire!A121</f>
        <v>DOUJANI</v>
      </c>
      <c r="B116" s="323">
        <f>Horaire!B121</f>
        <v>0.66666666666666663</v>
      </c>
      <c r="C116" s="322" t="str">
        <f>Horaire!C121</f>
        <v>D6</v>
      </c>
      <c r="D116" s="320" t="str">
        <f>VLOOKUP(C116,'Liste chauffeur'!$B$5:$L$18,2,TRUE)&amp;" "&amp;VLOOKUP(C116,'Liste chauffeur'!$B$5:$L$18,3,TRUE)</f>
        <v>ABDOU HAMIDOUNE Nassabia</v>
      </c>
      <c r="E116" s="292"/>
      <c r="F116" s="255"/>
      <c r="G116" s="255"/>
      <c r="H116" s="256"/>
    </row>
    <row r="117" spans="1:9" ht="40.5" hidden="1" customHeight="1" x14ac:dyDescent="0.45">
      <c r="A117" s="364" t="str">
        <f>Horaire!A122</f>
        <v>PASSOT LA BARGE</v>
      </c>
      <c r="B117" s="323">
        <f>Horaire!B122</f>
        <v>0.66666666666666663</v>
      </c>
      <c r="C117" s="322" t="str">
        <f>Horaire!C122</f>
        <v>D8</v>
      </c>
      <c r="D117" s="320" t="str">
        <f>VLOOKUP(C117,'Liste chauffeur'!$B$5:$L$18,2,TRUE)&amp;" "&amp;VLOOKUP(C117,'Liste chauffeur'!$B$5:$L$18,3,TRUE)</f>
        <v>ISSOUF Dailami</v>
      </c>
      <c r="E117" s="292"/>
      <c r="F117" s="255"/>
      <c r="G117" s="255"/>
      <c r="H117" s="256"/>
    </row>
    <row r="118" spans="1:9" ht="40.5" hidden="1" customHeight="1" x14ac:dyDescent="0.45">
      <c r="A118" s="364" t="str">
        <f>Horaire!A123</f>
        <v>DOUJANI</v>
      </c>
      <c r="B118" s="323">
        <f>Horaire!B123</f>
        <v>0.67361111111111116</v>
      </c>
      <c r="C118" s="322" t="str">
        <f>Horaire!C123</f>
        <v>D1</v>
      </c>
      <c r="D118" s="320" t="str">
        <f>VLOOKUP(C118,'Liste chauffeur'!$B$5:$L$18,2,TRUE)&amp;" "&amp;VLOOKUP(C118,'Liste chauffeur'!$B$5:$L$18,3,TRUE)</f>
        <v>MOHAMED Ali (laglace)</v>
      </c>
      <c r="E118" s="292"/>
      <c r="F118" s="255"/>
      <c r="G118" s="255"/>
      <c r="H118" s="256"/>
    </row>
    <row r="119" spans="1:9" ht="40.5" hidden="1" customHeight="1" x14ac:dyDescent="0.45">
      <c r="A119" s="364" t="str">
        <f>Horaire!A124</f>
        <v>PASSOT LA BARGE</v>
      </c>
      <c r="B119" s="323">
        <f>Horaire!B124</f>
        <v>0.67361111111111116</v>
      </c>
      <c r="C119" s="322" t="str">
        <f>Horaire!C124</f>
        <v>D3</v>
      </c>
      <c r="D119" s="320" t="str">
        <f>VLOOKUP(C119,'Liste chauffeur'!$B$5:$L$18,2,TRUE)&amp;" "&amp;VLOOKUP(C119,'Liste chauffeur'!$B$5:$L$18,3,TRUE)</f>
        <v>ABDOURAHIM Mohamed</v>
      </c>
      <c r="E119" s="292"/>
      <c r="F119" s="255"/>
      <c r="G119" s="255"/>
      <c r="H119" s="256"/>
    </row>
    <row r="120" spans="1:9" ht="40.5" hidden="1" customHeight="1" x14ac:dyDescent="0.45">
      <c r="A120" s="364" t="str">
        <f>Horaire!A125</f>
        <v>DOUJANI</v>
      </c>
      <c r="B120" s="323">
        <f>Horaire!B125</f>
        <v>0.68055555555555558</v>
      </c>
      <c r="C120" s="322" t="str">
        <f>Horaire!C125</f>
        <v>D5</v>
      </c>
      <c r="D120" s="320" t="str">
        <f>VLOOKUP(C120,'Liste chauffeur'!$B$5:$L$18,2,TRUE)&amp;" "&amp;VLOOKUP(C120,'Liste chauffeur'!$B$5:$L$18,3,TRUE)</f>
        <v>AMINA Selemani</v>
      </c>
      <c r="E120" s="292"/>
      <c r="F120" s="255"/>
      <c r="G120" s="255"/>
      <c r="H120" s="256"/>
    </row>
    <row r="121" spans="1:9" ht="40.5" hidden="1" customHeight="1" x14ac:dyDescent="0.45">
      <c r="A121" s="364" t="str">
        <f>Horaire!A126</f>
        <v>PASSOT LA BARGE</v>
      </c>
      <c r="B121" s="323">
        <f>Horaire!B126</f>
        <v>0.68055555555555558</v>
      </c>
      <c r="C121" s="322" t="str">
        <f>Horaire!C126</f>
        <v>D9</v>
      </c>
      <c r="D121" s="320" t="str">
        <f>VLOOKUP(C121,'Liste chauffeur'!$B$5:$L$18,2,TRUE)&amp;" "&amp;VLOOKUP(C121,'Liste chauffeur'!$B$5:$L$18,3,TRUE)</f>
        <v>ISSOUF Dailami</v>
      </c>
      <c r="E121" s="292"/>
      <c r="F121" s="255"/>
      <c r="G121" s="255"/>
      <c r="H121" s="256"/>
    </row>
    <row r="122" spans="1:9" ht="40.5" customHeight="1" x14ac:dyDescent="0.45">
      <c r="A122" s="364" t="str">
        <f>Horaire!A127</f>
        <v>DOUJANI</v>
      </c>
      <c r="B122" s="323">
        <f>Horaire!B127</f>
        <v>0.6875</v>
      </c>
      <c r="C122" s="322" t="str">
        <f>Horaire!C127</f>
        <v>D8</v>
      </c>
      <c r="D122" s="320" t="str">
        <f>VLOOKUP(C122,'Liste chauffeur'!$B$5:$L$18,2,TRUE)&amp;" "&amp;VLOOKUP(C122,'Liste chauffeur'!$B$5:$L$18,3,TRUE)</f>
        <v>ISSOUF Dailami</v>
      </c>
      <c r="E122" s="292"/>
      <c r="F122" s="255"/>
      <c r="G122" s="255"/>
      <c r="H122" s="256"/>
    </row>
    <row r="123" spans="1:9" ht="40.5" customHeight="1" x14ac:dyDescent="0.45">
      <c r="A123" s="364" t="str">
        <f>Horaire!A128</f>
        <v>PASSOT LA BARGE</v>
      </c>
      <c r="B123" s="323">
        <f>Horaire!B128</f>
        <v>0.6875</v>
      </c>
      <c r="C123" s="322" t="str">
        <f>Horaire!C128</f>
        <v>D6</v>
      </c>
      <c r="D123" s="320" t="str">
        <f>VLOOKUP(C123,'Liste chauffeur'!$B$5:$L$18,2,TRUE)&amp;" "&amp;VLOOKUP(C123,'Liste chauffeur'!$B$5:$L$18,3,TRUE)</f>
        <v>ABDOU HAMIDOUNE Nassabia</v>
      </c>
      <c r="E123" s="292"/>
      <c r="F123" s="255"/>
      <c r="G123" s="255"/>
      <c r="H123" s="256"/>
    </row>
    <row r="124" spans="1:9" ht="40.5" customHeight="1" x14ac:dyDescent="0.45">
      <c r="A124" s="364" t="str">
        <f>Horaire!A129</f>
        <v>DOUJANI</v>
      </c>
      <c r="B124" s="323">
        <f>Horaire!B129</f>
        <v>0.69444444444444442</v>
      </c>
      <c r="C124" s="322" t="str">
        <f>Horaire!C129</f>
        <v>D3</v>
      </c>
      <c r="D124" s="320" t="str">
        <f>VLOOKUP(C124,'Liste chauffeur'!$B$5:$L$18,2,TRUE)&amp;" "&amp;VLOOKUP(C124,'Liste chauffeur'!$B$5:$L$18,3,TRUE)</f>
        <v>ABDOURAHIM Mohamed</v>
      </c>
      <c r="E124" s="292"/>
      <c r="F124" s="255"/>
      <c r="G124" s="255"/>
      <c r="H124" s="256"/>
    </row>
    <row r="125" spans="1:9" ht="40.5" customHeight="1" x14ac:dyDescent="0.45">
      <c r="A125" s="364" t="str">
        <f>Horaire!A130</f>
        <v>PASSOT LA BARGE</v>
      </c>
      <c r="B125" s="323">
        <f>Horaire!B130</f>
        <v>0.69444444444444442</v>
      </c>
      <c r="C125" s="322" t="str">
        <f>Horaire!C130</f>
        <v>D1</v>
      </c>
      <c r="D125" s="320" t="str">
        <f>VLOOKUP(C125,'Liste chauffeur'!$B$5:$L$18,2,TRUE)&amp;" "&amp;VLOOKUP(C125,'Liste chauffeur'!$B$5:$L$18,3,TRUE)</f>
        <v>MOHAMED Ali (laglace)</v>
      </c>
      <c r="E125" s="292"/>
      <c r="F125" s="255"/>
      <c r="G125" s="255"/>
      <c r="H125" s="256"/>
    </row>
    <row r="126" spans="1:9" ht="40.5" customHeight="1" x14ac:dyDescent="0.45">
      <c r="A126" s="364" t="str">
        <f>Horaire!A131</f>
        <v>DOUJANI</v>
      </c>
      <c r="B126" s="323">
        <f>Horaire!B131</f>
        <v>0.70138888888888884</v>
      </c>
      <c r="C126" s="322" t="str">
        <f>Horaire!C131</f>
        <v>D9</v>
      </c>
      <c r="D126" s="320" t="str">
        <f>VLOOKUP(C126,'Liste chauffeur'!$B$5:$L$18,2,TRUE)&amp;" "&amp;VLOOKUP(C126,'Liste chauffeur'!$B$5:$L$18,3,TRUE)</f>
        <v>ISSOUF Dailami</v>
      </c>
      <c r="E126" s="292"/>
      <c r="F126" s="255"/>
      <c r="G126" s="255"/>
      <c r="H126" s="256"/>
      <c r="I126" s="287" t="s">
        <v>364</v>
      </c>
    </row>
    <row r="127" spans="1:9" ht="40.5" customHeight="1" x14ac:dyDescent="0.45">
      <c r="A127" s="364" t="str">
        <f>Horaire!A132</f>
        <v>PASSOT LA BARGE</v>
      </c>
      <c r="B127" s="323">
        <f>Horaire!B132</f>
        <v>0.70138888888888884</v>
      </c>
      <c r="C127" s="322" t="str">
        <f>Horaire!C132</f>
        <v>D5</v>
      </c>
      <c r="D127" s="320" t="str">
        <f>VLOOKUP(C127,'Liste chauffeur'!$B$5:$L$18,2,TRUE)&amp;" "&amp;VLOOKUP(C127,'Liste chauffeur'!$B$5:$L$18,3,TRUE)</f>
        <v>AMINA Selemani</v>
      </c>
      <c r="E127" s="292"/>
      <c r="F127" s="255"/>
      <c r="G127" s="255"/>
      <c r="H127" s="256"/>
    </row>
    <row r="128" spans="1:9" ht="40.5" customHeight="1" x14ac:dyDescent="0.45">
      <c r="A128" s="364" t="str">
        <f>Horaire!A133</f>
        <v>DOUJANI</v>
      </c>
      <c r="B128" s="323">
        <f>Horaire!B133</f>
        <v>0.70833333333333337</v>
      </c>
      <c r="C128" s="322" t="str">
        <f>Horaire!C133</f>
        <v>D6</v>
      </c>
      <c r="D128" s="320" t="str">
        <f>VLOOKUP(C128,'Liste chauffeur'!$B$5:$L$18,2,TRUE)&amp;" "&amp;VLOOKUP(C128,'Liste chauffeur'!$B$5:$L$18,3,TRUE)</f>
        <v>ABDOU HAMIDOUNE Nassabia</v>
      </c>
      <c r="E128" s="292"/>
      <c r="F128" s="255"/>
      <c r="G128" s="255"/>
      <c r="H128" s="256"/>
    </row>
    <row r="129" spans="1:9" ht="40.5" customHeight="1" x14ac:dyDescent="0.45">
      <c r="A129" s="364" t="str">
        <f>Horaire!A134</f>
        <v>PASSOT LA BARGE</v>
      </c>
      <c r="B129" s="323">
        <f>Horaire!B134</f>
        <v>0.70833333333333337</v>
      </c>
      <c r="C129" s="322" t="str">
        <f>Horaire!C134</f>
        <v>D8</v>
      </c>
      <c r="D129" s="320" t="str">
        <f>VLOOKUP(C129,'Liste chauffeur'!$B$5:$L$18,2,TRUE)&amp;" "&amp;VLOOKUP(C129,'Liste chauffeur'!$B$5:$L$18,3,TRUE)</f>
        <v>ISSOUF Dailami</v>
      </c>
      <c r="E129" s="292"/>
      <c r="F129" s="255"/>
      <c r="G129" s="255"/>
      <c r="H129" s="256"/>
      <c r="I129" s="287" t="s">
        <v>365</v>
      </c>
    </row>
    <row r="130" spans="1:9" ht="40.5" customHeight="1" x14ac:dyDescent="0.45">
      <c r="A130" s="364" t="str">
        <f>Horaire!A135</f>
        <v>DOUJANI</v>
      </c>
      <c r="B130" s="323">
        <f>Horaire!B135</f>
        <v>0.71527777777777779</v>
      </c>
      <c r="C130" s="322" t="str">
        <f>Horaire!C135</f>
        <v>D1</v>
      </c>
      <c r="D130" s="320" t="str">
        <f>VLOOKUP(C130,'Liste chauffeur'!$B$5:$L$18,2,TRUE)&amp;" "&amp;VLOOKUP(C130,'Liste chauffeur'!$B$5:$L$18,3,TRUE)</f>
        <v>MOHAMED Ali (laglace)</v>
      </c>
      <c r="E130" s="292"/>
      <c r="F130" s="255"/>
      <c r="G130" s="255"/>
      <c r="H130" s="256"/>
    </row>
    <row r="131" spans="1:9" ht="40.5" customHeight="1" x14ac:dyDescent="0.45">
      <c r="A131" s="364" t="str">
        <f>Horaire!A136</f>
        <v>PASSOT LA BARGE</v>
      </c>
      <c r="B131" s="323">
        <f>Horaire!B136</f>
        <v>0.71527777777777779</v>
      </c>
      <c r="C131" s="322" t="str">
        <f>Horaire!C136</f>
        <v>D3</v>
      </c>
      <c r="D131" s="320" t="str">
        <f>VLOOKUP(C131,'Liste chauffeur'!$B$5:$L$18,2,TRUE)&amp;" "&amp;VLOOKUP(C131,'Liste chauffeur'!$B$5:$L$18,3,TRUE)</f>
        <v>ABDOURAHIM Mohamed</v>
      </c>
      <c r="E131" s="292"/>
      <c r="F131" s="255"/>
      <c r="G131" s="255"/>
      <c r="H131" s="256"/>
    </row>
    <row r="132" spans="1:9" ht="40.5" customHeight="1" x14ac:dyDescent="0.45">
      <c r="A132" s="364" t="str">
        <f>Horaire!A137</f>
        <v>DOUJANI</v>
      </c>
      <c r="B132" s="367">
        <f>Horaire!B137</f>
        <v>0.72222222222223398</v>
      </c>
      <c r="C132" s="322" t="str">
        <f>Horaire!C137</f>
        <v>D5</v>
      </c>
      <c r="D132" s="320" t="str">
        <f>VLOOKUP(C132,'Liste chauffeur'!$B$5:$L$18,2,TRUE)&amp;" "&amp;VLOOKUP(C132,'Liste chauffeur'!$B$5:$L$18,3,TRUE)</f>
        <v>AMINA Selemani</v>
      </c>
      <c r="E132" s="292"/>
      <c r="F132" s="255"/>
      <c r="G132" s="255"/>
      <c r="H132" s="256"/>
      <c r="I132" s="287"/>
    </row>
    <row r="133" spans="1:9" ht="40.5" customHeight="1" x14ac:dyDescent="0.45">
      <c r="A133" s="364" t="str">
        <f>Horaire!A138</f>
        <v>PASSOT LA BARGE</v>
      </c>
      <c r="B133" s="323">
        <f>Horaire!B138</f>
        <v>0.72222222222222221</v>
      </c>
      <c r="C133" s="322" t="str">
        <f>Horaire!C138</f>
        <v>D9</v>
      </c>
      <c r="D133" s="320" t="str">
        <f>VLOOKUP(C133,'Liste chauffeur'!$B$5:$L$18,2,TRUE)&amp;" "&amp;VLOOKUP(C133,'Liste chauffeur'!$B$5:$L$18,3,TRUE)</f>
        <v>ISSOUF Dailami</v>
      </c>
      <c r="E133" s="292"/>
      <c r="F133" s="255"/>
      <c r="G133" s="255"/>
      <c r="H133" s="256"/>
    </row>
    <row r="134" spans="1:9" ht="40.5" customHeight="1" x14ac:dyDescent="0.45">
      <c r="A134" s="364" t="str">
        <f>Horaire!A139</f>
        <v>DOUJANI</v>
      </c>
      <c r="B134" s="323">
        <f>Horaire!B139</f>
        <v>0.72916666666666663</v>
      </c>
      <c r="C134" s="322" t="str">
        <f>Horaire!C139</f>
        <v>D8</v>
      </c>
      <c r="D134" s="320" t="str">
        <f>VLOOKUP(C134,'Liste chauffeur'!$B$5:$L$18,2,TRUE)&amp;" "&amp;VLOOKUP(C134,'Liste chauffeur'!$B$5:$L$18,3,TRUE)</f>
        <v>ISSOUF Dailami</v>
      </c>
      <c r="E134" s="292"/>
      <c r="F134" s="255"/>
      <c r="G134" s="255"/>
      <c r="H134" s="256"/>
    </row>
    <row r="135" spans="1:9" ht="40.5" customHeight="1" x14ac:dyDescent="0.45">
      <c r="A135" s="364" t="str">
        <f>Horaire!A140</f>
        <v>PASSOT LA BARGE</v>
      </c>
      <c r="B135" s="323">
        <f>Horaire!B140</f>
        <v>0.72916666666666663</v>
      </c>
      <c r="C135" s="322" t="str">
        <f>Horaire!C140</f>
        <v>D6</v>
      </c>
      <c r="D135" s="320" t="str">
        <f>VLOOKUP(C135,'Liste chauffeur'!$B$5:$L$18,2,TRUE)&amp;" "&amp;VLOOKUP(C135,'Liste chauffeur'!$B$5:$L$18,3,TRUE)</f>
        <v>ABDOU HAMIDOUNE Nassabia</v>
      </c>
      <c r="E135" s="292"/>
      <c r="F135" s="255"/>
      <c r="G135" s="255"/>
      <c r="H135" s="256"/>
    </row>
    <row r="136" spans="1:9" ht="40.5" customHeight="1" x14ac:dyDescent="0.45">
      <c r="A136" s="364" t="str">
        <f>Horaire!A141</f>
        <v>DOUJANI</v>
      </c>
      <c r="B136" s="367">
        <f>Horaire!B141</f>
        <v>0.73611111111112504</v>
      </c>
      <c r="C136" s="322" t="str">
        <f>Horaire!C141</f>
        <v>D3</v>
      </c>
      <c r="D136" s="320" t="str">
        <f>VLOOKUP(C136,'Liste chauffeur'!$B$5:$L$18,2,TRUE)&amp;" "&amp;VLOOKUP(C136,'Liste chauffeur'!$B$5:$L$18,3,TRUE)</f>
        <v>ABDOURAHIM Mohamed</v>
      </c>
      <c r="E136" s="292"/>
      <c r="F136" s="255"/>
      <c r="G136" s="255"/>
      <c r="H136" s="256"/>
      <c r="I136" s="287" t="s">
        <v>367</v>
      </c>
    </row>
    <row r="137" spans="1:9" ht="40.5" customHeight="1" x14ac:dyDescent="0.45">
      <c r="A137" s="364" t="str">
        <f>Horaire!A142</f>
        <v>PASSOT LA BARGE</v>
      </c>
      <c r="B137" s="367">
        <f>Horaire!B142</f>
        <v>0.73611111111111116</v>
      </c>
      <c r="C137" s="322" t="str">
        <f>Horaire!C142</f>
        <v>D1</v>
      </c>
      <c r="D137" s="320" t="str">
        <f>VLOOKUP(C137,'Liste chauffeur'!$B$5:$L$18,2,TRUE)&amp;" "&amp;VLOOKUP(C137,'Liste chauffeur'!$B$5:$L$18,3,TRUE)</f>
        <v>MOHAMED Ali (laglace)</v>
      </c>
      <c r="E137" s="292"/>
      <c r="F137" s="255"/>
      <c r="G137" s="255"/>
      <c r="H137" s="256"/>
    </row>
    <row r="138" spans="1:9" ht="40.5" customHeight="1" x14ac:dyDescent="0.45">
      <c r="A138" s="364" t="str">
        <f>Horaire!A143</f>
        <v>DOUJANI</v>
      </c>
      <c r="B138" s="323">
        <f>Horaire!B143</f>
        <v>0.74305555555555558</v>
      </c>
      <c r="C138" s="322" t="str">
        <f>Horaire!C143</f>
        <v>D9</v>
      </c>
      <c r="D138" s="320" t="str">
        <f>VLOOKUP(C138,'Liste chauffeur'!$B$5:$L$18,2,TRUE)&amp;" "&amp;VLOOKUP(C138,'Liste chauffeur'!$B$5:$L$18,3,TRUE)</f>
        <v>ISSOUF Dailami</v>
      </c>
      <c r="E138" s="292"/>
      <c r="F138" s="255"/>
      <c r="G138" s="255"/>
      <c r="H138" s="256"/>
      <c r="I138" s="137"/>
    </row>
    <row r="139" spans="1:9" ht="40.5" customHeight="1" x14ac:dyDescent="0.45">
      <c r="A139" s="364" t="str">
        <f>Horaire!A144</f>
        <v>PASSOT LA BARGE</v>
      </c>
      <c r="B139" s="366">
        <f>Horaire!B144</f>
        <v>0.74305555555555558</v>
      </c>
      <c r="C139" s="322" t="str">
        <f>Horaire!C144</f>
        <v>D7</v>
      </c>
      <c r="D139" s="320" t="str">
        <f>VLOOKUP(C139,'Liste chauffeur'!$B$5:$L$18,2,TRUE)&amp;" "&amp;VLOOKUP(C139,'Liste chauffeur'!$B$5:$L$18,3,TRUE)</f>
        <v>COMBO  Said</v>
      </c>
      <c r="E139" s="292"/>
      <c r="F139" s="255"/>
      <c r="G139" s="255"/>
      <c r="H139" s="256"/>
      <c r="I139" s="287" t="s">
        <v>366</v>
      </c>
    </row>
    <row r="140" spans="1:9" ht="40.5" customHeight="1" x14ac:dyDescent="0.45">
      <c r="A140" s="364" t="str">
        <f>Horaire!A145</f>
        <v>DOUJANI</v>
      </c>
      <c r="B140" s="323">
        <f>Horaire!B145</f>
        <v>0.75000000000001699</v>
      </c>
      <c r="C140" s="322" t="str">
        <f>Horaire!C145</f>
        <v>D6</v>
      </c>
      <c r="D140" s="320" t="str">
        <f>VLOOKUP(C140,'Liste chauffeur'!$B$5:$L$18,2,TRUE)&amp;" "&amp;VLOOKUP(C140,'Liste chauffeur'!$B$5:$L$18,3,TRUE)</f>
        <v>ABDOU HAMIDOUNE Nassabia</v>
      </c>
      <c r="E140" s="292"/>
      <c r="F140" s="255"/>
      <c r="G140" s="255"/>
      <c r="H140" s="256"/>
    </row>
    <row r="141" spans="1:9" ht="40.5" customHeight="1" x14ac:dyDescent="0.45">
      <c r="A141" s="364" t="str">
        <f>Horaire!A146</f>
        <v>PASSOT LA BARGE</v>
      </c>
      <c r="B141" s="323">
        <f>Horaire!B146</f>
        <v>0.75</v>
      </c>
      <c r="C141" s="322" t="str">
        <f>Horaire!C146</f>
        <v>D8</v>
      </c>
      <c r="D141" s="320" t="str">
        <f>VLOOKUP(C141,'Liste chauffeur'!$B$5:$L$18,2,TRUE)&amp;" "&amp;VLOOKUP(C141,'Liste chauffeur'!$B$5:$L$18,3,TRUE)</f>
        <v>ISSOUF Dailami</v>
      </c>
      <c r="E141" s="292"/>
      <c r="F141" s="255"/>
      <c r="G141" s="255"/>
      <c r="H141" s="256"/>
    </row>
    <row r="142" spans="1:9" ht="40.5" customHeight="1" x14ac:dyDescent="0.45">
      <c r="A142" s="364" t="str">
        <f>Horaire!A147</f>
        <v>DOUJANI</v>
      </c>
      <c r="B142" s="323">
        <f>Horaire!B147</f>
        <v>0.76388888888888884</v>
      </c>
      <c r="C142" s="322" t="str">
        <f>Horaire!C147</f>
        <v>D7</v>
      </c>
      <c r="D142" s="320" t="str">
        <f>VLOOKUP(C142,'Liste chauffeur'!$B$5:$L$18,2,TRUE)&amp;" "&amp;VLOOKUP(C142,'Liste chauffeur'!$B$5:$L$18,3,TRUE)</f>
        <v>COMBO  Said</v>
      </c>
      <c r="E142" s="292"/>
      <c r="F142" s="255"/>
      <c r="G142" s="255"/>
      <c r="H142" s="256"/>
    </row>
    <row r="143" spans="1:9" ht="40.5" customHeight="1" x14ac:dyDescent="0.45">
      <c r="A143" s="364" t="str">
        <f>Horaire!A148</f>
        <v>PASSOT LA BARGE</v>
      </c>
      <c r="B143" s="323">
        <f>Horaire!B148</f>
        <v>0.76388888888888884</v>
      </c>
      <c r="C143" s="322" t="str">
        <f>Horaire!C148</f>
        <v>D9</v>
      </c>
      <c r="D143" s="320" t="str">
        <f>VLOOKUP(C143,'Liste chauffeur'!$B$5:$L$18,2,TRUE)&amp;" "&amp;VLOOKUP(C143,'Liste chauffeur'!$B$5:$L$18,3,TRUE)</f>
        <v>ISSOUF Dailami</v>
      </c>
      <c r="E143" s="292"/>
      <c r="F143" s="255"/>
      <c r="G143" s="255"/>
      <c r="H143" s="256"/>
    </row>
    <row r="144" spans="1:9" ht="40.5" customHeight="1" x14ac:dyDescent="0.45">
      <c r="A144" s="364" t="str">
        <f>Horaire!A149</f>
        <v>DOUJANI</v>
      </c>
      <c r="B144" s="323">
        <f>Horaire!B149</f>
        <v>0.77777777777777779</v>
      </c>
      <c r="C144" s="322" t="str">
        <f>Horaire!C149</f>
        <v>D8</v>
      </c>
      <c r="D144" s="320" t="str">
        <f>VLOOKUP(C144,'Liste chauffeur'!$B$5:$L$18,2,TRUE)&amp;" "&amp;VLOOKUP(C144,'Liste chauffeur'!$B$5:$L$18,3,TRUE)</f>
        <v>ISSOUF Dailami</v>
      </c>
      <c r="E144" s="292"/>
      <c r="F144" s="255"/>
      <c r="G144" s="255"/>
      <c r="H144" s="256"/>
    </row>
    <row r="145" spans="1:8" ht="40.5" customHeight="1" x14ac:dyDescent="0.45">
      <c r="A145" s="364" t="str">
        <f>Horaire!A150</f>
        <v>PASSOT LA BARGE</v>
      </c>
      <c r="B145" s="323">
        <f>Horaire!B150</f>
        <v>0.77777777777777779</v>
      </c>
      <c r="C145" s="322" t="str">
        <f>Horaire!C150</f>
        <v>D6</v>
      </c>
      <c r="D145" s="320" t="str">
        <f>VLOOKUP(C145,'Liste chauffeur'!$B$5:$L$18,2,TRUE)&amp;" "&amp;VLOOKUP(C145,'Liste chauffeur'!$B$5:$L$18,3,TRUE)</f>
        <v>ABDOU HAMIDOUNE Nassabia</v>
      </c>
      <c r="E145" s="292"/>
      <c r="F145" s="255"/>
      <c r="G145" s="255"/>
      <c r="H145" s="256"/>
    </row>
    <row r="146" spans="1:8" ht="40.5" customHeight="1" x14ac:dyDescent="0.45">
      <c r="A146" s="364" t="str">
        <f>Horaire!A151</f>
        <v>DOUJANI</v>
      </c>
      <c r="B146" s="323">
        <f>Horaire!B151</f>
        <v>0.79166666666666663</v>
      </c>
      <c r="C146" s="322" t="str">
        <f>Horaire!C151</f>
        <v>D9</v>
      </c>
      <c r="D146" s="320" t="str">
        <f>VLOOKUP(C146,'Liste chauffeur'!$B$5:$L$18,2,TRUE)&amp;" "&amp;VLOOKUP(C146,'Liste chauffeur'!$B$5:$L$18,3,TRUE)</f>
        <v>ISSOUF Dailami</v>
      </c>
      <c r="E146" s="292"/>
      <c r="F146" s="255"/>
      <c r="G146" s="255"/>
      <c r="H146" s="256"/>
    </row>
    <row r="147" spans="1:8" ht="40.5" customHeight="1" x14ac:dyDescent="0.45">
      <c r="A147" s="364" t="str">
        <f>Horaire!A152</f>
        <v>PASSOT LA BARGE</v>
      </c>
      <c r="B147" s="323">
        <f>Horaire!B152</f>
        <v>0.79166666666666663</v>
      </c>
      <c r="C147" s="322" t="str">
        <f>Horaire!C152</f>
        <v>D7</v>
      </c>
      <c r="D147" s="320" t="str">
        <f>VLOOKUP(C147,'Liste chauffeur'!$B$5:$L$18,2,TRUE)&amp;" "&amp;VLOOKUP(C147,'Liste chauffeur'!$B$5:$L$18,3,TRUE)</f>
        <v>COMBO  Said</v>
      </c>
      <c r="E147" s="292"/>
      <c r="F147" s="255"/>
      <c r="G147" s="255"/>
      <c r="H147" s="256"/>
    </row>
    <row r="148" spans="1:8" ht="40.5" customHeight="1" x14ac:dyDescent="0.45">
      <c r="A148" s="364" t="str">
        <f>Horaire!A153</f>
        <v>DOUJANI</v>
      </c>
      <c r="B148" s="323">
        <f>Horaire!B153</f>
        <v>0.80555555555555558</v>
      </c>
      <c r="C148" s="322" t="str">
        <f>Horaire!C153</f>
        <v>D6</v>
      </c>
      <c r="D148" s="320" t="str">
        <f>VLOOKUP(C148,'Liste chauffeur'!$B$5:$L$18,2,TRUE)&amp;" "&amp;VLOOKUP(C148,'Liste chauffeur'!$B$5:$L$18,3,TRUE)</f>
        <v>ABDOU HAMIDOUNE Nassabia</v>
      </c>
      <c r="E148" s="292"/>
      <c r="F148" s="255"/>
      <c r="G148" s="255"/>
      <c r="H148" s="256"/>
    </row>
    <row r="149" spans="1:8" ht="40.5" customHeight="1" x14ac:dyDescent="0.45">
      <c r="A149" s="364" t="str">
        <f>Horaire!A154</f>
        <v>PASSOT LA BARGE</v>
      </c>
      <c r="B149" s="323">
        <f>Horaire!B154</f>
        <v>0.80555555555555558</v>
      </c>
      <c r="C149" s="322" t="str">
        <f>Horaire!C154</f>
        <v>D8</v>
      </c>
      <c r="D149" s="320" t="str">
        <f>VLOOKUP(C149,'Liste chauffeur'!$B$5:$L$18,2,TRUE)&amp;" "&amp;VLOOKUP(C149,'Liste chauffeur'!$B$5:$L$18,3,TRUE)</f>
        <v>ISSOUF Dailami</v>
      </c>
      <c r="E149" s="292"/>
      <c r="F149" s="255"/>
      <c r="G149" s="255"/>
      <c r="H149" s="256"/>
    </row>
    <row r="150" spans="1:8" ht="40.5" customHeight="1" x14ac:dyDescent="0.45">
      <c r="A150" s="364" t="str">
        <f>Horaire!A155</f>
        <v>DOUJANI</v>
      </c>
      <c r="B150" s="323">
        <f>Horaire!B155</f>
        <v>0.81944444444444442</v>
      </c>
      <c r="C150" s="322" t="str">
        <f>Horaire!C155</f>
        <v>D7</v>
      </c>
      <c r="D150" s="320" t="str">
        <f>VLOOKUP(C150,'Liste chauffeur'!$B$5:$L$18,2,TRUE)&amp;" "&amp;VLOOKUP(C150,'Liste chauffeur'!$B$5:$L$18,3,TRUE)</f>
        <v>COMBO  Said</v>
      </c>
      <c r="E150" s="292"/>
      <c r="F150" s="255"/>
      <c r="G150" s="255"/>
      <c r="H150" s="256"/>
    </row>
    <row r="151" spans="1:8" ht="40.5" customHeight="1" x14ac:dyDescent="0.45">
      <c r="A151" s="364" t="str">
        <f>Horaire!A156</f>
        <v>PASSOT LA BARGE</v>
      </c>
      <c r="B151" s="323">
        <f>Horaire!B156</f>
        <v>0.81944444444444442</v>
      </c>
      <c r="C151" s="322" t="str">
        <f>Horaire!C156</f>
        <v>D9</v>
      </c>
      <c r="D151" s="320" t="str">
        <f>VLOOKUP(C151,'Liste chauffeur'!$B$5:$L$18,2,TRUE)&amp;" "&amp;VLOOKUP(C151,'Liste chauffeur'!$B$5:$L$18,3,TRUE)</f>
        <v>ISSOUF Dailami</v>
      </c>
      <c r="E151" s="292"/>
      <c r="F151" s="255"/>
      <c r="G151" s="255"/>
      <c r="H151" s="256"/>
    </row>
    <row r="152" spans="1:8" ht="40.5" customHeight="1" x14ac:dyDescent="0.45">
      <c r="A152" s="364" t="str">
        <f>Horaire!A157</f>
        <v>DOUJANI</v>
      </c>
      <c r="B152" s="323">
        <f>Horaire!B157</f>
        <v>0.83333333333333337</v>
      </c>
      <c r="C152" s="322" t="str">
        <f>Horaire!C157</f>
        <v>D8</v>
      </c>
      <c r="D152" s="320" t="str">
        <f>VLOOKUP(C152,'Liste chauffeur'!$B$5:$L$18,2,TRUE)&amp;" "&amp;VLOOKUP(C152,'Liste chauffeur'!$B$5:$L$18,3,TRUE)</f>
        <v>ISSOUF Dailami</v>
      </c>
      <c r="E152" s="292"/>
      <c r="F152" s="255"/>
      <c r="G152" s="255"/>
      <c r="H152" s="256"/>
    </row>
    <row r="153" spans="1:8" ht="40.5" customHeight="1" x14ac:dyDescent="0.45">
      <c r="A153" s="364" t="str">
        <f>Horaire!A158</f>
        <v>PASSOT LA BARGE</v>
      </c>
      <c r="B153" s="367">
        <f>Horaire!B158</f>
        <v>0.83333333333333337</v>
      </c>
      <c r="C153" s="322" t="str">
        <f>Horaire!C158</f>
        <v>D6</v>
      </c>
      <c r="D153" s="320" t="str">
        <f>VLOOKUP(C153,'Liste chauffeur'!$B$5:$L$18,2,TRUE)&amp;" "&amp;VLOOKUP(C153,'Liste chauffeur'!$B$5:$L$18,3,TRUE)</f>
        <v>ABDOU HAMIDOUNE Nassabia</v>
      </c>
      <c r="E153" s="292"/>
      <c r="F153" s="255"/>
      <c r="G153" s="255"/>
      <c r="H153" s="256"/>
    </row>
    <row r="154" spans="1:8" ht="40.5" customHeight="1" x14ac:dyDescent="0.45">
      <c r="A154" s="364" t="str">
        <f>Horaire!A159</f>
        <v>DOUJANI</v>
      </c>
      <c r="B154" s="323">
        <f>Horaire!B159</f>
        <v>0.84722222222222221</v>
      </c>
      <c r="C154" s="322" t="str">
        <f>Horaire!C159</f>
        <v>D9</v>
      </c>
      <c r="D154" s="320" t="str">
        <f>VLOOKUP(C154,'Liste chauffeur'!$B$5:$L$18,2,TRUE)&amp;" "&amp;VLOOKUP(C154,'Liste chauffeur'!$B$5:$L$18,3,TRUE)</f>
        <v>ISSOUF Dailami</v>
      </c>
      <c r="E154" s="292"/>
      <c r="F154" s="255"/>
      <c r="G154" s="255"/>
      <c r="H154" s="256"/>
    </row>
    <row r="155" spans="1:8" ht="40.5" customHeight="1" x14ac:dyDescent="0.45">
      <c r="A155" s="364" t="str">
        <f>Horaire!A160</f>
        <v>PASSOT LA BARGE</v>
      </c>
      <c r="B155" s="367">
        <f>Horaire!B160</f>
        <v>0.84722222222222221</v>
      </c>
      <c r="C155" s="322" t="str">
        <f>Horaire!C160</f>
        <v>D7</v>
      </c>
      <c r="D155" s="320" t="str">
        <f>VLOOKUP(C155,'Liste chauffeur'!$B$5:$L$18,2,TRUE)&amp;" "&amp;VLOOKUP(C155,'Liste chauffeur'!$B$5:$L$18,3,TRUE)</f>
        <v>COMBO  Said</v>
      </c>
      <c r="E155" s="292"/>
      <c r="F155" s="255"/>
      <c r="G155" s="255"/>
      <c r="H155" s="256"/>
    </row>
    <row r="156" spans="1:8" ht="40.5" customHeight="1" x14ac:dyDescent="0.45">
      <c r="A156" s="364" t="str">
        <f>Horaire!A161</f>
        <v>PASSOT LA BARGE</v>
      </c>
      <c r="B156" s="323">
        <f>Horaire!B161</f>
        <v>0.86111111111111116</v>
      </c>
      <c r="C156" s="322" t="str">
        <f>Horaire!C161</f>
        <v>D8</v>
      </c>
      <c r="D156" s="320" t="str">
        <f>VLOOKUP(C156,'Liste chauffeur'!$B$5:$L$18,2,TRUE)&amp;" "&amp;VLOOKUP(C156,'Liste chauffeur'!$B$5:$L$18,3,TRUE)</f>
        <v>ISSOUF Dailami</v>
      </c>
      <c r="E156" s="292"/>
      <c r="F156" s="255"/>
      <c r="G156" s="255"/>
      <c r="H156" s="256"/>
    </row>
    <row r="157" spans="1:8" ht="40.5" customHeight="1" x14ac:dyDescent="0.45">
      <c r="A157" s="364" t="str">
        <f>Horaire!A162</f>
        <v>PASSOT LA BARGE</v>
      </c>
      <c r="B157" s="367">
        <f>Horaire!B162</f>
        <v>0.875</v>
      </c>
      <c r="C157" s="322" t="str">
        <f>Horaire!C162</f>
        <v>D9</v>
      </c>
      <c r="D157" s="320" t="str">
        <f>VLOOKUP(C157,'Liste chauffeur'!$B$5:$L$18,2,TRUE)&amp;" "&amp;VLOOKUP(C157,'Liste chauffeur'!$B$5:$L$18,3,TRUE)</f>
        <v>ISSOUF Dailami</v>
      </c>
      <c r="E157" s="292"/>
      <c r="F157" s="255"/>
      <c r="G157" s="255"/>
      <c r="H157" s="256"/>
    </row>
  </sheetData>
  <autoFilter ref="A2:H157" xr:uid="{6A06E119-2645-4680-ABA4-211EDBAC8958}"/>
  <printOptions horizontalCentered="1"/>
  <pageMargins left="0.23622047244094499" right="0.23622047244094499" top="0.74803149606299202" bottom="0.74803149606299202" header="0.31496062992126" footer="0.31496062992126"/>
  <pageSetup paperSize="9" scale="6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A6C9-44E1-4E93-B606-A5749D45961C}">
  <sheetPr>
    <pageSetUpPr fitToPage="1"/>
  </sheetPr>
  <dimension ref="A1:I91"/>
  <sheetViews>
    <sheetView topLeftCell="A52" workbookViewId="0">
      <selection activeCell="D56" sqref="D56:D91"/>
    </sheetView>
  </sheetViews>
  <sheetFormatPr baseColWidth="10" defaultColWidth="10.796875" defaultRowHeight="14.25" x14ac:dyDescent="0.45"/>
  <cols>
    <col min="1" max="1" width="28.796875" style="137" customWidth="1"/>
    <col min="2" max="2" width="17.796875" style="288" bestFit="1" customWidth="1"/>
    <col min="3" max="3" width="13" style="293" customWidth="1"/>
    <col min="4" max="4" width="49.8632812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290" t="s">
        <v>564</v>
      </c>
      <c r="E1" s="464">
        <v>46082</v>
      </c>
      <c r="F1" s="464"/>
      <c r="I1" s="291" t="s">
        <v>530</v>
      </c>
    </row>
    <row r="2" spans="1:9" s="189" customFormat="1" ht="54" x14ac:dyDescent="0.45">
      <c r="A2" s="286" t="s">
        <v>327</v>
      </c>
      <c r="B2" s="289" t="s">
        <v>0</v>
      </c>
      <c r="C2" s="294" t="s">
        <v>25</v>
      </c>
      <c r="D2" s="254" t="s">
        <v>26</v>
      </c>
      <c r="E2" s="254" t="s">
        <v>32</v>
      </c>
      <c r="F2" s="254" t="s">
        <v>368</v>
      </c>
      <c r="G2" s="254" t="s">
        <v>1</v>
      </c>
      <c r="H2" s="254" t="s">
        <v>331</v>
      </c>
      <c r="I2" s="254"/>
    </row>
    <row r="3" spans="1:9" s="189" customFormat="1" ht="39.950000000000003" customHeight="1" x14ac:dyDescent="0.45">
      <c r="A3" s="364" t="str">
        <f>'Horaire samedi'!A8</f>
        <v>DOUJANI</v>
      </c>
      <c r="B3" s="366">
        <f>'Horaire samedi'!B8</f>
        <v>0.25</v>
      </c>
      <c r="C3" s="322" t="str">
        <f>'Horaire samedi'!C8</f>
        <v>D12</v>
      </c>
      <c r="D3" s="320" t="str">
        <f>VLOOKUP(C3,'Liste chauffeur'!$B$5:$L$19,2,TRUE)&amp;" "&amp;VLOOKUP(C3,'Liste chauffeur'!$B$5:$L$19,3,TRUE)</f>
        <v>VELOU M'COLO M'Berou</v>
      </c>
      <c r="E3" s="363"/>
      <c r="F3" s="254"/>
      <c r="G3" s="254"/>
      <c r="H3" s="254"/>
      <c r="I3" s="301"/>
    </row>
    <row r="4" spans="1:9" s="189" customFormat="1" ht="39.950000000000003" customHeight="1" x14ac:dyDescent="0.45">
      <c r="A4" s="364" t="str">
        <f>'Horaire samedi'!A9</f>
        <v>DOUJANI</v>
      </c>
      <c r="B4" s="366">
        <f>'Horaire samedi'!B9</f>
        <v>0.2638888888888889</v>
      </c>
      <c r="C4" s="322" t="str">
        <f>'Horaire samedi'!C9</f>
        <v>D13</v>
      </c>
      <c r="D4" s="321" t="str">
        <f>VLOOKUP(C4,'Liste chauffeur'!$B$5:$L$19,2,TRUE)&amp;" "&amp;VLOOKUP(C4,'Liste chauffeur'!$B$5:$L$19,3,TRUE)</f>
        <v>MOURIDI Aktoir</v>
      </c>
      <c r="E4" s="363"/>
      <c r="F4" s="254"/>
      <c r="G4" s="254"/>
      <c r="H4" s="254"/>
      <c r="I4" s="301"/>
    </row>
    <row r="5" spans="1:9" s="189" customFormat="1" ht="39.950000000000003" customHeight="1" x14ac:dyDescent="0.45">
      <c r="A5" s="440" t="str">
        <f>'Horaire samedi'!A10</f>
        <v>PASSOT LA BARGE</v>
      </c>
      <c r="B5" s="441">
        <f>'Horaire samedi'!B10</f>
        <v>0.27083333333333331</v>
      </c>
      <c r="C5" s="442" t="str">
        <f>'Horaire samedi'!C10</f>
        <v>D12</v>
      </c>
      <c r="D5" s="443" t="str">
        <f>VLOOKUP(C5,'Liste chauffeur'!$B$5:$L$19,2,TRUE)&amp;" "&amp;VLOOKUP(C5,'Liste chauffeur'!$B$5:$L$19,3,TRUE)</f>
        <v>VELOU M'COLO M'Berou</v>
      </c>
      <c r="E5" s="435"/>
      <c r="F5" s="444"/>
      <c r="G5" s="444"/>
      <c r="H5" s="444"/>
      <c r="I5" s="301"/>
    </row>
    <row r="6" spans="1:9" s="189" customFormat="1" ht="39.950000000000003" customHeight="1" x14ac:dyDescent="0.45">
      <c r="A6" s="364" t="str">
        <f>'Horaire samedi'!A11</f>
        <v>DOUJANI</v>
      </c>
      <c r="B6" s="366">
        <f>'Horaire samedi'!B11</f>
        <v>0.27777777777777779</v>
      </c>
      <c r="C6" s="322" t="str">
        <f>'Horaire samedi'!C11</f>
        <v>D5</v>
      </c>
      <c r="D6" s="321" t="str">
        <f>VLOOKUP(C6,'Liste chauffeur'!$B$5:$L$19,2,TRUE)&amp;" "&amp;VLOOKUP(C6,'Liste chauffeur'!$B$5:$L$19,3,TRUE)</f>
        <v>AMINA Selemani</v>
      </c>
      <c r="E6" s="363"/>
      <c r="F6" s="254"/>
      <c r="G6" s="254"/>
      <c r="H6" s="254"/>
      <c r="I6" s="301"/>
    </row>
    <row r="7" spans="1:9" ht="39.950000000000003" customHeight="1" x14ac:dyDescent="0.45">
      <c r="A7" s="440" t="str">
        <f>'Horaire samedi'!A12</f>
        <v>PASSOT LA BARGE</v>
      </c>
      <c r="B7" s="441">
        <f>'Horaire samedi'!B12</f>
        <v>0.28472222222222221</v>
      </c>
      <c r="C7" s="442" t="str">
        <f>'Horaire samedi'!C12</f>
        <v>D13</v>
      </c>
      <c r="D7" s="445" t="str">
        <f>VLOOKUP(C7,'Liste chauffeur'!$B$5:$L$19,2,TRUE)&amp;" "&amp;VLOOKUP(C7,'Liste chauffeur'!$B$5:$L$19,3,TRUE)</f>
        <v>MOURIDI Aktoir</v>
      </c>
      <c r="E7" s="435"/>
      <c r="F7" s="436" t="str">
        <f>IF(ISBLANK('Feuille saisie'!X12)=TRUE,"",'Feuille saisie'!X12)</f>
        <v/>
      </c>
      <c r="G7" s="436"/>
      <c r="H7" s="437"/>
    </row>
    <row r="8" spans="1:9" ht="39.950000000000003" customHeight="1" x14ac:dyDescent="0.45">
      <c r="A8" s="364" t="str">
        <f>'Horaire samedi'!A13</f>
        <v>DOUJANI</v>
      </c>
      <c r="B8" s="368">
        <f>'Horaire samedi'!B13</f>
        <v>0.29166666666666669</v>
      </c>
      <c r="C8" s="322" t="str">
        <f>'Horaire samedi'!C13</f>
        <v>D12</v>
      </c>
      <c r="D8" s="320" t="str">
        <f>VLOOKUP(C8,'Liste chauffeur'!$B$5:$L$19,2,TRUE)&amp;" "&amp;VLOOKUP(C8,'Liste chauffeur'!$B$5:$L$19,3,TRUE)</f>
        <v>VELOU M'COLO M'Berou</v>
      </c>
      <c r="E8" s="363"/>
      <c r="F8" s="255" t="str">
        <f>IF(ISBLANK('Feuille saisie'!X13)=TRUE,"",'Feuille saisie'!X13)</f>
        <v/>
      </c>
      <c r="G8" s="255"/>
      <c r="H8" s="256"/>
      <c r="I8" s="287" t="s">
        <v>364</v>
      </c>
    </row>
    <row r="9" spans="1:9" ht="39.950000000000003" customHeight="1" x14ac:dyDescent="0.45">
      <c r="A9" s="440" t="str">
        <f>'Horaire samedi'!A14</f>
        <v>PASSOT LA BARGE</v>
      </c>
      <c r="B9" s="441">
        <f>'Horaire samedi'!B14</f>
        <v>0.2986111111111111</v>
      </c>
      <c r="C9" s="442" t="str">
        <f>'Horaire samedi'!C14</f>
        <v>D5</v>
      </c>
      <c r="D9" s="445" t="str">
        <f>VLOOKUP(C9,'Liste chauffeur'!$B$5:$L$19,2,TRUE)&amp;" "&amp;VLOOKUP(C9,'Liste chauffeur'!$B$5:$L$19,3,TRUE)</f>
        <v>AMINA Selemani</v>
      </c>
      <c r="E9" s="435"/>
      <c r="F9" s="438" t="str">
        <f>IF(ISBLANK('Feuille saisie'!X14)=TRUE,"",'Feuille saisie'!X14)</f>
        <v/>
      </c>
      <c r="G9" s="436"/>
      <c r="H9" s="437"/>
      <c r="I9" s="287"/>
    </row>
    <row r="10" spans="1:9" ht="39.950000000000003" customHeight="1" x14ac:dyDescent="0.45">
      <c r="A10" s="364" t="str">
        <f>'Horaire samedi'!A15</f>
        <v>DOUJANI</v>
      </c>
      <c r="B10" s="368">
        <f>'Horaire samedi'!B15</f>
        <v>0.30555555555555558</v>
      </c>
      <c r="C10" s="322" t="str">
        <f>'Horaire samedi'!C15</f>
        <v>D13</v>
      </c>
      <c r="D10" s="320" t="str">
        <f>VLOOKUP(C10,'Liste chauffeur'!$B$5:$L$19,2,TRUE)&amp;" "&amp;VLOOKUP(C10,'Liste chauffeur'!$B$5:$L$19,3,TRUE)</f>
        <v>MOURIDI Aktoir</v>
      </c>
      <c r="E10" s="363"/>
      <c r="F10" s="255" t="str">
        <f>IF(ISBLANK('Feuille saisie'!X15)=TRUE,"",'Feuille saisie'!X15)</f>
        <v/>
      </c>
      <c r="G10" s="255"/>
      <c r="H10" s="256"/>
      <c r="I10" s="287"/>
    </row>
    <row r="11" spans="1:9" ht="39.950000000000003" customHeight="1" x14ac:dyDescent="0.45">
      <c r="A11" s="440" t="str">
        <f>'Horaire samedi'!A16</f>
        <v>PASSOT LA BARGE</v>
      </c>
      <c r="B11" s="441">
        <f>'Horaire samedi'!B16</f>
        <v>0.3125</v>
      </c>
      <c r="C11" s="442" t="str">
        <f>'Horaire samedi'!C16</f>
        <v>D12</v>
      </c>
      <c r="D11" s="445" t="str">
        <f>VLOOKUP(C11,'Liste chauffeur'!$B$5:$L$19,2,TRUE)&amp;" "&amp;VLOOKUP(C11,'Liste chauffeur'!$B$5:$L$19,3,TRUE)</f>
        <v>VELOU M'COLO M'Berou</v>
      </c>
      <c r="E11" s="435"/>
      <c r="F11" s="436" t="str">
        <f>IF(ISBLANK('Feuille saisie'!X16)=TRUE,"",'Feuille saisie'!X16)</f>
        <v/>
      </c>
      <c r="G11" s="436"/>
      <c r="H11" s="437"/>
      <c r="I11" s="287"/>
    </row>
    <row r="12" spans="1:9" ht="39.950000000000003" customHeight="1" x14ac:dyDescent="0.45">
      <c r="A12" s="364" t="str">
        <f>'Horaire samedi'!A17</f>
        <v>DOUJANI</v>
      </c>
      <c r="B12" s="368">
        <f>'Horaire samedi'!B17</f>
        <v>0.31944444444444398</v>
      </c>
      <c r="C12" s="322" t="str">
        <f>'Horaire samedi'!C17</f>
        <v>D5</v>
      </c>
      <c r="D12" s="320" t="str">
        <f>VLOOKUP(C12,'Liste chauffeur'!$B$5:$L$19,2,TRUE)&amp;" "&amp;VLOOKUP(C12,'Liste chauffeur'!$B$5:$L$19,3,TRUE)</f>
        <v>AMINA Selemani</v>
      </c>
      <c r="E12" s="363"/>
      <c r="F12" s="255" t="str">
        <f>IF(ISBLANK('Feuille saisie'!X17)=TRUE,"",'Feuille saisie'!X17)</f>
        <v/>
      </c>
      <c r="G12" s="255"/>
      <c r="H12" s="256"/>
      <c r="I12" s="287"/>
    </row>
    <row r="13" spans="1:9" ht="39.950000000000003" customHeight="1" x14ac:dyDescent="0.45">
      <c r="A13" s="440" t="str">
        <f>'Horaire samedi'!A18</f>
        <v>PASSOT LA BARGE</v>
      </c>
      <c r="B13" s="441">
        <f>'Horaire samedi'!B18</f>
        <v>0.32638888888888901</v>
      </c>
      <c r="C13" s="442" t="str">
        <f>'Horaire samedi'!C18</f>
        <v>D13</v>
      </c>
      <c r="D13" s="445" t="str">
        <f>VLOOKUP(C13,'Liste chauffeur'!$B$5:$L$19,2,TRUE)&amp;" "&amp;VLOOKUP(C13,'Liste chauffeur'!$B$5:$L$19,3,TRUE)</f>
        <v>MOURIDI Aktoir</v>
      </c>
      <c r="E13" s="439"/>
      <c r="F13" s="436"/>
      <c r="G13" s="436"/>
      <c r="H13" s="437"/>
      <c r="I13" s="287"/>
    </row>
    <row r="14" spans="1:9" ht="39.950000000000003" customHeight="1" x14ac:dyDescent="0.45">
      <c r="A14" s="364" t="str">
        <f>'Horaire samedi'!A19</f>
        <v>DOUJANI</v>
      </c>
      <c r="B14" s="368">
        <f>'Horaire samedi'!B19</f>
        <v>0.33333333333333298</v>
      </c>
      <c r="C14" s="322" t="str">
        <f>'Horaire samedi'!C19</f>
        <v>D12</v>
      </c>
      <c r="D14" s="320" t="str">
        <f>VLOOKUP(C14,'Liste chauffeur'!$B$5:$L$19,2,TRUE)&amp;" "&amp;VLOOKUP(C14,'Liste chauffeur'!$B$5:$L$19,3,TRUE)</f>
        <v>VELOU M'COLO M'Berou</v>
      </c>
      <c r="E14" s="292"/>
      <c r="F14" s="255" t="str">
        <f>IF(ISBLANK('Feuille saisie'!X19)=TRUE,"",'Feuille saisie'!X19)</f>
        <v/>
      </c>
      <c r="G14" s="255"/>
      <c r="H14" s="256"/>
      <c r="I14" s="287"/>
    </row>
    <row r="15" spans="1:9" ht="39.950000000000003" customHeight="1" x14ac:dyDescent="0.45">
      <c r="A15" s="440" t="str">
        <f>'Horaire samedi'!A20</f>
        <v>PASSOT LA BARGE</v>
      </c>
      <c r="B15" s="441">
        <f>'Horaire samedi'!B20</f>
        <v>0.34027777777777801</v>
      </c>
      <c r="C15" s="442" t="str">
        <f>'Horaire samedi'!C20</f>
        <v>D5</v>
      </c>
      <c r="D15" s="445" t="str">
        <f>VLOOKUP(C15,'Liste chauffeur'!$B$5:$L$19,2,TRUE)&amp;" "&amp;VLOOKUP(C15,'Liste chauffeur'!$B$5:$L$19,3,TRUE)</f>
        <v>AMINA Selemani</v>
      </c>
      <c r="E15" s="439"/>
      <c r="F15" s="436" t="str">
        <f>IF(ISBLANK('Feuille saisie'!X20)=TRUE,"",'Feuille saisie'!X20)</f>
        <v/>
      </c>
      <c r="G15" s="436"/>
      <c r="H15" s="437"/>
      <c r="I15" s="287"/>
    </row>
    <row r="16" spans="1:9" ht="39.950000000000003" customHeight="1" x14ac:dyDescent="0.45">
      <c r="A16" s="364" t="str">
        <f>'Horaire samedi'!A21</f>
        <v>DOUJANI</v>
      </c>
      <c r="B16" s="368">
        <f>'Horaire samedi'!B21</f>
        <v>0.34722222222222199</v>
      </c>
      <c r="C16" s="322" t="str">
        <f>'Horaire samedi'!C21</f>
        <v>D13</v>
      </c>
      <c r="D16" s="320" t="str">
        <f>VLOOKUP(C16,'Liste chauffeur'!$B$5:$L$19,2,TRUE)&amp;" "&amp;VLOOKUP(C16,'Liste chauffeur'!$B$5:$L$19,3,TRUE)</f>
        <v>MOURIDI Aktoir</v>
      </c>
      <c r="E16" s="292"/>
      <c r="F16" s="255" t="str">
        <f>IF(ISBLANK('Feuille saisie'!X21)=TRUE,"",'Feuille saisie'!X21)</f>
        <v/>
      </c>
      <c r="G16" s="255"/>
      <c r="H16" s="256"/>
      <c r="I16" s="287"/>
    </row>
    <row r="17" spans="1:9" ht="39.950000000000003" customHeight="1" x14ac:dyDescent="0.45">
      <c r="A17" s="440" t="str">
        <f>'Horaire samedi'!A22</f>
        <v>PASSOT LA BARGE</v>
      </c>
      <c r="B17" s="441">
        <f>'Horaire samedi'!B22</f>
        <v>0.35416666666666602</v>
      </c>
      <c r="C17" s="442" t="str">
        <f>'Horaire samedi'!C22</f>
        <v>D12</v>
      </c>
      <c r="D17" s="445" t="str">
        <f>VLOOKUP(C17,'Liste chauffeur'!$B$5:$L$19,2,TRUE)&amp;" "&amp;VLOOKUP(C17,'Liste chauffeur'!$B$5:$L$19,3,TRUE)</f>
        <v>VELOU M'COLO M'Berou</v>
      </c>
      <c r="E17" s="439"/>
      <c r="F17" s="436" t="str">
        <f>IF(ISBLANK('Feuille saisie'!X22)=TRUE,"",'Feuille saisie'!X22)</f>
        <v/>
      </c>
      <c r="G17" s="436"/>
      <c r="H17" s="437"/>
      <c r="I17" s="287"/>
    </row>
    <row r="18" spans="1:9" ht="39.950000000000003" customHeight="1" x14ac:dyDescent="0.45">
      <c r="A18" s="364" t="str">
        <f>'Horaire samedi'!A23</f>
        <v>DOUJANI</v>
      </c>
      <c r="B18" s="368">
        <f>'Horaire samedi'!B23</f>
        <v>0.36111111111111099</v>
      </c>
      <c r="C18" s="322" t="str">
        <f>'Horaire samedi'!C23</f>
        <v>D5</v>
      </c>
      <c r="D18" s="320" t="str">
        <f>VLOOKUP(C18,'Liste chauffeur'!$B$5:$L$19,2,TRUE)&amp;" "&amp;VLOOKUP(C18,'Liste chauffeur'!$B$5:$L$19,3,TRUE)</f>
        <v>AMINA Selemani</v>
      </c>
      <c r="E18" s="292"/>
      <c r="F18" s="255" t="str">
        <f>IF(ISBLANK('Feuille saisie'!X23)=TRUE,"",'Feuille saisie'!X23)</f>
        <v/>
      </c>
      <c r="G18" s="255"/>
      <c r="H18" s="256"/>
      <c r="I18" s="287"/>
    </row>
    <row r="19" spans="1:9" ht="39.950000000000003" customHeight="1" x14ac:dyDescent="0.45">
      <c r="A19" s="440" t="str">
        <f>'Horaire samedi'!A24</f>
        <v>PASSOT LA BARGE</v>
      </c>
      <c r="B19" s="441">
        <f>'Horaire samedi'!B24</f>
        <v>0.36805555555555503</v>
      </c>
      <c r="C19" s="442" t="str">
        <f>'Horaire samedi'!C24</f>
        <v>D13</v>
      </c>
      <c r="D19" s="445" t="str">
        <f>VLOOKUP(C19,'Liste chauffeur'!$B$5:$L$19,2,TRUE)&amp;" "&amp;VLOOKUP(C19,'Liste chauffeur'!$B$5:$L$19,3,TRUE)</f>
        <v>MOURIDI Aktoir</v>
      </c>
      <c r="E19" s="439"/>
      <c r="F19" s="436" t="str">
        <f>IF(ISBLANK('Feuille saisie'!X24)=TRUE,"",'Feuille saisie'!X24)</f>
        <v/>
      </c>
      <c r="G19" s="436"/>
      <c r="H19" s="437"/>
      <c r="I19" s="287"/>
    </row>
    <row r="20" spans="1:9" ht="39.950000000000003" customHeight="1" x14ac:dyDescent="0.45">
      <c r="A20" s="364" t="str">
        <f>'Horaire samedi'!A25</f>
        <v>DOUJANI</v>
      </c>
      <c r="B20" s="368">
        <f>'Horaire samedi'!B25</f>
        <v>0.375</v>
      </c>
      <c r="C20" s="322" t="str">
        <f>'Horaire samedi'!C25</f>
        <v>D12</v>
      </c>
      <c r="D20" s="320" t="str">
        <f>VLOOKUP(C20,'Liste chauffeur'!$B$5:$L$19,2,TRUE)&amp;" "&amp;VLOOKUP(C20,'Liste chauffeur'!$B$5:$L$19,3,TRUE)</f>
        <v>VELOU M'COLO M'Berou</v>
      </c>
      <c r="E20" s="292"/>
      <c r="F20" s="255"/>
      <c r="G20" s="255"/>
      <c r="H20" s="256"/>
      <c r="I20" s="287"/>
    </row>
    <row r="21" spans="1:9" ht="39.950000000000003" customHeight="1" x14ac:dyDescent="0.45">
      <c r="A21" s="440" t="str">
        <f>'Horaire samedi'!A26</f>
        <v>PASSOT LA BARGE</v>
      </c>
      <c r="B21" s="441">
        <f>'Horaire samedi'!B26</f>
        <v>0.38194444444444398</v>
      </c>
      <c r="C21" s="442" t="str">
        <f>'Horaire samedi'!C26</f>
        <v>D5</v>
      </c>
      <c r="D21" s="445" t="str">
        <f>VLOOKUP(C21,'Liste chauffeur'!$B$5:$L$19,2,TRUE)&amp;" "&amp;VLOOKUP(C21,'Liste chauffeur'!$B$5:$L$19,3,TRUE)</f>
        <v>AMINA Selemani</v>
      </c>
      <c r="E21" s="439"/>
      <c r="F21" s="436" t="str">
        <f>IF(ISBLANK('Feuille saisie'!X26)=TRUE,"",'Feuille saisie'!X26)</f>
        <v/>
      </c>
      <c r="G21" s="436"/>
      <c r="H21" s="437"/>
      <c r="I21" s="287"/>
    </row>
    <row r="22" spans="1:9" ht="39.950000000000003" customHeight="1" x14ac:dyDescent="0.45">
      <c r="A22" s="364" t="str">
        <f>'Horaire samedi'!A27</f>
        <v>DOUJANI</v>
      </c>
      <c r="B22" s="368">
        <f>'Horaire samedi'!B27</f>
        <v>0.38888888888888901</v>
      </c>
      <c r="C22" s="322" t="str">
        <f>'Horaire samedi'!C27</f>
        <v>D13</v>
      </c>
      <c r="D22" s="320" t="str">
        <f>VLOOKUP(C22,'Liste chauffeur'!$B$5:$L$19,2,TRUE)&amp;" "&amp;VLOOKUP(C22,'Liste chauffeur'!$B$5:$L$19,3,TRUE)</f>
        <v>MOURIDI Aktoir</v>
      </c>
      <c r="E22" s="292"/>
      <c r="F22" s="255" t="str">
        <f>IF(ISBLANK('Feuille saisie'!X27)=TRUE,"",'Feuille saisie'!X27)</f>
        <v/>
      </c>
      <c r="G22" s="255"/>
      <c r="H22" s="256"/>
    </row>
    <row r="23" spans="1:9" ht="39.950000000000003" customHeight="1" x14ac:dyDescent="0.45">
      <c r="A23" s="440" t="str">
        <f>'Horaire samedi'!A28</f>
        <v>PASSOT LA BARGE</v>
      </c>
      <c r="B23" s="441">
        <f>'Horaire samedi'!B28</f>
        <v>0.39583333333333298</v>
      </c>
      <c r="C23" s="442" t="str">
        <f>'Horaire samedi'!C28</f>
        <v>D12</v>
      </c>
      <c r="D23" s="445" t="str">
        <f>VLOOKUP(C23,'Liste chauffeur'!$B$5:$L$19,2,TRUE)&amp;" "&amp;VLOOKUP(C23,'Liste chauffeur'!$B$5:$L$19,3,TRUE)</f>
        <v>VELOU M'COLO M'Berou</v>
      </c>
      <c r="E23" s="439"/>
      <c r="F23" s="436" t="str">
        <f>IF(ISBLANK('Feuille saisie'!X28)=TRUE,"",'Feuille saisie'!X28)</f>
        <v/>
      </c>
      <c r="G23" s="436"/>
      <c r="H23" s="437"/>
    </row>
    <row r="24" spans="1:9" ht="39.950000000000003" customHeight="1" x14ac:dyDescent="0.45">
      <c r="A24" s="364" t="str">
        <f>'Horaire samedi'!A29</f>
        <v>DOUJANI</v>
      </c>
      <c r="B24" s="368">
        <f>'Horaire samedi'!B29</f>
        <v>0.40277777777777701</v>
      </c>
      <c r="C24" s="322" t="str">
        <f>'Horaire samedi'!C29</f>
        <v>D5</v>
      </c>
      <c r="D24" s="320" t="str">
        <f>VLOOKUP(C24,'Liste chauffeur'!$B$5:$L$19,2,TRUE)&amp;" "&amp;VLOOKUP(C24,'Liste chauffeur'!$B$5:$L$19,3,TRUE)</f>
        <v>AMINA Selemani</v>
      </c>
      <c r="E24" s="292"/>
      <c r="F24" s="255" t="str">
        <f>IF(ISBLANK('Feuille saisie'!X29)=TRUE,"",'Feuille saisie'!X29)</f>
        <v/>
      </c>
      <c r="G24" s="255"/>
      <c r="H24" s="256"/>
      <c r="I24" s="287" t="s">
        <v>365</v>
      </c>
    </row>
    <row r="25" spans="1:9" ht="39.950000000000003" customHeight="1" x14ac:dyDescent="0.45">
      <c r="A25" s="440" t="str">
        <f>'Horaire samedi'!A30</f>
        <v>PASSOT LA BARGE</v>
      </c>
      <c r="B25" s="441">
        <f>'Horaire samedi'!B30</f>
        <v>0.40972222222222199</v>
      </c>
      <c r="C25" s="442" t="str">
        <f>'Horaire samedi'!C30</f>
        <v>D13</v>
      </c>
      <c r="D25" s="445" t="str">
        <f>VLOOKUP(C25,'Liste chauffeur'!$B$5:$L$19,2,TRUE)&amp;" "&amp;VLOOKUP(C25,'Liste chauffeur'!$B$5:$L$19,3,TRUE)</f>
        <v>MOURIDI Aktoir</v>
      </c>
      <c r="E25" s="439"/>
      <c r="F25" s="436" t="str">
        <f>IF(ISBLANK('Feuille saisie'!X30)=TRUE,"",'Feuille saisie'!X30)</f>
        <v/>
      </c>
      <c r="G25" s="436"/>
      <c r="H25" s="437"/>
    </row>
    <row r="26" spans="1:9" ht="39.950000000000003" customHeight="1" x14ac:dyDescent="0.45">
      <c r="A26" s="364" t="str">
        <f>'Horaire samedi'!A31</f>
        <v>DOUJANI</v>
      </c>
      <c r="B26" s="368">
        <f>'Horaire samedi'!B31</f>
        <v>0.41666666666666702</v>
      </c>
      <c r="C26" s="322" t="str">
        <f>'Horaire samedi'!C31</f>
        <v>D12</v>
      </c>
      <c r="D26" s="320" t="str">
        <f>VLOOKUP(C26,'Liste chauffeur'!$B$5:$L$19,2,TRUE)&amp;" "&amp;VLOOKUP(C26,'Liste chauffeur'!$B$5:$L$19,3,TRUE)</f>
        <v>VELOU M'COLO M'Berou</v>
      </c>
      <c r="E26" s="292"/>
      <c r="F26" s="255" t="str">
        <f>IF(ISBLANK('Feuille saisie'!X31)=TRUE,"",'Feuille saisie'!X31)</f>
        <v/>
      </c>
      <c r="G26" s="255"/>
      <c r="H26" s="256"/>
    </row>
    <row r="27" spans="1:9" ht="39.950000000000003" customHeight="1" x14ac:dyDescent="0.45">
      <c r="A27" s="440" t="str">
        <f>'Horaire samedi'!A32</f>
        <v>PASSOT LA BARGE</v>
      </c>
      <c r="B27" s="441">
        <f>'Horaire samedi'!B32</f>
        <v>0.42361111111111099</v>
      </c>
      <c r="C27" s="442" t="str">
        <f>'Horaire samedi'!C32</f>
        <v>D5</v>
      </c>
      <c r="D27" s="445" t="str">
        <f>VLOOKUP(C27,'Liste chauffeur'!$B$5:$L$19,2,TRUE)&amp;" "&amp;VLOOKUP(C27,'Liste chauffeur'!$B$5:$L$19,3,TRUE)</f>
        <v>AMINA Selemani</v>
      </c>
      <c r="E27" s="439"/>
      <c r="F27" s="436"/>
      <c r="G27" s="436"/>
      <c r="H27" s="437"/>
    </row>
    <row r="28" spans="1:9" ht="39.950000000000003" customHeight="1" x14ac:dyDescent="0.45">
      <c r="A28" s="364" t="str">
        <f>'Horaire samedi'!A33</f>
        <v>DOUJANI</v>
      </c>
      <c r="B28" s="368">
        <f>'Horaire samedi'!B33</f>
        <v>0.43055555555555602</v>
      </c>
      <c r="C28" s="322" t="str">
        <f>'Horaire samedi'!C33</f>
        <v>D13</v>
      </c>
      <c r="D28" s="320" t="str">
        <f>VLOOKUP(C28,'Liste chauffeur'!$B$5:$L$19,2,TRUE)&amp;" "&amp;VLOOKUP(C28,'Liste chauffeur'!$B$5:$L$19,3,TRUE)</f>
        <v>MOURIDI Aktoir</v>
      </c>
      <c r="E28" s="292"/>
      <c r="F28" s="255" t="str">
        <f>IF(ISBLANK('Feuille saisie'!X33)=TRUE,"",'Feuille saisie'!X33)</f>
        <v/>
      </c>
      <c r="G28" s="255"/>
      <c r="H28" s="256"/>
      <c r="I28" s="287"/>
    </row>
    <row r="29" spans="1:9" ht="39.950000000000003" customHeight="1" x14ac:dyDescent="0.45">
      <c r="A29" s="440" t="str">
        <f>'Horaire samedi'!A34</f>
        <v>PASSOT LA BARGE</v>
      </c>
      <c r="B29" s="441">
        <f>'Horaire samedi'!B34</f>
        <v>0.4375</v>
      </c>
      <c r="C29" s="442" t="str">
        <f>'Horaire samedi'!C34</f>
        <v>D12</v>
      </c>
      <c r="D29" s="445" t="str">
        <f>VLOOKUP(C29,'Liste chauffeur'!$B$5:$L$19,2,TRUE)&amp;" "&amp;VLOOKUP(C29,'Liste chauffeur'!$B$5:$L$19,3,TRUE)</f>
        <v>VELOU M'COLO M'Berou</v>
      </c>
      <c r="E29" s="439"/>
      <c r="F29" s="436" t="str">
        <f>IF(ISBLANK('Feuille saisie'!X34)=TRUE,"",'Feuille saisie'!X34)</f>
        <v/>
      </c>
      <c r="G29" s="436"/>
      <c r="H29" s="437"/>
    </row>
    <row r="30" spans="1:9" ht="39.950000000000003" customHeight="1" x14ac:dyDescent="0.45">
      <c r="A30" s="364" t="str">
        <f>'Horaire samedi'!A35</f>
        <v>DOUJANI</v>
      </c>
      <c r="B30" s="368">
        <f>'Horaire samedi'!B35</f>
        <v>0.44444444444444398</v>
      </c>
      <c r="C30" s="322" t="str">
        <f>'Horaire samedi'!C35</f>
        <v>D5</v>
      </c>
      <c r="D30" s="320" t="str">
        <f>VLOOKUP(C30,'Liste chauffeur'!$B$5:$L$19,2,TRUE)&amp;" "&amp;VLOOKUP(C30,'Liste chauffeur'!$B$5:$L$19,3,TRUE)</f>
        <v>AMINA Selemani</v>
      </c>
      <c r="E30" s="292"/>
      <c r="F30" s="255" t="str">
        <f>IF(ISBLANK('Feuille saisie'!X35)=TRUE,"",'Feuille saisie'!X35)</f>
        <v/>
      </c>
      <c r="G30" s="255"/>
      <c r="H30" s="256"/>
    </row>
    <row r="31" spans="1:9" ht="39.950000000000003" customHeight="1" x14ac:dyDescent="0.45">
      <c r="A31" s="440" t="str">
        <f>'Horaire samedi'!A36</f>
        <v>PASSOT LA BARGE</v>
      </c>
      <c r="B31" s="441">
        <f>'Horaire samedi'!B36</f>
        <v>0.45138888888888901</v>
      </c>
      <c r="C31" s="442" t="str">
        <f>'Horaire samedi'!C36</f>
        <v>D13</v>
      </c>
      <c r="D31" s="445" t="str">
        <f>VLOOKUP(C31,'Liste chauffeur'!$B$5:$L$19,2,TRUE)&amp;" "&amp;VLOOKUP(C31,'Liste chauffeur'!$B$5:$L$19,3,TRUE)</f>
        <v>MOURIDI Aktoir</v>
      </c>
      <c r="E31" s="439"/>
      <c r="F31" s="436" t="str">
        <f>IF(ISBLANK('Feuille saisie'!X36)=TRUE,"",'Feuille saisie'!X36)</f>
        <v/>
      </c>
      <c r="G31" s="436"/>
      <c r="H31" s="437"/>
    </row>
    <row r="32" spans="1:9" ht="39.950000000000003" customHeight="1" x14ac:dyDescent="0.45">
      <c r="A32" s="364" t="str">
        <f>'Horaire samedi'!A37</f>
        <v>DOUJANI</v>
      </c>
      <c r="B32" s="368">
        <f>'Horaire samedi'!B37</f>
        <v>0.45833333333333298</v>
      </c>
      <c r="C32" s="322" t="str">
        <f>'Horaire samedi'!C37</f>
        <v>D12</v>
      </c>
      <c r="D32" s="320" t="str">
        <f>VLOOKUP(C32,'Liste chauffeur'!$B$5:$L$19,2,TRUE)&amp;" "&amp;VLOOKUP(C32,'Liste chauffeur'!$B$5:$L$19,3,TRUE)</f>
        <v>VELOU M'COLO M'Berou</v>
      </c>
      <c r="E32" s="292"/>
      <c r="F32" s="255" t="str">
        <f>IF(ISBLANK('Feuille saisie'!X37)=TRUE,"",'Feuille saisie'!X37)</f>
        <v/>
      </c>
      <c r="G32" s="255"/>
      <c r="H32" s="256"/>
      <c r="I32" s="287" t="s">
        <v>367</v>
      </c>
    </row>
    <row r="33" spans="1:9" ht="39.950000000000003" customHeight="1" x14ac:dyDescent="0.45">
      <c r="A33" s="440" t="str">
        <f>'Horaire samedi'!A38</f>
        <v>PASSOT LA BARGE</v>
      </c>
      <c r="B33" s="441">
        <f>'Horaire samedi'!B38</f>
        <v>0.46527777777777801</v>
      </c>
      <c r="C33" s="442" t="str">
        <f>'Horaire samedi'!C38</f>
        <v>D5</v>
      </c>
      <c r="D33" s="445" t="str">
        <f>VLOOKUP(C33,'Liste chauffeur'!$B$5:$L$19,2,TRUE)&amp;" "&amp;VLOOKUP(C33,'Liste chauffeur'!$B$5:$L$19,3,TRUE)</f>
        <v>AMINA Selemani</v>
      </c>
      <c r="E33" s="439"/>
      <c r="F33" s="436" t="str">
        <f>IF(ISBLANK('Feuille saisie'!X38)=TRUE,"",'Feuille saisie'!X38)</f>
        <v/>
      </c>
      <c r="G33" s="436"/>
      <c r="H33" s="437"/>
    </row>
    <row r="34" spans="1:9" ht="39.950000000000003" customHeight="1" x14ac:dyDescent="0.45">
      <c r="A34" s="364" t="str">
        <f>'Horaire samedi'!A39</f>
        <v>DOUJANI</v>
      </c>
      <c r="B34" s="368">
        <f>'Horaire samedi'!B39</f>
        <v>0.47222222222222199</v>
      </c>
      <c r="C34" s="322" t="str">
        <f>'Horaire samedi'!C39</f>
        <v>D13</v>
      </c>
      <c r="D34" s="320" t="str">
        <f>VLOOKUP(C34,'Liste chauffeur'!$B$5:$L$19,2,TRUE)&amp;" "&amp;VLOOKUP(C34,'Liste chauffeur'!$B$5:$L$19,3,TRUE)</f>
        <v>MOURIDI Aktoir</v>
      </c>
      <c r="E34" s="292"/>
      <c r="F34" s="255" t="str">
        <f>IF(ISBLANK('Feuille saisie'!X39)=TRUE,"",'Feuille saisie'!X39)</f>
        <v/>
      </c>
      <c r="G34" s="255"/>
      <c r="H34" s="256"/>
      <c r="I34" s="137"/>
    </row>
    <row r="35" spans="1:9" ht="39.950000000000003" customHeight="1" x14ac:dyDescent="0.45">
      <c r="A35" s="440" t="str">
        <f>'Horaire samedi'!A40</f>
        <v>PASSOT LA BARGE</v>
      </c>
      <c r="B35" s="441">
        <f>'Horaire samedi'!B40</f>
        <v>0.47916666666666602</v>
      </c>
      <c r="C35" s="442" t="str">
        <f>'Horaire samedi'!C40</f>
        <v>D12</v>
      </c>
      <c r="D35" s="445" t="str">
        <f>VLOOKUP(C35,'Liste chauffeur'!$B$5:$L$19,2,TRUE)&amp;" "&amp;VLOOKUP(C35,'Liste chauffeur'!$B$5:$L$19,3,TRUE)</f>
        <v>VELOU M'COLO M'Berou</v>
      </c>
      <c r="E35" s="439"/>
      <c r="F35" s="436" t="str">
        <f>IF(ISBLANK('Feuille saisie'!X40)=TRUE,"",'Feuille saisie'!X40)</f>
        <v/>
      </c>
      <c r="G35" s="436"/>
      <c r="H35" s="437"/>
    </row>
    <row r="36" spans="1:9" ht="39.950000000000003" customHeight="1" x14ac:dyDescent="0.45">
      <c r="A36" s="364" t="str">
        <f>'Horaire samedi'!A41</f>
        <v>DOUJANI</v>
      </c>
      <c r="B36" s="368">
        <f>'Horaire samedi'!B41</f>
        <v>0.48611111111111099</v>
      </c>
      <c r="C36" s="322" t="str">
        <f>'Horaire samedi'!C41</f>
        <v>D5</v>
      </c>
      <c r="D36" s="320" t="str">
        <f>VLOOKUP(C36,'Liste chauffeur'!$B$5:$L$19,2,TRUE)&amp;" "&amp;VLOOKUP(C36,'Liste chauffeur'!$B$5:$L$19,3,TRUE)</f>
        <v>AMINA Selemani</v>
      </c>
      <c r="E36" s="292"/>
      <c r="F36" s="255" t="str">
        <f>IF(ISBLANK('Feuille saisie'!X41)=TRUE,"",'Feuille saisie'!X41)</f>
        <v/>
      </c>
      <c r="G36" s="255"/>
      <c r="H36" s="256"/>
    </row>
    <row r="37" spans="1:9" ht="39.950000000000003" customHeight="1" x14ac:dyDescent="0.45">
      <c r="A37" s="440" t="str">
        <f>'Horaire samedi'!A42</f>
        <v>PASSOT LA BARGE</v>
      </c>
      <c r="B37" s="441">
        <f>'Horaire samedi'!B42</f>
        <v>0.49305555555555503</v>
      </c>
      <c r="C37" s="442" t="str">
        <f>'Horaire samedi'!C42</f>
        <v>D13</v>
      </c>
      <c r="D37" s="445" t="str">
        <f>VLOOKUP(C37,'Liste chauffeur'!$B$5:$L$19,2,TRUE)&amp;" "&amp;VLOOKUP(C37,'Liste chauffeur'!$B$5:$L$19,3,TRUE)</f>
        <v>MOURIDI Aktoir</v>
      </c>
      <c r="E37" s="439"/>
      <c r="F37" s="436" t="str">
        <f>IF(ISBLANK('Feuille saisie'!X42)=TRUE,"",'Feuille saisie'!X42)</f>
        <v/>
      </c>
      <c r="G37" s="436"/>
      <c r="H37" s="437"/>
    </row>
    <row r="38" spans="1:9" ht="39.950000000000003" customHeight="1" x14ac:dyDescent="0.45">
      <c r="A38" s="364" t="str">
        <f>'Horaire samedi'!A43</f>
        <v>DOUJANI</v>
      </c>
      <c r="B38" s="368">
        <f>'Horaire samedi'!B43</f>
        <v>0.5</v>
      </c>
      <c r="C38" s="322" t="str">
        <f>'Horaire samedi'!C43</f>
        <v>D12</v>
      </c>
      <c r="D38" s="320" t="str">
        <f>VLOOKUP(C38,'Liste chauffeur'!$B$5:$L$19,2,TRUE)&amp;" "&amp;VLOOKUP(C38,'Liste chauffeur'!$B$5:$L$19,3,TRUE)</f>
        <v>VELOU M'COLO M'Berou</v>
      </c>
      <c r="E38" s="292"/>
      <c r="F38" s="255" t="str">
        <f>IF(ISBLANK('Feuille saisie'!X43)=TRUE,"",'Feuille saisie'!X43)</f>
        <v/>
      </c>
      <c r="G38" s="255"/>
      <c r="H38" s="256"/>
    </row>
    <row r="39" spans="1:9" ht="39.950000000000003" customHeight="1" x14ac:dyDescent="0.45">
      <c r="A39" s="440" t="str">
        <f>'Horaire samedi'!A44</f>
        <v>PASSOT LA BARGE</v>
      </c>
      <c r="B39" s="441">
        <f>'Horaire samedi'!B44</f>
        <v>0.50694444444444398</v>
      </c>
      <c r="C39" s="442" t="str">
        <f>'Horaire samedi'!C44</f>
        <v>D5</v>
      </c>
      <c r="D39" s="445" t="str">
        <f>VLOOKUP(C39,'Liste chauffeur'!$B$5:$L$19,2,TRUE)&amp;" "&amp;VLOOKUP(C39,'Liste chauffeur'!$B$5:$L$19,3,TRUE)</f>
        <v>AMINA Selemani</v>
      </c>
      <c r="E39" s="439"/>
      <c r="F39" s="436" t="str">
        <f>IF(ISBLANK('Feuille saisie'!X44)=TRUE,"",'Feuille saisie'!X44)</f>
        <v/>
      </c>
      <c r="G39" s="436"/>
      <c r="H39" s="437"/>
    </row>
    <row r="40" spans="1:9" ht="39.950000000000003" customHeight="1" x14ac:dyDescent="0.45">
      <c r="A40" s="364" t="str">
        <f>'Horaire samedi'!A45</f>
        <v>DOUJANI</v>
      </c>
      <c r="B40" s="368">
        <f>'Horaire samedi'!B45</f>
        <v>0.51388888888888895</v>
      </c>
      <c r="C40" s="322" t="str">
        <f>'Horaire samedi'!C45</f>
        <v>D13</v>
      </c>
      <c r="D40" s="320" t="str">
        <f>VLOOKUP(C40,'Liste chauffeur'!$B$5:$L$19,2,TRUE)&amp;" "&amp;VLOOKUP(C40,'Liste chauffeur'!$B$5:$L$19,3,TRUE)</f>
        <v>MOURIDI Aktoir</v>
      </c>
      <c r="E40" s="292"/>
      <c r="F40" s="255" t="str">
        <f>IF(ISBLANK('Feuille saisie'!X45)=TRUE,"",'Feuille saisie'!X45)</f>
        <v/>
      </c>
      <c r="G40" s="255"/>
      <c r="H40" s="256"/>
      <c r="I40" s="287" t="s">
        <v>366</v>
      </c>
    </row>
    <row r="41" spans="1:9" ht="39.950000000000003" customHeight="1" x14ac:dyDescent="0.45">
      <c r="A41" s="440" t="str">
        <f>'Horaire samedi'!A46</f>
        <v>PASSOT LA BARGE</v>
      </c>
      <c r="B41" s="441">
        <f>'Horaire samedi'!B46</f>
        <v>0.52083333333333304</v>
      </c>
      <c r="C41" s="442" t="str">
        <f>'Horaire samedi'!C46</f>
        <v>D12</v>
      </c>
      <c r="D41" s="445" t="str">
        <f>VLOOKUP(C41,'Liste chauffeur'!$B$5:$L$19,2,TRUE)&amp;" "&amp;VLOOKUP(C41,'Liste chauffeur'!$B$5:$L$19,3,TRUE)</f>
        <v>VELOU M'COLO M'Berou</v>
      </c>
      <c r="E41" s="439"/>
      <c r="F41" s="436" t="str">
        <f>IF(ISBLANK('Feuille saisie'!X46)=TRUE,"",'Feuille saisie'!X46)</f>
        <v/>
      </c>
      <c r="G41" s="436"/>
      <c r="H41" s="437"/>
    </row>
    <row r="42" spans="1:9" ht="39.950000000000003" customHeight="1" x14ac:dyDescent="0.45">
      <c r="A42" s="364" t="str">
        <f>'Horaire samedi'!A47</f>
        <v>DOUJANI</v>
      </c>
      <c r="B42" s="368">
        <f>'Horaire samedi'!B47</f>
        <v>0.52777777777777701</v>
      </c>
      <c r="C42" s="322" t="str">
        <f>'Horaire samedi'!C47</f>
        <v>D5</v>
      </c>
      <c r="D42" s="320" t="str">
        <f>VLOOKUP(C42,'Liste chauffeur'!$B$5:$L$19,2,TRUE)&amp;" "&amp;VLOOKUP(C42,'Liste chauffeur'!$B$5:$L$19,3,TRUE)</f>
        <v>AMINA Selemani</v>
      </c>
      <c r="E42" s="292"/>
      <c r="F42" s="255" t="str">
        <f>IF(ISBLANK('Feuille saisie'!X47)=TRUE,"",'Feuille saisie'!X47)</f>
        <v/>
      </c>
      <c r="G42" s="255"/>
      <c r="H42" s="256"/>
    </row>
    <row r="43" spans="1:9" ht="39.950000000000003" customHeight="1" x14ac:dyDescent="0.45">
      <c r="A43" s="440" t="str">
        <f>'Horaire samedi'!A48</f>
        <v>PASSOT LA BARGE</v>
      </c>
      <c r="B43" s="441">
        <f>'Horaire samedi'!B48</f>
        <v>0.53472222222222199</v>
      </c>
      <c r="C43" s="442" t="str">
        <f>'Horaire samedi'!C48</f>
        <v>D13</v>
      </c>
      <c r="D43" s="445" t="str">
        <f>VLOOKUP(C43,'Liste chauffeur'!$B$5:$L$19,2,TRUE)&amp;" "&amp;VLOOKUP(C43,'Liste chauffeur'!$B$5:$L$19,3,TRUE)</f>
        <v>MOURIDI Aktoir</v>
      </c>
      <c r="E43" s="439"/>
      <c r="F43" s="436" t="str">
        <f>IF(ISBLANK('Feuille saisie'!X48)=TRUE,"",'Feuille saisie'!X48)</f>
        <v/>
      </c>
      <c r="G43" s="436"/>
      <c r="H43" s="437"/>
    </row>
    <row r="44" spans="1:9" ht="39.950000000000003" customHeight="1" x14ac:dyDescent="0.45">
      <c r="A44" s="364" t="str">
        <f>'Horaire samedi'!A49</f>
        <v>DOUJANI</v>
      </c>
      <c r="B44" s="368">
        <f>'Horaire samedi'!B49</f>
        <v>0.54166666666666596</v>
      </c>
      <c r="C44" s="322" t="str">
        <f>'Horaire samedi'!C49</f>
        <v>D12</v>
      </c>
      <c r="D44" s="320" t="str">
        <f>VLOOKUP(C44,'Liste chauffeur'!$B$5:$L$19,2,TRUE)&amp;" "&amp;VLOOKUP(C44,'Liste chauffeur'!$B$5:$L$19,3,TRUE)</f>
        <v>VELOU M'COLO M'Berou</v>
      </c>
      <c r="E44" s="292"/>
      <c r="F44" s="255" t="str">
        <f>IF(ISBLANK('Feuille saisie'!X49)=TRUE,"",'Feuille saisie'!X49)</f>
        <v/>
      </c>
      <c r="G44" s="255"/>
      <c r="H44" s="256"/>
      <c r="I44" s="287" t="s">
        <v>364</v>
      </c>
    </row>
    <row r="45" spans="1:9" ht="39.950000000000003" customHeight="1" x14ac:dyDescent="0.45">
      <c r="A45" s="440" t="str">
        <f>'Horaire samedi'!A50</f>
        <v>PASSOT LA BARGE</v>
      </c>
      <c r="B45" s="441">
        <f>'Horaire samedi'!B50</f>
        <v>0.54861111111111105</v>
      </c>
      <c r="C45" s="442" t="str">
        <f>'Horaire samedi'!C50</f>
        <v>D5</v>
      </c>
      <c r="D45" s="445" t="str">
        <f>VLOOKUP(C45,'Liste chauffeur'!$B$5:$L$19,2,TRUE)&amp;" "&amp;VLOOKUP(C45,'Liste chauffeur'!$B$5:$L$19,3,TRUE)</f>
        <v>AMINA Selemani</v>
      </c>
      <c r="E45" s="439"/>
      <c r="F45" s="436" t="str">
        <f>IF(ISBLANK('Feuille saisie'!X50)=TRUE,"",'Feuille saisie'!X50)</f>
        <v/>
      </c>
      <c r="G45" s="436"/>
      <c r="H45" s="437"/>
      <c r="I45" s="287"/>
    </row>
    <row r="46" spans="1:9" ht="39.950000000000003" customHeight="1" x14ac:dyDescent="0.45">
      <c r="A46" s="364" t="str">
        <f>'Horaire samedi'!A51</f>
        <v>DOUJANI</v>
      </c>
      <c r="B46" s="368">
        <f>'Horaire samedi'!B51</f>
        <v>0.55555555555555503</v>
      </c>
      <c r="C46" s="322" t="str">
        <f>'Horaire samedi'!C51</f>
        <v>D13</v>
      </c>
      <c r="D46" s="320" t="str">
        <f>VLOOKUP(C46,'Liste chauffeur'!$B$5:$L$19,2,TRUE)&amp;" "&amp;VLOOKUP(C46,'Liste chauffeur'!$B$5:$L$19,3,TRUE)</f>
        <v>MOURIDI Aktoir</v>
      </c>
      <c r="E46" s="292"/>
      <c r="F46" s="255" t="str">
        <f>IF(ISBLANK('Feuille saisie'!X51)=TRUE,"",'Feuille saisie'!X51)</f>
        <v/>
      </c>
      <c r="G46" s="255"/>
      <c r="H46" s="256"/>
      <c r="I46" s="287"/>
    </row>
    <row r="47" spans="1:9" ht="39.950000000000003" customHeight="1" x14ac:dyDescent="0.45">
      <c r="A47" s="440" t="str">
        <f>'Horaire samedi'!A52</f>
        <v>PASSOT LA BARGE</v>
      </c>
      <c r="B47" s="430">
        <f>'Horaire samedi'!B52</f>
        <v>0.5625</v>
      </c>
      <c r="C47" s="442" t="str">
        <f>'Horaire samedi'!C52</f>
        <v>D12</v>
      </c>
      <c r="D47" s="445" t="str">
        <f>VLOOKUP(C47,'Liste chauffeur'!$B$5:$L$19,2,TRUE)&amp;" "&amp;VLOOKUP(C47,'Liste chauffeur'!$B$5:$L$19,3,TRUE)</f>
        <v>VELOU M'COLO M'Berou</v>
      </c>
      <c r="E47" s="439"/>
      <c r="F47" s="436" t="str">
        <f>IF(ISBLANK('Feuille saisie'!X52)=TRUE,"",'Feuille saisie'!X52)</f>
        <v/>
      </c>
      <c r="G47" s="436"/>
      <c r="H47" s="437"/>
      <c r="I47" s="287"/>
    </row>
    <row r="48" spans="1:9" ht="39.950000000000003" customHeight="1" x14ac:dyDescent="0.45">
      <c r="A48" s="364" t="str">
        <f>'Horaire samedi'!A53</f>
        <v>DOUJANI</v>
      </c>
      <c r="B48" s="368">
        <f>'Horaire samedi'!B53</f>
        <v>0.56944444444444398</v>
      </c>
      <c r="C48" s="322" t="str">
        <f>'Horaire samedi'!C53</f>
        <v>D5</v>
      </c>
      <c r="D48" s="320" t="str">
        <f>VLOOKUP(C48,'Liste chauffeur'!$B$5:$L$19,2,TRUE)&amp;" "&amp;VLOOKUP(C48,'Liste chauffeur'!$B$5:$L$19,3,TRUE)</f>
        <v>AMINA Selemani</v>
      </c>
      <c r="E48" s="292"/>
      <c r="F48" s="255" t="str">
        <f>IF(ISBLANK('Feuille saisie'!X53)=TRUE,"",'Feuille saisie'!X53)</f>
        <v/>
      </c>
      <c r="G48" s="255"/>
      <c r="H48" s="256"/>
      <c r="I48" s="287"/>
    </row>
    <row r="49" spans="1:9" ht="39.950000000000003" customHeight="1" x14ac:dyDescent="0.45">
      <c r="A49" s="440" t="str">
        <f>'Horaire samedi'!A54</f>
        <v>PASSOT LA BARGE</v>
      </c>
      <c r="B49" s="430">
        <f>'Horaire samedi'!B54</f>
        <v>0.57638888888888795</v>
      </c>
      <c r="C49" s="442" t="str">
        <f>'Horaire samedi'!C54</f>
        <v>D13</v>
      </c>
      <c r="D49" s="445" t="str">
        <f>VLOOKUP(C49,'Liste chauffeur'!$B$5:$L$19,2,TRUE)&amp;" "&amp;VLOOKUP(C49,'Liste chauffeur'!$B$5:$L$19,3,TRUE)</f>
        <v>MOURIDI Aktoir</v>
      </c>
      <c r="E49" s="439"/>
      <c r="F49" s="436" t="str">
        <f>IF(ISBLANK('Feuille saisie'!X54)=TRUE,"",'Feuille saisie'!X54)</f>
        <v/>
      </c>
      <c r="G49" s="436"/>
      <c r="H49" s="437"/>
      <c r="I49" s="287"/>
    </row>
    <row r="50" spans="1:9" ht="39.950000000000003" customHeight="1" x14ac:dyDescent="0.45">
      <c r="A50" s="364" t="str">
        <f>'Horaire samedi'!A55</f>
        <v>DOUJANI</v>
      </c>
      <c r="B50" s="366">
        <f>'Horaire samedi'!B55</f>
        <v>0.58333333333333304</v>
      </c>
      <c r="C50" s="322" t="str">
        <f>'Horaire samedi'!C55</f>
        <v>D9</v>
      </c>
      <c r="D50" s="320" t="str">
        <f>VLOOKUP(C50,'Liste chauffeur'!$B$5:$L$19,2,TRUE)&amp;" "&amp;VLOOKUP(C50,'Liste chauffeur'!$B$5:$L$19,3,TRUE)</f>
        <v>RENEE Assanati</v>
      </c>
      <c r="E50" s="292"/>
      <c r="F50" s="255" t="str">
        <f>IF(ISBLANK('Feuille saisie'!X55)=TRUE,"",'Feuille saisie'!X55)</f>
        <v/>
      </c>
      <c r="G50" s="255"/>
      <c r="H50" s="256"/>
      <c r="I50" s="287"/>
    </row>
    <row r="51" spans="1:9" ht="39.950000000000003" customHeight="1" x14ac:dyDescent="0.45">
      <c r="A51" s="440" t="str">
        <f>'Horaire samedi'!A56</f>
        <v>PASSOT LA BARGE</v>
      </c>
      <c r="B51" s="430">
        <f>'Horaire samedi'!B56</f>
        <v>0.59027777777777701</v>
      </c>
      <c r="C51" s="442" t="str">
        <f>'Horaire samedi'!C56</f>
        <v>D5</v>
      </c>
      <c r="D51" s="445" t="str">
        <f>VLOOKUP(C51,'Liste chauffeur'!$B$5:$L$19,2,TRUE)&amp;" "&amp;VLOOKUP(C51,'Liste chauffeur'!$B$5:$L$19,3,TRUE)</f>
        <v>AMINA Selemani</v>
      </c>
      <c r="E51" s="439"/>
      <c r="F51" s="436"/>
      <c r="G51" s="436"/>
      <c r="H51" s="437"/>
      <c r="I51" s="287"/>
    </row>
    <row r="52" spans="1:9" ht="39.950000000000003" customHeight="1" x14ac:dyDescent="0.45">
      <c r="A52" s="364" t="str">
        <f>'Horaire samedi'!A57</f>
        <v>DOUJANI</v>
      </c>
      <c r="B52" s="366">
        <f>'Horaire samedi'!B57</f>
        <v>0.59722222222222199</v>
      </c>
      <c r="C52" s="322" t="str">
        <f>'Horaire samedi'!C57</f>
        <v>C15</v>
      </c>
      <c r="D52" s="320" t="str">
        <f>VLOOKUP(C52,'Liste chauffeur'!$B$5:$L$20,2,FALSE)&amp;" "&amp;VLOOKUP(C52,'Liste chauffeur'!$B$5:$L$20,3,FALSE)</f>
        <v>HAMADA Babou</v>
      </c>
      <c r="E52" s="292"/>
      <c r="F52" s="255"/>
      <c r="G52" s="255"/>
      <c r="H52" s="256"/>
      <c r="I52" s="287"/>
    </row>
    <row r="53" spans="1:9" ht="39.950000000000003" customHeight="1" x14ac:dyDescent="0.45">
      <c r="A53" s="440" t="str">
        <f>'Horaire samedi'!A58</f>
        <v>PASSOT LA BARGE</v>
      </c>
      <c r="B53" s="441">
        <f>'Horaire samedi'!B58</f>
        <v>0.60416666666666596</v>
      </c>
      <c r="C53" s="442" t="str">
        <f>'Horaire samedi'!C58</f>
        <v>D9</v>
      </c>
      <c r="D53" s="445" t="str">
        <f>VLOOKUP(C53,'Liste chauffeur'!$B$5:$L$19,2,TRUE)&amp;" "&amp;VLOOKUP(C53,'Liste chauffeur'!$B$5:$L$19,3,TRUE)</f>
        <v>RENEE Assanati</v>
      </c>
      <c r="E53" s="439"/>
      <c r="F53" s="436"/>
      <c r="G53" s="436"/>
      <c r="H53" s="437"/>
      <c r="I53" s="287"/>
    </row>
    <row r="54" spans="1:9" ht="39.950000000000003" customHeight="1" x14ac:dyDescent="0.45">
      <c r="A54" s="364" t="str">
        <f>'Horaire samedi'!A59</f>
        <v>DOUJANI</v>
      </c>
      <c r="B54" s="366">
        <f>'Horaire samedi'!B59</f>
        <v>0.61111111111111005</v>
      </c>
      <c r="C54" s="322" t="str">
        <f>'Horaire samedi'!C59</f>
        <v>D15</v>
      </c>
      <c r="D54" s="320" t="str">
        <f>VLOOKUP(C54,'Liste chauffeur'!$B$5:$L$19,2,TRUE)&amp;" "&amp;VLOOKUP(C54,'Liste chauffeur'!$B$5:$L$19,3,TRUE)</f>
        <v xml:space="preserve">KAMARDINE Mansour  </v>
      </c>
      <c r="E54" s="292"/>
      <c r="F54" s="255"/>
      <c r="G54" s="255"/>
      <c r="H54" s="256"/>
      <c r="I54" s="287"/>
    </row>
    <row r="55" spans="1:9" ht="39.950000000000003" customHeight="1" x14ac:dyDescent="0.45">
      <c r="A55" s="440" t="str">
        <f>'Horaire samedi'!A60</f>
        <v>PASSOT LA BARGE</v>
      </c>
      <c r="B55" s="441">
        <f>'Horaire samedi'!B60</f>
        <v>0.61805555555555503</v>
      </c>
      <c r="C55" s="442" t="str">
        <f>'Horaire samedi'!C60</f>
        <v>C15</v>
      </c>
      <c r="D55" s="445" t="str">
        <f>VLOOKUP(C55,'Liste chauffeur'!$B$5:$L$20,2,FALSE)&amp;" "&amp;VLOOKUP(C55,'Liste chauffeur'!$B$5:$L$20,3,FALSE)</f>
        <v>HAMADA Babou</v>
      </c>
      <c r="E55" s="439"/>
      <c r="F55" s="436"/>
      <c r="G55" s="436"/>
      <c r="H55" s="437"/>
      <c r="I55" s="287"/>
    </row>
    <row r="56" spans="1:9" ht="39.950000000000003" customHeight="1" x14ac:dyDescent="0.45">
      <c r="A56" s="364" t="str">
        <f>'Horaire samedi'!A61</f>
        <v>DOUJANI</v>
      </c>
      <c r="B56" s="368">
        <f>'Horaire samedi'!B61</f>
        <v>0.624999999999999</v>
      </c>
      <c r="C56" s="322" t="str">
        <f>'Horaire samedi'!C61</f>
        <v>D9</v>
      </c>
      <c r="D56" s="320" t="str">
        <f>VLOOKUP(C56,'Liste chauffeur'!$B$5:$L$20,2,FALSE)&amp;" "&amp;VLOOKUP(C56,'Liste chauffeur'!$B$5:$L$20,3,FALSE)</f>
        <v>RENEE Assanati</v>
      </c>
      <c r="E56" s="292"/>
      <c r="F56" s="255"/>
      <c r="G56" s="255"/>
      <c r="H56" s="256"/>
      <c r="I56" s="287"/>
    </row>
    <row r="57" spans="1:9" ht="39.950000000000003" customHeight="1" x14ac:dyDescent="0.45">
      <c r="A57" s="440" t="str">
        <f>'Horaire samedi'!A62</f>
        <v>PASSOT LA BARGE</v>
      </c>
      <c r="B57" s="441">
        <f>'Horaire samedi'!B62</f>
        <v>0.63194444444444398</v>
      </c>
      <c r="C57" s="442" t="str">
        <f>'Horaire samedi'!C62</f>
        <v>D15</v>
      </c>
      <c r="D57" s="445" t="str">
        <f>VLOOKUP(C57,'Liste chauffeur'!$B$5:$L$20,2,FALSE)&amp;" "&amp;VLOOKUP(C57,'Liste chauffeur'!$B$5:$L$20,3,FALSE)</f>
        <v xml:space="preserve">KAMARDINE Mansour  </v>
      </c>
      <c r="E57" s="439"/>
      <c r="F57" s="436"/>
      <c r="G57" s="436"/>
      <c r="H57" s="437"/>
      <c r="I57" s="287"/>
    </row>
    <row r="58" spans="1:9" ht="39.950000000000003" customHeight="1" x14ac:dyDescent="0.45">
      <c r="A58" s="364" t="str">
        <f>'Horaire samedi'!A63</f>
        <v>DOUJANI</v>
      </c>
      <c r="B58" s="368">
        <f>'Horaire samedi'!B63</f>
        <v>0.63888888888888795</v>
      </c>
      <c r="C58" s="322" t="str">
        <f>'Horaire samedi'!C63</f>
        <v>C15</v>
      </c>
      <c r="D58" s="320" t="str">
        <f>VLOOKUP(C58,'Liste chauffeur'!$B$5:$L$20,2,FALSE)&amp;" "&amp;VLOOKUP(C58,'Liste chauffeur'!$B$5:$L$20,3,FALSE)</f>
        <v>HAMADA Babou</v>
      </c>
      <c r="E58" s="292"/>
      <c r="F58" s="255"/>
      <c r="G58" s="255"/>
      <c r="H58" s="256"/>
    </row>
    <row r="59" spans="1:9" ht="39.950000000000003" customHeight="1" x14ac:dyDescent="0.45">
      <c r="A59" s="440" t="str">
        <f>'Horaire samedi'!A64</f>
        <v>PASSOT LA BARGE</v>
      </c>
      <c r="B59" s="441">
        <f>'Horaire samedi'!B64</f>
        <v>0.64583333333333304</v>
      </c>
      <c r="C59" s="442" t="str">
        <f>'Horaire samedi'!C64</f>
        <v>D9</v>
      </c>
      <c r="D59" s="445" t="str">
        <f>VLOOKUP(C59,'Liste chauffeur'!$B$5:$L$20,2,FALSE)&amp;" "&amp;VLOOKUP(C59,'Liste chauffeur'!$B$5:$L$20,3,FALSE)</f>
        <v>RENEE Assanati</v>
      </c>
      <c r="E59" s="439"/>
      <c r="F59" s="436"/>
      <c r="G59" s="436"/>
      <c r="H59" s="437"/>
    </row>
    <row r="60" spans="1:9" ht="39.950000000000003" customHeight="1" x14ac:dyDescent="0.45">
      <c r="A60" s="364" t="str">
        <f>'Horaire samedi'!A65</f>
        <v>DOUJANI</v>
      </c>
      <c r="B60" s="368">
        <f>'Horaire samedi'!B65</f>
        <v>0.65277777777777701</v>
      </c>
      <c r="C60" s="322" t="str">
        <f>'Horaire samedi'!C65</f>
        <v>D15</v>
      </c>
      <c r="D60" s="320" t="str">
        <f>VLOOKUP(C60,'Liste chauffeur'!$B$5:$L$20,2,FALSE)&amp;" "&amp;VLOOKUP(C60,'Liste chauffeur'!$B$5:$L$20,3,FALSE)</f>
        <v xml:space="preserve">KAMARDINE Mansour  </v>
      </c>
      <c r="E60" s="292"/>
      <c r="F60" s="255"/>
      <c r="G60" s="255"/>
      <c r="H60" s="256"/>
      <c r="I60" s="287" t="s">
        <v>365</v>
      </c>
    </row>
    <row r="61" spans="1:9" ht="39.950000000000003" customHeight="1" x14ac:dyDescent="0.45">
      <c r="A61" s="440" t="str">
        <f>'Horaire samedi'!A66</f>
        <v>PASSOT LA BARGE</v>
      </c>
      <c r="B61" s="441">
        <f>'Horaire samedi'!B66</f>
        <v>0.65972222222222099</v>
      </c>
      <c r="C61" s="442" t="str">
        <f>'Horaire samedi'!C66</f>
        <v>C15</v>
      </c>
      <c r="D61" s="445" t="str">
        <f>VLOOKUP(C61,'Liste chauffeur'!$B$5:$L$20,2,FALSE)&amp;" "&amp;VLOOKUP(C61,'Liste chauffeur'!$B$5:$L$20,3,FALSE)</f>
        <v>HAMADA Babou</v>
      </c>
      <c r="E61" s="439"/>
      <c r="F61" s="436"/>
      <c r="G61" s="436"/>
      <c r="H61" s="437"/>
    </row>
    <row r="62" spans="1:9" ht="39.950000000000003" customHeight="1" x14ac:dyDescent="0.45">
      <c r="A62" s="364" t="str">
        <f>'Horaire samedi'!A67</f>
        <v>DOUJANI</v>
      </c>
      <c r="B62" s="368">
        <f>'Horaire samedi'!B67</f>
        <v>0.66666666666666596</v>
      </c>
      <c r="C62" s="322" t="str">
        <f>'Horaire samedi'!C67</f>
        <v>D9</v>
      </c>
      <c r="D62" s="320" t="str">
        <f>VLOOKUP(C62,'Liste chauffeur'!$B$5:$L$20,2,FALSE)&amp;" "&amp;VLOOKUP(C62,'Liste chauffeur'!$B$5:$L$20,3,FALSE)</f>
        <v>RENEE Assanati</v>
      </c>
      <c r="E62" s="292"/>
      <c r="F62" s="255"/>
      <c r="G62" s="255"/>
      <c r="H62" s="256"/>
    </row>
    <row r="63" spans="1:9" ht="39.950000000000003" customHeight="1" x14ac:dyDescent="0.45">
      <c r="A63" s="440" t="str">
        <f>'Horaire samedi'!A68</f>
        <v>PASSOT LA BARGE</v>
      </c>
      <c r="B63" s="441">
        <f>'Horaire samedi'!B68</f>
        <v>0.67361111111111005</v>
      </c>
      <c r="C63" s="442" t="str">
        <f>'Horaire samedi'!C68</f>
        <v>D15</v>
      </c>
      <c r="D63" s="445" t="str">
        <f>VLOOKUP(C63,'Liste chauffeur'!$B$5:$L$20,2,FALSE)&amp;" "&amp;VLOOKUP(C63,'Liste chauffeur'!$B$5:$L$20,3,FALSE)</f>
        <v xml:space="preserve">KAMARDINE Mansour  </v>
      </c>
      <c r="E63" s="439"/>
      <c r="F63" s="436"/>
      <c r="G63" s="436"/>
      <c r="H63" s="437"/>
    </row>
    <row r="64" spans="1:9" ht="39.950000000000003" customHeight="1" x14ac:dyDescent="0.45">
      <c r="A64" s="364" t="str">
        <f>'Horaire samedi'!A69</f>
        <v>DOUJANI</v>
      </c>
      <c r="B64" s="368">
        <f>'Horaire samedi'!B69</f>
        <v>0.68055555555555503</v>
      </c>
      <c r="C64" s="322" t="str">
        <f>'Horaire samedi'!C69</f>
        <v>C15</v>
      </c>
      <c r="D64" s="320" t="str">
        <f>VLOOKUP(C64,'Liste chauffeur'!$B$5:$L$20,2,FALSE)&amp;" "&amp;VLOOKUP(C64,'Liste chauffeur'!$B$5:$L$20,3,FALSE)</f>
        <v>HAMADA Babou</v>
      </c>
      <c r="E64" s="363"/>
      <c r="F64" s="255"/>
      <c r="G64" s="255"/>
      <c r="H64" s="256"/>
      <c r="I64" s="287"/>
    </row>
    <row r="65" spans="1:9" ht="39.950000000000003" customHeight="1" x14ac:dyDescent="0.45">
      <c r="A65" s="440" t="str">
        <f>'Horaire samedi'!A70</f>
        <v>PASSOT LA BARGE</v>
      </c>
      <c r="B65" s="441">
        <f>'Horaire samedi'!B70</f>
        <v>0.687499999999999</v>
      </c>
      <c r="C65" s="442" t="str">
        <f>'Horaire samedi'!C70</f>
        <v>D9</v>
      </c>
      <c r="D65" s="445" t="str">
        <f>VLOOKUP(C65,'Liste chauffeur'!$B$5:$L$20,2,FALSE)&amp;" "&amp;VLOOKUP(C65,'Liste chauffeur'!$B$5:$L$20,3,FALSE)</f>
        <v>RENEE Assanati</v>
      </c>
      <c r="E65" s="435"/>
      <c r="F65" s="436"/>
      <c r="G65" s="436"/>
      <c r="H65" s="437"/>
    </row>
    <row r="66" spans="1:9" ht="39.950000000000003" customHeight="1" x14ac:dyDescent="0.45">
      <c r="A66" s="364" t="str">
        <f>'Horaire samedi'!A71</f>
        <v>DOUJANI</v>
      </c>
      <c r="B66" s="368">
        <f>'Horaire samedi'!B71</f>
        <v>0.69444444444444398</v>
      </c>
      <c r="C66" s="322" t="str">
        <f>'Horaire samedi'!C71</f>
        <v>D15</v>
      </c>
      <c r="D66" s="320" t="str">
        <f>VLOOKUP(C66,'Liste chauffeur'!$B$5:$L$20,2,FALSE)&amp;" "&amp;VLOOKUP(C66,'Liste chauffeur'!$B$5:$L$20,3,FALSE)</f>
        <v xml:space="preserve">KAMARDINE Mansour  </v>
      </c>
      <c r="E66" s="363"/>
      <c r="F66" s="255"/>
      <c r="G66" s="255"/>
      <c r="H66" s="256"/>
    </row>
    <row r="67" spans="1:9" ht="39.950000000000003" customHeight="1" x14ac:dyDescent="0.45">
      <c r="A67" s="440" t="str">
        <f>'Horaire samedi'!A72</f>
        <v>PASSOT LA BARGE</v>
      </c>
      <c r="B67" s="441">
        <f>'Horaire samedi'!B72</f>
        <v>0.70138888888888795</v>
      </c>
      <c r="C67" s="442" t="str">
        <f>'Horaire samedi'!C72</f>
        <v>C15</v>
      </c>
      <c r="D67" s="445" t="str">
        <f>VLOOKUP(C67,'Liste chauffeur'!$B$5:$L$20,2,FALSE)&amp;" "&amp;VLOOKUP(C67,'Liste chauffeur'!$B$5:$L$20,3,FALSE)</f>
        <v>HAMADA Babou</v>
      </c>
      <c r="E67" s="435"/>
      <c r="F67" s="436"/>
      <c r="G67" s="436"/>
      <c r="H67" s="437"/>
    </row>
    <row r="68" spans="1:9" ht="39.950000000000003" customHeight="1" x14ac:dyDescent="0.45">
      <c r="A68" s="364" t="str">
        <f>'Horaire samedi'!A73</f>
        <v>DOUJANI</v>
      </c>
      <c r="B68" s="368">
        <f>'Horaire samedi'!B73</f>
        <v>0.70833333333333204</v>
      </c>
      <c r="C68" s="322" t="str">
        <f>'Horaire samedi'!C73</f>
        <v>D9</v>
      </c>
      <c r="D68" s="320" t="str">
        <f>VLOOKUP(C68,'Liste chauffeur'!$B$5:$L$20,2,FALSE)&amp;" "&amp;VLOOKUP(C68,'Liste chauffeur'!$B$5:$L$20,3,FALSE)</f>
        <v>RENEE Assanati</v>
      </c>
      <c r="E68" s="363"/>
      <c r="F68" s="255"/>
      <c r="G68" s="255"/>
      <c r="H68" s="256"/>
      <c r="I68" s="287" t="s">
        <v>367</v>
      </c>
    </row>
    <row r="69" spans="1:9" ht="39.950000000000003" customHeight="1" x14ac:dyDescent="0.45">
      <c r="A69" s="440" t="str">
        <f>'Horaire samedi'!A74</f>
        <v>PASSOT LA BARGE</v>
      </c>
      <c r="B69" s="441">
        <f>'Horaire samedi'!B74</f>
        <v>0.71527777777777701</v>
      </c>
      <c r="C69" s="442" t="str">
        <f>'Horaire samedi'!C74</f>
        <v>D15</v>
      </c>
      <c r="D69" s="445" t="str">
        <f>VLOOKUP(C69,'Liste chauffeur'!$B$5:$L$20,2,FALSE)&amp;" "&amp;VLOOKUP(C69,'Liste chauffeur'!$B$5:$L$20,3,FALSE)</f>
        <v xml:space="preserve">KAMARDINE Mansour  </v>
      </c>
      <c r="E69" s="435"/>
      <c r="F69" s="436"/>
      <c r="G69" s="436"/>
      <c r="H69" s="437"/>
    </row>
    <row r="70" spans="1:9" ht="39.950000000000003" customHeight="1" x14ac:dyDescent="0.45">
      <c r="A70" s="364" t="str">
        <f>'Horaire samedi'!A75</f>
        <v>DOUJANI</v>
      </c>
      <c r="B70" s="368">
        <f>'Horaire samedi'!B75</f>
        <v>0.72222222222222099</v>
      </c>
      <c r="C70" s="322" t="str">
        <f>'Horaire samedi'!C75</f>
        <v>C15</v>
      </c>
      <c r="D70" s="320" t="str">
        <f>VLOOKUP(C70,'Liste chauffeur'!$B$5:$L$20,2,FALSE)&amp;" "&amp;VLOOKUP(C70,'Liste chauffeur'!$B$5:$L$20,3,FALSE)</f>
        <v>HAMADA Babou</v>
      </c>
      <c r="E70" s="363"/>
      <c r="F70" s="255"/>
      <c r="G70" s="255"/>
      <c r="H70" s="256"/>
      <c r="I70" s="137"/>
    </row>
    <row r="71" spans="1:9" ht="39.950000000000003" customHeight="1" x14ac:dyDescent="0.45">
      <c r="A71" s="440" t="str">
        <f>'Horaire samedi'!A76</f>
        <v>PASSOT LA BARGE</v>
      </c>
      <c r="B71" s="441">
        <f>'Horaire samedi'!B76</f>
        <v>0.72916666666666596</v>
      </c>
      <c r="C71" s="442" t="str">
        <f>'Horaire samedi'!C76</f>
        <v>D9</v>
      </c>
      <c r="D71" s="445" t="str">
        <f>VLOOKUP(C71,'Liste chauffeur'!$B$5:$L$20,2,FALSE)&amp;" "&amp;VLOOKUP(C71,'Liste chauffeur'!$B$5:$L$20,3,FALSE)</f>
        <v>RENEE Assanati</v>
      </c>
      <c r="E71" s="435"/>
      <c r="F71" s="436"/>
      <c r="G71" s="436"/>
      <c r="H71" s="437"/>
    </row>
    <row r="72" spans="1:9" ht="39.950000000000003" customHeight="1" x14ac:dyDescent="0.45">
      <c r="A72" s="364" t="str">
        <f>'Horaire samedi'!A77</f>
        <v>DOUJANI</v>
      </c>
      <c r="B72" s="368">
        <f>'Horaire samedi'!B77</f>
        <v>0.73611111111111005</v>
      </c>
      <c r="C72" s="322" t="str">
        <f>'Horaire samedi'!C77</f>
        <v>D15</v>
      </c>
      <c r="D72" s="320" t="str">
        <f>VLOOKUP(C72,'Liste chauffeur'!$B$5:$L$20,2,FALSE)&amp;" "&amp;VLOOKUP(C72,'Liste chauffeur'!$B$5:$L$20,3,FALSE)</f>
        <v xml:space="preserve">KAMARDINE Mansour  </v>
      </c>
      <c r="E72" s="363"/>
      <c r="F72" s="255"/>
      <c r="G72" s="255"/>
      <c r="H72" s="256"/>
    </row>
    <row r="73" spans="1:9" ht="39.950000000000003" customHeight="1" x14ac:dyDescent="0.45">
      <c r="A73" s="440" t="str">
        <f>'Horaire samedi'!A78</f>
        <v>PASSOT LA BARGE</v>
      </c>
      <c r="B73" s="441">
        <f>'Horaire samedi'!B78</f>
        <v>0.74305555555555403</v>
      </c>
      <c r="C73" s="442" t="str">
        <f>'Horaire samedi'!C78</f>
        <v>C15</v>
      </c>
      <c r="D73" s="445" t="str">
        <f>VLOOKUP(C73,'Liste chauffeur'!$B$5:$L$20,2,FALSE)&amp;" "&amp;VLOOKUP(C73,'Liste chauffeur'!$B$5:$L$20,3,FALSE)</f>
        <v>HAMADA Babou</v>
      </c>
      <c r="E73" s="435"/>
      <c r="F73" s="436"/>
      <c r="G73" s="436"/>
      <c r="H73" s="437"/>
    </row>
    <row r="74" spans="1:9" ht="39.950000000000003" customHeight="1" x14ac:dyDescent="0.45">
      <c r="A74" s="364" t="str">
        <f>'Horaire samedi'!A79</f>
        <v>DOUJANI</v>
      </c>
      <c r="B74" s="368">
        <f>'Horaire samedi'!B79</f>
        <v>0.749999999999999</v>
      </c>
      <c r="C74" s="322" t="str">
        <f>'Horaire samedi'!C79</f>
        <v>D9</v>
      </c>
      <c r="D74" s="320" t="str">
        <f>VLOOKUP(C74,'Liste chauffeur'!$B$5:$L$20,2,FALSE)&amp;" "&amp;VLOOKUP(C74,'Liste chauffeur'!$B$5:$L$20,3,FALSE)</f>
        <v>RENEE Assanati</v>
      </c>
      <c r="E74" s="363"/>
      <c r="F74" s="255"/>
      <c r="G74" s="255"/>
      <c r="H74" s="256"/>
    </row>
    <row r="75" spans="1:9" ht="39.950000000000003" customHeight="1" x14ac:dyDescent="0.45">
      <c r="A75" s="440" t="str">
        <f>'Horaire samedi'!A80</f>
        <v>PASSOT LA BARGE</v>
      </c>
      <c r="B75" s="441">
        <f>'Horaire samedi'!B80</f>
        <v>0.75694444444444298</v>
      </c>
      <c r="C75" s="442" t="str">
        <f>'Horaire samedi'!C80</f>
        <v>D15</v>
      </c>
      <c r="D75" s="445" t="str">
        <f>VLOOKUP(C75,'Liste chauffeur'!$B$5:$L$20,2,FALSE)&amp;" "&amp;VLOOKUP(C75,'Liste chauffeur'!$B$5:$L$20,3,FALSE)</f>
        <v xml:space="preserve">KAMARDINE Mansour  </v>
      </c>
      <c r="E75" s="435"/>
      <c r="F75" s="436"/>
      <c r="G75" s="436"/>
      <c r="H75" s="437"/>
    </row>
    <row r="76" spans="1:9" ht="39.950000000000003" customHeight="1" x14ac:dyDescent="0.45">
      <c r="A76" s="364" t="str">
        <f>'Horaire samedi'!A81</f>
        <v>DOUJANI</v>
      </c>
      <c r="B76" s="368">
        <f>'Horaire samedi'!B81</f>
        <v>0.76388888888888795</v>
      </c>
      <c r="C76" s="322" t="str">
        <f>'Horaire samedi'!C81</f>
        <v>C15</v>
      </c>
      <c r="D76" s="320" t="str">
        <f>VLOOKUP(C76,'Liste chauffeur'!$B$5:$L$20,2,FALSE)&amp;" "&amp;VLOOKUP(C76,'Liste chauffeur'!$B$5:$L$20,3,FALSE)</f>
        <v>HAMADA Babou</v>
      </c>
      <c r="E76" s="363"/>
      <c r="F76" s="255"/>
      <c r="G76" s="255"/>
      <c r="H76" s="256"/>
      <c r="I76" s="287" t="s">
        <v>366</v>
      </c>
    </row>
    <row r="77" spans="1:9" ht="39.950000000000003" customHeight="1" x14ac:dyDescent="0.45">
      <c r="A77" s="440" t="str">
        <f>'Horaire samedi'!A82</f>
        <v>PASSOT LA BARGE</v>
      </c>
      <c r="B77" s="441">
        <f>'Horaire samedi'!B82</f>
        <v>0.77083333333333204</v>
      </c>
      <c r="C77" s="442" t="str">
        <f>'Horaire samedi'!C82</f>
        <v>D9</v>
      </c>
      <c r="D77" s="445" t="str">
        <f>VLOOKUP(C77,'Liste chauffeur'!$B$5:$L$20,2,FALSE)&amp;" "&amp;VLOOKUP(C77,'Liste chauffeur'!$B$5:$L$20,3,FALSE)</f>
        <v>RENEE Assanati</v>
      </c>
      <c r="E77" s="435"/>
      <c r="F77" s="436"/>
      <c r="G77" s="436"/>
      <c r="H77" s="437"/>
    </row>
    <row r="78" spans="1:9" ht="39.950000000000003" customHeight="1" x14ac:dyDescent="0.45">
      <c r="A78" s="364" t="str">
        <f>'Horaire samedi'!A83</f>
        <v>DOUJANI</v>
      </c>
      <c r="B78" s="368">
        <f>'Horaire samedi'!B83</f>
        <v>0.77777777777777701</v>
      </c>
      <c r="C78" s="322" t="str">
        <f>'Horaire samedi'!C83</f>
        <v>D15</v>
      </c>
      <c r="D78" s="320" t="str">
        <f>VLOOKUP(C78,'Liste chauffeur'!$B$5:$L$20,2,FALSE)&amp;" "&amp;VLOOKUP(C78,'Liste chauffeur'!$B$5:$L$20,3,FALSE)</f>
        <v xml:space="preserve">KAMARDINE Mansour  </v>
      </c>
      <c r="E78" s="363"/>
      <c r="F78" s="255"/>
      <c r="G78" s="255"/>
      <c r="H78" s="256"/>
    </row>
    <row r="79" spans="1:9" ht="39.950000000000003" customHeight="1" x14ac:dyDescent="0.45">
      <c r="A79" s="440" t="str">
        <f>'Horaire samedi'!A84</f>
        <v>PASSOT LA BARGE</v>
      </c>
      <c r="B79" s="441">
        <f>'Horaire samedi'!B84</f>
        <v>0.78472222222222099</v>
      </c>
      <c r="C79" s="442" t="str">
        <f>'Horaire samedi'!C84</f>
        <v>C15</v>
      </c>
      <c r="D79" s="445" t="str">
        <f>VLOOKUP(C79,'Liste chauffeur'!$B$5:$L$20,2,FALSE)&amp;" "&amp;VLOOKUP(C79,'Liste chauffeur'!$B$5:$L$20,3,FALSE)</f>
        <v>HAMADA Babou</v>
      </c>
      <c r="E79" s="435"/>
      <c r="F79" s="436"/>
      <c r="G79" s="436"/>
      <c r="H79" s="437"/>
    </row>
    <row r="80" spans="1:9" ht="39.950000000000003" customHeight="1" x14ac:dyDescent="0.45">
      <c r="A80" s="364" t="str">
        <f>'Horaire samedi'!A85</f>
        <v>DOUJANI</v>
      </c>
      <c r="B80" s="368">
        <f>'Horaire samedi'!B85</f>
        <v>0.79166666666666496</v>
      </c>
      <c r="C80" s="322" t="str">
        <f>'Horaire samedi'!C85</f>
        <v>D9</v>
      </c>
      <c r="D80" s="320" t="str">
        <f>VLOOKUP(C80,'Liste chauffeur'!$B$5:$L$20,2,FALSE)&amp;" "&amp;VLOOKUP(C80,'Liste chauffeur'!$B$5:$L$20,3,FALSE)</f>
        <v>RENEE Assanati</v>
      </c>
      <c r="E80" s="363"/>
      <c r="F80" s="255"/>
      <c r="G80" s="255"/>
      <c r="H80" s="256"/>
    </row>
    <row r="81" spans="1:8" ht="39.950000000000003" customHeight="1" x14ac:dyDescent="0.45">
      <c r="A81" s="440" t="str">
        <f>'Horaire samedi'!A86</f>
        <v>PASSOT LA BARGE</v>
      </c>
      <c r="B81" s="441">
        <f>'Horaire samedi'!B86</f>
        <v>0.79861111111111005</v>
      </c>
      <c r="C81" s="442" t="str">
        <f>'Horaire samedi'!C86</f>
        <v>D15</v>
      </c>
      <c r="D81" s="445" t="str">
        <f>VLOOKUP(C81,'Liste chauffeur'!$B$5:$L$20,2,FALSE)&amp;" "&amp;VLOOKUP(C81,'Liste chauffeur'!$B$5:$L$20,3,FALSE)</f>
        <v xml:space="preserve">KAMARDINE Mansour  </v>
      </c>
      <c r="E81" s="435"/>
      <c r="F81" s="436"/>
      <c r="G81" s="436"/>
      <c r="H81" s="437"/>
    </row>
    <row r="82" spans="1:8" ht="39.950000000000003" customHeight="1" x14ac:dyDescent="0.45">
      <c r="A82" s="364" t="str">
        <f>'Horaire samedi'!A87</f>
        <v>DOUJANI</v>
      </c>
      <c r="B82" s="368">
        <f>'Horaire samedi'!B87</f>
        <v>0.80555555555555403</v>
      </c>
      <c r="C82" s="322" t="str">
        <f>'Horaire samedi'!C87</f>
        <v>C15</v>
      </c>
      <c r="D82" s="320" t="str">
        <f>VLOOKUP(C82,'Liste chauffeur'!$B$5:$L$20,2,FALSE)&amp;" "&amp;VLOOKUP(C82,'Liste chauffeur'!$B$5:$L$20,3,FALSE)</f>
        <v>HAMADA Babou</v>
      </c>
      <c r="E82" s="292"/>
      <c r="F82" s="255"/>
      <c r="G82" s="255"/>
      <c r="H82" s="256"/>
    </row>
    <row r="83" spans="1:8" ht="39.950000000000003" customHeight="1" x14ac:dyDescent="0.45">
      <c r="A83" s="440" t="str">
        <f>'Horaire samedi'!A88</f>
        <v>PASSOT LA BARGE</v>
      </c>
      <c r="B83" s="441">
        <f>'Horaire samedi'!B88</f>
        <v>0.812499999999999</v>
      </c>
      <c r="C83" s="442" t="str">
        <f>'Horaire samedi'!C88</f>
        <v>D9</v>
      </c>
      <c r="D83" s="445" t="str">
        <f>VLOOKUP(C83,'Liste chauffeur'!$B$5:$L$20,2,FALSE)&amp;" "&amp;VLOOKUP(C83,'Liste chauffeur'!$B$5:$L$20,3,FALSE)</f>
        <v>RENEE Assanati</v>
      </c>
      <c r="E83" s="439"/>
      <c r="F83" s="436"/>
      <c r="G83" s="436"/>
      <c r="H83" s="437"/>
    </row>
    <row r="84" spans="1:8" ht="39.950000000000003" customHeight="1" x14ac:dyDescent="0.45">
      <c r="A84" s="364" t="str">
        <f>'Horaire samedi'!A89</f>
        <v>DOUJANI</v>
      </c>
      <c r="B84" s="368">
        <f>'Horaire samedi'!B89</f>
        <v>0.81944444444444298</v>
      </c>
      <c r="C84" s="322" t="str">
        <f>'Horaire samedi'!C89</f>
        <v>D15</v>
      </c>
      <c r="D84" s="320" t="str">
        <f>VLOOKUP(C84,'Liste chauffeur'!$B$5:$L$20,2,FALSE)&amp;" "&amp;VLOOKUP(C84,'Liste chauffeur'!$B$5:$L$20,3,FALSE)</f>
        <v xml:space="preserve">KAMARDINE Mansour  </v>
      </c>
      <c r="E84" s="292"/>
      <c r="F84" s="255"/>
      <c r="G84" s="255"/>
      <c r="H84" s="256"/>
    </row>
    <row r="85" spans="1:8" ht="39.950000000000003" customHeight="1" x14ac:dyDescent="0.45">
      <c r="A85" s="440" t="str">
        <f>'Horaire samedi'!A90</f>
        <v>PASSOT LA BARGE</v>
      </c>
      <c r="B85" s="441">
        <f>'Horaire samedi'!B90</f>
        <v>0.82638888888888695</v>
      </c>
      <c r="C85" s="442" t="str">
        <f>'Horaire samedi'!C90</f>
        <v>C15</v>
      </c>
      <c r="D85" s="445" t="str">
        <f>VLOOKUP(C85,'Liste chauffeur'!$B$5:$L$20,2,FALSE)&amp;" "&amp;VLOOKUP(C85,'Liste chauffeur'!$B$5:$L$20,3,FALSE)</f>
        <v>HAMADA Babou</v>
      </c>
      <c r="E85" s="439"/>
      <c r="F85" s="436"/>
      <c r="G85" s="436"/>
      <c r="H85" s="437"/>
    </row>
    <row r="86" spans="1:8" ht="39.950000000000003" customHeight="1" x14ac:dyDescent="0.45">
      <c r="A86" s="364" t="str">
        <f>'Horaire samedi'!A91</f>
        <v>DOUJANI</v>
      </c>
      <c r="B86" s="368">
        <f>'Horaire samedi'!B91</f>
        <v>0.83333333333333204</v>
      </c>
      <c r="C86" s="322" t="str">
        <f>'Horaire samedi'!C91</f>
        <v>D9</v>
      </c>
      <c r="D86" s="320" t="str">
        <f>VLOOKUP(C86,'Liste chauffeur'!$B$5:$L$20,2,FALSE)&amp;" "&amp;VLOOKUP(C86,'Liste chauffeur'!$B$5:$L$20,3,FALSE)</f>
        <v>RENEE Assanati</v>
      </c>
      <c r="E86" s="292"/>
      <c r="F86" s="255"/>
      <c r="G86" s="255"/>
      <c r="H86" s="256"/>
    </row>
    <row r="87" spans="1:8" ht="39.950000000000003" customHeight="1" x14ac:dyDescent="0.45">
      <c r="A87" s="440" t="str">
        <f>'Horaire samedi'!A92</f>
        <v>PASSOT LA BARGE</v>
      </c>
      <c r="B87" s="441">
        <f>'Horaire samedi'!B92</f>
        <v>0.84027777777777601</v>
      </c>
      <c r="C87" s="442" t="str">
        <f>'Horaire samedi'!C92</f>
        <v>D15</v>
      </c>
      <c r="D87" s="445" t="str">
        <f>VLOOKUP(C87,'Liste chauffeur'!$B$5:$L$20,2,FALSE)&amp;" "&amp;VLOOKUP(C87,'Liste chauffeur'!$B$5:$L$20,3,FALSE)</f>
        <v xml:space="preserve">KAMARDINE Mansour  </v>
      </c>
      <c r="E87" s="439"/>
      <c r="F87" s="436"/>
      <c r="G87" s="436"/>
      <c r="H87" s="437"/>
    </row>
    <row r="88" spans="1:8" ht="39.950000000000003" customHeight="1" x14ac:dyDescent="0.45">
      <c r="A88" s="364" t="str">
        <f>'Horaire samedi'!A93</f>
        <v>DOUJANI</v>
      </c>
      <c r="B88" s="368">
        <f>'Horaire samedi'!B93</f>
        <v>0.84722222222222099</v>
      </c>
      <c r="C88" s="322" t="str">
        <f>'Horaire samedi'!C93</f>
        <v>C15</v>
      </c>
      <c r="D88" s="320" t="str">
        <f>VLOOKUP(C88,'Liste chauffeur'!$B$5:$L$20,2,FALSE)&amp;" "&amp;VLOOKUP(C88,'Liste chauffeur'!$B$5:$L$20,3,FALSE)</f>
        <v>HAMADA Babou</v>
      </c>
      <c r="E88" s="292"/>
      <c r="F88" s="255"/>
      <c r="G88" s="255"/>
      <c r="H88" s="256"/>
    </row>
    <row r="89" spans="1:8" ht="39.950000000000003" customHeight="1" x14ac:dyDescent="0.45">
      <c r="A89" s="440" t="str">
        <f>'Horaire samedi'!A94</f>
        <v>PASSOT LA BARGE</v>
      </c>
      <c r="B89" s="430">
        <f>'Horaire samedi'!B94</f>
        <v>0.85416666666666496</v>
      </c>
      <c r="C89" s="442" t="str">
        <f>'Horaire samedi'!C94</f>
        <v>D9</v>
      </c>
      <c r="D89" s="445" t="str">
        <f>VLOOKUP(C89,'Liste chauffeur'!$B$5:$L$20,2,FALSE)&amp;" "&amp;VLOOKUP(C89,'Liste chauffeur'!$B$5:$L$20,3,FALSE)</f>
        <v>RENEE Assanati</v>
      </c>
      <c r="E89" s="439"/>
      <c r="F89" s="436"/>
      <c r="G89" s="436"/>
      <c r="H89" s="437"/>
    </row>
    <row r="90" spans="1:8" ht="39.950000000000003" customHeight="1" x14ac:dyDescent="0.45">
      <c r="A90" s="364" t="str">
        <f>'Horaire samedi'!A95</f>
        <v>DOUJANI</v>
      </c>
      <c r="B90" s="367">
        <f>'Horaire samedi'!B95</f>
        <v>0.86111111111111005</v>
      </c>
      <c r="C90" s="322" t="str">
        <f>'Horaire samedi'!C95</f>
        <v>D15</v>
      </c>
      <c r="D90" s="320" t="str">
        <f>VLOOKUP(C90,'Liste chauffeur'!$B$5:$L$20,2,FALSE)&amp;" "&amp;VLOOKUP(C90,'Liste chauffeur'!$B$5:$L$20,3,FALSE)</f>
        <v xml:space="preserve">KAMARDINE Mansour  </v>
      </c>
      <c r="E90" s="292"/>
      <c r="F90" s="255"/>
      <c r="G90" s="255"/>
      <c r="H90" s="256"/>
    </row>
    <row r="91" spans="1:8" ht="39.950000000000003" customHeight="1" x14ac:dyDescent="0.45">
      <c r="A91" s="440" t="str">
        <f>'Horaire samedi'!A96</f>
        <v>PASSOT LA BARGE</v>
      </c>
      <c r="B91" s="430">
        <f>'Horaire samedi'!B96</f>
        <v>0.86805555555555403</v>
      </c>
      <c r="C91" s="442" t="str">
        <f>'Horaire samedi'!C96</f>
        <v>C15</v>
      </c>
      <c r="D91" s="445" t="str">
        <f>VLOOKUP(C91,'Liste chauffeur'!$B$5:$L$20,2,FALSE)&amp;" "&amp;VLOOKUP(C91,'Liste chauffeur'!$B$5:$L$20,3,FALSE)</f>
        <v>HAMADA Babou</v>
      </c>
      <c r="E91" s="439"/>
      <c r="F91" s="436"/>
      <c r="G91" s="436"/>
      <c r="H91" s="437"/>
    </row>
  </sheetData>
  <autoFilter ref="A2:H91" xr:uid="{6A06E119-2645-4680-ABA4-211EDBAC8958}"/>
  <mergeCells count="1">
    <mergeCell ref="E1:F1"/>
  </mergeCells>
  <printOptions horizontalCentered="1"/>
  <pageMargins left="0.23622047244094499" right="0.23622047244094499" top="0.74803149606299202" bottom="0.74803149606299202" header="0.31496062992126" footer="0.31496062992126"/>
  <pageSetup paperSize="9" scale="5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626A-138E-49FA-A4B6-C7E36B3E84D2}">
  <sheetPr>
    <pageSetUpPr fitToPage="1"/>
  </sheetPr>
  <dimension ref="A1:I46"/>
  <sheetViews>
    <sheetView workbookViewId="0">
      <selection sqref="A1:H1"/>
    </sheetView>
  </sheetViews>
  <sheetFormatPr baseColWidth="10" defaultColWidth="10.796875" defaultRowHeight="14.25" x14ac:dyDescent="0.45"/>
  <cols>
    <col min="1" max="1" width="28.796875" style="137" customWidth="1"/>
    <col min="2" max="2" width="17.796875" style="288" bestFit="1" customWidth="1"/>
    <col min="3" max="3" width="13" style="293" customWidth="1"/>
    <col min="4" max="4" width="49.8632812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290" t="s">
        <v>565</v>
      </c>
      <c r="E1" s="464" cm="1">
        <f t="array" ref="E1">'coordinateur matin'!E1:E1</f>
        <v>46082</v>
      </c>
      <c r="F1" s="464"/>
      <c r="I1" s="291" t="s">
        <v>530</v>
      </c>
    </row>
    <row r="2" spans="1:9" s="189" customFormat="1" ht="54" x14ac:dyDescent="0.45">
      <c r="A2" s="286" t="s">
        <v>327</v>
      </c>
      <c r="B2" s="289" t="s">
        <v>0</v>
      </c>
      <c r="C2" s="294" t="s">
        <v>25</v>
      </c>
      <c r="D2" s="254" t="s">
        <v>26</v>
      </c>
      <c r="E2" s="254" t="s">
        <v>32</v>
      </c>
      <c r="F2" s="254" t="s">
        <v>368</v>
      </c>
      <c r="G2" s="254" t="s">
        <v>1</v>
      </c>
      <c r="H2" s="254" t="s">
        <v>331</v>
      </c>
      <c r="I2" s="254"/>
    </row>
    <row r="3" spans="1:9" s="189" customFormat="1" ht="39.950000000000003" hidden="1" customHeight="1" x14ac:dyDescent="0.45">
      <c r="A3" s="364" t="str">
        <f>'Horaire dimanche 1'!A8</f>
        <v>DOUJANI</v>
      </c>
      <c r="B3" s="366">
        <f>'Horaire dimanche 1'!B8</f>
        <v>0.33333333333333298</v>
      </c>
      <c r="C3" s="322" t="str">
        <f>'Horaire dimanche 1'!C8</f>
        <v>D12</v>
      </c>
      <c r="D3" s="320" t="str">
        <f>VLOOKUP(C3,'Liste chauffeur'!$B$5:$L$19,2,TRUE)&amp;" "&amp;VLOOKUP(C3,'Liste chauffeur'!$B$5:$L$19,3,TRUE)</f>
        <v>VELOU M'COLO M'Berou</v>
      </c>
      <c r="E3" s="363"/>
      <c r="F3" s="254"/>
      <c r="G3" s="254"/>
      <c r="H3" s="254"/>
      <c r="I3" s="301"/>
    </row>
    <row r="4" spans="1:9" s="189" customFormat="1" ht="39.950000000000003" hidden="1" customHeight="1" x14ac:dyDescent="0.45">
      <c r="A4" s="431" t="str">
        <f>'Horaire dimanche 1'!A9</f>
        <v>PASSOT LA BARGE</v>
      </c>
      <c r="B4" s="432">
        <f>'Horaire dimanche 1'!B9</f>
        <v>0.35416666666666669</v>
      </c>
      <c r="C4" s="433" t="str">
        <f>'Horaire dimanche 1'!C9</f>
        <v>D12</v>
      </c>
      <c r="D4" s="446" t="str">
        <f>VLOOKUP(C4,'Liste chauffeur'!$B$5:$L$19,2,TRUE)&amp;" "&amp;VLOOKUP(C4,'Liste chauffeur'!$B$5:$L$19,3,TRUE)</f>
        <v>VELOU M'COLO M'Berou</v>
      </c>
      <c r="E4" s="435"/>
      <c r="F4" s="444"/>
      <c r="G4" s="444"/>
      <c r="H4" s="444"/>
      <c r="I4" s="301"/>
    </row>
    <row r="5" spans="1:9" s="189" customFormat="1" ht="39.950000000000003" hidden="1" customHeight="1" x14ac:dyDescent="0.45">
      <c r="A5" s="364" t="str">
        <f>'Horaire dimanche 1'!A10</f>
        <v>DOUJANI</v>
      </c>
      <c r="B5" s="366">
        <f>'Horaire dimanche 1'!B10</f>
        <v>0.35416666666666669</v>
      </c>
      <c r="C5" s="322" t="str">
        <f>'Horaire dimanche 1'!C10</f>
        <v>D7</v>
      </c>
      <c r="D5" s="321" t="str">
        <f>VLOOKUP(C5,'Liste chauffeur'!$B$5:$L$19,2,TRUE)&amp;" "&amp;VLOOKUP(C5,'Liste chauffeur'!$B$5:$L$19,3,TRUE)</f>
        <v>COMBO  Said</v>
      </c>
      <c r="E5" s="363"/>
      <c r="F5" s="254"/>
      <c r="G5" s="254"/>
      <c r="H5" s="254"/>
      <c r="I5" s="301"/>
    </row>
    <row r="6" spans="1:9" s="189" customFormat="1" ht="39.950000000000003" hidden="1" customHeight="1" x14ac:dyDescent="0.45">
      <c r="A6" s="431" t="str">
        <f>'Horaire dimanche 1'!A11</f>
        <v>PASSOT LA BARGE</v>
      </c>
      <c r="B6" s="432">
        <f>'Horaire dimanche 1'!B11</f>
        <v>0.375</v>
      </c>
      <c r="C6" s="433" t="str">
        <f>'Horaire dimanche 1'!C11</f>
        <v>D7</v>
      </c>
      <c r="D6" s="446" t="str">
        <f>VLOOKUP(C6,'Liste chauffeur'!$B$5:$L$19,2,TRUE)&amp;" "&amp;VLOOKUP(C6,'Liste chauffeur'!$B$5:$L$19,3,TRUE)</f>
        <v>COMBO  Said</v>
      </c>
      <c r="E6" s="435"/>
      <c r="F6" s="444"/>
      <c r="G6" s="444"/>
      <c r="H6" s="444"/>
      <c r="I6" s="301"/>
    </row>
    <row r="7" spans="1:9" ht="39.950000000000003" hidden="1" customHeight="1" x14ac:dyDescent="0.45">
      <c r="A7" s="364" t="str">
        <f>'Horaire dimanche 1'!A12</f>
        <v>DOUJANI</v>
      </c>
      <c r="B7" s="368">
        <f>'Horaire dimanche 1'!B12</f>
        <v>0.375</v>
      </c>
      <c r="C7" s="322" t="str">
        <f>'Horaire dimanche 1'!C12</f>
        <v>D12</v>
      </c>
      <c r="D7" s="320" t="str">
        <f>VLOOKUP(C7,'Liste chauffeur'!$B$5:$L$19,2,TRUE)&amp;" "&amp;VLOOKUP(C7,'Liste chauffeur'!$B$5:$L$19,3,TRUE)</f>
        <v>VELOU M'COLO M'Berou</v>
      </c>
      <c r="E7" s="363"/>
      <c r="F7" s="255" t="str">
        <f>IF(ISBLANK('Feuille saisie'!X12)=TRUE,"",'Feuille saisie'!X12)</f>
        <v/>
      </c>
      <c r="G7" s="255"/>
      <c r="H7" s="256"/>
    </row>
    <row r="8" spans="1:9" ht="39.950000000000003" hidden="1" customHeight="1" x14ac:dyDescent="0.45">
      <c r="A8" s="431" t="str">
        <f>'Horaire dimanche 1'!A13</f>
        <v>PASSOT LA BARGE</v>
      </c>
      <c r="B8" s="432">
        <f>'Horaire dimanche 1'!B13</f>
        <v>0.39583333333333331</v>
      </c>
      <c r="C8" s="433" t="str">
        <f>'Horaire dimanche 1'!C13</f>
        <v>D12</v>
      </c>
      <c r="D8" s="434" t="str">
        <f>VLOOKUP(C8,'Liste chauffeur'!$B$5:$L$19,2,TRUE)&amp;" "&amp;VLOOKUP(C8,'Liste chauffeur'!$B$5:$L$19,3,TRUE)</f>
        <v>VELOU M'COLO M'Berou</v>
      </c>
      <c r="E8" s="435"/>
      <c r="F8" s="436" t="str">
        <f>IF(ISBLANK('Feuille saisie'!X13)=TRUE,"",'Feuille saisie'!X13)</f>
        <v/>
      </c>
      <c r="G8" s="436"/>
      <c r="H8" s="437"/>
      <c r="I8" s="287" t="s">
        <v>364</v>
      </c>
    </row>
    <row r="9" spans="1:9" ht="39.950000000000003" hidden="1" customHeight="1" x14ac:dyDescent="0.45">
      <c r="A9" s="364" t="str">
        <f>'Horaire dimanche 1'!A14</f>
        <v>DOUJANI</v>
      </c>
      <c r="B9" s="368">
        <f>'Horaire dimanche 1'!B14</f>
        <v>0.39583333333333331</v>
      </c>
      <c r="C9" s="322" t="str">
        <f>'Horaire dimanche 1'!C14</f>
        <v>D7</v>
      </c>
      <c r="D9" s="320" t="str">
        <f>VLOOKUP(C9,'Liste chauffeur'!$B$5:$L$19,2,TRUE)&amp;" "&amp;VLOOKUP(C9,'Liste chauffeur'!$B$5:$L$19,3,TRUE)</f>
        <v>COMBO  Said</v>
      </c>
      <c r="E9" s="363"/>
      <c r="F9" s="285" t="str">
        <f>IF(ISBLANK('Feuille saisie'!X14)=TRUE,"",'Feuille saisie'!X14)</f>
        <v/>
      </c>
      <c r="G9" s="255"/>
      <c r="H9" s="256"/>
      <c r="I9" s="287"/>
    </row>
    <row r="10" spans="1:9" ht="39.950000000000003" hidden="1" customHeight="1" x14ac:dyDescent="0.45">
      <c r="A10" s="431" t="str">
        <f>'Horaire dimanche 1'!A15</f>
        <v>PASSOT LA BARGE</v>
      </c>
      <c r="B10" s="432">
        <f>'Horaire dimanche 1'!B15</f>
        <v>0.41666666666666669</v>
      </c>
      <c r="C10" s="433" t="str">
        <f>'Horaire dimanche 1'!C15</f>
        <v>D7</v>
      </c>
      <c r="D10" s="434" t="str">
        <f>VLOOKUP(C10,'Liste chauffeur'!$B$5:$L$19,2,TRUE)&amp;" "&amp;VLOOKUP(C10,'Liste chauffeur'!$B$5:$L$19,3,TRUE)</f>
        <v>COMBO  Said</v>
      </c>
      <c r="E10" s="435"/>
      <c r="F10" s="436" t="str">
        <f>IF(ISBLANK('Feuille saisie'!X15)=TRUE,"",'Feuille saisie'!X15)</f>
        <v/>
      </c>
      <c r="G10" s="436"/>
      <c r="H10" s="437"/>
      <c r="I10" s="287"/>
    </row>
    <row r="11" spans="1:9" ht="39.950000000000003" hidden="1" customHeight="1" x14ac:dyDescent="0.45">
      <c r="A11" s="364" t="str">
        <f>'Horaire dimanche 1'!A16</f>
        <v>DOUJANI</v>
      </c>
      <c r="B11" s="368">
        <f>'Horaire dimanche 1'!B16</f>
        <v>0.41666666666666669</v>
      </c>
      <c r="C11" s="322" t="str">
        <f>'Horaire dimanche 1'!C16</f>
        <v>D12</v>
      </c>
      <c r="D11" s="320" t="str">
        <f>VLOOKUP(C11,'Liste chauffeur'!$B$5:$L$19,2,TRUE)&amp;" "&amp;VLOOKUP(C11,'Liste chauffeur'!$B$5:$L$19,3,TRUE)</f>
        <v>VELOU M'COLO M'Berou</v>
      </c>
      <c r="E11" s="363"/>
      <c r="F11" s="255" t="str">
        <f>IF(ISBLANK('Feuille saisie'!X16)=TRUE,"",'Feuille saisie'!X16)</f>
        <v/>
      </c>
      <c r="G11" s="255"/>
      <c r="H11" s="256"/>
      <c r="I11" s="287" t="s">
        <v>365</v>
      </c>
    </row>
    <row r="12" spans="1:9" ht="39.950000000000003" hidden="1" customHeight="1" x14ac:dyDescent="0.45">
      <c r="A12" s="431" t="str">
        <f>'Horaire dimanche 1'!A17</f>
        <v>PASSOT LA BARGE</v>
      </c>
      <c r="B12" s="432">
        <f>'Horaire dimanche 1'!B17</f>
        <v>0.4375</v>
      </c>
      <c r="C12" s="433" t="str">
        <f>'Horaire dimanche 1'!C17</f>
        <v>D12</v>
      </c>
      <c r="D12" s="434" t="str">
        <f>VLOOKUP(C12,'Liste chauffeur'!$B$5:$L$19,2,TRUE)&amp;" "&amp;VLOOKUP(C12,'Liste chauffeur'!$B$5:$L$19,3,TRUE)</f>
        <v>VELOU M'COLO M'Berou</v>
      </c>
      <c r="E12" s="435"/>
      <c r="F12" s="436" t="str">
        <f>IF(ISBLANK('Feuille saisie'!X17)=TRUE,"",'Feuille saisie'!X17)</f>
        <v/>
      </c>
      <c r="G12" s="436"/>
      <c r="H12" s="437"/>
      <c r="I12" s="287"/>
    </row>
    <row r="13" spans="1:9" ht="39.950000000000003" hidden="1" customHeight="1" x14ac:dyDescent="0.45">
      <c r="A13" s="364" t="str">
        <f>'Horaire dimanche 1'!A18</f>
        <v>DOUJANI</v>
      </c>
      <c r="B13" s="368">
        <f>'Horaire dimanche 1'!B18</f>
        <v>0.4375</v>
      </c>
      <c r="C13" s="322" t="str">
        <f>'Horaire dimanche 1'!C18</f>
        <v>D7</v>
      </c>
      <c r="D13" s="320" t="str">
        <f>VLOOKUP(C13,'Liste chauffeur'!$B$5:$L$19,2,TRUE)&amp;" "&amp;VLOOKUP(C13,'Liste chauffeur'!$B$5:$L$19,3,TRUE)</f>
        <v>COMBO  Said</v>
      </c>
      <c r="E13" s="292"/>
      <c r="F13" s="255"/>
      <c r="G13" s="255"/>
      <c r="H13" s="256"/>
      <c r="I13" s="287"/>
    </row>
    <row r="14" spans="1:9" ht="39.950000000000003" hidden="1" customHeight="1" x14ac:dyDescent="0.45">
      <c r="A14" s="431" t="str">
        <f>'Horaire dimanche 1'!A19</f>
        <v>PASSOT LA BARGE</v>
      </c>
      <c r="B14" s="432">
        <f>'Horaire dimanche 1'!B19</f>
        <v>0.45833333333333331</v>
      </c>
      <c r="C14" s="433" t="str">
        <f>'Horaire dimanche 1'!C19</f>
        <v>D7</v>
      </c>
      <c r="D14" s="434" t="str">
        <f>VLOOKUP(C14,'Liste chauffeur'!$B$5:$L$19,2,TRUE)&amp;" "&amp;VLOOKUP(C14,'Liste chauffeur'!$B$5:$L$19,3,TRUE)</f>
        <v>COMBO  Said</v>
      </c>
      <c r="E14" s="439"/>
      <c r="F14" s="436" t="str">
        <f>IF(ISBLANK('Feuille saisie'!X19)=TRUE,"",'Feuille saisie'!X19)</f>
        <v/>
      </c>
      <c r="G14" s="436"/>
      <c r="H14" s="437"/>
      <c r="I14" s="287" t="s">
        <v>367</v>
      </c>
    </row>
    <row r="15" spans="1:9" ht="39.950000000000003" hidden="1" customHeight="1" x14ac:dyDescent="0.45">
      <c r="A15" s="364" t="str">
        <f>'Horaire dimanche 1'!A20</f>
        <v>DOUJANI</v>
      </c>
      <c r="B15" s="368">
        <f>'Horaire dimanche 1'!B20</f>
        <v>0.45833333333333331</v>
      </c>
      <c r="C15" s="322" t="str">
        <f>'Horaire dimanche 1'!C20</f>
        <v>D12</v>
      </c>
      <c r="D15" s="320" t="str">
        <f>VLOOKUP(C15,'Liste chauffeur'!$B$5:$L$19,2,TRUE)&amp;" "&amp;VLOOKUP(C15,'Liste chauffeur'!$B$5:$L$19,3,TRUE)</f>
        <v>VELOU M'COLO M'Berou</v>
      </c>
      <c r="E15" s="292"/>
      <c r="F15" s="255" t="str">
        <f>IF(ISBLANK('Feuille saisie'!X20)=TRUE,"",'Feuille saisie'!X20)</f>
        <v/>
      </c>
      <c r="G15" s="255"/>
      <c r="H15" s="256"/>
      <c r="I15" s="287"/>
    </row>
    <row r="16" spans="1:9" ht="39.950000000000003" hidden="1" customHeight="1" x14ac:dyDescent="0.45">
      <c r="A16" s="431" t="str">
        <f>'Horaire dimanche 1'!A21</f>
        <v>PASSOT LA BARGE</v>
      </c>
      <c r="B16" s="432">
        <f>'Horaire dimanche 1'!B21</f>
        <v>0.47916666666666669</v>
      </c>
      <c r="C16" s="433" t="str">
        <f>'Horaire dimanche 1'!C21</f>
        <v>D12</v>
      </c>
      <c r="D16" s="434" t="str">
        <f>VLOOKUP(C16,'Liste chauffeur'!$B$5:$L$19,2,TRUE)&amp;" "&amp;VLOOKUP(C16,'Liste chauffeur'!$B$5:$L$19,3,TRUE)</f>
        <v>VELOU M'COLO M'Berou</v>
      </c>
      <c r="E16" s="439"/>
      <c r="F16" s="436" t="str">
        <f>IF(ISBLANK('Feuille saisie'!X21)=TRUE,"",'Feuille saisie'!X21)</f>
        <v/>
      </c>
      <c r="G16" s="436"/>
      <c r="H16" s="437"/>
      <c r="I16" s="287"/>
    </row>
    <row r="17" spans="1:9" ht="39.950000000000003" hidden="1" customHeight="1" x14ac:dyDescent="0.45">
      <c r="A17" s="364" t="str">
        <f>'Horaire dimanche 1'!A22</f>
        <v>DOUJANI</v>
      </c>
      <c r="B17" s="368">
        <f>'Horaire dimanche 1'!B22</f>
        <v>0.47916666666666669</v>
      </c>
      <c r="C17" s="322" t="str">
        <f>'Horaire dimanche 1'!C22</f>
        <v>D7</v>
      </c>
      <c r="D17" s="320" t="str">
        <f>VLOOKUP(C17,'Liste chauffeur'!$B$5:$L$19,2,TRUE)&amp;" "&amp;VLOOKUP(C17,'Liste chauffeur'!$B$5:$L$19,3,TRUE)</f>
        <v>COMBO  Said</v>
      </c>
      <c r="E17" s="292"/>
      <c r="F17" s="255" t="str">
        <f>IF(ISBLANK('Feuille saisie'!X22)=TRUE,"",'Feuille saisie'!X22)</f>
        <v/>
      </c>
      <c r="G17" s="255"/>
      <c r="H17" s="256"/>
      <c r="I17" s="287"/>
    </row>
    <row r="18" spans="1:9" ht="39.950000000000003" hidden="1" customHeight="1" x14ac:dyDescent="0.45">
      <c r="A18" s="431" t="str">
        <f>'Horaire dimanche 1'!A23</f>
        <v>PASSOT LA BARGE</v>
      </c>
      <c r="B18" s="432">
        <f>'Horaire dimanche 1'!B23</f>
        <v>0.5</v>
      </c>
      <c r="C18" s="433" t="str">
        <f>'Horaire dimanche 1'!C23</f>
        <v>D7</v>
      </c>
      <c r="D18" s="434" t="str">
        <f>VLOOKUP(C18,'Liste chauffeur'!$B$5:$L$19,2,TRUE)&amp;" "&amp;VLOOKUP(C18,'Liste chauffeur'!$B$5:$L$19,3,TRUE)</f>
        <v>COMBO  Said</v>
      </c>
      <c r="E18" s="439"/>
      <c r="F18" s="436" t="str">
        <f>IF(ISBLANK('Feuille saisie'!X23)=TRUE,"",'Feuille saisie'!X23)</f>
        <v/>
      </c>
      <c r="G18" s="436"/>
      <c r="H18" s="437"/>
      <c r="I18" s="287" t="s">
        <v>366</v>
      </c>
    </row>
    <row r="19" spans="1:9" ht="39.950000000000003" hidden="1" customHeight="1" x14ac:dyDescent="0.45">
      <c r="A19" s="364" t="str">
        <f>'Horaire dimanche 1'!A24</f>
        <v>DOUJANI</v>
      </c>
      <c r="B19" s="368">
        <f>'Horaire dimanche 1'!B24</f>
        <v>0.5</v>
      </c>
      <c r="C19" s="322" t="str">
        <f>'Horaire dimanche 1'!C24</f>
        <v>D12</v>
      </c>
      <c r="D19" s="320" t="str">
        <f>VLOOKUP(C19,'Liste chauffeur'!$B$5:$L$19,2,TRUE)&amp;" "&amp;VLOOKUP(C19,'Liste chauffeur'!$B$5:$L$19,3,TRUE)</f>
        <v>VELOU M'COLO M'Berou</v>
      </c>
      <c r="E19" s="292"/>
      <c r="F19" s="255" t="str">
        <f>IF(ISBLANK('Feuille saisie'!X24)=TRUE,"",'Feuille saisie'!X24)</f>
        <v/>
      </c>
      <c r="G19" s="255"/>
      <c r="H19" s="256"/>
      <c r="I19" s="287"/>
    </row>
    <row r="20" spans="1:9" ht="39.950000000000003" hidden="1" customHeight="1" x14ac:dyDescent="0.45">
      <c r="A20" s="431" t="str">
        <f>'Horaire dimanche 1'!A25</f>
        <v>PASSOT LA BARGE</v>
      </c>
      <c r="B20" s="432">
        <f>'Horaire dimanche 1'!B25</f>
        <v>0.52083333333333337</v>
      </c>
      <c r="C20" s="433" t="str">
        <f>'Horaire dimanche 1'!C25</f>
        <v>D12</v>
      </c>
      <c r="D20" s="434" t="str">
        <f>VLOOKUP(C20,'Liste chauffeur'!$B$5:$L$19,2,TRUE)&amp;" "&amp;VLOOKUP(C20,'Liste chauffeur'!$B$5:$L$19,3,TRUE)</f>
        <v>VELOU M'COLO M'Berou</v>
      </c>
      <c r="E20" s="439"/>
      <c r="F20" s="436"/>
      <c r="G20" s="436"/>
      <c r="H20" s="437"/>
      <c r="I20" s="287"/>
    </row>
    <row r="21" spans="1:9" ht="39.950000000000003" hidden="1" customHeight="1" x14ac:dyDescent="0.45">
      <c r="A21" s="364" t="str">
        <f>'Horaire dimanche 1'!A26</f>
        <v>DOUJANI</v>
      </c>
      <c r="B21" s="368">
        <f>'Horaire dimanche 1'!B26</f>
        <v>0.52083333333333337</v>
      </c>
      <c r="C21" s="322" t="str">
        <f>'Horaire dimanche 1'!C26</f>
        <v>D7</v>
      </c>
      <c r="D21" s="320" t="str">
        <f>VLOOKUP(C21,'Liste chauffeur'!$B$5:$L$19,2,TRUE)&amp;" "&amp;VLOOKUP(C21,'Liste chauffeur'!$B$5:$L$19,3,TRUE)</f>
        <v>COMBO  Said</v>
      </c>
      <c r="E21" s="292"/>
      <c r="F21" s="255" t="str">
        <f>IF(ISBLANK('Feuille saisie'!X26)=TRUE,"",'Feuille saisie'!X26)</f>
        <v/>
      </c>
      <c r="G21" s="255"/>
      <c r="H21" s="256"/>
      <c r="I21" s="287"/>
    </row>
    <row r="22" spans="1:9" ht="39.950000000000003" hidden="1" customHeight="1" x14ac:dyDescent="0.45">
      <c r="A22" s="431" t="str">
        <f>'Horaire dimanche 1'!A27</f>
        <v>PASSOT LA BARGE</v>
      </c>
      <c r="B22" s="432">
        <f>'Horaire dimanche 1'!B27</f>
        <v>0.54166666666666663</v>
      </c>
      <c r="C22" s="433" t="str">
        <f>'Horaire dimanche 1'!C27</f>
        <v>D7</v>
      </c>
      <c r="D22" s="434" t="str">
        <f>VLOOKUP(C22,'Liste chauffeur'!$B$5:$L$19,2,TRUE)&amp;" "&amp;VLOOKUP(C22,'Liste chauffeur'!$B$5:$L$19,3,TRUE)</f>
        <v>COMBO  Said</v>
      </c>
      <c r="E22" s="439"/>
      <c r="F22" s="436" t="str">
        <f>IF(ISBLANK('Feuille saisie'!X27)=TRUE,"",'Feuille saisie'!X27)</f>
        <v/>
      </c>
      <c r="G22" s="436"/>
      <c r="H22" s="437"/>
    </row>
    <row r="23" spans="1:9" ht="39.950000000000003" hidden="1" customHeight="1" x14ac:dyDescent="0.45">
      <c r="A23" s="364" t="str">
        <f>'Horaire dimanche 1'!A28</f>
        <v>DOUJANI</v>
      </c>
      <c r="B23" s="367">
        <f>'Horaire dimanche 1'!B28</f>
        <v>0.54166666666666663</v>
      </c>
      <c r="C23" s="322" t="str">
        <f>'Horaire dimanche 1'!C28</f>
        <v>D12</v>
      </c>
      <c r="D23" s="320" t="str">
        <f>VLOOKUP(C23,'Liste chauffeur'!$B$5:$L$19,2,TRUE)&amp;" "&amp;VLOOKUP(C23,'Liste chauffeur'!$B$5:$L$19,3,TRUE)</f>
        <v>VELOU M'COLO M'Berou</v>
      </c>
      <c r="E23" s="292"/>
      <c r="F23" s="255" t="str">
        <f>IF(ISBLANK('Feuille saisie'!X28)=TRUE,"",'Feuille saisie'!X28)</f>
        <v/>
      </c>
      <c r="G23" s="255"/>
      <c r="H23" s="256"/>
    </row>
    <row r="24" spans="1:9" ht="39.950000000000003" customHeight="1" x14ac:dyDescent="0.45">
      <c r="A24" s="431" t="str">
        <f>'Horaire dimanche 1'!A29</f>
        <v>PASSOT LA BARGE</v>
      </c>
      <c r="B24" s="366">
        <f>'Horaire dimanche 1'!B29</f>
        <v>0.5625</v>
      </c>
      <c r="C24" s="433" t="str">
        <f>'Horaire dimanche 1'!C29</f>
        <v>D14</v>
      </c>
      <c r="D24" s="434" t="str">
        <f>VLOOKUP(C24,'Liste chauffeur'!$B$5:$L$19,2,TRUE)&amp;" "&amp;VLOOKUP(C24,'Liste chauffeur'!$B$5:$L$19,3,TRUE)</f>
        <v>AHAMADI Laydine</v>
      </c>
      <c r="E24" s="439"/>
      <c r="F24" s="436" t="str">
        <f>IF(ISBLANK('Feuille saisie'!X29)=TRUE,"",'Feuille saisie'!X29)</f>
        <v/>
      </c>
      <c r="G24" s="436"/>
      <c r="H24" s="437"/>
    </row>
    <row r="25" spans="1:9" ht="39.950000000000003" customHeight="1" x14ac:dyDescent="0.45">
      <c r="A25" s="364" t="str">
        <f>'Horaire dimanche 1'!A30</f>
        <v>DOUJANI</v>
      </c>
      <c r="B25" s="367">
        <f>'Horaire dimanche 1'!B30</f>
        <v>0.5625</v>
      </c>
      <c r="C25" s="322" t="str">
        <f>'Horaire dimanche 1'!C30</f>
        <v>D7</v>
      </c>
      <c r="D25" s="320" t="str">
        <f>VLOOKUP(C25,'Liste chauffeur'!$B$5:$L$19,2,TRUE)&amp;" "&amp;VLOOKUP(C25,'Liste chauffeur'!$B$5:$L$19,3,TRUE)</f>
        <v>COMBO  Said</v>
      </c>
      <c r="E25" s="292"/>
      <c r="F25" s="255" t="str">
        <f>IF(ISBLANK('Feuille saisie'!X30)=TRUE,"",'Feuille saisie'!X30)</f>
        <v/>
      </c>
      <c r="G25" s="255"/>
      <c r="H25" s="256"/>
      <c r="I25" s="287" t="s">
        <v>364</v>
      </c>
    </row>
    <row r="26" spans="1:9" ht="39.950000000000003" customHeight="1" x14ac:dyDescent="0.45">
      <c r="A26" s="431" t="str">
        <f>'Horaire dimanche 1'!A31</f>
        <v>PASSOT LA BARGE</v>
      </c>
      <c r="B26" s="366">
        <f>'Horaire dimanche 1'!B31</f>
        <v>0.58333333333333337</v>
      </c>
      <c r="C26" s="433" t="str">
        <f>'Horaire dimanche 1'!C31</f>
        <v>D13</v>
      </c>
      <c r="D26" s="434" t="str">
        <f>VLOOKUP(C26,'Liste chauffeur'!$B$5:$L$19,2,TRUE)&amp;" "&amp;VLOOKUP(C26,'Liste chauffeur'!$B$5:$L$19,3,TRUE)</f>
        <v>MOURIDI Aktoir</v>
      </c>
      <c r="E26" s="439"/>
      <c r="F26" s="436" t="str">
        <f>IF(ISBLANK('Feuille saisie'!X31)=TRUE,"",'Feuille saisie'!X31)</f>
        <v/>
      </c>
      <c r="G26" s="436"/>
      <c r="H26" s="437"/>
      <c r="I26" s="287"/>
    </row>
    <row r="27" spans="1:9" ht="39.950000000000003" customHeight="1" x14ac:dyDescent="0.45">
      <c r="A27" s="364" t="str">
        <f>'Horaire dimanche 1'!A32</f>
        <v>DOUJANI</v>
      </c>
      <c r="B27" s="368">
        <f>'Horaire dimanche 1'!B32</f>
        <v>0.58333333333333337</v>
      </c>
      <c r="C27" s="322" t="str">
        <f>'Horaire dimanche 1'!C32</f>
        <v>D14</v>
      </c>
      <c r="D27" s="320" t="str">
        <f>VLOOKUP(C27,'Liste chauffeur'!$B$5:$L$19,2,TRUE)&amp;" "&amp;VLOOKUP(C27,'Liste chauffeur'!$B$5:$L$19,3,TRUE)</f>
        <v>AHAMADI Laydine</v>
      </c>
      <c r="E27" s="292"/>
      <c r="F27" s="255"/>
      <c r="G27" s="255"/>
      <c r="H27" s="256"/>
      <c r="I27" s="287"/>
    </row>
    <row r="28" spans="1:9" ht="39.950000000000003" customHeight="1" x14ac:dyDescent="0.45">
      <c r="A28" s="431" t="str">
        <f>'Horaire dimanche 1'!A33</f>
        <v>PASSOT LA BARGE</v>
      </c>
      <c r="B28" s="432">
        <f>'Horaire dimanche 1'!B33</f>
        <v>0.60416666666666663</v>
      </c>
      <c r="C28" s="433" t="str">
        <f>'Horaire dimanche 1'!C33</f>
        <v>D14</v>
      </c>
      <c r="D28" s="434" t="str">
        <f>VLOOKUP(C28,'Liste chauffeur'!$B$5:$L$19,2,TRUE)&amp;" "&amp;VLOOKUP(C28,'Liste chauffeur'!$B$5:$L$19,3,TRUE)</f>
        <v>AHAMADI Laydine</v>
      </c>
      <c r="E28" s="439"/>
      <c r="F28" s="436" t="str">
        <f>IF(ISBLANK('Feuille saisie'!X33)=TRUE,"",'Feuille saisie'!X33)</f>
        <v/>
      </c>
      <c r="G28" s="436"/>
      <c r="H28" s="437"/>
      <c r="I28" s="287" t="s">
        <v>365</v>
      </c>
    </row>
    <row r="29" spans="1:9" ht="39.950000000000003" customHeight="1" x14ac:dyDescent="0.45">
      <c r="A29" s="364" t="str">
        <f>'Horaire dimanche 1'!A34</f>
        <v>DOUJANI</v>
      </c>
      <c r="B29" s="368">
        <f>'Horaire dimanche 1'!B34</f>
        <v>0.60416666666666663</v>
      </c>
      <c r="C29" s="322" t="str">
        <f>'Horaire dimanche 1'!C34</f>
        <v>D13</v>
      </c>
      <c r="D29" s="320" t="str">
        <f>VLOOKUP(C29,'Liste chauffeur'!$B$5:$L$19,2,TRUE)&amp;" "&amp;VLOOKUP(C29,'Liste chauffeur'!$B$5:$L$19,3,TRUE)</f>
        <v>MOURIDI Aktoir</v>
      </c>
      <c r="E29" s="292"/>
      <c r="F29" s="255" t="str">
        <f>IF(ISBLANK('Feuille saisie'!X34)=TRUE,"",'Feuille saisie'!X34)</f>
        <v/>
      </c>
      <c r="G29" s="255"/>
      <c r="H29" s="256"/>
      <c r="I29" s="287"/>
    </row>
    <row r="30" spans="1:9" ht="39.950000000000003" customHeight="1" x14ac:dyDescent="0.45">
      <c r="A30" s="431" t="str">
        <f>'Horaire dimanche 1'!A35</f>
        <v>PASSOT LA BARGE</v>
      </c>
      <c r="B30" s="432">
        <f>'Horaire dimanche 1'!B35</f>
        <v>0.625</v>
      </c>
      <c r="C30" s="433" t="str">
        <f>'Horaire dimanche 1'!C35</f>
        <v>D13</v>
      </c>
      <c r="D30" s="434" t="str">
        <f>VLOOKUP(C30,'Liste chauffeur'!$B$5:$L$19,2,TRUE)&amp;" "&amp;VLOOKUP(C30,'Liste chauffeur'!$B$5:$L$19,3,TRUE)</f>
        <v>MOURIDI Aktoir</v>
      </c>
      <c r="E30" s="439"/>
      <c r="F30" s="436" t="str">
        <f>IF(ISBLANK('Feuille saisie'!X35)=TRUE,"",'Feuille saisie'!X35)</f>
        <v/>
      </c>
      <c r="G30" s="436"/>
      <c r="H30" s="437"/>
      <c r="I30" s="287"/>
    </row>
    <row r="31" spans="1:9" ht="39.950000000000003" customHeight="1" x14ac:dyDescent="0.45">
      <c r="A31" s="364" t="str">
        <f>'Horaire dimanche 1'!A36</f>
        <v>DOUJANI</v>
      </c>
      <c r="B31" s="368">
        <f>'Horaire dimanche 1'!B36</f>
        <v>0.625</v>
      </c>
      <c r="C31" s="322" t="str">
        <f>'Horaire dimanche 1'!C36</f>
        <v>D14</v>
      </c>
      <c r="D31" s="320" t="str">
        <f>VLOOKUP(C31,'Liste chauffeur'!$B$5:$L$19,2,TRUE)&amp;" "&amp;VLOOKUP(C31,'Liste chauffeur'!$B$5:$L$19,3,TRUE)</f>
        <v>AHAMADI Laydine</v>
      </c>
      <c r="E31" s="292"/>
      <c r="F31" s="255" t="str">
        <f>IF(ISBLANK('Feuille saisie'!X36)=TRUE,"",'Feuille saisie'!X36)</f>
        <v/>
      </c>
      <c r="G31" s="255"/>
      <c r="H31" s="256"/>
      <c r="I31" s="287" t="s">
        <v>367</v>
      </c>
    </row>
    <row r="32" spans="1:9" ht="39.950000000000003" customHeight="1" x14ac:dyDescent="0.45">
      <c r="A32" s="431" t="str">
        <f>'Horaire dimanche 1'!A37</f>
        <v>PASSOT LA BARGE</v>
      </c>
      <c r="B32" s="432">
        <f>'Horaire dimanche 1'!B37</f>
        <v>0.64583333333333337</v>
      </c>
      <c r="C32" s="433" t="str">
        <f>'Horaire dimanche 1'!C37</f>
        <v>D14</v>
      </c>
      <c r="D32" s="434" t="str">
        <f>VLOOKUP(C32,'Liste chauffeur'!$B$5:$L$19,2,TRUE)&amp;" "&amp;VLOOKUP(C32,'Liste chauffeur'!$B$5:$L$19,3,TRUE)</f>
        <v>AHAMADI Laydine</v>
      </c>
      <c r="E32" s="439"/>
      <c r="F32" s="436" t="str">
        <f>IF(ISBLANK('Feuille saisie'!X37)=TRUE,"",'Feuille saisie'!X37)</f>
        <v/>
      </c>
      <c r="G32" s="436"/>
      <c r="H32" s="437"/>
      <c r="I32" s="287"/>
    </row>
    <row r="33" spans="1:9" ht="39.950000000000003" customHeight="1" x14ac:dyDescent="0.45">
      <c r="A33" s="364" t="str">
        <f>'Horaire dimanche 1'!A38</f>
        <v>DOUJANI</v>
      </c>
      <c r="B33" s="368">
        <f>'Horaire dimanche 1'!B38</f>
        <v>0.64583333333333337</v>
      </c>
      <c r="C33" s="322" t="str">
        <f>'Horaire dimanche 1'!C38</f>
        <v>D13</v>
      </c>
      <c r="D33" s="320" t="str">
        <f>VLOOKUP(C33,'Liste chauffeur'!$B$5:$L$19,2,TRUE)&amp;" "&amp;VLOOKUP(C33,'Liste chauffeur'!$B$5:$L$19,3,TRUE)</f>
        <v>MOURIDI Aktoir</v>
      </c>
      <c r="E33" s="292"/>
      <c r="F33" s="255" t="str">
        <f>IF(ISBLANK('Feuille saisie'!X38)=TRUE,"",'Feuille saisie'!X38)</f>
        <v/>
      </c>
      <c r="G33" s="255"/>
      <c r="H33" s="256"/>
      <c r="I33" s="287"/>
    </row>
    <row r="34" spans="1:9" ht="39.950000000000003" customHeight="1" x14ac:dyDescent="0.45">
      <c r="A34" s="431" t="str">
        <f>'Horaire dimanche 1'!A39</f>
        <v>PASSOT LA BARGE</v>
      </c>
      <c r="B34" s="432">
        <f>'Horaire dimanche 1'!B39</f>
        <v>0.66666666666666663</v>
      </c>
      <c r="C34" s="433" t="str">
        <f>'Horaire dimanche 1'!C39</f>
        <v>D13</v>
      </c>
      <c r="D34" s="434" t="str">
        <f>VLOOKUP(C34,'Liste chauffeur'!$B$5:$L$19,2,TRUE)&amp;" "&amp;VLOOKUP(C34,'Liste chauffeur'!$B$5:$L$19,3,TRUE)</f>
        <v>MOURIDI Aktoir</v>
      </c>
      <c r="E34" s="439"/>
      <c r="F34" s="436" t="str">
        <f>IF(ISBLANK('Feuille saisie'!X39)=TRUE,"",'Feuille saisie'!X39)</f>
        <v/>
      </c>
      <c r="G34" s="436"/>
      <c r="H34" s="437"/>
      <c r="I34" s="287"/>
    </row>
    <row r="35" spans="1:9" ht="39.950000000000003" customHeight="1" x14ac:dyDescent="0.45">
      <c r="A35" s="364" t="str">
        <f>'Horaire dimanche 1'!A40</f>
        <v>DOUJANI</v>
      </c>
      <c r="B35" s="368">
        <f>'Horaire dimanche 1'!B40</f>
        <v>0.66666666666666663</v>
      </c>
      <c r="C35" s="322" t="str">
        <f>'Horaire dimanche 1'!C40</f>
        <v>D14</v>
      </c>
      <c r="D35" s="320" t="str">
        <f>VLOOKUP(C35,'Liste chauffeur'!$B$5:$L$19,2,TRUE)&amp;" "&amp;VLOOKUP(C35,'Liste chauffeur'!$B$5:$L$19,3,TRUE)</f>
        <v>AHAMADI Laydine</v>
      </c>
      <c r="E35" s="292"/>
      <c r="F35" s="255" t="str">
        <f>IF(ISBLANK('Feuille saisie'!X40)=TRUE,"",'Feuille saisie'!X40)</f>
        <v/>
      </c>
      <c r="G35" s="255"/>
      <c r="H35" s="256"/>
      <c r="I35" s="287" t="s">
        <v>366</v>
      </c>
    </row>
    <row r="36" spans="1:9" ht="39.950000000000003" customHeight="1" x14ac:dyDescent="0.45">
      <c r="A36" s="431" t="str">
        <f>'Horaire dimanche 1'!A41</f>
        <v>PASSOT LA BARGE</v>
      </c>
      <c r="B36" s="432">
        <f>'Horaire dimanche 1'!B41</f>
        <v>0.6875</v>
      </c>
      <c r="C36" s="433" t="str">
        <f>'Horaire dimanche 1'!C41</f>
        <v>D14</v>
      </c>
      <c r="D36" s="434" t="str">
        <f>VLOOKUP(C36,'Liste chauffeur'!$B$5:$L$19,2,TRUE)&amp;" "&amp;VLOOKUP(C36,'Liste chauffeur'!$B$5:$L$19,3,TRUE)</f>
        <v>AHAMADI Laydine</v>
      </c>
      <c r="E36" s="439"/>
      <c r="F36" s="436" t="str">
        <f>IF(ISBLANK('Feuille saisie'!X41)=TRUE,"",'Feuille saisie'!X41)</f>
        <v/>
      </c>
      <c r="G36" s="436"/>
      <c r="H36" s="437"/>
    </row>
    <row r="37" spans="1:9" ht="39.950000000000003" customHeight="1" x14ac:dyDescent="0.45">
      <c r="A37" s="364" t="str">
        <f>'Horaire dimanche 1'!A42</f>
        <v>DOUJANI</v>
      </c>
      <c r="B37" s="368">
        <f>'Horaire dimanche 1'!B42</f>
        <v>0.6875</v>
      </c>
      <c r="C37" s="322" t="str">
        <f>'Horaire dimanche 1'!C42</f>
        <v>D13</v>
      </c>
      <c r="D37" s="320" t="str">
        <f>VLOOKUP(C37,'Liste chauffeur'!$B$5:$L$19,2,TRUE)&amp;" "&amp;VLOOKUP(C37,'Liste chauffeur'!$B$5:$L$19,3,TRUE)</f>
        <v>MOURIDI Aktoir</v>
      </c>
      <c r="E37" s="292"/>
      <c r="F37" s="259" t="str">
        <f>IF(ISBLANK('Feuille saisie'!X42)=TRUE,"",'Feuille saisie'!X42)</f>
        <v/>
      </c>
      <c r="G37" s="255"/>
      <c r="H37" s="256"/>
    </row>
    <row r="38" spans="1:9" ht="39.950000000000003" customHeight="1" x14ac:dyDescent="0.45">
      <c r="A38" s="431" t="str">
        <f>'Horaire dimanche 1'!A43</f>
        <v>PASSOT LA BARGE</v>
      </c>
      <c r="B38" s="432">
        <f>'Horaire dimanche 1'!B43</f>
        <v>0.70833333333333337</v>
      </c>
      <c r="C38" s="433" t="str">
        <f>'Horaire dimanche 1'!C43</f>
        <v>D13</v>
      </c>
      <c r="D38" s="434" t="str">
        <f>VLOOKUP(C38,'Liste chauffeur'!$B$5:$L$19,2,TRUE)&amp;" "&amp;VLOOKUP(C38,'Liste chauffeur'!$B$5:$L$19,3,TRUE)</f>
        <v>MOURIDI Aktoir</v>
      </c>
      <c r="E38" s="439"/>
      <c r="F38" s="436" t="str">
        <f>IF(ISBLANK('Feuille saisie'!X43)=TRUE,"",'Feuille saisie'!X43)</f>
        <v/>
      </c>
      <c r="G38" s="436"/>
      <c r="H38" s="437"/>
    </row>
    <row r="39" spans="1:9" ht="39.950000000000003" customHeight="1" x14ac:dyDescent="0.45">
      <c r="A39" s="364" t="str">
        <f>'Horaire dimanche 1'!A44</f>
        <v>DOUJANI</v>
      </c>
      <c r="B39" s="368">
        <f>'Horaire dimanche 1'!B44</f>
        <v>0.70833333333333337</v>
      </c>
      <c r="C39" s="322" t="str">
        <f>'Horaire dimanche 1'!C44</f>
        <v>D14</v>
      </c>
      <c r="D39" s="320" t="str">
        <f>VLOOKUP(C39,'Liste chauffeur'!$B$5:$L$19,2,TRUE)&amp;" "&amp;VLOOKUP(C39,'Liste chauffeur'!$B$5:$L$19,3,TRUE)</f>
        <v>AHAMADI Laydine</v>
      </c>
      <c r="E39" s="292"/>
      <c r="F39" s="255" t="str">
        <f>IF(ISBLANK('Feuille saisie'!X44)=TRUE,"",'Feuille saisie'!X44)</f>
        <v/>
      </c>
      <c r="G39" s="255"/>
      <c r="H39" s="256"/>
    </row>
    <row r="40" spans="1:9" ht="39.950000000000003" customHeight="1" x14ac:dyDescent="0.45">
      <c r="A40" s="431" t="str">
        <f>'Horaire dimanche 1'!A45</f>
        <v>PASSOT LA BARGE</v>
      </c>
      <c r="B40" s="432">
        <f>'Horaire dimanche 1'!B45</f>
        <v>0.72916666666666663</v>
      </c>
      <c r="C40" s="433" t="str">
        <f>'Horaire dimanche 1'!C45</f>
        <v>D14</v>
      </c>
      <c r="D40" s="434" t="str">
        <f>VLOOKUP(C40,'Liste chauffeur'!$B$5:$L$19,2,TRUE)&amp;" "&amp;VLOOKUP(C40,'Liste chauffeur'!$B$5:$L$19,3,TRUE)</f>
        <v>AHAMADI Laydine</v>
      </c>
      <c r="E40" s="439"/>
      <c r="F40" s="436" t="str">
        <f>IF(ISBLANK('Feuille saisie'!X45)=TRUE,"",'Feuille saisie'!X45)</f>
        <v/>
      </c>
      <c r="G40" s="436"/>
      <c r="H40" s="437"/>
    </row>
    <row r="41" spans="1:9" ht="39.950000000000003" customHeight="1" x14ac:dyDescent="0.45">
      <c r="A41" s="364" t="str">
        <f>'Horaire dimanche 1'!A46</f>
        <v>DOUJANI</v>
      </c>
      <c r="B41" s="368">
        <f>'Horaire dimanche 1'!B46</f>
        <v>0.72916666666666663</v>
      </c>
      <c r="C41" s="322" t="str">
        <f>'Horaire dimanche 1'!C46</f>
        <v>D13</v>
      </c>
      <c r="D41" s="320" t="str">
        <f>VLOOKUP(C41,'Liste chauffeur'!$B$5:$L$19,2,TRUE)&amp;" "&amp;VLOOKUP(C41,'Liste chauffeur'!$B$5:$L$19,3,TRUE)</f>
        <v>MOURIDI Aktoir</v>
      </c>
      <c r="E41" s="292"/>
      <c r="F41" s="255" t="str">
        <f>IF(ISBLANK('Feuille saisie'!X46)=TRUE,"",'Feuille saisie'!X46)</f>
        <v/>
      </c>
      <c r="G41" s="255"/>
      <c r="H41" s="256"/>
    </row>
    <row r="42" spans="1:9" ht="39.950000000000003" customHeight="1" x14ac:dyDescent="0.45">
      <c r="A42" s="431" t="str">
        <f>'Horaire dimanche 1'!A47</f>
        <v>PASSOT LA BARGE</v>
      </c>
      <c r="B42" s="432">
        <f>'Horaire dimanche 1'!B47</f>
        <v>0.75</v>
      </c>
      <c r="C42" s="433" t="str">
        <f>'Horaire dimanche 1'!C47</f>
        <v>D13</v>
      </c>
      <c r="D42" s="434" t="str">
        <f>VLOOKUP(C42,'Liste chauffeur'!$B$5:$L$19,2,TRUE)&amp;" "&amp;VLOOKUP(C42,'Liste chauffeur'!$B$5:$L$19,3,TRUE)</f>
        <v>MOURIDI Aktoir</v>
      </c>
      <c r="E42" s="439"/>
      <c r="F42" s="436" t="str">
        <f>IF(ISBLANK('Feuille saisie'!X47)=TRUE,"",'Feuille saisie'!X47)</f>
        <v/>
      </c>
      <c r="G42" s="436"/>
      <c r="H42" s="437"/>
    </row>
    <row r="43" spans="1:9" ht="39.950000000000003" customHeight="1" x14ac:dyDescent="0.45">
      <c r="A43" s="364" t="str">
        <f>'Horaire dimanche 1'!A48</f>
        <v>DOUJANI</v>
      </c>
      <c r="B43" s="368">
        <f>'Horaire dimanche 1'!B48</f>
        <v>0.75</v>
      </c>
      <c r="C43" s="322" t="str">
        <f>'Horaire dimanche 1'!C48</f>
        <v>D14</v>
      </c>
      <c r="D43" s="320" t="str">
        <f>VLOOKUP(C43,'Liste chauffeur'!$B$5:$L$19,2,TRUE)&amp;" "&amp;VLOOKUP(C43,'Liste chauffeur'!$B$5:$L$19,3,TRUE)</f>
        <v>AHAMADI Laydine</v>
      </c>
      <c r="E43" s="292"/>
      <c r="F43" s="255" t="str">
        <f>IF(ISBLANK('Feuille saisie'!X48)=TRUE,"",'Feuille saisie'!X48)</f>
        <v/>
      </c>
      <c r="G43" s="255"/>
      <c r="H43" s="256"/>
    </row>
    <row r="44" spans="1:9" ht="39.950000000000003" customHeight="1" x14ac:dyDescent="0.45">
      <c r="A44" s="431" t="str">
        <f>'Horaire dimanche 1'!A49</f>
        <v>PASSOT LA BARGE</v>
      </c>
      <c r="B44" s="367">
        <f>'Horaire dimanche 1'!B49</f>
        <v>0.77083333333333337</v>
      </c>
      <c r="C44" s="433" t="str">
        <f>'Horaire dimanche 1'!C49</f>
        <v>D14</v>
      </c>
      <c r="D44" s="434" t="str">
        <f>VLOOKUP(C44,'Liste chauffeur'!$B$5:$L$19,2,TRUE)&amp;" "&amp;VLOOKUP(C44,'Liste chauffeur'!$B$5:$L$19,3,TRUE)</f>
        <v>AHAMADI Laydine</v>
      </c>
      <c r="E44" s="439"/>
      <c r="F44" s="436" t="str">
        <f>IF(ISBLANK('Feuille saisie'!X49)=TRUE,"",'Feuille saisie'!X49)</f>
        <v/>
      </c>
      <c r="G44" s="436"/>
      <c r="H44" s="437"/>
      <c r="I44" s="287" t="s">
        <v>364</v>
      </c>
    </row>
    <row r="45" spans="1:9" ht="39.950000000000003" customHeight="1" x14ac:dyDescent="0.45">
      <c r="A45" s="364" t="str">
        <f>'Horaire dimanche 1'!A50</f>
        <v>DOUJANI</v>
      </c>
      <c r="B45" s="368">
        <f>'Horaire dimanche 1'!B50</f>
        <v>0.77083333333333337</v>
      </c>
      <c r="C45" s="322" t="str">
        <f>'Horaire dimanche 1'!C50</f>
        <v>D13</v>
      </c>
      <c r="D45" s="320" t="str">
        <f>VLOOKUP(C45,'Liste chauffeur'!$B$5:$L$19,2,TRUE)&amp;" "&amp;VLOOKUP(C45,'Liste chauffeur'!$B$5:$L$19,3,TRUE)</f>
        <v>MOURIDI Aktoir</v>
      </c>
      <c r="E45" s="292"/>
      <c r="F45" s="255" t="str">
        <f>IF(ISBLANK('Feuille saisie'!X50)=TRUE,"",'Feuille saisie'!X50)</f>
        <v/>
      </c>
      <c r="G45" s="255"/>
      <c r="H45" s="256"/>
      <c r="I45" s="287"/>
    </row>
    <row r="46" spans="1:9" ht="39.950000000000003" customHeight="1" x14ac:dyDescent="0.45">
      <c r="A46" s="431" t="str">
        <f>'Horaire dimanche 1'!A51</f>
        <v>PASSOT LA BARGE</v>
      </c>
      <c r="B46" s="367">
        <f>'Horaire dimanche 1'!B51</f>
        <v>0.79166666666666663</v>
      </c>
      <c r="C46" s="433" t="str">
        <f>'Horaire dimanche 1'!C51</f>
        <v>D13</v>
      </c>
      <c r="D46" s="434" t="str">
        <f>VLOOKUP(C46,'Liste chauffeur'!$B$5:$L$19,2,TRUE)&amp;" "&amp;VLOOKUP(C46,'Liste chauffeur'!$B$5:$L$19,3,TRUE)</f>
        <v>MOURIDI Aktoir</v>
      </c>
      <c r="E46" s="439"/>
      <c r="F46" s="436" t="str">
        <f>IF(ISBLANK('Feuille saisie'!X51)=TRUE,"",'Feuille saisie'!X51)</f>
        <v/>
      </c>
      <c r="G46" s="436"/>
      <c r="H46" s="437"/>
      <c r="I46" s="287"/>
    </row>
  </sheetData>
  <autoFilter ref="A2:H46" xr:uid="{6A06E119-2645-4680-ABA4-211EDBAC8958}"/>
  <mergeCells count="1">
    <mergeCell ref="E1:F1"/>
  </mergeCells>
  <printOptions horizontalCentered="1"/>
  <pageMargins left="0.23622047244094499" right="0.23622047244094499" top="0.74803149606299202" bottom="0.74803149606299202" header="0.31496062992126" footer="0.31496062992126"/>
  <pageSetup paperSize="9" scale="5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46A6-4976-4F11-B493-50983BE1D035}">
  <sheetPr>
    <pageSetUpPr fitToPage="1"/>
  </sheetPr>
  <dimension ref="A1:I46"/>
  <sheetViews>
    <sheetView topLeftCell="B1" workbookViewId="0">
      <selection sqref="A1:I46"/>
    </sheetView>
  </sheetViews>
  <sheetFormatPr baseColWidth="10" defaultColWidth="10.796875" defaultRowHeight="14.25" x14ac:dyDescent="0.45"/>
  <cols>
    <col min="1" max="1" width="28.796875" style="137" customWidth="1"/>
    <col min="2" max="2" width="17.796875" style="288" bestFit="1" customWidth="1"/>
    <col min="3" max="3" width="13" style="293" customWidth="1"/>
    <col min="4" max="4" width="49.86328125" style="137" customWidth="1"/>
    <col min="5" max="5" width="12" style="137" customWidth="1"/>
    <col min="6" max="6" width="15.796875" style="137" customWidth="1"/>
    <col min="7" max="7" width="11.46484375" style="137" customWidth="1"/>
    <col min="8" max="8" width="13" style="137" customWidth="1"/>
    <col min="9" max="9" width="27.33203125" style="215" customWidth="1"/>
    <col min="10" max="16384" width="10.796875" style="137"/>
  </cols>
  <sheetData>
    <row r="1" spans="1:9" ht="49.05" customHeight="1" x14ac:dyDescent="0.45">
      <c r="A1" s="290" t="s">
        <v>566</v>
      </c>
      <c r="E1" s="464" cm="1">
        <f t="array" ref="E1">'coordinateur matin'!E1:E1</f>
        <v>46082</v>
      </c>
      <c r="F1" s="464"/>
      <c r="I1" s="291" t="s">
        <v>530</v>
      </c>
    </row>
    <row r="2" spans="1:9" s="189" customFormat="1" ht="54" x14ac:dyDescent="0.45">
      <c r="A2" s="286" t="s">
        <v>327</v>
      </c>
      <c r="B2" s="289" t="s">
        <v>0</v>
      </c>
      <c r="C2" s="294" t="s">
        <v>25</v>
      </c>
      <c r="D2" s="254" t="s">
        <v>26</v>
      </c>
      <c r="E2" s="254" t="s">
        <v>32</v>
      </c>
      <c r="F2" s="254" t="s">
        <v>368</v>
      </c>
      <c r="G2" s="254" t="s">
        <v>1</v>
      </c>
      <c r="H2" s="254" t="s">
        <v>331</v>
      </c>
      <c r="I2" s="254"/>
    </row>
    <row r="3" spans="1:9" s="189" customFormat="1" ht="39.950000000000003" hidden="1" customHeight="1" x14ac:dyDescent="0.45">
      <c r="A3" s="364" t="str">
        <f>'Horaire dimanche 2'!A8</f>
        <v>DOUJANI</v>
      </c>
      <c r="B3" s="366">
        <f>'Horaire dimanche 2'!B8</f>
        <v>0.33333333333333298</v>
      </c>
      <c r="C3" s="322" t="str">
        <f>'Horaire dimanche 2'!C8</f>
        <v>D12</v>
      </c>
      <c r="D3" s="320" t="str">
        <f>VLOOKUP(C3,'Liste chauffeur'!$B$5:$L$19,2,TRUE)&amp;" "&amp;VLOOKUP(C3,'Liste chauffeur'!$B$5:$L$19,3,TRUE)</f>
        <v>VELOU M'COLO M'Berou</v>
      </c>
      <c r="E3" s="363"/>
      <c r="F3" s="254"/>
      <c r="G3" s="254"/>
      <c r="H3" s="254"/>
      <c r="I3" s="301"/>
    </row>
    <row r="4" spans="1:9" s="189" customFormat="1" ht="39.950000000000003" hidden="1" customHeight="1" x14ac:dyDescent="0.45">
      <c r="A4" s="431" t="str">
        <f>'Horaire dimanche 2'!A9</f>
        <v>PASSOT LA BARGE</v>
      </c>
      <c r="B4" s="432">
        <f>'Horaire dimanche 2'!B9</f>
        <v>0.35416666666666669</v>
      </c>
      <c r="C4" s="433" t="str">
        <f>'Horaire dimanche 2'!C9</f>
        <v>D12</v>
      </c>
      <c r="D4" s="446" t="str">
        <f>VLOOKUP(C4,'Liste chauffeur'!$B$5:$L$19,2,TRUE)&amp;" "&amp;VLOOKUP(C4,'Liste chauffeur'!$B$5:$L$19,3,TRUE)</f>
        <v>VELOU M'COLO M'Berou</v>
      </c>
      <c r="E4" s="435"/>
      <c r="F4" s="444"/>
      <c r="G4" s="444"/>
      <c r="H4" s="444"/>
      <c r="I4" s="301"/>
    </row>
    <row r="5" spans="1:9" s="189" customFormat="1" ht="39.950000000000003" hidden="1" customHeight="1" x14ac:dyDescent="0.45">
      <c r="A5" s="364" t="str">
        <f>'Horaire dimanche 2'!A10</f>
        <v>DOUJANI</v>
      </c>
      <c r="B5" s="366">
        <f>'Horaire dimanche 2'!B10</f>
        <v>0.35416666666666669</v>
      </c>
      <c r="C5" s="322" t="str">
        <f>'Horaire dimanche 2'!C10</f>
        <v>D7</v>
      </c>
      <c r="D5" s="321" t="str">
        <f>VLOOKUP(C5,'Liste chauffeur'!$B$5:$L$19,2,TRUE)&amp;" "&amp;VLOOKUP(C5,'Liste chauffeur'!$B$5:$L$19,3,TRUE)</f>
        <v>COMBO  Said</v>
      </c>
      <c r="E5" s="363"/>
      <c r="F5" s="254"/>
      <c r="G5" s="254"/>
      <c r="H5" s="254"/>
      <c r="I5" s="301"/>
    </row>
    <row r="6" spans="1:9" s="189" customFormat="1" ht="39.950000000000003" hidden="1" customHeight="1" x14ac:dyDescent="0.45">
      <c r="A6" s="431" t="str">
        <f>'Horaire dimanche 2'!A11</f>
        <v>PASSOT LA BARGE</v>
      </c>
      <c r="B6" s="432">
        <f>'Horaire dimanche 2'!B11</f>
        <v>0.375</v>
      </c>
      <c r="C6" s="433" t="str">
        <f>'Horaire dimanche 2'!C11</f>
        <v>D7</v>
      </c>
      <c r="D6" s="446" t="str">
        <f>VLOOKUP(C6,'Liste chauffeur'!$B$5:$L$19,2,TRUE)&amp;" "&amp;VLOOKUP(C6,'Liste chauffeur'!$B$5:$L$19,3,TRUE)</f>
        <v>COMBO  Said</v>
      </c>
      <c r="E6" s="435"/>
      <c r="F6" s="444"/>
      <c r="G6" s="444"/>
      <c r="H6" s="444"/>
      <c r="I6" s="301"/>
    </row>
    <row r="7" spans="1:9" ht="39.950000000000003" hidden="1" customHeight="1" x14ac:dyDescent="0.45">
      <c r="A7" s="364" t="str">
        <f>'Horaire dimanche 2'!A12</f>
        <v>DOUJANI</v>
      </c>
      <c r="B7" s="368">
        <f>'Horaire dimanche 2'!B12</f>
        <v>0.375</v>
      </c>
      <c r="C7" s="322" t="str">
        <f>'Horaire dimanche 2'!C12</f>
        <v>D12</v>
      </c>
      <c r="D7" s="320" t="str">
        <f>VLOOKUP(C7,'Liste chauffeur'!$B$5:$L$19,2,TRUE)&amp;" "&amp;VLOOKUP(C7,'Liste chauffeur'!$B$5:$L$19,3,TRUE)</f>
        <v>VELOU M'COLO M'Berou</v>
      </c>
      <c r="E7" s="363"/>
      <c r="F7" s="255" t="str">
        <f>IF(ISBLANK('Feuille saisie'!X12)=TRUE,"",'Feuille saisie'!X12)</f>
        <v/>
      </c>
      <c r="G7" s="255"/>
      <c r="H7" s="256"/>
    </row>
    <row r="8" spans="1:9" ht="39.950000000000003" hidden="1" customHeight="1" x14ac:dyDescent="0.45">
      <c r="A8" s="431" t="str">
        <f>'Horaire dimanche 2'!A13</f>
        <v>PASSOT LA BARGE</v>
      </c>
      <c r="B8" s="432">
        <f>'Horaire dimanche 2'!B13</f>
        <v>0.39583333333333331</v>
      </c>
      <c r="C8" s="433" t="str">
        <f>'Horaire dimanche 2'!C13</f>
        <v>D12</v>
      </c>
      <c r="D8" s="434" t="str">
        <f>VLOOKUP(C8,'Liste chauffeur'!$B$5:$L$19,2,TRUE)&amp;" "&amp;VLOOKUP(C8,'Liste chauffeur'!$B$5:$L$19,3,TRUE)</f>
        <v>VELOU M'COLO M'Berou</v>
      </c>
      <c r="E8" s="435"/>
      <c r="F8" s="436" t="str">
        <f>IF(ISBLANK('Feuille saisie'!X13)=TRUE,"",'Feuille saisie'!X13)</f>
        <v/>
      </c>
      <c r="G8" s="436"/>
      <c r="H8" s="437"/>
      <c r="I8" s="287" t="s">
        <v>364</v>
      </c>
    </row>
    <row r="9" spans="1:9" ht="39.950000000000003" hidden="1" customHeight="1" x14ac:dyDescent="0.45">
      <c r="A9" s="364" t="str">
        <f>'Horaire dimanche 2'!A14</f>
        <v>DOUJANI</v>
      </c>
      <c r="B9" s="368">
        <f>'Horaire dimanche 2'!B14</f>
        <v>0.39583333333333331</v>
      </c>
      <c r="C9" s="322" t="str">
        <f>'Horaire dimanche 2'!C14</f>
        <v>D7</v>
      </c>
      <c r="D9" s="320" t="str">
        <f>VLOOKUP(C9,'Liste chauffeur'!$B$5:$L$19,2,TRUE)&amp;" "&amp;VLOOKUP(C9,'Liste chauffeur'!$B$5:$L$19,3,TRUE)</f>
        <v>COMBO  Said</v>
      </c>
      <c r="E9" s="363"/>
      <c r="F9" s="285" t="str">
        <f>IF(ISBLANK('Feuille saisie'!X14)=TRUE,"",'Feuille saisie'!X14)</f>
        <v/>
      </c>
      <c r="G9" s="255"/>
      <c r="H9" s="256"/>
      <c r="I9" s="287"/>
    </row>
    <row r="10" spans="1:9" ht="39.950000000000003" hidden="1" customHeight="1" x14ac:dyDescent="0.45">
      <c r="A10" s="431" t="str">
        <f>'Horaire dimanche 2'!A15</f>
        <v>PASSOT LA BARGE</v>
      </c>
      <c r="B10" s="432">
        <f>'Horaire dimanche 2'!B15</f>
        <v>0.41666666666666669</v>
      </c>
      <c r="C10" s="433" t="str">
        <f>'Horaire dimanche 2'!C15</f>
        <v>D7</v>
      </c>
      <c r="D10" s="434" t="str">
        <f>VLOOKUP(C10,'Liste chauffeur'!$B$5:$L$19,2,TRUE)&amp;" "&amp;VLOOKUP(C10,'Liste chauffeur'!$B$5:$L$19,3,TRUE)</f>
        <v>COMBO  Said</v>
      </c>
      <c r="E10" s="435"/>
      <c r="F10" s="436" t="str">
        <f>IF(ISBLANK('Feuille saisie'!X15)=TRUE,"",'Feuille saisie'!X15)</f>
        <v/>
      </c>
      <c r="G10" s="436"/>
      <c r="H10" s="437"/>
      <c r="I10" s="287"/>
    </row>
    <row r="11" spans="1:9" ht="39.950000000000003" hidden="1" customHeight="1" x14ac:dyDescent="0.45">
      <c r="A11" s="364" t="str">
        <f>'Horaire dimanche 2'!A16</f>
        <v>DOUJANI</v>
      </c>
      <c r="B11" s="368">
        <f>'Horaire dimanche 2'!B16</f>
        <v>0.41666666666666669</v>
      </c>
      <c r="C11" s="322" t="str">
        <f>'Horaire dimanche 2'!C16</f>
        <v>D12</v>
      </c>
      <c r="D11" s="320" t="str">
        <f>VLOOKUP(C11,'Liste chauffeur'!$B$5:$L$19,2,TRUE)&amp;" "&amp;VLOOKUP(C11,'Liste chauffeur'!$B$5:$L$19,3,TRUE)</f>
        <v>VELOU M'COLO M'Berou</v>
      </c>
      <c r="E11" s="363"/>
      <c r="F11" s="255" t="str">
        <f>IF(ISBLANK('Feuille saisie'!X16)=TRUE,"",'Feuille saisie'!X16)</f>
        <v/>
      </c>
      <c r="G11" s="255"/>
      <c r="H11" s="256"/>
      <c r="I11" s="287" t="s">
        <v>365</v>
      </c>
    </row>
    <row r="12" spans="1:9" ht="39.950000000000003" hidden="1" customHeight="1" x14ac:dyDescent="0.45">
      <c r="A12" s="431" t="str">
        <f>'Horaire dimanche 2'!A17</f>
        <v>PASSOT LA BARGE</v>
      </c>
      <c r="B12" s="432">
        <f>'Horaire dimanche 2'!B17</f>
        <v>0.4375</v>
      </c>
      <c r="C12" s="433" t="str">
        <f>'Horaire dimanche 2'!C17</f>
        <v>D12</v>
      </c>
      <c r="D12" s="434" t="str">
        <f>VLOOKUP(C12,'Liste chauffeur'!$B$5:$L$19,2,TRUE)&amp;" "&amp;VLOOKUP(C12,'Liste chauffeur'!$B$5:$L$19,3,TRUE)</f>
        <v>VELOU M'COLO M'Berou</v>
      </c>
      <c r="E12" s="435"/>
      <c r="F12" s="436" t="str">
        <f>IF(ISBLANK('Feuille saisie'!X17)=TRUE,"",'Feuille saisie'!X17)</f>
        <v/>
      </c>
      <c r="G12" s="436"/>
      <c r="H12" s="437"/>
      <c r="I12" s="287"/>
    </row>
    <row r="13" spans="1:9" ht="39.950000000000003" hidden="1" customHeight="1" x14ac:dyDescent="0.45">
      <c r="A13" s="364" t="str">
        <f>'Horaire dimanche 2'!A18</f>
        <v>DOUJANI</v>
      </c>
      <c r="B13" s="368">
        <f>'Horaire dimanche 2'!B18</f>
        <v>0.4375</v>
      </c>
      <c r="C13" s="322" t="str">
        <f>'Horaire dimanche 2'!C18</f>
        <v>D7</v>
      </c>
      <c r="D13" s="320" t="str">
        <f>VLOOKUP(C13,'Liste chauffeur'!$B$5:$L$19,2,TRUE)&amp;" "&amp;VLOOKUP(C13,'Liste chauffeur'!$B$5:$L$19,3,TRUE)</f>
        <v>COMBO  Said</v>
      </c>
      <c r="E13" s="292"/>
      <c r="F13" s="255"/>
      <c r="G13" s="255"/>
      <c r="H13" s="256"/>
      <c r="I13" s="287"/>
    </row>
    <row r="14" spans="1:9" ht="39.950000000000003" hidden="1" customHeight="1" x14ac:dyDescent="0.45">
      <c r="A14" s="431" t="str">
        <f>'Horaire dimanche 2'!A19</f>
        <v>PASSOT LA BARGE</v>
      </c>
      <c r="B14" s="432">
        <f>'Horaire dimanche 2'!B19</f>
        <v>0.45833333333333331</v>
      </c>
      <c r="C14" s="433" t="str">
        <f>'Horaire dimanche 2'!C19</f>
        <v>D7</v>
      </c>
      <c r="D14" s="434" t="str">
        <f>VLOOKUP(C14,'Liste chauffeur'!$B$5:$L$19,2,TRUE)&amp;" "&amp;VLOOKUP(C14,'Liste chauffeur'!$B$5:$L$19,3,TRUE)</f>
        <v>COMBO  Said</v>
      </c>
      <c r="E14" s="439"/>
      <c r="F14" s="436" t="str">
        <f>IF(ISBLANK('Feuille saisie'!X19)=TRUE,"",'Feuille saisie'!X19)</f>
        <v/>
      </c>
      <c r="G14" s="436"/>
      <c r="H14" s="437"/>
      <c r="I14" s="287" t="s">
        <v>367</v>
      </c>
    </row>
    <row r="15" spans="1:9" ht="39.950000000000003" hidden="1" customHeight="1" x14ac:dyDescent="0.45">
      <c r="A15" s="364" t="str">
        <f>'Horaire dimanche 2'!A20</f>
        <v>DOUJANI</v>
      </c>
      <c r="B15" s="368">
        <f>'Horaire dimanche 2'!B20</f>
        <v>0.45833333333333331</v>
      </c>
      <c r="C15" s="322" t="str">
        <f>'Horaire dimanche 2'!C20</f>
        <v>D12</v>
      </c>
      <c r="D15" s="320" t="str">
        <f>VLOOKUP(C15,'Liste chauffeur'!$B$5:$L$19,2,TRUE)&amp;" "&amp;VLOOKUP(C15,'Liste chauffeur'!$B$5:$L$19,3,TRUE)</f>
        <v>VELOU M'COLO M'Berou</v>
      </c>
      <c r="E15" s="292"/>
      <c r="F15" s="255" t="str">
        <f>IF(ISBLANK('Feuille saisie'!X20)=TRUE,"",'Feuille saisie'!X20)</f>
        <v/>
      </c>
      <c r="G15" s="255"/>
      <c r="H15" s="256"/>
      <c r="I15" s="287"/>
    </row>
    <row r="16" spans="1:9" ht="39.950000000000003" hidden="1" customHeight="1" x14ac:dyDescent="0.45">
      <c r="A16" s="431" t="str">
        <f>'Horaire dimanche 2'!A21</f>
        <v>PASSOT LA BARGE</v>
      </c>
      <c r="B16" s="432">
        <f>'Horaire dimanche 2'!B21</f>
        <v>0.47916666666666669</v>
      </c>
      <c r="C16" s="433" t="str">
        <f>'Horaire dimanche 2'!C21</f>
        <v>D12</v>
      </c>
      <c r="D16" s="434" t="str">
        <f>VLOOKUP(C16,'Liste chauffeur'!$B$5:$L$19,2,TRUE)&amp;" "&amp;VLOOKUP(C16,'Liste chauffeur'!$B$5:$L$19,3,TRUE)</f>
        <v>VELOU M'COLO M'Berou</v>
      </c>
      <c r="E16" s="439"/>
      <c r="F16" s="436" t="str">
        <f>IF(ISBLANK('Feuille saisie'!X21)=TRUE,"",'Feuille saisie'!X21)</f>
        <v/>
      </c>
      <c r="G16" s="436"/>
      <c r="H16" s="437"/>
      <c r="I16" s="287"/>
    </row>
    <row r="17" spans="1:9" ht="39.950000000000003" hidden="1" customHeight="1" x14ac:dyDescent="0.45">
      <c r="A17" s="364" t="str">
        <f>'Horaire dimanche 2'!A22</f>
        <v>DOUJANI</v>
      </c>
      <c r="B17" s="368">
        <f>'Horaire dimanche 2'!B22</f>
        <v>0.47916666666666669</v>
      </c>
      <c r="C17" s="322" t="str">
        <f>'Horaire dimanche 2'!C22</f>
        <v>D7</v>
      </c>
      <c r="D17" s="320" t="str">
        <f>VLOOKUP(C17,'Liste chauffeur'!$B$5:$L$19,2,TRUE)&amp;" "&amp;VLOOKUP(C17,'Liste chauffeur'!$B$5:$L$19,3,TRUE)</f>
        <v>COMBO  Said</v>
      </c>
      <c r="E17" s="292"/>
      <c r="F17" s="255" t="str">
        <f>IF(ISBLANK('Feuille saisie'!X22)=TRUE,"",'Feuille saisie'!X22)</f>
        <v/>
      </c>
      <c r="G17" s="255"/>
      <c r="H17" s="256"/>
      <c r="I17" s="287"/>
    </row>
    <row r="18" spans="1:9" ht="39.950000000000003" hidden="1" customHeight="1" x14ac:dyDescent="0.45">
      <c r="A18" s="431" t="str">
        <f>'Horaire dimanche 2'!A23</f>
        <v>PASSOT LA BARGE</v>
      </c>
      <c r="B18" s="432">
        <f>'Horaire dimanche 2'!B23</f>
        <v>0.5</v>
      </c>
      <c r="C18" s="433" t="str">
        <f>'Horaire dimanche 2'!C23</f>
        <v>D7</v>
      </c>
      <c r="D18" s="434" t="str">
        <f>VLOOKUP(C18,'Liste chauffeur'!$B$5:$L$19,2,TRUE)&amp;" "&amp;VLOOKUP(C18,'Liste chauffeur'!$B$5:$L$19,3,TRUE)</f>
        <v>COMBO  Said</v>
      </c>
      <c r="E18" s="439"/>
      <c r="F18" s="436" t="str">
        <f>IF(ISBLANK('Feuille saisie'!X23)=TRUE,"",'Feuille saisie'!X23)</f>
        <v/>
      </c>
      <c r="G18" s="436"/>
      <c r="H18" s="437"/>
      <c r="I18" s="287" t="s">
        <v>366</v>
      </c>
    </row>
    <row r="19" spans="1:9" ht="39.950000000000003" hidden="1" customHeight="1" x14ac:dyDescent="0.45">
      <c r="A19" s="364" t="str">
        <f>'Horaire dimanche 2'!A24</f>
        <v>DOUJANI</v>
      </c>
      <c r="B19" s="368">
        <f>'Horaire dimanche 2'!B24</f>
        <v>0.5</v>
      </c>
      <c r="C19" s="322" t="str">
        <f>'Horaire dimanche 2'!C24</f>
        <v>D12</v>
      </c>
      <c r="D19" s="320" t="str">
        <f>VLOOKUP(C19,'Liste chauffeur'!$B$5:$L$19,2,TRUE)&amp;" "&amp;VLOOKUP(C19,'Liste chauffeur'!$B$5:$L$19,3,TRUE)</f>
        <v>VELOU M'COLO M'Berou</v>
      </c>
      <c r="E19" s="292"/>
      <c r="F19" s="255" t="str">
        <f>IF(ISBLANK('Feuille saisie'!X24)=TRUE,"",'Feuille saisie'!X24)</f>
        <v/>
      </c>
      <c r="G19" s="255"/>
      <c r="H19" s="256"/>
      <c r="I19" s="287"/>
    </row>
    <row r="20" spans="1:9" ht="39.950000000000003" hidden="1" customHeight="1" x14ac:dyDescent="0.45">
      <c r="A20" s="431" t="str">
        <f>'Horaire dimanche 2'!A25</f>
        <v>PASSOT LA BARGE</v>
      </c>
      <c r="B20" s="432">
        <f>'Horaire dimanche 2'!B25</f>
        <v>0.52083333333333337</v>
      </c>
      <c r="C20" s="433" t="str">
        <f>'Horaire dimanche 2'!C25</f>
        <v>D12</v>
      </c>
      <c r="D20" s="434" t="str">
        <f>VLOOKUP(C20,'Liste chauffeur'!$B$5:$L$19,2,TRUE)&amp;" "&amp;VLOOKUP(C20,'Liste chauffeur'!$B$5:$L$19,3,TRUE)</f>
        <v>VELOU M'COLO M'Berou</v>
      </c>
      <c r="E20" s="439"/>
      <c r="F20" s="436"/>
      <c r="G20" s="436"/>
      <c r="H20" s="437"/>
      <c r="I20" s="287"/>
    </row>
    <row r="21" spans="1:9" ht="39.950000000000003" hidden="1" customHeight="1" x14ac:dyDescent="0.45">
      <c r="A21" s="364" t="str">
        <f>'Horaire dimanche 2'!A26</f>
        <v>DOUJANI</v>
      </c>
      <c r="B21" s="368">
        <f>'Horaire dimanche 2'!B26</f>
        <v>0.52083333333333337</v>
      </c>
      <c r="C21" s="322" t="str">
        <f>'Horaire dimanche 2'!C26</f>
        <v>D7</v>
      </c>
      <c r="D21" s="320" t="str">
        <f>VLOOKUP(C21,'Liste chauffeur'!$B$5:$L$19,2,TRUE)&amp;" "&amp;VLOOKUP(C21,'Liste chauffeur'!$B$5:$L$19,3,TRUE)</f>
        <v>COMBO  Said</v>
      </c>
      <c r="E21" s="292"/>
      <c r="F21" s="255" t="str">
        <f>IF(ISBLANK('Feuille saisie'!X26)=TRUE,"",'Feuille saisie'!X26)</f>
        <v/>
      </c>
      <c r="G21" s="255"/>
      <c r="H21" s="256"/>
      <c r="I21" s="287"/>
    </row>
    <row r="22" spans="1:9" ht="39.950000000000003" hidden="1" customHeight="1" x14ac:dyDescent="0.45">
      <c r="A22" s="431" t="str">
        <f>'Horaire dimanche 2'!A27</f>
        <v>PASSOT LA BARGE</v>
      </c>
      <c r="B22" s="432">
        <f>'Horaire dimanche 2'!B27</f>
        <v>0.54166666666666663</v>
      </c>
      <c r="C22" s="433" t="str">
        <f>'Horaire dimanche 2'!C27</f>
        <v>D7</v>
      </c>
      <c r="D22" s="434" t="str">
        <f>VLOOKUP(C22,'Liste chauffeur'!$B$5:$L$19,2,TRUE)&amp;" "&amp;VLOOKUP(C22,'Liste chauffeur'!$B$5:$L$19,3,TRUE)</f>
        <v>COMBO  Said</v>
      </c>
      <c r="E22" s="439"/>
      <c r="F22" s="436" t="str">
        <f>IF(ISBLANK('Feuille saisie'!X27)=TRUE,"",'Feuille saisie'!X27)</f>
        <v/>
      </c>
      <c r="G22" s="436"/>
      <c r="H22" s="437"/>
    </row>
    <row r="23" spans="1:9" ht="39.950000000000003" hidden="1" customHeight="1" x14ac:dyDescent="0.45">
      <c r="A23" s="364" t="str">
        <f>'Horaire dimanche 2'!A28</f>
        <v>DOUJANI</v>
      </c>
      <c r="B23" s="367">
        <f>'Horaire dimanche 2'!B28</f>
        <v>0.54166666666666663</v>
      </c>
      <c r="C23" s="322" t="str">
        <f>'Horaire dimanche 2'!C28</f>
        <v>D12</v>
      </c>
      <c r="D23" s="320" t="str">
        <f>VLOOKUP(C23,'Liste chauffeur'!$B$5:$L$19,2,TRUE)&amp;" "&amp;VLOOKUP(C23,'Liste chauffeur'!$B$5:$L$19,3,TRUE)</f>
        <v>VELOU M'COLO M'Berou</v>
      </c>
      <c r="E23" s="292"/>
      <c r="F23" s="255" t="str">
        <f>IF(ISBLANK('Feuille saisie'!X28)=TRUE,"",'Feuille saisie'!X28)</f>
        <v/>
      </c>
      <c r="G23" s="255"/>
      <c r="H23" s="256"/>
    </row>
    <row r="24" spans="1:9" ht="39.950000000000003" customHeight="1" x14ac:dyDescent="0.45">
      <c r="A24" s="431" t="str">
        <f>'Horaire dimanche 2'!A29</f>
        <v>PASSOT LA BARGE</v>
      </c>
      <c r="B24" s="366">
        <f>'Horaire dimanche 2'!B29</f>
        <v>0.5625</v>
      </c>
      <c r="C24" s="433" t="str">
        <f>'Horaire dimanche 2'!C29</f>
        <v>D14</v>
      </c>
      <c r="D24" s="434" t="str">
        <f>VLOOKUP(C24,'Liste chauffeur'!$B$5:$L$19,2,TRUE)&amp;" "&amp;VLOOKUP(C24,'Liste chauffeur'!$B$5:$L$19,3,TRUE)</f>
        <v>AHAMADI Laydine</v>
      </c>
      <c r="E24" s="439"/>
      <c r="F24" s="436" t="str">
        <f>IF(ISBLANK('Feuille saisie'!X29)=TRUE,"",'Feuille saisie'!X29)</f>
        <v/>
      </c>
      <c r="G24" s="436"/>
      <c r="H24" s="437"/>
    </row>
    <row r="25" spans="1:9" ht="39.950000000000003" customHeight="1" x14ac:dyDescent="0.45">
      <c r="A25" s="364" t="str">
        <f>'Horaire dimanche 2'!A30</f>
        <v>DOUJANI</v>
      </c>
      <c r="B25" s="367">
        <f>'Horaire dimanche 2'!B30</f>
        <v>0.5625</v>
      </c>
      <c r="C25" s="322" t="str">
        <f>'Horaire dimanche 2'!C30</f>
        <v>D7</v>
      </c>
      <c r="D25" s="320" t="str">
        <f>VLOOKUP(C25,'Liste chauffeur'!$B$5:$L$19,2,TRUE)&amp;" "&amp;VLOOKUP(C25,'Liste chauffeur'!$B$5:$L$19,3,TRUE)</f>
        <v>COMBO  Said</v>
      </c>
      <c r="E25" s="292"/>
      <c r="F25" s="255" t="str">
        <f>IF(ISBLANK('Feuille saisie'!X30)=TRUE,"",'Feuille saisie'!X30)</f>
        <v/>
      </c>
      <c r="G25" s="255"/>
      <c r="H25" s="256"/>
      <c r="I25" s="287" t="s">
        <v>364</v>
      </c>
    </row>
    <row r="26" spans="1:9" ht="39.950000000000003" customHeight="1" x14ac:dyDescent="0.45">
      <c r="A26" s="431" t="str">
        <f>'Horaire dimanche 2'!A31</f>
        <v>PASSOT LA BARGE</v>
      </c>
      <c r="B26" s="366">
        <f>'Horaire dimanche 2'!B31</f>
        <v>0.58333333333333337</v>
      </c>
      <c r="C26" s="433" t="str">
        <f>'Horaire dimanche 2'!C31</f>
        <v>D8</v>
      </c>
      <c r="D26" s="434" t="str">
        <f>VLOOKUP(C26,'Liste chauffeur'!$B$5:$L$19,2,TRUE)&amp;" "&amp;VLOOKUP(C26,'Liste chauffeur'!$B$5:$L$19,3,TRUE)</f>
        <v>ISSOUF Dailami</v>
      </c>
      <c r="E26" s="439"/>
      <c r="F26" s="436" t="str">
        <f>IF(ISBLANK('Feuille saisie'!X31)=TRUE,"",'Feuille saisie'!X31)</f>
        <v/>
      </c>
      <c r="G26" s="436"/>
      <c r="H26" s="437"/>
      <c r="I26" s="287"/>
    </row>
    <row r="27" spans="1:9" ht="39.950000000000003" customHeight="1" x14ac:dyDescent="0.45">
      <c r="A27" s="364" t="str">
        <f>'Horaire dimanche 2'!A32</f>
        <v>DOUJANI</v>
      </c>
      <c r="B27" s="368">
        <f>'Horaire dimanche 2'!B32</f>
        <v>0.58333333333333337</v>
      </c>
      <c r="C27" s="322" t="str">
        <f>'Horaire dimanche 2'!C32</f>
        <v>D14</v>
      </c>
      <c r="D27" s="320" t="str">
        <f>VLOOKUP(C27,'Liste chauffeur'!$B$5:$L$19,2,TRUE)&amp;" "&amp;VLOOKUP(C27,'Liste chauffeur'!$B$5:$L$19,3,TRUE)</f>
        <v>AHAMADI Laydine</v>
      </c>
      <c r="E27" s="292"/>
      <c r="F27" s="255"/>
      <c r="G27" s="255"/>
      <c r="H27" s="256"/>
      <c r="I27" s="287"/>
    </row>
    <row r="28" spans="1:9" ht="39.950000000000003" customHeight="1" x14ac:dyDescent="0.45">
      <c r="A28" s="431" t="str">
        <f>'Horaire dimanche 2'!A33</f>
        <v>PASSOT LA BARGE</v>
      </c>
      <c r="B28" s="432">
        <f>'Horaire dimanche 2'!B33</f>
        <v>0.60416666666666663</v>
      </c>
      <c r="C28" s="433" t="str">
        <f>'Horaire dimanche 2'!C33</f>
        <v>D14</v>
      </c>
      <c r="D28" s="434" t="str">
        <f>VLOOKUP(C28,'Liste chauffeur'!$B$5:$L$19,2,TRUE)&amp;" "&amp;VLOOKUP(C28,'Liste chauffeur'!$B$5:$L$19,3,TRUE)</f>
        <v>AHAMADI Laydine</v>
      </c>
      <c r="E28" s="439"/>
      <c r="F28" s="436" t="str">
        <f>IF(ISBLANK('Feuille saisie'!X33)=TRUE,"",'Feuille saisie'!X33)</f>
        <v/>
      </c>
      <c r="G28" s="436"/>
      <c r="H28" s="437"/>
      <c r="I28" s="287" t="s">
        <v>365</v>
      </c>
    </row>
    <row r="29" spans="1:9" ht="39.950000000000003" customHeight="1" x14ac:dyDescent="0.45">
      <c r="A29" s="364" t="str">
        <f>'Horaire dimanche 2'!A34</f>
        <v>DOUJANI</v>
      </c>
      <c r="B29" s="368">
        <f>'Horaire dimanche 2'!B34</f>
        <v>0.60416666666666663</v>
      </c>
      <c r="C29" s="322" t="str">
        <f>'Horaire dimanche 2'!C34</f>
        <v>D8</v>
      </c>
      <c r="D29" s="320" t="str">
        <f>VLOOKUP(C29,'Liste chauffeur'!$B$5:$L$19,2,TRUE)&amp;" "&amp;VLOOKUP(C29,'Liste chauffeur'!$B$5:$L$19,3,TRUE)</f>
        <v>ISSOUF Dailami</v>
      </c>
      <c r="E29" s="292"/>
      <c r="F29" s="255" t="str">
        <f>IF(ISBLANK('Feuille saisie'!X34)=TRUE,"",'Feuille saisie'!X34)</f>
        <v/>
      </c>
      <c r="G29" s="255"/>
      <c r="H29" s="256"/>
      <c r="I29" s="287"/>
    </row>
    <row r="30" spans="1:9" ht="39.950000000000003" customHeight="1" x14ac:dyDescent="0.45">
      <c r="A30" s="431" t="str">
        <f>'Horaire dimanche 2'!A35</f>
        <v>PASSOT LA BARGE</v>
      </c>
      <c r="B30" s="432">
        <f>'Horaire dimanche 2'!B35</f>
        <v>0.625</v>
      </c>
      <c r="C30" s="433" t="str">
        <f>'Horaire dimanche 2'!C35</f>
        <v>D8</v>
      </c>
      <c r="D30" s="434" t="str">
        <f>VLOOKUP(C30,'Liste chauffeur'!$B$5:$L$19,2,TRUE)&amp;" "&amp;VLOOKUP(C30,'Liste chauffeur'!$B$5:$L$19,3,TRUE)</f>
        <v>ISSOUF Dailami</v>
      </c>
      <c r="E30" s="439"/>
      <c r="F30" s="436" t="str">
        <f>IF(ISBLANK('Feuille saisie'!X35)=TRUE,"",'Feuille saisie'!X35)</f>
        <v/>
      </c>
      <c r="G30" s="436"/>
      <c r="H30" s="437"/>
      <c r="I30" s="287"/>
    </row>
    <row r="31" spans="1:9" ht="39.950000000000003" customHeight="1" x14ac:dyDescent="0.45">
      <c r="A31" s="364" t="str">
        <f>'Horaire dimanche 2'!A36</f>
        <v>DOUJANI</v>
      </c>
      <c r="B31" s="368">
        <f>'Horaire dimanche 2'!B36</f>
        <v>0.625</v>
      </c>
      <c r="C31" s="322" t="str">
        <f>'Horaire dimanche 2'!C36</f>
        <v>D14</v>
      </c>
      <c r="D31" s="320" t="str">
        <f>VLOOKUP(C31,'Liste chauffeur'!$B$5:$L$19,2,TRUE)&amp;" "&amp;VLOOKUP(C31,'Liste chauffeur'!$B$5:$L$19,3,TRUE)</f>
        <v>AHAMADI Laydine</v>
      </c>
      <c r="E31" s="292"/>
      <c r="F31" s="255" t="str">
        <f>IF(ISBLANK('Feuille saisie'!X36)=TRUE,"",'Feuille saisie'!X36)</f>
        <v/>
      </c>
      <c r="G31" s="255"/>
      <c r="H31" s="256"/>
      <c r="I31" s="287" t="s">
        <v>367</v>
      </c>
    </row>
    <row r="32" spans="1:9" ht="39.950000000000003" customHeight="1" x14ac:dyDescent="0.45">
      <c r="A32" s="431" t="str">
        <f>'Horaire dimanche 2'!A37</f>
        <v>PASSOT LA BARGE</v>
      </c>
      <c r="B32" s="432">
        <f>'Horaire dimanche 2'!B37</f>
        <v>0.64583333333333337</v>
      </c>
      <c r="C32" s="433" t="str">
        <f>'Horaire dimanche 2'!C37</f>
        <v>D14</v>
      </c>
      <c r="D32" s="434" t="str">
        <f>VLOOKUP(C32,'Liste chauffeur'!$B$5:$L$19,2,TRUE)&amp;" "&amp;VLOOKUP(C32,'Liste chauffeur'!$B$5:$L$19,3,TRUE)</f>
        <v>AHAMADI Laydine</v>
      </c>
      <c r="E32" s="439"/>
      <c r="F32" s="436" t="str">
        <f>IF(ISBLANK('Feuille saisie'!X37)=TRUE,"",'Feuille saisie'!X37)</f>
        <v/>
      </c>
      <c r="G32" s="436"/>
      <c r="H32" s="437"/>
      <c r="I32" s="287"/>
    </row>
    <row r="33" spans="1:9" ht="39.950000000000003" customHeight="1" x14ac:dyDescent="0.45">
      <c r="A33" s="364" t="str">
        <f>'Horaire dimanche 2'!A38</f>
        <v>DOUJANI</v>
      </c>
      <c r="B33" s="368">
        <f>'Horaire dimanche 2'!B38</f>
        <v>0.64583333333333337</v>
      </c>
      <c r="C33" s="322" t="str">
        <f>'Horaire dimanche 2'!C38</f>
        <v>D8</v>
      </c>
      <c r="D33" s="320" t="str">
        <f>VLOOKUP(C33,'Liste chauffeur'!$B$5:$L$19,2,TRUE)&amp;" "&amp;VLOOKUP(C33,'Liste chauffeur'!$B$5:$L$19,3,TRUE)</f>
        <v>ISSOUF Dailami</v>
      </c>
      <c r="E33" s="292"/>
      <c r="F33" s="255" t="str">
        <f>IF(ISBLANK('Feuille saisie'!X38)=TRUE,"",'Feuille saisie'!X38)</f>
        <v/>
      </c>
      <c r="G33" s="255"/>
      <c r="H33" s="256"/>
      <c r="I33" s="287"/>
    </row>
    <row r="34" spans="1:9" ht="39.950000000000003" customHeight="1" x14ac:dyDescent="0.45">
      <c r="A34" s="431" t="str">
        <f>'Horaire dimanche 2'!A39</f>
        <v>PASSOT LA BARGE</v>
      </c>
      <c r="B34" s="432">
        <f>'Horaire dimanche 2'!B39</f>
        <v>0.66666666666666663</v>
      </c>
      <c r="C34" s="433" t="str">
        <f>'Horaire dimanche 2'!C39</f>
        <v>D8</v>
      </c>
      <c r="D34" s="434" t="str">
        <f>VLOOKUP(C34,'Liste chauffeur'!$B$5:$L$19,2,TRUE)&amp;" "&amp;VLOOKUP(C34,'Liste chauffeur'!$B$5:$L$19,3,TRUE)</f>
        <v>ISSOUF Dailami</v>
      </c>
      <c r="E34" s="439"/>
      <c r="F34" s="436" t="str">
        <f>IF(ISBLANK('Feuille saisie'!X39)=TRUE,"",'Feuille saisie'!X39)</f>
        <v/>
      </c>
      <c r="G34" s="436"/>
      <c r="H34" s="437"/>
      <c r="I34" s="287"/>
    </row>
    <row r="35" spans="1:9" ht="39.950000000000003" customHeight="1" x14ac:dyDescent="0.45">
      <c r="A35" s="364" t="str">
        <f>'Horaire dimanche 2'!A40</f>
        <v>DOUJANI</v>
      </c>
      <c r="B35" s="368">
        <f>'Horaire dimanche 2'!B40</f>
        <v>0.66666666666666663</v>
      </c>
      <c r="C35" s="322" t="str">
        <f>'Horaire dimanche 2'!C40</f>
        <v>D14</v>
      </c>
      <c r="D35" s="320" t="str">
        <f>VLOOKUP(C35,'Liste chauffeur'!$B$5:$L$19,2,TRUE)&amp;" "&amp;VLOOKUP(C35,'Liste chauffeur'!$B$5:$L$19,3,TRUE)</f>
        <v>AHAMADI Laydine</v>
      </c>
      <c r="E35" s="292"/>
      <c r="F35" s="255" t="str">
        <f>IF(ISBLANK('Feuille saisie'!X40)=TRUE,"",'Feuille saisie'!X40)</f>
        <v/>
      </c>
      <c r="G35" s="255"/>
      <c r="H35" s="256"/>
      <c r="I35" s="287" t="s">
        <v>366</v>
      </c>
    </row>
    <row r="36" spans="1:9" ht="39.950000000000003" customHeight="1" x14ac:dyDescent="0.45">
      <c r="A36" s="431" t="str">
        <f>'Horaire dimanche 2'!A41</f>
        <v>PASSOT LA BARGE</v>
      </c>
      <c r="B36" s="432">
        <f>'Horaire dimanche 2'!B41</f>
        <v>0.6875</v>
      </c>
      <c r="C36" s="433" t="str">
        <f>'Horaire dimanche 2'!C41</f>
        <v>D14</v>
      </c>
      <c r="D36" s="434" t="str">
        <f>VLOOKUP(C36,'Liste chauffeur'!$B$5:$L$19,2,TRUE)&amp;" "&amp;VLOOKUP(C36,'Liste chauffeur'!$B$5:$L$19,3,TRUE)</f>
        <v>AHAMADI Laydine</v>
      </c>
      <c r="E36" s="439"/>
      <c r="F36" s="436" t="str">
        <f>IF(ISBLANK('Feuille saisie'!X41)=TRUE,"",'Feuille saisie'!X41)</f>
        <v/>
      </c>
      <c r="G36" s="436"/>
      <c r="H36" s="437"/>
    </row>
    <row r="37" spans="1:9" ht="39.950000000000003" customHeight="1" x14ac:dyDescent="0.45">
      <c r="A37" s="364" t="str">
        <f>'Horaire dimanche 2'!A42</f>
        <v>DOUJANI</v>
      </c>
      <c r="B37" s="368">
        <f>'Horaire dimanche 2'!B42</f>
        <v>0.6875</v>
      </c>
      <c r="C37" s="322" t="str">
        <f>'Horaire dimanche 2'!C42</f>
        <v>D8</v>
      </c>
      <c r="D37" s="320" t="str">
        <f>VLOOKUP(C37,'Liste chauffeur'!$B$5:$L$19,2,TRUE)&amp;" "&amp;VLOOKUP(C37,'Liste chauffeur'!$B$5:$L$19,3,TRUE)</f>
        <v>ISSOUF Dailami</v>
      </c>
      <c r="E37" s="292"/>
      <c r="F37" s="259" t="str">
        <f>IF(ISBLANK('Feuille saisie'!X42)=TRUE,"",'Feuille saisie'!X42)</f>
        <v/>
      </c>
      <c r="G37" s="255"/>
      <c r="H37" s="256"/>
    </row>
    <row r="38" spans="1:9" ht="39.950000000000003" customHeight="1" x14ac:dyDescent="0.45">
      <c r="A38" s="431" t="str">
        <f>'Horaire dimanche 2'!A43</f>
        <v>PASSOT LA BARGE</v>
      </c>
      <c r="B38" s="432">
        <f>'Horaire dimanche 2'!B43</f>
        <v>0.70833333333333337</v>
      </c>
      <c r="C38" s="433" t="str">
        <f>'Horaire dimanche 2'!C43</f>
        <v>D8</v>
      </c>
      <c r="D38" s="434" t="str">
        <f>VLOOKUP(C38,'Liste chauffeur'!$B$5:$L$19,2,TRUE)&amp;" "&amp;VLOOKUP(C38,'Liste chauffeur'!$B$5:$L$19,3,TRUE)</f>
        <v>ISSOUF Dailami</v>
      </c>
      <c r="E38" s="439"/>
      <c r="F38" s="436" t="str">
        <f>IF(ISBLANK('Feuille saisie'!X43)=TRUE,"",'Feuille saisie'!X43)</f>
        <v/>
      </c>
      <c r="G38" s="436"/>
      <c r="H38" s="437"/>
    </row>
    <row r="39" spans="1:9" ht="39.950000000000003" customHeight="1" x14ac:dyDescent="0.45">
      <c r="A39" s="364" t="str">
        <f>'Horaire dimanche 2'!A44</f>
        <v>DOUJANI</v>
      </c>
      <c r="B39" s="368">
        <f>'Horaire dimanche 2'!B44</f>
        <v>0.70833333333333337</v>
      </c>
      <c r="C39" s="322" t="str">
        <f>'Horaire dimanche 2'!C44</f>
        <v>D14</v>
      </c>
      <c r="D39" s="320" t="str">
        <f>VLOOKUP(C39,'Liste chauffeur'!$B$5:$L$19,2,TRUE)&amp;" "&amp;VLOOKUP(C39,'Liste chauffeur'!$B$5:$L$19,3,TRUE)</f>
        <v>AHAMADI Laydine</v>
      </c>
      <c r="E39" s="292"/>
      <c r="F39" s="255" t="str">
        <f>IF(ISBLANK('Feuille saisie'!X44)=TRUE,"",'Feuille saisie'!X44)</f>
        <v/>
      </c>
      <c r="G39" s="255"/>
      <c r="H39" s="256"/>
    </row>
    <row r="40" spans="1:9" ht="39.950000000000003" customHeight="1" x14ac:dyDescent="0.45">
      <c r="A40" s="431" t="str">
        <f>'Horaire dimanche 2'!A45</f>
        <v>PASSOT LA BARGE</v>
      </c>
      <c r="B40" s="432">
        <f>'Horaire dimanche 2'!B45</f>
        <v>0.72916666666666663</v>
      </c>
      <c r="C40" s="433" t="str">
        <f>'Horaire dimanche 2'!C45</f>
        <v>D14</v>
      </c>
      <c r="D40" s="434" t="str">
        <f>VLOOKUP(C40,'Liste chauffeur'!$B$5:$L$19,2,TRUE)&amp;" "&amp;VLOOKUP(C40,'Liste chauffeur'!$B$5:$L$19,3,TRUE)</f>
        <v>AHAMADI Laydine</v>
      </c>
      <c r="E40" s="439"/>
      <c r="F40" s="436" t="str">
        <f>IF(ISBLANK('Feuille saisie'!X45)=TRUE,"",'Feuille saisie'!X45)</f>
        <v/>
      </c>
      <c r="G40" s="436"/>
      <c r="H40" s="437"/>
    </row>
    <row r="41" spans="1:9" ht="39.950000000000003" customHeight="1" x14ac:dyDescent="0.45">
      <c r="A41" s="364" t="str">
        <f>'Horaire dimanche 2'!A46</f>
        <v>DOUJANI</v>
      </c>
      <c r="B41" s="368">
        <f>'Horaire dimanche 2'!B46</f>
        <v>0.72916666666666663</v>
      </c>
      <c r="C41" s="322" t="str">
        <f>'Horaire dimanche 2'!C46</f>
        <v>D8</v>
      </c>
      <c r="D41" s="320" t="str">
        <f>VLOOKUP(C41,'Liste chauffeur'!$B$5:$L$19,2,TRUE)&amp;" "&amp;VLOOKUP(C41,'Liste chauffeur'!$B$5:$L$19,3,TRUE)</f>
        <v>ISSOUF Dailami</v>
      </c>
      <c r="E41" s="292"/>
      <c r="F41" s="255" t="str">
        <f>IF(ISBLANK('Feuille saisie'!X46)=TRUE,"",'Feuille saisie'!X46)</f>
        <v/>
      </c>
      <c r="G41" s="255"/>
      <c r="H41" s="256"/>
    </row>
    <row r="42" spans="1:9" ht="39.950000000000003" customHeight="1" x14ac:dyDescent="0.45">
      <c r="A42" s="431" t="str">
        <f>'Horaire dimanche 2'!A47</f>
        <v>PASSOT LA BARGE</v>
      </c>
      <c r="B42" s="432">
        <f>'Horaire dimanche 2'!B47</f>
        <v>0.75</v>
      </c>
      <c r="C42" s="433" t="str">
        <f>'Horaire dimanche 2'!C47</f>
        <v>D8</v>
      </c>
      <c r="D42" s="434" t="str">
        <f>VLOOKUP(C42,'Liste chauffeur'!$B$5:$L$19,2,TRUE)&amp;" "&amp;VLOOKUP(C42,'Liste chauffeur'!$B$5:$L$19,3,TRUE)</f>
        <v>ISSOUF Dailami</v>
      </c>
      <c r="E42" s="439"/>
      <c r="F42" s="436" t="str">
        <f>IF(ISBLANK('Feuille saisie'!X47)=TRUE,"",'Feuille saisie'!X47)</f>
        <v/>
      </c>
      <c r="G42" s="436"/>
      <c r="H42" s="437"/>
    </row>
    <row r="43" spans="1:9" ht="39.950000000000003" customHeight="1" x14ac:dyDescent="0.45">
      <c r="A43" s="364" t="str">
        <f>'Horaire dimanche 2'!A48</f>
        <v>DOUJANI</v>
      </c>
      <c r="B43" s="368">
        <f>'Horaire dimanche 2'!B48</f>
        <v>0.75</v>
      </c>
      <c r="C43" s="322" t="str">
        <f>'Horaire dimanche 2'!C48</f>
        <v>D14</v>
      </c>
      <c r="D43" s="320" t="str">
        <f>VLOOKUP(C43,'Liste chauffeur'!$B$5:$L$19,2,TRUE)&amp;" "&amp;VLOOKUP(C43,'Liste chauffeur'!$B$5:$L$19,3,TRUE)</f>
        <v>AHAMADI Laydine</v>
      </c>
      <c r="E43" s="292"/>
      <c r="F43" s="255" t="str">
        <f>IF(ISBLANK('Feuille saisie'!X48)=TRUE,"",'Feuille saisie'!X48)</f>
        <v/>
      </c>
      <c r="G43" s="255"/>
      <c r="H43" s="256"/>
    </row>
    <row r="44" spans="1:9" ht="39.950000000000003" customHeight="1" x14ac:dyDescent="0.45">
      <c r="A44" s="431" t="str">
        <f>'Horaire dimanche 2'!A49</f>
        <v>PASSOT LA BARGE</v>
      </c>
      <c r="B44" s="367">
        <f>'Horaire dimanche 2'!B49</f>
        <v>0.77083333333333337</v>
      </c>
      <c r="C44" s="433" t="str">
        <f>'Horaire dimanche 2'!C49</f>
        <v>D14</v>
      </c>
      <c r="D44" s="434" t="str">
        <f>VLOOKUP(C44,'Liste chauffeur'!$B$5:$L$19,2,TRUE)&amp;" "&amp;VLOOKUP(C44,'Liste chauffeur'!$B$5:$L$19,3,TRUE)</f>
        <v>AHAMADI Laydine</v>
      </c>
      <c r="E44" s="439"/>
      <c r="F44" s="436" t="str">
        <f>IF(ISBLANK('Feuille saisie'!X49)=TRUE,"",'Feuille saisie'!X49)</f>
        <v/>
      </c>
      <c r="G44" s="436"/>
      <c r="H44" s="437"/>
      <c r="I44" s="287"/>
    </row>
    <row r="45" spans="1:9" ht="39.950000000000003" customHeight="1" x14ac:dyDescent="0.45">
      <c r="A45" s="364" t="str">
        <f>'Horaire dimanche 2'!A50</f>
        <v>DOUJANI</v>
      </c>
      <c r="B45" s="368">
        <f>'Horaire dimanche 2'!B50</f>
        <v>0.77083333333333337</v>
      </c>
      <c r="C45" s="322" t="str">
        <f>'Horaire dimanche 2'!C50</f>
        <v>D8</v>
      </c>
      <c r="D45" s="320" t="str">
        <f>VLOOKUP(C45,'Liste chauffeur'!$B$5:$L$19,2,TRUE)&amp;" "&amp;VLOOKUP(C45,'Liste chauffeur'!$B$5:$L$19,3,TRUE)</f>
        <v>ISSOUF Dailami</v>
      </c>
      <c r="E45" s="292"/>
      <c r="F45" s="255" t="str">
        <f>IF(ISBLANK('Feuille saisie'!X50)=TRUE,"",'Feuille saisie'!X50)</f>
        <v/>
      </c>
      <c r="G45" s="255"/>
      <c r="H45" s="256"/>
      <c r="I45" s="287"/>
    </row>
    <row r="46" spans="1:9" ht="39.950000000000003" customHeight="1" x14ac:dyDescent="0.45">
      <c r="A46" s="431" t="str">
        <f>'Horaire dimanche 2'!A51</f>
        <v>PASSOT LA BARGE</v>
      </c>
      <c r="B46" s="367">
        <f>'Horaire dimanche 2'!B51</f>
        <v>0.79166666666666663</v>
      </c>
      <c r="C46" s="433" t="str">
        <f>'Horaire dimanche 2'!C51</f>
        <v>D8</v>
      </c>
      <c r="D46" s="434" t="str">
        <f>VLOOKUP(C46,'Liste chauffeur'!$B$5:$L$19,2,TRUE)&amp;" "&amp;VLOOKUP(C46,'Liste chauffeur'!$B$5:$L$19,3,TRUE)</f>
        <v>ISSOUF Dailami</v>
      </c>
      <c r="E46" s="439"/>
      <c r="F46" s="436" t="str">
        <f>IF(ISBLANK('Feuille saisie'!X51)=TRUE,"",'Feuille saisie'!X51)</f>
        <v/>
      </c>
      <c r="G46" s="436"/>
      <c r="H46" s="437"/>
      <c r="I46" s="287"/>
    </row>
  </sheetData>
  <autoFilter ref="A2:H46" xr:uid="{6A06E119-2645-4680-ABA4-211EDBAC8958}"/>
  <mergeCells count="1">
    <mergeCell ref="E1:F1"/>
  </mergeCells>
  <printOptions horizontalCentered="1"/>
  <pageMargins left="0.23622047244094499" right="0.23622047244094499" top="0.74803149606299202" bottom="0.74803149606299202" header="0.31496062992126" footer="0.31496062992126"/>
  <pageSetup paperSize="9" scale="5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D459-E995-4EC2-A094-88946885B70D}">
  <sheetPr>
    <pageSetUpPr fitToPage="1"/>
  </sheetPr>
  <dimension ref="A2:O34"/>
  <sheetViews>
    <sheetView topLeftCell="A12" zoomScale="115" zoomScaleNormal="115" workbookViewId="0">
      <selection activeCell="A5" sqref="A5:XFD5"/>
    </sheetView>
  </sheetViews>
  <sheetFormatPr baseColWidth="10" defaultRowHeight="14.25" x14ac:dyDescent="0.45"/>
  <cols>
    <col min="2" max="2" width="17.19921875" customWidth="1"/>
    <col min="3" max="3" width="13.33203125" customWidth="1"/>
    <col min="4" max="4" width="16.33203125" customWidth="1"/>
    <col min="5" max="5" width="15.46484375" customWidth="1"/>
    <col min="6" max="6" width="16.46484375" hidden="1" customWidth="1"/>
    <col min="7" max="7" width="16.796875" hidden="1" customWidth="1"/>
    <col min="8" max="8" width="13.6640625" hidden="1" customWidth="1"/>
    <col min="9" max="9" width="12.86328125" customWidth="1"/>
    <col min="10" max="10" width="10.6640625" customWidth="1"/>
    <col min="11" max="11" width="15.53125" hidden="1" customWidth="1"/>
    <col min="12" max="12" width="14.46484375" customWidth="1"/>
    <col min="13" max="13" width="14.86328125" hidden="1" customWidth="1"/>
    <col min="14" max="15" width="0" hidden="1" customWidth="1"/>
  </cols>
  <sheetData>
    <row r="2" spans="1:15" ht="18" x14ac:dyDescent="0.55000000000000004">
      <c r="C2" s="429" t="s">
        <v>553</v>
      </c>
    </row>
    <row r="4" spans="1:15" ht="31.5" x14ac:dyDescent="0.5">
      <c r="B4" s="410" t="s">
        <v>33</v>
      </c>
      <c r="C4" s="410" t="s">
        <v>34</v>
      </c>
      <c r="D4" s="410" t="s">
        <v>35</v>
      </c>
      <c r="E4" s="411" t="s">
        <v>66</v>
      </c>
      <c r="F4" s="412" t="s">
        <v>91</v>
      </c>
      <c r="G4" s="412" t="s">
        <v>322</v>
      </c>
      <c r="H4" s="412" t="s">
        <v>317</v>
      </c>
      <c r="I4" s="411" t="s">
        <v>318</v>
      </c>
      <c r="J4" s="413" t="s">
        <v>323</v>
      </c>
      <c r="K4" s="410" t="s">
        <v>324</v>
      </c>
      <c r="L4" s="414" t="s">
        <v>319</v>
      </c>
      <c r="M4" s="410" t="s">
        <v>320</v>
      </c>
      <c r="N4" s="51" t="s">
        <v>321</v>
      </c>
      <c r="O4" s="51" t="s">
        <v>56</v>
      </c>
    </row>
    <row r="5" spans="1:15" ht="36" customHeight="1" x14ac:dyDescent="0.65">
      <c r="A5" t="s">
        <v>381</v>
      </c>
      <c r="B5" s="415" t="s">
        <v>384</v>
      </c>
      <c r="C5" s="375" t="s">
        <v>332</v>
      </c>
      <c r="D5" s="375" t="s">
        <v>344</v>
      </c>
      <c r="E5" s="416">
        <v>639403535</v>
      </c>
      <c r="F5" s="376" t="s">
        <v>345</v>
      </c>
      <c r="G5" s="375" t="s">
        <v>346</v>
      </c>
      <c r="H5" s="377" t="s">
        <v>149</v>
      </c>
      <c r="I5" s="377" t="s">
        <v>347</v>
      </c>
      <c r="J5" s="378">
        <v>623</v>
      </c>
      <c r="K5" s="379">
        <v>46915</v>
      </c>
      <c r="L5" s="421" t="s">
        <v>348</v>
      </c>
      <c r="M5" s="396">
        <v>45196</v>
      </c>
      <c r="N5" s="137">
        <v>8</v>
      </c>
      <c r="O5" t="s">
        <v>57</v>
      </c>
    </row>
    <row r="6" spans="1:15" ht="36" customHeight="1" x14ac:dyDescent="0.65">
      <c r="B6" s="415" t="s">
        <v>385</v>
      </c>
      <c r="C6" s="380" t="s">
        <v>383</v>
      </c>
      <c r="D6" s="380" t="s">
        <v>418</v>
      </c>
      <c r="E6" s="417">
        <v>639211543</v>
      </c>
      <c r="F6" s="381"/>
      <c r="G6" s="382"/>
      <c r="H6" s="383"/>
      <c r="I6" s="383" t="s">
        <v>541</v>
      </c>
      <c r="J6" s="384">
        <v>585</v>
      </c>
      <c r="K6" s="385"/>
      <c r="L6" s="422" t="s">
        <v>555</v>
      </c>
      <c r="M6" s="397">
        <v>46081</v>
      </c>
      <c r="O6" t="s">
        <v>57</v>
      </c>
    </row>
    <row r="7" spans="1:15" ht="36" customHeight="1" x14ac:dyDescent="0.65">
      <c r="B7" s="415" t="s">
        <v>386</v>
      </c>
      <c r="C7" s="375" t="s">
        <v>178</v>
      </c>
      <c r="D7" s="375" t="s">
        <v>65</v>
      </c>
      <c r="E7" s="416">
        <v>639990835</v>
      </c>
      <c r="F7" s="381" t="s">
        <v>180</v>
      </c>
      <c r="G7" s="375" t="s">
        <v>181</v>
      </c>
      <c r="H7" s="377" t="s">
        <v>333</v>
      </c>
      <c r="I7" s="377" t="s">
        <v>551</v>
      </c>
      <c r="J7" s="378">
        <v>806</v>
      </c>
      <c r="K7" s="379"/>
      <c r="L7" s="423" t="s">
        <v>561</v>
      </c>
      <c r="M7" s="398" t="s">
        <v>556</v>
      </c>
      <c r="O7" t="s">
        <v>57</v>
      </c>
    </row>
    <row r="8" spans="1:15" ht="36" customHeight="1" x14ac:dyDescent="0.65">
      <c r="B8" s="415" t="s">
        <v>387</v>
      </c>
      <c r="C8" s="380" t="s">
        <v>369</v>
      </c>
      <c r="D8" s="380" t="s">
        <v>377</v>
      </c>
      <c r="E8" s="416">
        <v>639274676</v>
      </c>
      <c r="F8" s="386"/>
      <c r="G8" s="387" t="s">
        <v>405</v>
      </c>
      <c r="H8" s="383" t="s">
        <v>404</v>
      </c>
      <c r="I8" s="383" t="s">
        <v>402</v>
      </c>
      <c r="J8" s="384">
        <v>666</v>
      </c>
      <c r="K8" s="385"/>
      <c r="L8" s="424" t="s">
        <v>403</v>
      </c>
      <c r="M8" s="398">
        <v>45726</v>
      </c>
      <c r="N8">
        <v>9</v>
      </c>
      <c r="O8" t="s">
        <v>58</v>
      </c>
    </row>
    <row r="9" spans="1:15" ht="36" customHeight="1" x14ac:dyDescent="0.65">
      <c r="A9" t="s">
        <v>381</v>
      </c>
      <c r="B9" s="415" t="s">
        <v>388</v>
      </c>
      <c r="C9" s="380" t="s">
        <v>562</v>
      </c>
      <c r="D9" s="380" t="s">
        <v>389</v>
      </c>
      <c r="E9" s="418">
        <v>639032763</v>
      </c>
      <c r="F9" s="374"/>
      <c r="G9" s="388" t="s">
        <v>406</v>
      </c>
      <c r="H9" s="374"/>
      <c r="I9" s="253" t="s">
        <v>552</v>
      </c>
      <c r="J9" s="401">
        <v>1073</v>
      </c>
      <c r="K9" s="374"/>
      <c r="L9" s="425" t="s">
        <v>407</v>
      </c>
      <c r="M9" s="399">
        <v>45509</v>
      </c>
      <c r="N9" s="395">
        <v>9</v>
      </c>
      <c r="O9" t="s">
        <v>58</v>
      </c>
    </row>
    <row r="10" spans="1:15" ht="36" customHeight="1" x14ac:dyDescent="0.65">
      <c r="B10" s="415" t="s">
        <v>390</v>
      </c>
      <c r="C10" s="380" t="s">
        <v>378</v>
      </c>
      <c r="D10" s="380" t="s">
        <v>379</v>
      </c>
      <c r="E10" s="418">
        <v>639585187</v>
      </c>
      <c r="F10" s="389" t="s">
        <v>408</v>
      </c>
      <c r="G10" s="388" t="s">
        <v>409</v>
      </c>
      <c r="H10" s="369" t="s">
        <v>411</v>
      </c>
      <c r="I10" s="390" t="s">
        <v>410</v>
      </c>
      <c r="J10" s="384">
        <v>1119</v>
      </c>
      <c r="K10" s="391">
        <v>46735</v>
      </c>
      <c r="L10" s="426" t="s">
        <v>557</v>
      </c>
      <c r="M10" s="399">
        <v>42431</v>
      </c>
      <c r="N10">
        <v>9</v>
      </c>
      <c r="O10" t="s">
        <v>58</v>
      </c>
    </row>
    <row r="11" spans="1:15" ht="36" customHeight="1" x14ac:dyDescent="0.65">
      <c r="A11" t="s">
        <v>381</v>
      </c>
      <c r="B11" s="415" t="s">
        <v>391</v>
      </c>
      <c r="C11" s="380" t="s">
        <v>383</v>
      </c>
      <c r="D11" s="380" t="s">
        <v>424</v>
      </c>
      <c r="E11" s="419">
        <v>639211543</v>
      </c>
      <c r="F11" s="370"/>
      <c r="G11" s="370"/>
      <c r="H11" s="371"/>
      <c r="I11" s="371" t="s">
        <v>541</v>
      </c>
      <c r="J11" s="384">
        <v>585</v>
      </c>
      <c r="K11" s="372"/>
      <c r="L11" s="427" t="s">
        <v>558</v>
      </c>
      <c r="M11" s="373">
        <v>46081</v>
      </c>
    </row>
    <row r="12" spans="1:15" ht="36" customHeight="1" x14ac:dyDescent="0.65">
      <c r="B12" s="415" t="s">
        <v>392</v>
      </c>
      <c r="C12" s="375" t="s">
        <v>338</v>
      </c>
      <c r="D12" s="375" t="s">
        <v>339</v>
      </c>
      <c r="E12" s="416" t="s">
        <v>340</v>
      </c>
      <c r="F12" s="381" t="s">
        <v>341</v>
      </c>
      <c r="G12" s="382" t="s">
        <v>342</v>
      </c>
      <c r="H12" s="383" t="s">
        <v>149</v>
      </c>
      <c r="I12" s="377" t="s">
        <v>343</v>
      </c>
      <c r="J12" s="378">
        <v>992</v>
      </c>
      <c r="K12" s="379"/>
      <c r="L12" s="423" t="s">
        <v>560</v>
      </c>
      <c r="M12" s="398">
        <v>45436</v>
      </c>
      <c r="O12" t="s">
        <v>57</v>
      </c>
    </row>
    <row r="13" spans="1:15" ht="36" customHeight="1" x14ac:dyDescent="0.65">
      <c r="A13" t="s">
        <v>381</v>
      </c>
      <c r="B13" s="415" t="s">
        <v>393</v>
      </c>
      <c r="C13" s="380" t="s">
        <v>360</v>
      </c>
      <c r="D13" s="380" t="s">
        <v>361</v>
      </c>
      <c r="E13" s="417">
        <v>639672424</v>
      </c>
      <c r="F13" s="392" t="s">
        <v>414</v>
      </c>
      <c r="G13" s="393" t="s">
        <v>415</v>
      </c>
      <c r="H13" s="383" t="s">
        <v>192</v>
      </c>
      <c r="I13" s="383" t="s">
        <v>412</v>
      </c>
      <c r="J13" s="384">
        <v>810</v>
      </c>
      <c r="K13" s="385"/>
      <c r="L13" s="422" t="s">
        <v>413</v>
      </c>
      <c r="M13" s="397">
        <v>45506</v>
      </c>
      <c r="O13" t="s">
        <v>57</v>
      </c>
    </row>
    <row r="14" spans="1:15" ht="36" customHeight="1" x14ac:dyDescent="0.65">
      <c r="B14" s="415" t="s">
        <v>394</v>
      </c>
      <c r="C14" s="380" t="s">
        <v>188</v>
      </c>
      <c r="D14" s="380" t="s">
        <v>189</v>
      </c>
      <c r="E14" s="417" t="s">
        <v>190</v>
      </c>
      <c r="F14" s="381" t="s">
        <v>169</v>
      </c>
      <c r="G14" s="394" t="s">
        <v>191</v>
      </c>
      <c r="H14" s="383" t="s">
        <v>192</v>
      </c>
      <c r="I14" s="383" t="s">
        <v>193</v>
      </c>
      <c r="J14" s="384">
        <v>759</v>
      </c>
      <c r="K14" s="385"/>
      <c r="L14" s="424" t="s">
        <v>194</v>
      </c>
      <c r="M14" s="400">
        <v>44495</v>
      </c>
      <c r="O14" t="s">
        <v>57</v>
      </c>
    </row>
    <row r="15" spans="1:15" ht="36" customHeight="1" x14ac:dyDescent="0.65">
      <c r="B15" s="415" t="s">
        <v>395</v>
      </c>
      <c r="C15" s="380" t="s">
        <v>396</v>
      </c>
      <c r="D15" s="380" t="s">
        <v>397</v>
      </c>
      <c r="E15" s="417">
        <v>693323268</v>
      </c>
      <c r="F15" s="392" t="s">
        <v>540</v>
      </c>
      <c r="G15" s="393" t="s">
        <v>538</v>
      </c>
      <c r="H15" s="383" t="s">
        <v>149</v>
      </c>
      <c r="I15" s="383" t="s">
        <v>539</v>
      </c>
      <c r="J15" s="384">
        <v>1469</v>
      </c>
      <c r="K15" s="385">
        <v>47562</v>
      </c>
      <c r="L15" s="422" t="s">
        <v>559</v>
      </c>
      <c r="M15" s="397">
        <v>43627</v>
      </c>
      <c r="O15" t="s">
        <v>57</v>
      </c>
    </row>
    <row r="16" spans="1:15" ht="36" customHeight="1" x14ac:dyDescent="0.65">
      <c r="A16" t="s">
        <v>381</v>
      </c>
      <c r="B16" s="415" t="s">
        <v>398</v>
      </c>
      <c r="C16" s="380" t="s">
        <v>353</v>
      </c>
      <c r="D16" s="380" t="s">
        <v>354</v>
      </c>
      <c r="E16" s="417" t="s">
        <v>355</v>
      </c>
      <c r="F16" s="386" t="s">
        <v>356</v>
      </c>
      <c r="G16" s="380" t="s">
        <v>357</v>
      </c>
      <c r="H16" s="383" t="s">
        <v>149</v>
      </c>
      <c r="I16" s="383" t="s">
        <v>358</v>
      </c>
      <c r="J16" s="384">
        <v>504</v>
      </c>
      <c r="K16" s="385">
        <v>46657</v>
      </c>
      <c r="L16" s="424" t="s">
        <v>359</v>
      </c>
      <c r="M16" s="398">
        <v>45504</v>
      </c>
      <c r="O16" t="s">
        <v>57</v>
      </c>
    </row>
    <row r="17" spans="1:15" ht="36" customHeight="1" x14ac:dyDescent="0.65">
      <c r="A17" t="s">
        <v>381</v>
      </c>
      <c r="B17" s="415" t="s">
        <v>399</v>
      </c>
      <c r="C17" s="380" t="s">
        <v>69</v>
      </c>
      <c r="D17" s="380" t="s">
        <v>70</v>
      </c>
      <c r="E17" s="417" t="s">
        <v>219</v>
      </c>
      <c r="F17" s="381" t="s">
        <v>220</v>
      </c>
      <c r="G17" s="382" t="s">
        <v>221</v>
      </c>
      <c r="H17" s="383" t="s">
        <v>149</v>
      </c>
      <c r="I17" s="383" t="s">
        <v>222</v>
      </c>
      <c r="J17" s="384">
        <v>920</v>
      </c>
      <c r="K17" s="385">
        <v>44871</v>
      </c>
      <c r="L17" s="422" t="s">
        <v>223</v>
      </c>
      <c r="M17" s="400">
        <v>44419</v>
      </c>
      <c r="O17" t="s">
        <v>57</v>
      </c>
    </row>
    <row r="18" spans="1:15" ht="36" customHeight="1" x14ac:dyDescent="0.65">
      <c r="B18" s="415" t="s">
        <v>400</v>
      </c>
      <c r="C18" s="380" t="s">
        <v>362</v>
      </c>
      <c r="D18" s="380" t="s">
        <v>363</v>
      </c>
      <c r="E18" s="417">
        <v>639405445</v>
      </c>
      <c r="F18" s="380"/>
      <c r="G18" s="380"/>
      <c r="H18" s="383"/>
      <c r="I18" s="383" t="s">
        <v>548</v>
      </c>
      <c r="J18" s="384">
        <v>393</v>
      </c>
      <c r="K18" s="385"/>
      <c r="L18" s="422" t="s">
        <v>549</v>
      </c>
      <c r="M18" s="397">
        <v>45440</v>
      </c>
      <c r="O18" t="s">
        <v>57</v>
      </c>
    </row>
    <row r="19" spans="1:15" ht="36" customHeight="1" x14ac:dyDescent="0.65">
      <c r="B19" s="415" t="s">
        <v>401</v>
      </c>
      <c r="C19" s="380" t="s">
        <v>550</v>
      </c>
      <c r="D19" s="380" t="s">
        <v>76</v>
      </c>
      <c r="E19" s="417" t="s">
        <v>283</v>
      </c>
      <c r="F19" s="380"/>
      <c r="G19" s="380" t="s">
        <v>284</v>
      </c>
      <c r="H19" s="383" t="s">
        <v>256</v>
      </c>
      <c r="I19" s="383" t="s">
        <v>285</v>
      </c>
      <c r="J19" s="384">
        <v>1337</v>
      </c>
      <c r="K19" s="385">
        <v>45235</v>
      </c>
      <c r="L19" s="422" t="s">
        <v>286</v>
      </c>
      <c r="M19" s="397">
        <v>45219</v>
      </c>
    </row>
    <row r="20" spans="1:15" ht="36" customHeight="1" x14ac:dyDescent="0.65">
      <c r="B20" s="415" t="s">
        <v>31</v>
      </c>
      <c r="C20" s="370" t="s">
        <v>544</v>
      </c>
      <c r="D20" s="370" t="s">
        <v>574</v>
      </c>
      <c r="E20" s="418">
        <v>639217270</v>
      </c>
      <c r="F20" s="380"/>
      <c r="G20" s="380"/>
      <c r="H20" s="383"/>
      <c r="I20" s="383"/>
      <c r="J20" s="384"/>
      <c r="K20" s="385"/>
      <c r="L20" s="422"/>
      <c r="M20" s="397"/>
    </row>
    <row r="21" spans="1:15" ht="36" customHeight="1" x14ac:dyDescent="0.5">
      <c r="B21" s="402" t="s">
        <v>542</v>
      </c>
      <c r="C21" s="403" t="s">
        <v>544</v>
      </c>
      <c r="D21" s="403" t="s">
        <v>545</v>
      </c>
      <c r="E21" s="420">
        <v>638653002</v>
      </c>
      <c r="F21" s="403"/>
      <c r="G21" s="403"/>
      <c r="H21" s="404"/>
      <c r="I21" s="404"/>
      <c r="J21" s="405"/>
      <c r="K21" s="406"/>
      <c r="L21" s="428"/>
      <c r="M21" s="407"/>
    </row>
    <row r="22" spans="1:15" ht="36" customHeight="1" x14ac:dyDescent="0.45">
      <c r="B22" s="408" t="s">
        <v>543</v>
      </c>
      <c r="C22" s="403" t="s">
        <v>383</v>
      </c>
      <c r="D22" s="403" t="s">
        <v>546</v>
      </c>
      <c r="E22" s="420">
        <v>639211543</v>
      </c>
      <c r="F22" s="403"/>
      <c r="G22" s="403"/>
      <c r="H22" s="404"/>
      <c r="I22" s="404" t="s">
        <v>541</v>
      </c>
      <c r="J22" s="409">
        <v>585</v>
      </c>
      <c r="K22" s="406"/>
      <c r="L22" s="428" t="s">
        <v>558</v>
      </c>
      <c r="M22" s="407">
        <v>46081</v>
      </c>
    </row>
    <row r="23" spans="1:15" ht="45.5" customHeight="1" x14ac:dyDescent="0.5">
      <c r="B23" s="402" t="s">
        <v>547</v>
      </c>
      <c r="C23" s="403" t="s">
        <v>73</v>
      </c>
      <c r="D23" s="403" t="s">
        <v>74</v>
      </c>
      <c r="E23" s="420" t="s">
        <v>273</v>
      </c>
      <c r="F23" s="403"/>
      <c r="G23" s="403"/>
      <c r="H23" s="404"/>
      <c r="I23" s="404" t="s">
        <v>277</v>
      </c>
      <c r="J23" s="405">
        <v>249</v>
      </c>
      <c r="K23" s="406">
        <v>43132</v>
      </c>
      <c r="L23" s="428" t="s">
        <v>278</v>
      </c>
      <c r="M23" s="407">
        <v>45083</v>
      </c>
    </row>
    <row r="24" spans="1:15" ht="46.25" customHeight="1" x14ac:dyDescent="0.5">
      <c r="B24" s="402" t="s">
        <v>554</v>
      </c>
      <c r="C24" s="403" t="s">
        <v>383</v>
      </c>
      <c r="D24" s="403" t="s">
        <v>546</v>
      </c>
      <c r="E24" s="420">
        <v>639211543</v>
      </c>
      <c r="F24" s="403"/>
      <c r="G24" s="403"/>
      <c r="H24" s="404"/>
      <c r="I24" s="404" t="s">
        <v>541</v>
      </c>
      <c r="J24" s="409">
        <v>585</v>
      </c>
      <c r="K24" s="406"/>
      <c r="L24" s="428" t="s">
        <v>558</v>
      </c>
      <c r="M24" s="407">
        <v>46081</v>
      </c>
    </row>
    <row r="27" spans="1:15" x14ac:dyDescent="0.45">
      <c r="C27" t="s">
        <v>61</v>
      </c>
      <c r="D27" t="s">
        <v>62</v>
      </c>
    </row>
    <row r="28" spans="1:15" x14ac:dyDescent="0.45">
      <c r="C28" t="s">
        <v>64</v>
      </c>
      <c r="D28" t="s">
        <v>63</v>
      </c>
    </row>
    <row r="29" spans="1:15" x14ac:dyDescent="0.45">
      <c r="C29" t="s">
        <v>64</v>
      </c>
      <c r="D29" t="s">
        <v>65</v>
      </c>
    </row>
    <row r="30" spans="1:15" x14ac:dyDescent="0.45">
      <c r="C30" t="s">
        <v>67</v>
      </c>
      <c r="D30" t="s">
        <v>68</v>
      </c>
    </row>
    <row r="31" spans="1:15" x14ac:dyDescent="0.45">
      <c r="C31" t="s">
        <v>69</v>
      </c>
      <c r="D31" t="s">
        <v>70</v>
      </c>
    </row>
    <row r="32" spans="1:15" x14ac:dyDescent="0.45">
      <c r="C32" t="s">
        <v>72</v>
      </c>
      <c r="D32" t="s">
        <v>71</v>
      </c>
    </row>
    <row r="33" spans="3:4" x14ac:dyDescent="0.45">
      <c r="C33" t="s">
        <v>73</v>
      </c>
      <c r="D33" t="s">
        <v>74</v>
      </c>
    </row>
    <row r="34" spans="3:4" x14ac:dyDescent="0.45">
      <c r="C34" t="s">
        <v>75</v>
      </c>
      <c r="D34" t="s">
        <v>76</v>
      </c>
    </row>
  </sheetData>
  <phoneticPr fontId="5" type="noConversion"/>
  <hyperlinks>
    <hyperlink ref="F5" r:id="rId1" xr:uid="{8C054C9E-AB27-456F-ACAE-30F86AEE587F}"/>
    <hyperlink ref="F7" r:id="rId2" xr:uid="{DEDBBBFC-7A7B-4791-A05E-2EBDF31BE0D1}"/>
    <hyperlink ref="F12" r:id="rId3" xr:uid="{28491F24-F107-4EBF-BE83-AFE138F5C402}"/>
    <hyperlink ref="F14" r:id="rId4" xr:uid="{010848A8-D50B-45E2-874B-39338224B8BE}"/>
    <hyperlink ref="F17" r:id="rId5" xr:uid="{9D4F2CF7-FD6E-49BB-9BC9-791C44A7FF7C}"/>
    <hyperlink ref="F10" r:id="rId6" xr:uid="{5D5FB5AB-77BF-4F0E-A9D4-61293C3841ED}"/>
    <hyperlink ref="F13" r:id="rId7" xr:uid="{E0FDAF6B-65A5-4127-90D3-0AD75CD10F77}"/>
    <hyperlink ref="F15" r:id="rId8" xr:uid="{5957FB84-304A-4237-B9BD-E0F05985D6D2}"/>
  </hyperlinks>
  <pageMargins left="0.7" right="0.7" top="0.75" bottom="0.75" header="0.3" footer="0.3"/>
  <pageSetup paperSize="9" scale="73" orientation="portrait" r:id="rId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AD97-4E2F-4149-89CB-3FE52EBB9FA2}">
  <sheetPr>
    <pageSetUpPr fitToPage="1"/>
  </sheetPr>
  <dimension ref="A3:N166"/>
  <sheetViews>
    <sheetView topLeftCell="A62" zoomScale="99" zoomScaleNormal="99" workbookViewId="0">
      <selection activeCell="A70" sqref="A70"/>
    </sheetView>
  </sheetViews>
  <sheetFormatPr baseColWidth="10" defaultRowHeight="14.25" x14ac:dyDescent="0.45"/>
  <cols>
    <col min="1" max="1" width="18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380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382</v>
      </c>
      <c r="B7" s="3" t="s">
        <v>0</v>
      </c>
      <c r="C7" s="3" t="s">
        <v>25</v>
      </c>
      <c r="D7" s="3" t="s">
        <v>26</v>
      </c>
      <c r="E7" s="3" t="s">
        <v>371</v>
      </c>
      <c r="F7" s="3" t="s">
        <v>370</v>
      </c>
      <c r="G7" s="3" t="s">
        <v>372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24.75" customHeight="1" x14ac:dyDescent="0.45">
      <c r="A8" s="14" t="s">
        <v>416</v>
      </c>
      <c r="B8" s="307">
        <v>0.20833333333333334</v>
      </c>
      <c r="C8" s="324" t="s">
        <v>384</v>
      </c>
      <c r="D8" s="35" t="str">
        <f>VLOOKUP(C8,'Liste chauffeur'!$B$5:$L$19,2,TRUE)&amp;" "&amp;VLOOKUP(C8,'Liste chauffeur'!$B$5:$L$19,3,TRUE)</f>
        <v>MOHAMED Ali (laglace)</v>
      </c>
      <c r="E8" s="53">
        <v>1</v>
      </c>
      <c r="F8" s="35">
        <f>B12-B8</f>
        <v>2.0833333333333315E-2</v>
      </c>
      <c r="G8" s="35"/>
      <c r="H8" s="51"/>
      <c r="I8" s="51"/>
      <c r="J8" s="51"/>
      <c r="K8" s="51"/>
      <c r="L8" s="295"/>
      <c r="M8" s="296"/>
      <c r="N8" s="61"/>
    </row>
    <row r="9" spans="1:14" ht="24.75" customHeight="1" x14ac:dyDescent="0.45">
      <c r="A9" s="14" t="s">
        <v>416</v>
      </c>
      <c r="B9" s="307">
        <v>0.21527777777777779</v>
      </c>
      <c r="C9" s="324" t="s">
        <v>387</v>
      </c>
      <c r="D9" s="35" t="str">
        <f>VLOOKUP(C9,'Liste chauffeur'!$B$5:$L$19,2,TRUE)&amp;" "&amp;VLOOKUP(C9,'Liste chauffeur'!$B$5:$L$19,3,TRUE)</f>
        <v>VELOU M'COLO M'Berou</v>
      </c>
      <c r="E9" s="53">
        <v>1</v>
      </c>
      <c r="F9" s="35">
        <f>B14-B9</f>
        <v>2.0833333333333315E-2</v>
      </c>
      <c r="G9" s="35"/>
      <c r="H9" s="51"/>
      <c r="I9" s="51"/>
      <c r="J9" s="51"/>
      <c r="K9" s="51"/>
      <c r="L9" s="295"/>
      <c r="M9" s="296"/>
      <c r="N9" s="61"/>
    </row>
    <row r="10" spans="1:14" ht="24.75" customHeight="1" x14ac:dyDescent="0.45">
      <c r="A10" s="14" t="s">
        <v>416</v>
      </c>
      <c r="B10" s="307">
        <v>0.22222222222222221</v>
      </c>
      <c r="C10" s="324" t="s">
        <v>395</v>
      </c>
      <c r="D10" s="35" t="str">
        <f>VLOOKUP(C10,'Liste chauffeur'!$B$5:$L$19,2,TRUE)&amp;" "&amp;VLOOKUP(C10,'Liste chauffeur'!$B$5:$L$19,3,TRUE)</f>
        <v>AMINA Selemani</v>
      </c>
      <c r="E10" s="53">
        <v>1</v>
      </c>
      <c r="F10" s="35">
        <f>B16-B10</f>
        <v>2.0833333333333343E-2</v>
      </c>
      <c r="G10" s="35"/>
      <c r="H10" s="51"/>
      <c r="I10" s="51"/>
      <c r="J10" s="51"/>
      <c r="K10" s="51"/>
      <c r="L10" s="295"/>
      <c r="M10" s="296"/>
      <c r="N10" s="61"/>
    </row>
    <row r="11" spans="1:14" ht="24.75" customHeight="1" x14ac:dyDescent="0.45">
      <c r="A11" s="14" t="s">
        <v>416</v>
      </c>
      <c r="B11" s="307">
        <v>0.22916666666666666</v>
      </c>
      <c r="C11" s="324" t="s">
        <v>388</v>
      </c>
      <c r="D11" s="35" t="str">
        <f>VLOOKUP(C11,'Liste chauffeur'!$B$5:$L$19,2,TRUE)&amp;" "&amp;VLOOKUP(C11,'Liste chauffeur'!$B$5:$L$19,3,TRUE)</f>
        <v>MOURIDI Aktoir</v>
      </c>
      <c r="E11" s="53">
        <v>1</v>
      </c>
      <c r="F11" s="35">
        <f>B18-B11</f>
        <v>2.0833333333333343E-2</v>
      </c>
      <c r="G11" s="35"/>
      <c r="H11" s="51"/>
      <c r="I11" s="51"/>
      <c r="J11" s="51"/>
      <c r="K11" s="51"/>
      <c r="L11" s="295"/>
      <c r="M11" s="296"/>
      <c r="N11" s="61"/>
    </row>
    <row r="12" spans="1:14" ht="24.75" customHeight="1" x14ac:dyDescent="0.45">
      <c r="A12" s="14" t="s">
        <v>417</v>
      </c>
      <c r="B12" s="326">
        <v>0.22916666666666666</v>
      </c>
      <c r="C12" s="324" t="s">
        <v>384</v>
      </c>
      <c r="D12" s="35" t="str">
        <f>VLOOKUP(C12,'Liste chauffeur'!$B$5:$L$19,2,TRUE)&amp;" "&amp;VLOOKUP(C12,'Liste chauffeur'!$B$5:$L$19,3,TRUE)</f>
        <v>MOHAMED Ali (laglace)</v>
      </c>
      <c r="E12" s="53">
        <v>2</v>
      </c>
      <c r="F12" s="35">
        <f>B17-B12</f>
        <v>2.0833333333333343E-2</v>
      </c>
      <c r="G12" s="35"/>
      <c r="H12" s="51"/>
      <c r="I12" s="51"/>
      <c r="J12" s="51"/>
      <c r="K12" s="51"/>
      <c r="L12" s="295"/>
      <c r="M12" s="296"/>
      <c r="N12" s="61"/>
    </row>
    <row r="13" spans="1:14" ht="40.049999999999997" customHeight="1" x14ac:dyDescent="0.45">
      <c r="A13" s="14" t="s">
        <v>416</v>
      </c>
      <c r="B13" s="48">
        <v>0.2361111111111111</v>
      </c>
      <c r="C13" s="324" t="s">
        <v>393</v>
      </c>
      <c r="D13" s="35" t="str">
        <f>VLOOKUP(C13,'Liste chauffeur'!$B$5:$L$19,2,TRUE)&amp;" "&amp;VLOOKUP(C13,'Liste chauffeur'!$B$5:$L$19,3,TRUE)</f>
        <v>ABDOURAHIM Mohamed</v>
      </c>
      <c r="E13" s="53">
        <v>1</v>
      </c>
      <c r="F13" s="35">
        <f>B22-B13</f>
        <v>2.0833333333333315E-2</v>
      </c>
      <c r="G13" s="35"/>
      <c r="H13" s="62"/>
      <c r="I13" s="35"/>
      <c r="J13" s="62"/>
      <c r="K13" s="35"/>
      <c r="L13" s="36"/>
      <c r="M13" s="40"/>
      <c r="N13" s="61"/>
    </row>
    <row r="14" spans="1:14" ht="40.049999999999997" customHeight="1" x14ac:dyDescent="0.45">
      <c r="A14" s="14" t="s">
        <v>417</v>
      </c>
      <c r="B14" s="300">
        <v>0.2361111111111111</v>
      </c>
      <c r="C14" s="324" t="s">
        <v>387</v>
      </c>
      <c r="D14" s="35" t="str">
        <f>VLOOKUP(C14,'Liste chauffeur'!$B$5:$L$19,2,TRUE)&amp;" "&amp;VLOOKUP(C14,'Liste chauffeur'!$B$5:$L$19,3,TRUE)</f>
        <v>VELOU M'COLO M'Berou</v>
      </c>
      <c r="E14" s="53">
        <v>2</v>
      </c>
      <c r="F14" s="35">
        <f>B21-B14</f>
        <v>2.0833333333333315E-2</v>
      </c>
      <c r="G14" s="35"/>
      <c r="H14" s="62"/>
      <c r="I14" s="35"/>
      <c r="J14" s="62"/>
      <c r="K14" s="35"/>
      <c r="L14" s="36"/>
      <c r="M14" s="40"/>
      <c r="N14" s="61"/>
    </row>
    <row r="15" spans="1:14" ht="40.049999999999997" customHeight="1" x14ac:dyDescent="0.45">
      <c r="A15" s="14" t="s">
        <v>416</v>
      </c>
      <c r="B15" s="48">
        <v>0.24305555555555555</v>
      </c>
      <c r="C15" s="324" t="s">
        <v>385</v>
      </c>
      <c r="D15" s="35" t="str">
        <f>VLOOKUP(C15,'Liste chauffeur'!$B$5:$L$19,2,TRUE)&amp;" "&amp;VLOOKUP(C15,'Liste chauffeur'!$B$5:$L$19,3,TRUE)</f>
        <v>KAMARDINE Mansour (Salarié)</v>
      </c>
      <c r="E15" s="53">
        <v>1</v>
      </c>
      <c r="F15" s="35">
        <f>B26-B15</f>
        <v>2.0833333333333343E-2</v>
      </c>
      <c r="G15" s="35"/>
      <c r="H15" s="62"/>
      <c r="I15" s="35"/>
      <c r="J15" s="62"/>
      <c r="K15" s="35"/>
      <c r="L15" s="36"/>
      <c r="M15" s="40"/>
      <c r="N15" s="61"/>
    </row>
    <row r="16" spans="1:14" ht="40.049999999999997" customHeight="1" x14ac:dyDescent="0.45">
      <c r="A16" s="14" t="s">
        <v>417</v>
      </c>
      <c r="B16" s="300">
        <v>0.24305555555555555</v>
      </c>
      <c r="C16" s="324" t="s">
        <v>395</v>
      </c>
      <c r="D16" s="35" t="str">
        <f>VLOOKUP(C16,'Liste chauffeur'!$B$5:$L$19,2,TRUE)&amp;" "&amp;VLOOKUP(C16,'Liste chauffeur'!$B$5:$L$19,3,TRUE)</f>
        <v>AMINA Selemani</v>
      </c>
      <c r="E16" s="53">
        <v>2</v>
      </c>
      <c r="F16" s="35">
        <f>B23-B16</f>
        <v>1.3888888888888867E-2</v>
      </c>
      <c r="G16" s="35"/>
      <c r="H16" s="62"/>
      <c r="I16" s="35"/>
      <c r="J16" s="62"/>
      <c r="K16" s="35"/>
      <c r="L16" s="36"/>
      <c r="M16" s="40"/>
      <c r="N16" s="61"/>
    </row>
    <row r="17" spans="1:14" ht="40.049999999999997" customHeight="1" x14ac:dyDescent="0.45">
      <c r="A17" s="14" t="s">
        <v>416</v>
      </c>
      <c r="B17" s="300">
        <v>0.25</v>
      </c>
      <c r="C17" s="327" t="s">
        <v>384</v>
      </c>
      <c r="D17" s="35" t="str">
        <f>VLOOKUP(C17,'Liste chauffeur'!$B$5:$L$19,2,TRUE)&amp;" "&amp;VLOOKUP(C17,'Liste chauffeur'!$B$5:$L$19,3,TRUE)</f>
        <v>MOHAMED Ali (laglace)</v>
      </c>
      <c r="E17" s="53">
        <v>3</v>
      </c>
      <c r="F17" s="35">
        <f>B30-B17</f>
        <v>2.0833333333333315E-2</v>
      </c>
      <c r="G17" s="35"/>
      <c r="H17" s="62"/>
      <c r="I17" s="35"/>
      <c r="J17" s="62"/>
      <c r="K17" s="35"/>
      <c r="L17" s="36"/>
      <c r="M17" s="40"/>
      <c r="N17" s="61"/>
    </row>
    <row r="18" spans="1:14" ht="40.049999999999997" customHeight="1" x14ac:dyDescent="0.45">
      <c r="A18" s="14" t="s">
        <v>417</v>
      </c>
      <c r="B18" s="300">
        <v>0.25</v>
      </c>
      <c r="C18" s="327" t="s">
        <v>388</v>
      </c>
      <c r="D18" s="35" t="str">
        <f>VLOOKUP(C18,'Liste chauffeur'!$B$5:$L$19,2,TRUE)&amp;" "&amp;VLOOKUP(C18,'Liste chauffeur'!$B$5:$L$19,3,TRUE)</f>
        <v>MOURIDI Aktoir</v>
      </c>
      <c r="E18" s="53">
        <v>2</v>
      </c>
      <c r="F18" s="35">
        <f>B29-B18</f>
        <v>2.0833333333333315E-2</v>
      </c>
      <c r="G18" s="35"/>
      <c r="H18" s="62"/>
      <c r="I18" s="35"/>
      <c r="J18" s="62"/>
      <c r="K18" s="35"/>
      <c r="L18" s="36"/>
      <c r="M18" s="40"/>
      <c r="N18" s="61"/>
    </row>
    <row r="19" spans="1:14" ht="40.049999999999997" customHeight="1" x14ac:dyDescent="0.45">
      <c r="A19" s="14" t="s">
        <v>527</v>
      </c>
      <c r="B19" s="48">
        <v>0.25</v>
      </c>
      <c r="C19" s="327" t="s">
        <v>394</v>
      </c>
      <c r="D19" s="35" t="str">
        <f>VLOOKUP(C19,'Liste chauffeur'!$B$5:$L$19,2,TRUE)&amp;" "&amp;VLOOKUP(C19,'Liste chauffeur'!$B$5:$L$19,3,TRUE)</f>
        <v>AMBDI  Houmadi</v>
      </c>
      <c r="E19" s="53">
        <v>1</v>
      </c>
      <c r="F19" s="35">
        <f>B32-B19</f>
        <v>2.0833333333333315E-2</v>
      </c>
      <c r="G19" s="35"/>
      <c r="H19" s="62"/>
      <c r="I19" s="35"/>
      <c r="J19" s="62"/>
      <c r="K19" s="35"/>
      <c r="L19" s="36"/>
      <c r="M19" s="40"/>
      <c r="N19" s="61"/>
    </row>
    <row r="20" spans="1:14" ht="40.049999999999997" customHeight="1" x14ac:dyDescent="0.45">
      <c r="A20" s="14" t="s">
        <v>417</v>
      </c>
      <c r="B20" s="48">
        <v>0.25</v>
      </c>
      <c r="C20" s="327" t="s">
        <v>386</v>
      </c>
      <c r="D20" s="35" t="str">
        <f>VLOOKUP(C20,'Liste chauffeur'!$B$5:$L$19,2,TRUE)&amp;" "&amp;VLOOKUP(C20,'Liste chauffeur'!$B$5:$L$19,3,TRUE)</f>
        <v>ALLAOUI  Soibrane</v>
      </c>
      <c r="E20" s="53">
        <v>1</v>
      </c>
      <c r="F20" s="35">
        <f>B31-B20</f>
        <v>2.0833333333333315E-2</v>
      </c>
      <c r="G20" s="35"/>
      <c r="H20" s="62"/>
      <c r="I20" s="35"/>
      <c r="J20" s="62"/>
      <c r="K20" s="35"/>
      <c r="L20" s="36"/>
      <c r="M20" s="40"/>
      <c r="N20" s="61"/>
    </row>
    <row r="21" spans="1:14" ht="40.049999999999997" customHeight="1" x14ac:dyDescent="0.45">
      <c r="A21" s="14" t="s">
        <v>416</v>
      </c>
      <c r="B21" s="300">
        <v>0.25694444444444442</v>
      </c>
      <c r="C21" s="324" t="s">
        <v>387</v>
      </c>
      <c r="D21" s="35" t="str">
        <f>VLOOKUP(C21,'Liste chauffeur'!$B$5:$L$19,2,TRUE)&amp;" "&amp;VLOOKUP(C21,'Liste chauffeur'!$B$5:$L$19,3,TRUE)</f>
        <v>VELOU M'COLO M'Berou</v>
      </c>
      <c r="E21" s="53">
        <v>3</v>
      </c>
      <c r="F21" s="35">
        <f>B34-B21</f>
        <v>2.083333333333337E-2</v>
      </c>
      <c r="G21" s="35"/>
      <c r="H21" s="62"/>
      <c r="I21" s="35"/>
      <c r="J21" s="62"/>
      <c r="K21" s="35"/>
      <c r="L21" s="36"/>
      <c r="M21" s="40"/>
      <c r="N21" s="61"/>
    </row>
    <row r="22" spans="1:14" ht="40.049999999999997" customHeight="1" x14ac:dyDescent="0.45">
      <c r="A22" s="14" t="s">
        <v>417</v>
      </c>
      <c r="B22" s="300">
        <v>0.25694444444444442</v>
      </c>
      <c r="C22" s="324" t="s">
        <v>393</v>
      </c>
      <c r="D22" s="35" t="str">
        <f>VLOOKUP(C22,'Liste chauffeur'!$B$5:$L$19,2,TRUE)&amp;" "&amp;VLOOKUP(C22,'Liste chauffeur'!$B$5:$L$19,3,TRUE)</f>
        <v>ABDOURAHIM Mohamed</v>
      </c>
      <c r="E22" s="53">
        <v>2</v>
      </c>
      <c r="F22" s="35">
        <f>B33-B22</f>
        <v>2.083333333333337E-2</v>
      </c>
      <c r="G22" s="35"/>
      <c r="H22" s="62"/>
      <c r="I22" s="35"/>
      <c r="J22" s="62"/>
      <c r="K22" s="35"/>
      <c r="L22" s="36"/>
      <c r="M22" s="40"/>
      <c r="N22" s="61"/>
    </row>
    <row r="23" spans="1:14" ht="40.049999999999997" customHeight="1" x14ac:dyDescent="0.45">
      <c r="A23" s="14" t="s">
        <v>527</v>
      </c>
      <c r="B23" s="300">
        <v>0.25694444444444442</v>
      </c>
      <c r="C23" s="324" t="s">
        <v>395</v>
      </c>
      <c r="D23" s="35" t="str">
        <f>VLOOKUP(C23,'Liste chauffeur'!$B$5:$L$19,2,TRUE)&amp;" "&amp;VLOOKUP(C23,'Liste chauffeur'!$B$5:$L$19,3,TRUE)</f>
        <v>AMINA Selemani</v>
      </c>
      <c r="E23" s="53">
        <v>3</v>
      </c>
      <c r="F23" s="35">
        <f>B36-B23</f>
        <v>2.083333333333337E-2</v>
      </c>
      <c r="G23" s="35"/>
      <c r="H23" s="62"/>
      <c r="I23" s="35"/>
      <c r="J23" s="62"/>
      <c r="K23" s="35"/>
      <c r="L23" s="36"/>
      <c r="M23" s="40"/>
      <c r="N23" s="61"/>
    </row>
    <row r="24" spans="1:14" ht="40.049999999999997" customHeight="1" x14ac:dyDescent="0.45">
      <c r="A24" s="14" t="s">
        <v>417</v>
      </c>
      <c r="B24" s="48">
        <v>0.25694444444444442</v>
      </c>
      <c r="C24" s="324" t="s">
        <v>390</v>
      </c>
      <c r="D24" s="35" t="str">
        <f>VLOOKUP(C24,'Liste chauffeur'!$B$5:$L$19,2,TRUE)&amp;" "&amp;VLOOKUP(C24,'Liste chauffeur'!$B$5:$L$19,3,TRUE)</f>
        <v>AHAMADI Laydine</v>
      </c>
      <c r="E24" s="53">
        <v>1</v>
      </c>
      <c r="F24" s="35">
        <f>B35-B24</f>
        <v>2.083333333333337E-2</v>
      </c>
      <c r="G24" s="35"/>
      <c r="H24" s="62"/>
      <c r="I24" s="35"/>
      <c r="J24" s="62"/>
      <c r="K24" s="35"/>
      <c r="L24" s="36"/>
      <c r="M24" s="40"/>
      <c r="N24" s="61"/>
    </row>
    <row r="25" spans="1:14" ht="40.049999999999997" customHeight="1" x14ac:dyDescent="0.45">
      <c r="A25" s="14" t="s">
        <v>416</v>
      </c>
      <c r="B25" s="300">
        <v>0.2638888888888889</v>
      </c>
      <c r="C25" s="324" t="s">
        <v>392</v>
      </c>
      <c r="D25" s="35" t="str">
        <f>VLOOKUP(C25,'Liste chauffeur'!$B$5:$L$19,2,TRUE)&amp;" "&amp;VLOOKUP(C25,'Liste chauffeur'!$B$5:$L$19,3,TRUE)</f>
        <v>BARAKA  Soumaila</v>
      </c>
      <c r="E25" s="53">
        <v>1</v>
      </c>
      <c r="F25" s="35">
        <f>B38-B25</f>
        <v>2.0833333333333315E-2</v>
      </c>
      <c r="G25" s="35"/>
      <c r="H25" s="62"/>
      <c r="I25" s="35"/>
      <c r="J25" s="62"/>
      <c r="K25" s="35"/>
      <c r="L25" s="36"/>
      <c r="M25" s="40"/>
      <c r="N25" s="61"/>
    </row>
    <row r="26" spans="1:14" ht="40.049999999999997" customHeight="1" x14ac:dyDescent="0.45">
      <c r="A26" s="14" t="s">
        <v>417</v>
      </c>
      <c r="B26" s="300">
        <v>0.2638888888888889</v>
      </c>
      <c r="C26" s="324" t="s">
        <v>385</v>
      </c>
      <c r="D26" s="35" t="str">
        <f>VLOOKUP(C26,'Liste chauffeur'!$B$5:$L$19,2,TRUE)&amp;" "&amp;VLOOKUP(C26,'Liste chauffeur'!$B$5:$L$19,3,TRUE)</f>
        <v>KAMARDINE Mansour (Salarié)</v>
      </c>
      <c r="E26" s="53">
        <v>2</v>
      </c>
      <c r="F26" s="35">
        <f>B37-B26</f>
        <v>2.0833333333333315E-2</v>
      </c>
      <c r="G26" s="35"/>
      <c r="H26" s="62"/>
      <c r="I26" s="35"/>
      <c r="J26" s="62"/>
      <c r="K26" s="35"/>
      <c r="L26" s="36"/>
      <c r="M26" s="40"/>
      <c r="N26" s="61"/>
    </row>
    <row r="27" spans="1:14" ht="40.049999999999997" customHeight="1" x14ac:dyDescent="0.45">
      <c r="A27" s="14" t="s">
        <v>527</v>
      </c>
      <c r="B27" s="318">
        <v>0.2638888888888889</v>
      </c>
      <c r="C27" s="324" t="s">
        <v>399</v>
      </c>
      <c r="D27" s="35" t="str">
        <f>VLOOKUP(C27,'Liste chauffeur'!$B$5:$L$19,2,TRUE)&amp;" "&amp;VLOOKUP(C27,'Liste chauffeur'!$B$5:$L$19,3,TRUE)</f>
        <v>COMBO  Said</v>
      </c>
      <c r="E27" s="53">
        <v>1</v>
      </c>
      <c r="F27" s="35">
        <f>B40-B27</f>
        <v>2.0833333333333315E-2</v>
      </c>
      <c r="G27" s="35"/>
      <c r="H27" s="62"/>
      <c r="I27" s="35"/>
      <c r="J27" s="62"/>
      <c r="K27" s="35"/>
      <c r="L27" s="36"/>
      <c r="M27" s="40"/>
      <c r="N27" s="61"/>
    </row>
    <row r="28" spans="1:14" ht="40.049999999999997" customHeight="1" x14ac:dyDescent="0.45">
      <c r="A28" s="14" t="s">
        <v>417</v>
      </c>
      <c r="B28" s="48">
        <v>0.2638888888888889</v>
      </c>
      <c r="C28" s="324" t="s">
        <v>398</v>
      </c>
      <c r="D28" s="35" t="str">
        <f>VLOOKUP(C28,'Liste chauffeur'!$B$5:$L$19,2,TRUE)&amp;" "&amp;VLOOKUP(C28,'Liste chauffeur'!$B$5:$L$19,3,TRUE)</f>
        <v>ABDOU HAMIDOUNE Nassabia</v>
      </c>
      <c r="E28" s="53">
        <v>1</v>
      </c>
      <c r="F28" s="35">
        <f>B39-B28</f>
        <v>2.0833333333333315E-2</v>
      </c>
      <c r="G28" s="35"/>
      <c r="H28" s="62"/>
      <c r="I28" s="35"/>
      <c r="J28" s="62"/>
      <c r="K28" s="35"/>
      <c r="L28" s="36"/>
      <c r="M28" s="40"/>
      <c r="N28" s="61"/>
    </row>
    <row r="29" spans="1:14" ht="40.049999999999997" customHeight="1" x14ac:dyDescent="0.45">
      <c r="A29" s="14" t="s">
        <v>416</v>
      </c>
      <c r="B29" s="300">
        <v>0.27083333333333331</v>
      </c>
      <c r="C29" s="324" t="s">
        <v>388</v>
      </c>
      <c r="D29" s="35" t="str">
        <f>VLOOKUP(C29,'Liste chauffeur'!$B$5:$L$19,2,TRUE)&amp;" "&amp;VLOOKUP(C29,'Liste chauffeur'!$B$5:$L$19,3,TRUE)</f>
        <v>MOURIDI Aktoir</v>
      </c>
      <c r="E29" s="53">
        <v>3</v>
      </c>
      <c r="F29" s="35">
        <f>B42-B29</f>
        <v>2.083333333333337E-2</v>
      </c>
      <c r="G29" s="35"/>
      <c r="H29" s="62"/>
      <c r="I29" s="35"/>
      <c r="J29" s="62"/>
      <c r="K29" s="35"/>
      <c r="L29" s="36"/>
      <c r="M29" s="40"/>
      <c r="N29" s="61"/>
    </row>
    <row r="30" spans="1:14" ht="40.049999999999997" customHeight="1" x14ac:dyDescent="0.45">
      <c r="A30" s="14" t="s">
        <v>417</v>
      </c>
      <c r="B30" s="300">
        <v>0.27083333333333331</v>
      </c>
      <c r="C30" s="324" t="s">
        <v>384</v>
      </c>
      <c r="D30" s="35" t="str">
        <f>VLOOKUP(C30,'Liste chauffeur'!$B$5:$L$19,2,TRUE)&amp;" "&amp;VLOOKUP(C30,'Liste chauffeur'!$B$5:$L$19,3,TRUE)</f>
        <v>MOHAMED Ali (laglace)</v>
      </c>
      <c r="E30" s="53">
        <v>4</v>
      </c>
      <c r="F30" s="35">
        <f>B41-B30</f>
        <v>2.083333333333337E-2</v>
      </c>
      <c r="G30" s="35"/>
      <c r="H30" s="62"/>
      <c r="I30" s="35"/>
      <c r="J30" s="62"/>
      <c r="K30" s="35"/>
      <c r="L30" s="36"/>
      <c r="M30" s="40"/>
      <c r="N30" s="61"/>
    </row>
    <row r="31" spans="1:14" ht="40.049999999999997" customHeight="1" x14ac:dyDescent="0.45">
      <c r="A31" s="14" t="s">
        <v>527</v>
      </c>
      <c r="B31" s="300">
        <v>0.27083333333333331</v>
      </c>
      <c r="C31" s="324" t="s">
        <v>386</v>
      </c>
      <c r="D31" s="35" t="str">
        <f>VLOOKUP(C31,'Liste chauffeur'!$B$5:$L$19,2,TRUE)&amp;" "&amp;VLOOKUP(C31,'Liste chauffeur'!$B$5:$L$19,3,TRUE)</f>
        <v>ALLAOUI  Soibrane</v>
      </c>
      <c r="E31" s="53">
        <v>2</v>
      </c>
      <c r="F31" s="35">
        <f>B44-B31</f>
        <v>2.083333333333337E-2</v>
      </c>
      <c r="G31" s="35"/>
      <c r="H31" s="62"/>
      <c r="I31" s="35"/>
      <c r="J31" s="62"/>
      <c r="K31" s="35"/>
      <c r="L31" s="36"/>
      <c r="M31" s="40"/>
      <c r="N31" s="61"/>
    </row>
    <row r="32" spans="1:14" ht="40.049999999999997" customHeight="1" x14ac:dyDescent="0.45">
      <c r="A32" s="14" t="s">
        <v>417</v>
      </c>
      <c r="B32" s="300">
        <v>0.27083333333333331</v>
      </c>
      <c r="C32" s="324" t="s">
        <v>394</v>
      </c>
      <c r="D32" s="35" t="str">
        <f>VLOOKUP(C32,'Liste chauffeur'!$B$5:$L$19,2,TRUE)&amp;" "&amp;VLOOKUP(C32,'Liste chauffeur'!$B$5:$L$19,3,TRUE)</f>
        <v>AMBDI  Houmadi</v>
      </c>
      <c r="E32" s="53">
        <v>2</v>
      </c>
      <c r="F32" s="35">
        <f>B43-B32</f>
        <v>2.083333333333337E-2</v>
      </c>
      <c r="G32" s="35"/>
      <c r="H32" s="62"/>
      <c r="I32" s="35"/>
      <c r="J32" s="62"/>
      <c r="K32" s="35"/>
      <c r="L32" s="36"/>
      <c r="M32" s="40"/>
      <c r="N32" s="61"/>
    </row>
    <row r="33" spans="1:14" ht="40.049999999999997" customHeight="1" x14ac:dyDescent="0.45">
      <c r="A33" s="14" t="s">
        <v>416</v>
      </c>
      <c r="B33" s="300">
        <v>0.27777777777777779</v>
      </c>
      <c r="C33" s="324" t="s">
        <v>393</v>
      </c>
      <c r="D33" s="35" t="str">
        <f>VLOOKUP(C33,'Liste chauffeur'!$B$5:$L$19,2,TRUE)&amp;" "&amp;VLOOKUP(C33,'Liste chauffeur'!$B$5:$L$19,3,TRUE)</f>
        <v>ABDOURAHIM Mohamed</v>
      </c>
      <c r="E33" s="53">
        <v>3</v>
      </c>
      <c r="F33" s="35">
        <f>B46-B33</f>
        <v>2.0833333333333315E-2</v>
      </c>
      <c r="G33" s="35"/>
      <c r="H33" s="62"/>
      <c r="I33" s="35"/>
      <c r="J33" s="62"/>
      <c r="K33" s="35"/>
      <c r="L33" s="36"/>
      <c r="M33" s="40"/>
      <c r="N33" s="61"/>
    </row>
    <row r="34" spans="1:14" ht="40.049999999999997" customHeight="1" x14ac:dyDescent="0.45">
      <c r="A34" s="14" t="s">
        <v>417</v>
      </c>
      <c r="B34" s="300">
        <v>0.27777777777777779</v>
      </c>
      <c r="C34" s="324" t="s">
        <v>387</v>
      </c>
      <c r="D34" s="35" t="str">
        <f>VLOOKUP(C34,'Liste chauffeur'!$B$5:$L$19,2,TRUE)&amp;" "&amp;VLOOKUP(C34,'Liste chauffeur'!$B$5:$L$19,3,TRUE)</f>
        <v>VELOU M'COLO M'Berou</v>
      </c>
      <c r="E34" s="53">
        <v>4</v>
      </c>
      <c r="F34" s="35">
        <f>B45-B34</f>
        <v>2.0833333333333315E-2</v>
      </c>
      <c r="G34" s="35"/>
      <c r="H34" s="62"/>
      <c r="I34" s="35"/>
      <c r="J34" s="62"/>
      <c r="K34" s="35"/>
      <c r="L34" s="36"/>
      <c r="M34" s="40"/>
      <c r="N34" s="61"/>
    </row>
    <row r="35" spans="1:14" ht="40.049999999999997" customHeight="1" x14ac:dyDescent="0.45">
      <c r="A35" s="14" t="s">
        <v>527</v>
      </c>
      <c r="B35" s="300">
        <v>0.27777777777777779</v>
      </c>
      <c r="C35" s="324" t="s">
        <v>390</v>
      </c>
      <c r="D35" s="35" t="str">
        <f>VLOOKUP(C35,'Liste chauffeur'!$B$5:$L$19,2,TRUE)&amp;" "&amp;VLOOKUP(C35,'Liste chauffeur'!$B$5:$L$19,3,TRUE)</f>
        <v>AHAMADI Laydine</v>
      </c>
      <c r="E35" s="53">
        <v>2</v>
      </c>
      <c r="F35" s="35">
        <f>B48-B35</f>
        <v>2.0833333333333315E-2</v>
      </c>
      <c r="G35" s="35"/>
      <c r="H35" s="62"/>
      <c r="I35" s="35"/>
      <c r="J35" s="62"/>
      <c r="K35" s="35"/>
      <c r="L35" s="36"/>
      <c r="M35" s="40"/>
      <c r="N35" s="61"/>
    </row>
    <row r="36" spans="1:14" ht="40.049999999999997" customHeight="1" x14ac:dyDescent="0.45">
      <c r="A36" s="14" t="s">
        <v>417</v>
      </c>
      <c r="B36" s="300">
        <v>0.27777777777777779</v>
      </c>
      <c r="C36" s="324" t="s">
        <v>395</v>
      </c>
      <c r="D36" s="35" t="str">
        <f>VLOOKUP(C36,'Liste chauffeur'!$B$5:$L$19,2,TRUE)&amp;" "&amp;VLOOKUP(C36,'Liste chauffeur'!$B$5:$L$19,3,TRUE)</f>
        <v>AMINA Selemani</v>
      </c>
      <c r="E36" s="53">
        <v>4</v>
      </c>
      <c r="F36" s="35">
        <f>B47-B36</f>
        <v>2.0833333333333315E-2</v>
      </c>
      <c r="G36" s="35"/>
      <c r="H36" s="62"/>
      <c r="I36" s="35"/>
      <c r="J36" s="62"/>
      <c r="K36" s="35"/>
      <c r="L36" s="36"/>
      <c r="M36" s="40"/>
      <c r="N36" s="61"/>
    </row>
    <row r="37" spans="1:14" ht="40.049999999999997" customHeight="1" x14ac:dyDescent="0.45">
      <c r="A37" s="14" t="s">
        <v>416</v>
      </c>
      <c r="B37" s="300">
        <v>0.28472222222222221</v>
      </c>
      <c r="C37" s="324" t="s">
        <v>385</v>
      </c>
      <c r="D37" s="35" t="str">
        <f>VLOOKUP(C37,'Liste chauffeur'!$B$5:$L$19,2,TRUE)&amp;" "&amp;VLOOKUP(C37,'Liste chauffeur'!$B$5:$L$19,3,TRUE)</f>
        <v>KAMARDINE Mansour (Salarié)</v>
      </c>
      <c r="E37" s="53">
        <v>3</v>
      </c>
      <c r="F37" s="35">
        <f>B50-B37</f>
        <v>2.083333333333337E-2</v>
      </c>
      <c r="G37" s="35"/>
      <c r="H37" s="62"/>
      <c r="I37" s="35"/>
      <c r="J37" s="62"/>
      <c r="K37" s="35"/>
      <c r="L37" s="36"/>
      <c r="M37" s="40"/>
      <c r="N37" s="61"/>
    </row>
    <row r="38" spans="1:14" ht="40.049999999999997" customHeight="1" x14ac:dyDescent="0.45">
      <c r="A38" s="14" t="s">
        <v>417</v>
      </c>
      <c r="B38" s="300">
        <v>0.28472222222222221</v>
      </c>
      <c r="C38" s="324" t="s">
        <v>392</v>
      </c>
      <c r="D38" s="35" t="str">
        <f>VLOOKUP(C38,'Liste chauffeur'!$B$5:$L$19,2,TRUE)&amp;" "&amp;VLOOKUP(C38,'Liste chauffeur'!$B$5:$L$19,3,TRUE)</f>
        <v>BARAKA  Soumaila</v>
      </c>
      <c r="E38" s="53">
        <v>2</v>
      </c>
      <c r="F38" s="35">
        <f>B49-B38</f>
        <v>2.083333333333337E-2</v>
      </c>
      <c r="G38" s="35"/>
      <c r="H38" s="62"/>
      <c r="I38" s="35"/>
      <c r="J38" s="62"/>
      <c r="K38" s="35"/>
      <c r="L38" s="36"/>
      <c r="M38" s="40"/>
      <c r="N38" s="61"/>
    </row>
    <row r="39" spans="1:14" ht="40.049999999999997" customHeight="1" x14ac:dyDescent="0.45">
      <c r="A39" s="14" t="s">
        <v>527</v>
      </c>
      <c r="B39" s="300">
        <v>0.28472222222222221</v>
      </c>
      <c r="C39" s="324" t="s">
        <v>398</v>
      </c>
      <c r="D39" s="35" t="str">
        <f>VLOOKUP(C39,'Liste chauffeur'!$B$5:$L$19,2,TRUE)&amp;" "&amp;VLOOKUP(C39,'Liste chauffeur'!$B$5:$L$19,3,TRUE)</f>
        <v>ABDOU HAMIDOUNE Nassabia</v>
      </c>
      <c r="E39" s="53">
        <v>2</v>
      </c>
      <c r="F39" s="300">
        <f>B52-B39</f>
        <v>2.083333333333337E-2</v>
      </c>
      <c r="G39" s="35"/>
      <c r="H39" s="62"/>
      <c r="I39" s="35"/>
      <c r="J39" s="62"/>
      <c r="K39" s="35"/>
      <c r="L39" s="36"/>
      <c r="M39" s="40"/>
      <c r="N39" s="61"/>
    </row>
    <row r="40" spans="1:14" ht="40.049999999999997" customHeight="1" x14ac:dyDescent="0.45">
      <c r="A40" s="14" t="s">
        <v>417</v>
      </c>
      <c r="B40" s="300">
        <v>0.28472222222222221</v>
      </c>
      <c r="C40" s="324" t="s">
        <v>399</v>
      </c>
      <c r="D40" s="35" t="str">
        <f>VLOOKUP(C40,'Liste chauffeur'!$B$5:$L$19,2,TRUE)&amp;" "&amp;VLOOKUP(C40,'Liste chauffeur'!$B$5:$L$19,3,TRUE)</f>
        <v>COMBO  Said</v>
      </c>
      <c r="E40" s="53">
        <v>2</v>
      </c>
      <c r="F40" s="300">
        <f>B51-B40</f>
        <v>2.083333333333337E-2</v>
      </c>
      <c r="G40" s="35"/>
      <c r="H40" s="62"/>
      <c r="I40" s="35"/>
      <c r="J40" s="62"/>
      <c r="K40" s="35"/>
      <c r="L40" s="36"/>
      <c r="M40" s="40"/>
      <c r="N40" s="61"/>
    </row>
    <row r="41" spans="1:14" ht="40.049999999999997" customHeight="1" x14ac:dyDescent="0.45">
      <c r="A41" s="14" t="s">
        <v>416</v>
      </c>
      <c r="B41" s="300">
        <v>0.29166666666666669</v>
      </c>
      <c r="C41" s="324" t="s">
        <v>384</v>
      </c>
      <c r="D41" s="35" t="str">
        <f>VLOOKUP(C41,'Liste chauffeur'!$B$5:$L$19,2,TRUE)&amp;" "&amp;VLOOKUP(C41,'Liste chauffeur'!$B$5:$L$19,3,TRUE)</f>
        <v>MOHAMED Ali (laglace)</v>
      </c>
      <c r="E41" s="53">
        <v>5</v>
      </c>
      <c r="F41" s="300">
        <f>B54-B41</f>
        <v>2.0833333333333315E-2</v>
      </c>
      <c r="G41" s="300"/>
      <c r="H41" s="62"/>
      <c r="I41" s="35"/>
      <c r="J41" s="62"/>
      <c r="K41" s="35"/>
      <c r="L41" s="36"/>
      <c r="M41" s="40"/>
      <c r="N41" s="61"/>
    </row>
    <row r="42" spans="1:14" ht="40.049999999999997" customHeight="1" x14ac:dyDescent="0.45">
      <c r="A42" s="14" t="s">
        <v>417</v>
      </c>
      <c r="B42" s="300">
        <v>0.29166666666666669</v>
      </c>
      <c r="C42" s="324" t="s">
        <v>388</v>
      </c>
      <c r="D42" s="35" t="str">
        <f>VLOOKUP(C42,'Liste chauffeur'!$B$5:$L$19,2,TRUE)&amp;" "&amp;VLOOKUP(C42,'Liste chauffeur'!$B$5:$L$19,3,TRUE)</f>
        <v>MOURIDI Aktoir</v>
      </c>
      <c r="E42" s="53">
        <v>4</v>
      </c>
      <c r="F42" s="300">
        <f>B53-B42</f>
        <v>2.0833333333333315E-2</v>
      </c>
      <c r="G42" s="300"/>
      <c r="H42" s="62"/>
      <c r="I42" s="35"/>
      <c r="J42" s="62"/>
      <c r="K42" s="35"/>
      <c r="L42" s="36"/>
      <c r="M42" s="40"/>
      <c r="N42" s="61"/>
    </row>
    <row r="43" spans="1:14" ht="40.049999999999997" customHeight="1" x14ac:dyDescent="0.45">
      <c r="A43" s="14" t="s">
        <v>527</v>
      </c>
      <c r="B43" s="300">
        <v>0.29166666666666669</v>
      </c>
      <c r="C43" s="327" t="s">
        <v>394</v>
      </c>
      <c r="D43" s="35" t="str">
        <f>VLOOKUP(C43,'Liste chauffeur'!$B$5:$L$19,2,TRUE)&amp;" "&amp;VLOOKUP(C43,'Liste chauffeur'!$B$5:$L$19,3,TRUE)</f>
        <v>AMBDI  Houmadi</v>
      </c>
      <c r="E43" s="53">
        <v>3</v>
      </c>
      <c r="F43" s="35">
        <f>B56-B43</f>
        <v>2.0833333333333315E-2</v>
      </c>
      <c r="G43" s="35"/>
      <c r="H43" s="62"/>
      <c r="I43" s="35"/>
      <c r="J43" s="62"/>
      <c r="K43" s="35"/>
      <c r="L43" s="36"/>
      <c r="M43" s="40"/>
      <c r="N43" s="61"/>
    </row>
    <row r="44" spans="1:14" ht="40.049999999999997" customHeight="1" x14ac:dyDescent="0.45">
      <c r="A44" s="14" t="s">
        <v>417</v>
      </c>
      <c r="B44" s="300">
        <v>0.29166666666666669</v>
      </c>
      <c r="C44" s="327" t="s">
        <v>386</v>
      </c>
      <c r="D44" s="35" t="str">
        <f>VLOOKUP(C44,'Liste chauffeur'!$B$5:$L$19,2,TRUE)&amp;" "&amp;VLOOKUP(C44,'Liste chauffeur'!$B$5:$L$19,3,TRUE)</f>
        <v>ALLAOUI  Soibrane</v>
      </c>
      <c r="E44" s="53">
        <v>3</v>
      </c>
      <c r="F44" s="35">
        <f>B55-B44</f>
        <v>2.0833333333333315E-2</v>
      </c>
      <c r="G44" s="35"/>
      <c r="H44" s="62"/>
      <c r="I44" s="35"/>
      <c r="J44" s="62"/>
      <c r="K44" s="35"/>
      <c r="L44" s="36"/>
      <c r="M44" s="40"/>
      <c r="N44" s="61"/>
    </row>
    <row r="45" spans="1:14" ht="40.049999999999997" customHeight="1" x14ac:dyDescent="0.45">
      <c r="A45" s="14" t="s">
        <v>416</v>
      </c>
      <c r="B45" s="300">
        <v>0.2986111111111111</v>
      </c>
      <c r="C45" s="324" t="s">
        <v>387</v>
      </c>
      <c r="D45" s="35" t="str">
        <f>VLOOKUP(C45,'Liste chauffeur'!$B$5:$L$19,2,TRUE)&amp;" "&amp;VLOOKUP(C45,'Liste chauffeur'!$B$5:$L$19,3,TRUE)</f>
        <v>VELOU M'COLO M'Berou</v>
      </c>
      <c r="E45" s="53">
        <v>5</v>
      </c>
      <c r="F45" s="35">
        <f>B58-B45</f>
        <v>2.0833333333333315E-2</v>
      </c>
      <c r="G45" s="35"/>
      <c r="H45" s="62"/>
      <c r="I45" s="35"/>
      <c r="J45" s="62"/>
      <c r="K45" s="35"/>
      <c r="L45" s="36"/>
      <c r="M45" s="40"/>
      <c r="N45" s="61"/>
    </row>
    <row r="46" spans="1:14" ht="40.049999999999997" customHeight="1" x14ac:dyDescent="0.45">
      <c r="A46" s="14" t="s">
        <v>417</v>
      </c>
      <c r="B46" s="300">
        <v>0.2986111111111111</v>
      </c>
      <c r="C46" s="324" t="s">
        <v>393</v>
      </c>
      <c r="D46" s="35" t="str">
        <f>VLOOKUP(C46,'Liste chauffeur'!$B$5:$L$19,2,TRUE)&amp;" "&amp;VLOOKUP(C46,'Liste chauffeur'!$B$5:$L$19,3,TRUE)</f>
        <v>ABDOURAHIM Mohamed</v>
      </c>
      <c r="E46" s="53">
        <v>4</v>
      </c>
      <c r="F46" s="35">
        <f>B57-B46</f>
        <v>2.0833333333333315E-2</v>
      </c>
      <c r="G46" s="35"/>
      <c r="H46" s="62"/>
      <c r="I46" s="35"/>
      <c r="J46" s="62"/>
      <c r="K46" s="35"/>
      <c r="L46" s="36"/>
      <c r="M46" s="40"/>
      <c r="N46" s="61"/>
    </row>
    <row r="47" spans="1:14" ht="40.049999999999997" customHeight="1" x14ac:dyDescent="0.45">
      <c r="A47" s="14" t="s">
        <v>527</v>
      </c>
      <c r="B47" s="300">
        <v>0.2986111111111111</v>
      </c>
      <c r="C47" s="324" t="s">
        <v>395</v>
      </c>
      <c r="D47" s="35" t="str">
        <f>VLOOKUP(C47,'Liste chauffeur'!$B$5:$L$19,2,TRUE)&amp;" "&amp;VLOOKUP(C47,'Liste chauffeur'!$B$5:$L$19,3,TRUE)</f>
        <v>AMINA Selemani</v>
      </c>
      <c r="E47" s="53">
        <v>5</v>
      </c>
      <c r="F47" s="35">
        <f>B60-B47</f>
        <v>2.0833333333333315E-2</v>
      </c>
      <c r="G47" s="35"/>
      <c r="H47" s="62"/>
      <c r="I47" s="35"/>
      <c r="J47" s="62"/>
      <c r="K47" s="35"/>
      <c r="L47" s="36"/>
      <c r="M47" s="40"/>
      <c r="N47" s="61"/>
    </row>
    <row r="48" spans="1:14" ht="40.049999999999997" customHeight="1" x14ac:dyDescent="0.45">
      <c r="A48" s="14" t="s">
        <v>417</v>
      </c>
      <c r="B48" s="300">
        <v>0.2986111111111111</v>
      </c>
      <c r="C48" s="324" t="s">
        <v>390</v>
      </c>
      <c r="D48" s="35" t="str">
        <f>VLOOKUP(C48,'Liste chauffeur'!$B$5:$L$19,2,TRUE)&amp;" "&amp;VLOOKUP(C48,'Liste chauffeur'!$B$5:$L$19,3,TRUE)</f>
        <v>AHAMADI Laydine</v>
      </c>
      <c r="E48" s="53">
        <v>3</v>
      </c>
      <c r="F48" s="35">
        <f>B59-B48</f>
        <v>2.0833333333333315E-2</v>
      </c>
      <c r="G48" s="35"/>
      <c r="H48" s="62"/>
      <c r="I48" s="35"/>
      <c r="J48" s="62"/>
      <c r="K48" s="35"/>
      <c r="L48" s="36"/>
      <c r="M48" s="40"/>
      <c r="N48" s="61"/>
    </row>
    <row r="49" spans="1:14" ht="40.049999999999997" customHeight="1" x14ac:dyDescent="0.45">
      <c r="A49" s="14" t="s">
        <v>416</v>
      </c>
      <c r="B49" s="300">
        <v>0.30555555555555558</v>
      </c>
      <c r="C49" s="324" t="s">
        <v>392</v>
      </c>
      <c r="D49" s="35" t="str">
        <f>VLOOKUP(C49,'Liste chauffeur'!$B$5:$L$19,2,TRUE)&amp;" "&amp;VLOOKUP(C49,'Liste chauffeur'!$B$5:$L$19,3,TRUE)</f>
        <v>BARAKA  Soumaila</v>
      </c>
      <c r="E49" s="53">
        <v>3</v>
      </c>
      <c r="F49" s="35">
        <f>B62-B49</f>
        <v>2.0833333333333315E-2</v>
      </c>
      <c r="G49" s="35"/>
      <c r="H49" s="62"/>
      <c r="I49" s="35"/>
      <c r="J49" s="62"/>
      <c r="K49" s="35"/>
      <c r="L49" s="36"/>
      <c r="M49" s="40"/>
      <c r="N49" s="61"/>
    </row>
    <row r="50" spans="1:14" ht="40.049999999999997" customHeight="1" x14ac:dyDescent="0.45">
      <c r="A50" s="14" t="s">
        <v>417</v>
      </c>
      <c r="B50" s="300">
        <v>0.30555555555555558</v>
      </c>
      <c r="C50" s="324" t="s">
        <v>385</v>
      </c>
      <c r="D50" s="35" t="str">
        <f>VLOOKUP(C50,'Liste chauffeur'!$B$5:$L$19,2,TRUE)&amp;" "&amp;VLOOKUP(C50,'Liste chauffeur'!$B$5:$L$19,3,TRUE)</f>
        <v>KAMARDINE Mansour (Salarié)</v>
      </c>
      <c r="E50" s="53">
        <v>4</v>
      </c>
      <c r="F50" s="35">
        <f>B61-B50</f>
        <v>2.0833333333333315E-2</v>
      </c>
      <c r="G50" s="35"/>
      <c r="H50" s="62"/>
      <c r="I50" s="35"/>
      <c r="J50" s="62"/>
      <c r="K50" s="35"/>
      <c r="L50" s="36"/>
      <c r="M50" s="40"/>
      <c r="N50" s="61"/>
    </row>
    <row r="51" spans="1:14" ht="40.049999999999997" customHeight="1" x14ac:dyDescent="0.45">
      <c r="A51" s="14" t="s">
        <v>527</v>
      </c>
      <c r="B51" s="300">
        <v>0.30555555555555558</v>
      </c>
      <c r="C51" s="324" t="s">
        <v>399</v>
      </c>
      <c r="D51" s="35" t="str">
        <f>VLOOKUP(C51,'Liste chauffeur'!$B$5:$L$19,2,TRUE)&amp;" "&amp;VLOOKUP(C51,'Liste chauffeur'!$B$5:$L$19,3,TRUE)</f>
        <v>COMBO  Said</v>
      </c>
      <c r="E51" s="53">
        <v>3</v>
      </c>
      <c r="F51" s="35">
        <f>B64-B51</f>
        <v>2.0833333333333315E-2</v>
      </c>
      <c r="G51" s="35"/>
      <c r="H51" s="62"/>
      <c r="I51" s="35"/>
      <c r="J51" s="62"/>
      <c r="K51" s="35"/>
      <c r="L51" s="36"/>
      <c r="M51" s="40"/>
      <c r="N51" s="61"/>
    </row>
    <row r="52" spans="1:14" ht="40.049999999999997" customHeight="1" x14ac:dyDescent="0.45">
      <c r="A52" s="14" t="s">
        <v>417</v>
      </c>
      <c r="B52" s="300">
        <v>0.30555555555555558</v>
      </c>
      <c r="C52" s="324" t="s">
        <v>398</v>
      </c>
      <c r="D52" s="35" t="str">
        <f>VLOOKUP(C52,'Liste chauffeur'!$B$5:$L$19,2,TRUE)&amp;" "&amp;VLOOKUP(C52,'Liste chauffeur'!$B$5:$L$19,3,TRUE)</f>
        <v>ABDOU HAMIDOUNE Nassabia</v>
      </c>
      <c r="E52" s="53">
        <v>3</v>
      </c>
      <c r="F52" s="35">
        <f>B63-B52</f>
        <v>2.0833333333333315E-2</v>
      </c>
      <c r="G52" s="35"/>
      <c r="H52" s="62"/>
      <c r="I52" s="35"/>
      <c r="J52" s="62"/>
      <c r="K52" s="35"/>
      <c r="L52" s="36"/>
      <c r="M52" s="40"/>
      <c r="N52" s="61"/>
    </row>
    <row r="53" spans="1:14" ht="40.049999999999997" customHeight="1" x14ac:dyDescent="0.45">
      <c r="A53" s="14" t="s">
        <v>416</v>
      </c>
      <c r="B53" s="300">
        <v>0.3125</v>
      </c>
      <c r="C53" s="324" t="s">
        <v>388</v>
      </c>
      <c r="D53" s="35" t="str">
        <f>VLOOKUP(C53,'Liste chauffeur'!$B$5:$L$19,2,TRUE)&amp;" "&amp;VLOOKUP(C53,'Liste chauffeur'!$B$5:$L$19,3,TRUE)</f>
        <v>MOURIDI Aktoir</v>
      </c>
      <c r="E53" s="53">
        <v>5</v>
      </c>
      <c r="F53" s="35">
        <f>B66-B53</f>
        <v>2.0833333333333315E-2</v>
      </c>
      <c r="G53" s="35"/>
      <c r="H53" s="62"/>
      <c r="I53" s="35"/>
      <c r="J53" s="62"/>
      <c r="K53" s="35"/>
      <c r="L53" s="36"/>
      <c r="M53" s="40"/>
      <c r="N53" s="61"/>
    </row>
    <row r="54" spans="1:14" ht="40.049999999999997" customHeight="1" x14ac:dyDescent="0.45">
      <c r="A54" s="14" t="s">
        <v>417</v>
      </c>
      <c r="B54" s="300">
        <v>0.3125</v>
      </c>
      <c r="C54" s="324" t="s">
        <v>384</v>
      </c>
      <c r="D54" s="35" t="str">
        <f>VLOOKUP(C54,'Liste chauffeur'!$B$5:$L$19,2,TRUE)&amp;" "&amp;VLOOKUP(C54,'Liste chauffeur'!$B$5:$L$19,3,TRUE)</f>
        <v>MOHAMED Ali (laglace)</v>
      </c>
      <c r="E54" s="53">
        <v>6</v>
      </c>
      <c r="F54" s="35">
        <f>B65-B54</f>
        <v>2.0833333333333315E-2</v>
      </c>
      <c r="G54" s="35"/>
      <c r="H54" s="62"/>
      <c r="I54" s="35"/>
      <c r="J54" s="62"/>
      <c r="K54" s="35"/>
      <c r="L54" s="36"/>
      <c r="M54" s="40"/>
      <c r="N54" s="61"/>
    </row>
    <row r="55" spans="1:14" ht="40.049999999999997" customHeight="1" x14ac:dyDescent="0.45">
      <c r="A55" s="14" t="s">
        <v>527</v>
      </c>
      <c r="B55" s="300">
        <v>0.3125</v>
      </c>
      <c r="C55" s="324" t="s">
        <v>386</v>
      </c>
      <c r="D55" s="35" t="str">
        <f>VLOOKUP(C55,'Liste chauffeur'!$B$5:$L$19,2,TRUE)&amp;" "&amp;VLOOKUP(C55,'Liste chauffeur'!$B$5:$L$19,3,TRUE)</f>
        <v>ALLAOUI  Soibrane</v>
      </c>
      <c r="E55" s="53">
        <v>4</v>
      </c>
      <c r="F55" s="35">
        <f>B68-B55</f>
        <v>2.0833333333333315E-2</v>
      </c>
      <c r="G55" s="35"/>
      <c r="H55" s="62"/>
      <c r="I55" s="35"/>
      <c r="J55" s="62"/>
      <c r="K55" s="35"/>
      <c r="L55" s="36"/>
      <c r="M55" s="40"/>
      <c r="N55" s="61"/>
    </row>
    <row r="56" spans="1:14" ht="40.049999999999997" customHeight="1" x14ac:dyDescent="0.45">
      <c r="A56" s="14" t="s">
        <v>417</v>
      </c>
      <c r="B56" s="300">
        <v>0.3125</v>
      </c>
      <c r="C56" s="324" t="s">
        <v>394</v>
      </c>
      <c r="D56" s="35" t="str">
        <f>VLOOKUP(C56,'Liste chauffeur'!$B$5:$L$19,2,TRUE)&amp;" "&amp;VLOOKUP(C56,'Liste chauffeur'!$B$5:$L$19,3,TRUE)</f>
        <v>AMBDI  Houmadi</v>
      </c>
      <c r="E56" s="53">
        <v>4</v>
      </c>
      <c r="F56" s="35">
        <f>B67-B56</f>
        <v>2.0833333333333315E-2</v>
      </c>
      <c r="G56" s="35"/>
      <c r="H56" s="62"/>
      <c r="I56" s="35"/>
      <c r="J56" s="62"/>
      <c r="K56" s="35"/>
      <c r="L56" s="36"/>
      <c r="M56" s="40"/>
      <c r="N56" s="61"/>
    </row>
    <row r="57" spans="1:14" ht="40.049999999999997" customHeight="1" x14ac:dyDescent="0.45">
      <c r="A57" s="14" t="s">
        <v>416</v>
      </c>
      <c r="B57" s="299">
        <v>0.31944444444444442</v>
      </c>
      <c r="C57" s="324" t="s">
        <v>393</v>
      </c>
      <c r="D57" s="35" t="str">
        <f>VLOOKUP(C57,'Liste chauffeur'!$B$5:$L$19,2,TRUE)&amp;" "&amp;VLOOKUP(C57,'Liste chauffeur'!$B$5:$L$19,3,TRUE)</f>
        <v>ABDOURAHIM Mohamed</v>
      </c>
      <c r="E57" s="53">
        <v>5</v>
      </c>
      <c r="F57" s="35"/>
      <c r="G57" s="35"/>
      <c r="H57" s="62"/>
      <c r="I57" s="35"/>
      <c r="J57" s="62"/>
      <c r="K57" s="35"/>
      <c r="L57" s="36"/>
      <c r="M57" s="40"/>
      <c r="N57" s="61"/>
    </row>
    <row r="58" spans="1:14" ht="40.049999999999997" customHeight="1" x14ac:dyDescent="0.45">
      <c r="A58" s="14" t="s">
        <v>417</v>
      </c>
      <c r="B58" s="299">
        <v>0.31944444444444442</v>
      </c>
      <c r="C58" s="324" t="s">
        <v>387</v>
      </c>
      <c r="D58" s="35" t="str">
        <f>VLOOKUP(C58,'Liste chauffeur'!$B$5:$L$19,2,TRUE)&amp;" "&amp;VLOOKUP(C58,'Liste chauffeur'!$B$5:$L$19,3,TRUE)</f>
        <v>VELOU M'COLO M'Berou</v>
      </c>
      <c r="E58" s="53">
        <v>6</v>
      </c>
      <c r="F58" s="35"/>
      <c r="G58" s="35"/>
      <c r="H58" s="62"/>
      <c r="I58" s="35"/>
      <c r="J58" s="62"/>
      <c r="K58" s="35"/>
      <c r="L58" s="36"/>
      <c r="M58" s="40"/>
      <c r="N58" s="61"/>
    </row>
    <row r="59" spans="1:14" ht="40.049999999999997" customHeight="1" x14ac:dyDescent="0.45">
      <c r="A59" s="14" t="s">
        <v>527</v>
      </c>
      <c r="B59" s="299">
        <v>0.31944444444444442</v>
      </c>
      <c r="C59" s="324" t="s">
        <v>390</v>
      </c>
      <c r="D59" s="35" t="str">
        <f>VLOOKUP(C59,'Liste chauffeur'!$B$5:$L$19,2,TRUE)&amp;" "&amp;VLOOKUP(C59,'Liste chauffeur'!$B$5:$L$19,3,TRUE)</f>
        <v>AHAMADI Laydine</v>
      </c>
      <c r="E59" s="53">
        <v>4</v>
      </c>
      <c r="F59" s="35"/>
      <c r="G59" s="35"/>
      <c r="H59" s="62"/>
      <c r="I59" s="35"/>
      <c r="J59" s="62"/>
      <c r="K59" s="35"/>
      <c r="L59" s="36"/>
      <c r="M59" s="40"/>
      <c r="N59" s="61"/>
    </row>
    <row r="60" spans="1:14" ht="40.049999999999997" customHeight="1" x14ac:dyDescent="0.45">
      <c r="A60" s="14" t="s">
        <v>417</v>
      </c>
      <c r="B60" s="299">
        <v>0.31944444444444442</v>
      </c>
      <c r="C60" s="324" t="s">
        <v>395</v>
      </c>
      <c r="D60" s="35" t="str">
        <f>VLOOKUP(C60,'Liste chauffeur'!$B$5:$L$19,2,TRUE)&amp;" "&amp;VLOOKUP(C60,'Liste chauffeur'!$B$5:$L$19,3,TRUE)</f>
        <v>AMINA Selemani</v>
      </c>
      <c r="E60" s="53">
        <v>6</v>
      </c>
      <c r="F60" s="35"/>
      <c r="G60" s="35"/>
      <c r="H60" s="62"/>
      <c r="I60" s="35"/>
      <c r="J60" s="62"/>
      <c r="K60" s="35"/>
      <c r="L60" s="36"/>
      <c r="M60" s="40"/>
      <c r="N60" s="61"/>
    </row>
    <row r="61" spans="1:14" ht="40.049999999999997" customHeight="1" x14ac:dyDescent="0.45">
      <c r="A61" s="14" t="s">
        <v>416</v>
      </c>
      <c r="B61" s="300">
        <v>0.3263888888888889</v>
      </c>
      <c r="C61" s="324" t="s">
        <v>385</v>
      </c>
      <c r="D61" s="35" t="str">
        <f>VLOOKUP(C61,'Liste chauffeur'!$B$5:$L$19,2,TRUE)&amp;" "&amp;VLOOKUP(C61,'Liste chauffeur'!$B$5:$L$19,3,TRUE)</f>
        <v>KAMARDINE Mansour (Salarié)</v>
      </c>
      <c r="E61" s="53">
        <v>5</v>
      </c>
      <c r="F61" s="35">
        <f>B70-B61</f>
        <v>2.0833333333333315E-2</v>
      </c>
      <c r="G61" s="35"/>
      <c r="H61" s="62"/>
      <c r="I61" s="35"/>
      <c r="J61" s="62"/>
      <c r="K61" s="35"/>
      <c r="L61" s="36"/>
      <c r="M61" s="40"/>
      <c r="N61" s="61"/>
    </row>
    <row r="62" spans="1:14" ht="40.049999999999997" customHeight="1" x14ac:dyDescent="0.45">
      <c r="A62" s="14" t="s">
        <v>417</v>
      </c>
      <c r="B62" s="300">
        <v>0.3263888888888889</v>
      </c>
      <c r="C62" s="324" t="s">
        <v>392</v>
      </c>
      <c r="D62" s="35" t="str">
        <f>VLOOKUP(C62,'Liste chauffeur'!$B$5:$L$19,2,TRUE)&amp;" "&amp;VLOOKUP(C62,'Liste chauffeur'!$B$5:$L$19,3,TRUE)</f>
        <v>BARAKA  Soumaila</v>
      </c>
      <c r="E62" s="53">
        <v>4</v>
      </c>
      <c r="F62" s="35">
        <f>B69-B62</f>
        <v>2.0833333333333315E-2</v>
      </c>
      <c r="G62" s="35"/>
      <c r="H62" s="62"/>
      <c r="I62" s="35"/>
      <c r="J62" s="62"/>
      <c r="K62" s="35"/>
      <c r="L62" s="36"/>
      <c r="M62" s="40"/>
      <c r="N62" s="61"/>
    </row>
    <row r="63" spans="1:14" ht="40.049999999999997" customHeight="1" x14ac:dyDescent="0.45">
      <c r="A63" s="14" t="s">
        <v>527</v>
      </c>
      <c r="B63" s="299">
        <v>0.3263888888888889</v>
      </c>
      <c r="C63" s="324" t="s">
        <v>398</v>
      </c>
      <c r="D63" s="35" t="str">
        <f>VLOOKUP(C63,'Liste chauffeur'!$B$5:$L$19,2,TRUE)&amp;" "&amp;VLOOKUP(C63,'Liste chauffeur'!$B$5:$L$19,3,TRUE)</f>
        <v>ABDOU HAMIDOUNE Nassabia</v>
      </c>
      <c r="E63" s="53">
        <v>4</v>
      </c>
      <c r="F63" s="35"/>
      <c r="G63" s="35"/>
      <c r="H63" s="62"/>
      <c r="I63" s="35"/>
      <c r="J63" s="62"/>
      <c r="K63" s="35"/>
      <c r="L63" s="36"/>
      <c r="M63" s="40"/>
      <c r="N63" s="61"/>
    </row>
    <row r="64" spans="1:14" ht="40.049999999999997" customHeight="1" x14ac:dyDescent="0.45">
      <c r="A64" s="14" t="s">
        <v>417</v>
      </c>
      <c r="B64" s="299">
        <v>0.3263888888888889</v>
      </c>
      <c r="C64" s="324" t="s">
        <v>399</v>
      </c>
      <c r="D64" s="35" t="str">
        <f>VLOOKUP(C64,'Liste chauffeur'!$B$5:$L$19,2,TRUE)&amp;" "&amp;VLOOKUP(C64,'Liste chauffeur'!$B$5:$L$19,3,TRUE)</f>
        <v>COMBO  Said</v>
      </c>
      <c r="E64" s="53">
        <v>4</v>
      </c>
      <c r="F64" s="35"/>
      <c r="G64" s="35"/>
      <c r="H64" s="62"/>
      <c r="I64" s="35"/>
      <c r="J64" s="62"/>
      <c r="K64" s="35"/>
      <c r="L64" s="36"/>
      <c r="M64" s="40"/>
      <c r="N64" s="61"/>
    </row>
    <row r="65" spans="1:14" ht="40.049999999999997" customHeight="1" x14ac:dyDescent="0.45">
      <c r="A65" s="14" t="s">
        <v>416</v>
      </c>
      <c r="B65" s="299">
        <v>0.33333333333333331</v>
      </c>
      <c r="C65" s="324" t="s">
        <v>384</v>
      </c>
      <c r="D65" s="35" t="str">
        <f>VLOOKUP(C65,'Liste chauffeur'!$B$5:$L$19,2,TRUE)&amp;" "&amp;VLOOKUP(C65,'Liste chauffeur'!$B$5:$L$19,3,TRUE)</f>
        <v>MOHAMED Ali (laglace)</v>
      </c>
      <c r="E65" s="53">
        <v>7</v>
      </c>
      <c r="F65" s="300"/>
      <c r="G65" s="35"/>
      <c r="H65" s="62"/>
      <c r="I65" s="35"/>
      <c r="J65" s="35"/>
      <c r="K65" s="35"/>
      <c r="L65" s="36"/>
      <c r="M65" s="40"/>
      <c r="N65" s="61"/>
    </row>
    <row r="66" spans="1:14" ht="40.049999999999997" customHeight="1" x14ac:dyDescent="0.45">
      <c r="A66" s="14" t="s">
        <v>417</v>
      </c>
      <c r="B66" s="299">
        <v>0.33333333333333331</v>
      </c>
      <c r="C66" s="324" t="s">
        <v>388</v>
      </c>
      <c r="D66" s="35" t="str">
        <f>VLOOKUP(C66,'Liste chauffeur'!$B$5:$L$19,2,TRUE)&amp;" "&amp;VLOOKUP(C66,'Liste chauffeur'!$B$5:$L$19,3,TRUE)</f>
        <v>MOURIDI Aktoir</v>
      </c>
      <c r="E66" s="53">
        <v>6</v>
      </c>
      <c r="F66" s="300"/>
      <c r="G66" s="35"/>
      <c r="H66" s="62"/>
      <c r="I66" s="35"/>
      <c r="J66" s="35"/>
      <c r="K66" s="35"/>
      <c r="L66" s="36"/>
      <c r="M66" s="40"/>
      <c r="N66" s="61"/>
    </row>
    <row r="67" spans="1:14" ht="40.049999999999997" customHeight="1" x14ac:dyDescent="0.45">
      <c r="A67" s="14" t="s">
        <v>527</v>
      </c>
      <c r="B67" s="300">
        <v>0.33333333333333331</v>
      </c>
      <c r="C67" s="327" t="s">
        <v>394</v>
      </c>
      <c r="D67" s="35" t="str">
        <f>VLOOKUP(C67,'Liste chauffeur'!$B$5:$L$19,2,TRUE)&amp;" "&amp;VLOOKUP(C67,'Liste chauffeur'!$B$5:$L$19,3,TRUE)</f>
        <v>AMBDI  Houmadi</v>
      </c>
      <c r="E67" s="53">
        <v>5</v>
      </c>
      <c r="F67" s="35">
        <f>B72-B67</f>
        <v>2.777777777777779E-2</v>
      </c>
      <c r="G67" s="35"/>
      <c r="H67" s="62"/>
      <c r="I67" s="35"/>
      <c r="J67" s="35"/>
      <c r="K67" s="35"/>
      <c r="L67" s="36"/>
      <c r="M67" s="40"/>
      <c r="N67" s="61"/>
    </row>
    <row r="68" spans="1:14" ht="40.049999999999997" customHeight="1" x14ac:dyDescent="0.45">
      <c r="A68" s="14" t="s">
        <v>417</v>
      </c>
      <c r="B68" s="300">
        <v>0.33333333333333331</v>
      </c>
      <c r="C68" s="327" t="s">
        <v>386</v>
      </c>
      <c r="D68" s="35" t="str">
        <f>VLOOKUP(C68,'Liste chauffeur'!$B$5:$L$19,2,TRUE)&amp;" "&amp;VLOOKUP(C68,'Liste chauffeur'!$B$5:$L$19,3,TRUE)</f>
        <v>ALLAOUI  Soibrane</v>
      </c>
      <c r="E68" s="53">
        <v>5</v>
      </c>
      <c r="F68" s="35">
        <f>B71-B68</f>
        <v>2.777777777777779E-2</v>
      </c>
      <c r="G68" s="35"/>
      <c r="H68" s="62"/>
      <c r="I68" s="35"/>
      <c r="J68" s="35"/>
      <c r="K68" s="35"/>
      <c r="L68" s="36"/>
      <c r="M68" s="40"/>
      <c r="N68" s="61"/>
    </row>
    <row r="69" spans="1:14" ht="40.049999999999997" customHeight="1" x14ac:dyDescent="0.45">
      <c r="A69" s="14" t="s">
        <v>416</v>
      </c>
      <c r="B69" s="300">
        <v>0.34722222222222221</v>
      </c>
      <c r="C69" s="324" t="s">
        <v>392</v>
      </c>
      <c r="D69" s="35" t="str">
        <f>VLOOKUP(C69,'Liste chauffeur'!$B$5:$L$19,2,TRUE)&amp;" "&amp;VLOOKUP(C69,'Liste chauffeur'!$B$5:$L$19,3,TRUE)</f>
        <v>BARAKA  Soumaila</v>
      </c>
      <c r="E69" s="53">
        <v>5</v>
      </c>
      <c r="F69" s="35">
        <f>B74-B69</f>
        <v>2.777777777777779E-2</v>
      </c>
      <c r="G69" s="35"/>
      <c r="H69" s="62"/>
      <c r="I69" s="35"/>
      <c r="J69" s="35"/>
      <c r="K69" s="35"/>
      <c r="L69" s="36"/>
      <c r="M69" s="40"/>
      <c r="N69" s="61"/>
    </row>
    <row r="70" spans="1:14" ht="40.049999999999997" customHeight="1" x14ac:dyDescent="0.45">
      <c r="A70" s="14" t="s">
        <v>417</v>
      </c>
      <c r="B70" s="300">
        <v>0.34722222222222221</v>
      </c>
      <c r="C70" s="324" t="s">
        <v>385</v>
      </c>
      <c r="D70" s="35" t="str">
        <f>VLOOKUP(C70,'Liste chauffeur'!$B$5:$L$19,2,TRUE)&amp;" "&amp;VLOOKUP(C70,'Liste chauffeur'!$B$5:$L$19,3,TRUE)</f>
        <v>KAMARDINE Mansour (Salarié)</v>
      </c>
      <c r="E70" s="53">
        <v>6</v>
      </c>
      <c r="F70" s="35">
        <f>B73-B70</f>
        <v>2.777777777777779E-2</v>
      </c>
      <c r="G70" s="35"/>
      <c r="H70" s="62"/>
      <c r="I70" s="35"/>
      <c r="J70" s="35"/>
      <c r="K70" s="35"/>
      <c r="L70" s="36"/>
      <c r="M70" s="40"/>
      <c r="N70" s="61"/>
    </row>
    <row r="71" spans="1:14" ht="40.049999999999997" customHeight="1" x14ac:dyDescent="0.45">
      <c r="A71" s="14" t="s">
        <v>416</v>
      </c>
      <c r="B71" s="300">
        <v>0.3611111111111111</v>
      </c>
      <c r="C71" s="324" t="s">
        <v>386</v>
      </c>
      <c r="D71" s="35" t="str">
        <f>VLOOKUP(C71,'Liste chauffeur'!$B$5:$L$19,2,TRUE)&amp;" "&amp;VLOOKUP(C71,'Liste chauffeur'!$B$5:$L$19,3,TRUE)</f>
        <v>ALLAOUI  Soibrane</v>
      </c>
      <c r="E71" s="53">
        <v>6</v>
      </c>
      <c r="F71" s="300">
        <f>B76-B71</f>
        <v>2.777777777777779E-2</v>
      </c>
      <c r="G71" s="35"/>
      <c r="H71" s="62"/>
      <c r="I71" s="35"/>
      <c r="J71" s="35"/>
      <c r="K71" s="35"/>
      <c r="L71" s="36"/>
      <c r="M71" s="40"/>
      <c r="N71" s="61"/>
    </row>
    <row r="72" spans="1:14" ht="40.049999999999997" customHeight="1" x14ac:dyDescent="0.45">
      <c r="A72" s="14" t="s">
        <v>417</v>
      </c>
      <c r="B72" s="300">
        <v>0.3611111111111111</v>
      </c>
      <c r="C72" s="324" t="s">
        <v>394</v>
      </c>
      <c r="D72" s="35" t="str">
        <f>VLOOKUP(C72,'Liste chauffeur'!$B$5:$L$19,2,TRUE)&amp;" "&amp;VLOOKUP(C72,'Liste chauffeur'!$B$5:$L$19,3,TRUE)</f>
        <v>AMBDI  Houmadi</v>
      </c>
      <c r="E72" s="53">
        <v>6</v>
      </c>
      <c r="F72" s="300">
        <f>B75-B72</f>
        <v>2.777777777777779E-2</v>
      </c>
      <c r="G72" s="35"/>
      <c r="H72" s="62"/>
      <c r="I72" s="35"/>
      <c r="J72" s="35"/>
      <c r="K72" s="35"/>
      <c r="L72" s="36"/>
      <c r="M72" s="40"/>
      <c r="N72" s="61"/>
    </row>
    <row r="73" spans="1:14" ht="40.049999999999997" customHeight="1" x14ac:dyDescent="0.45">
      <c r="A73" s="14" t="s">
        <v>416</v>
      </c>
      <c r="B73" s="300">
        <v>0.375</v>
      </c>
      <c r="C73" s="324" t="s">
        <v>385</v>
      </c>
      <c r="D73" s="35" t="str">
        <f>VLOOKUP(C73,'Liste chauffeur'!$B$5:$L$19,2,TRUE)&amp;" "&amp;VLOOKUP(C73,'Liste chauffeur'!$B$5:$L$19,3,TRUE)</f>
        <v>KAMARDINE Mansour (Salarié)</v>
      </c>
      <c r="E73" s="53">
        <v>7</v>
      </c>
      <c r="F73" s="35">
        <f>B78-B73</f>
        <v>2.777777777777779E-2</v>
      </c>
      <c r="G73" s="35"/>
      <c r="H73" s="62"/>
      <c r="I73" s="35"/>
      <c r="J73" s="35"/>
      <c r="K73" s="35"/>
      <c r="L73" s="36"/>
      <c r="M73" s="40"/>
      <c r="N73" s="61"/>
    </row>
    <row r="74" spans="1:14" ht="40.049999999999997" customHeight="1" x14ac:dyDescent="0.45">
      <c r="A74" s="14" t="s">
        <v>417</v>
      </c>
      <c r="B74" s="300">
        <v>0.375</v>
      </c>
      <c r="C74" s="324" t="s">
        <v>392</v>
      </c>
      <c r="D74" s="35" t="str">
        <f>VLOOKUP(C74,'Liste chauffeur'!$B$5:$L$19,2,TRUE)&amp;" "&amp;VLOOKUP(C74,'Liste chauffeur'!$B$5:$L$19,3,TRUE)</f>
        <v>BARAKA  Soumaila</v>
      </c>
      <c r="E74" s="53">
        <v>6</v>
      </c>
      <c r="F74" s="35">
        <f>B77-B74</f>
        <v>2.777777777777779E-2</v>
      </c>
      <c r="G74" s="35"/>
      <c r="H74" s="62"/>
      <c r="I74" s="35"/>
      <c r="J74" s="35"/>
      <c r="K74" s="35"/>
      <c r="L74" s="36"/>
      <c r="M74" s="40"/>
      <c r="N74" s="61"/>
    </row>
    <row r="75" spans="1:14" ht="40.049999999999997" customHeight="1" x14ac:dyDescent="0.45">
      <c r="A75" s="14" t="s">
        <v>416</v>
      </c>
      <c r="B75" s="300">
        <v>0.3888888888888889</v>
      </c>
      <c r="C75" s="327" t="s">
        <v>394</v>
      </c>
      <c r="D75" s="35" t="str">
        <f>VLOOKUP(C75,'Liste chauffeur'!$B$5:$L$19,2,TRUE)&amp;" "&amp;VLOOKUP(C75,'Liste chauffeur'!$B$5:$L$19,3,TRUE)</f>
        <v>AMBDI  Houmadi</v>
      </c>
      <c r="E75" s="53">
        <v>7</v>
      </c>
      <c r="F75" s="35">
        <f>B80-B75</f>
        <v>2.777777777777779E-2</v>
      </c>
      <c r="G75" s="35"/>
      <c r="H75" s="62"/>
      <c r="I75" s="35"/>
      <c r="J75" s="35"/>
      <c r="K75" s="35"/>
      <c r="L75" s="36"/>
      <c r="M75" s="40"/>
      <c r="N75" s="61"/>
    </row>
    <row r="76" spans="1:14" ht="40.049999999999997" customHeight="1" x14ac:dyDescent="0.45">
      <c r="A76" s="14" t="s">
        <v>417</v>
      </c>
      <c r="B76" s="300">
        <v>0.3888888888888889</v>
      </c>
      <c r="C76" s="327" t="s">
        <v>386</v>
      </c>
      <c r="D76" s="35" t="str">
        <f>VLOOKUP(C76,'Liste chauffeur'!$B$5:$L$19,2,TRUE)&amp;" "&amp;VLOOKUP(C76,'Liste chauffeur'!$B$5:$L$19,3,TRUE)</f>
        <v>ALLAOUI  Soibrane</v>
      </c>
      <c r="E76" s="53">
        <v>7</v>
      </c>
      <c r="F76" s="35">
        <f>B79-B76</f>
        <v>2.777777777777779E-2</v>
      </c>
      <c r="G76" s="35"/>
      <c r="H76" s="62"/>
      <c r="I76" s="35"/>
      <c r="J76" s="35"/>
      <c r="K76" s="35"/>
      <c r="L76" s="36"/>
      <c r="M76" s="40"/>
      <c r="N76" s="61"/>
    </row>
    <row r="77" spans="1:14" ht="40.049999999999997" customHeight="1" x14ac:dyDescent="0.45">
      <c r="A77" s="14" t="s">
        <v>416</v>
      </c>
      <c r="B77" s="300">
        <v>0.40277777777777779</v>
      </c>
      <c r="C77" s="324" t="s">
        <v>392</v>
      </c>
      <c r="D77" s="35" t="str">
        <f>VLOOKUP(C77,'Liste chauffeur'!$B$5:$L$19,2,TRUE)&amp;" "&amp;VLOOKUP(C77,'Liste chauffeur'!$B$5:$L$19,3,TRUE)</f>
        <v>BARAKA  Soumaila</v>
      </c>
      <c r="E77" s="53">
        <v>7</v>
      </c>
      <c r="F77" s="35">
        <f>B82-B77</f>
        <v>2.777777777777779E-2</v>
      </c>
      <c r="G77" s="35"/>
      <c r="H77" s="62"/>
      <c r="I77" s="35"/>
      <c r="J77" s="35"/>
      <c r="K77" s="35"/>
      <c r="L77" s="36"/>
      <c r="M77" s="40"/>
      <c r="N77" s="61"/>
    </row>
    <row r="78" spans="1:14" ht="40.049999999999997" customHeight="1" x14ac:dyDescent="0.45">
      <c r="A78" s="14" t="s">
        <v>417</v>
      </c>
      <c r="B78" s="300">
        <v>0.40277777777777779</v>
      </c>
      <c r="C78" s="324" t="s">
        <v>385</v>
      </c>
      <c r="D78" s="35" t="str">
        <f>VLOOKUP(C78,'Liste chauffeur'!$B$5:$L$19,2,TRUE)&amp;" "&amp;VLOOKUP(C78,'Liste chauffeur'!$B$5:$L$19,3,TRUE)</f>
        <v>KAMARDINE Mansour (Salarié)</v>
      </c>
      <c r="E78" s="53">
        <v>8</v>
      </c>
      <c r="F78" s="35">
        <f>B81-B78</f>
        <v>2.777777777777779E-2</v>
      </c>
      <c r="G78" s="35"/>
      <c r="H78" s="62"/>
      <c r="I78" s="35"/>
      <c r="J78" s="35"/>
      <c r="K78" s="35"/>
      <c r="L78" s="36"/>
      <c r="M78" s="40"/>
      <c r="N78" s="61"/>
    </row>
    <row r="79" spans="1:14" ht="40.049999999999997" customHeight="1" x14ac:dyDescent="0.45">
      <c r="A79" s="14" t="s">
        <v>416</v>
      </c>
      <c r="B79" s="300">
        <v>0.41666666666666669</v>
      </c>
      <c r="C79" s="324" t="s">
        <v>386</v>
      </c>
      <c r="D79" s="35" t="str">
        <f>VLOOKUP(C79,'Liste chauffeur'!$B$5:$L$19,2,TRUE)&amp;" "&amp;VLOOKUP(C79,'Liste chauffeur'!$B$5:$L$19,3,TRUE)</f>
        <v>ALLAOUI  Soibrane</v>
      </c>
      <c r="E79" s="53">
        <v>8</v>
      </c>
      <c r="F79" s="35">
        <f>B84-B79</f>
        <v>2.7777777777777735E-2</v>
      </c>
      <c r="G79" s="35"/>
      <c r="H79" s="62"/>
      <c r="I79" s="35"/>
      <c r="J79" s="35"/>
      <c r="K79" s="35"/>
      <c r="L79" s="36"/>
      <c r="M79" s="40"/>
      <c r="N79" s="61"/>
    </row>
    <row r="80" spans="1:14" ht="40.049999999999997" customHeight="1" x14ac:dyDescent="0.45">
      <c r="A80" s="14" t="s">
        <v>417</v>
      </c>
      <c r="B80" s="300">
        <v>0.41666666666666669</v>
      </c>
      <c r="C80" s="324" t="s">
        <v>394</v>
      </c>
      <c r="D80" s="35" t="str">
        <f>VLOOKUP(C80,'Liste chauffeur'!$B$5:$L$19,2,TRUE)&amp;" "&amp;VLOOKUP(C80,'Liste chauffeur'!$B$5:$L$19,3,TRUE)</f>
        <v>AMBDI  Houmadi</v>
      </c>
      <c r="E80" s="53">
        <v>8</v>
      </c>
      <c r="F80" s="35">
        <f>B83-B80</f>
        <v>2.7777777777777735E-2</v>
      </c>
      <c r="G80" s="35"/>
      <c r="H80" s="62"/>
      <c r="I80" s="35"/>
      <c r="J80" s="35"/>
      <c r="K80" s="35"/>
      <c r="L80" s="36"/>
      <c r="M80" s="40"/>
      <c r="N80" s="61"/>
    </row>
    <row r="81" spans="1:14" ht="40.049999999999997" customHeight="1" x14ac:dyDescent="0.45">
      <c r="A81" s="14" t="s">
        <v>416</v>
      </c>
      <c r="B81" s="300">
        <v>0.43055555555555558</v>
      </c>
      <c r="C81" s="324" t="s">
        <v>385</v>
      </c>
      <c r="D81" s="35" t="str">
        <f>VLOOKUP(C81,'Liste chauffeur'!$B$5:$L$19,2,TRUE)&amp;" "&amp;VLOOKUP(C81,'Liste chauffeur'!$B$5:$L$19,3,TRUE)</f>
        <v>KAMARDINE Mansour (Salarié)</v>
      </c>
      <c r="E81" s="53">
        <v>9</v>
      </c>
      <c r="F81" s="35">
        <f>B86-B81</f>
        <v>2.7777777777777735E-2</v>
      </c>
      <c r="G81" s="35"/>
      <c r="H81" s="62"/>
      <c r="I81" s="35"/>
      <c r="J81" s="35"/>
      <c r="K81" s="35"/>
      <c r="L81" s="36"/>
      <c r="M81" s="40"/>
      <c r="N81" s="61"/>
    </row>
    <row r="82" spans="1:14" ht="40.049999999999997" customHeight="1" x14ac:dyDescent="0.45">
      <c r="A82" s="14" t="s">
        <v>417</v>
      </c>
      <c r="B82" s="300">
        <v>0.43055555555555558</v>
      </c>
      <c r="C82" s="324" t="s">
        <v>392</v>
      </c>
      <c r="D82" s="35" t="str">
        <f>VLOOKUP(C82,'Liste chauffeur'!$B$5:$L$19,2,TRUE)&amp;" "&amp;VLOOKUP(C82,'Liste chauffeur'!$B$5:$L$19,3,TRUE)</f>
        <v>BARAKA  Soumaila</v>
      </c>
      <c r="E82" s="53">
        <v>8</v>
      </c>
      <c r="F82" s="35">
        <f>B85-B82</f>
        <v>2.7777777777777735E-2</v>
      </c>
      <c r="G82" s="35"/>
      <c r="H82" s="62"/>
      <c r="I82" s="35"/>
      <c r="J82" s="35"/>
      <c r="K82" s="35"/>
      <c r="L82" s="36"/>
      <c r="M82" s="40"/>
      <c r="N82" s="61"/>
    </row>
    <row r="83" spans="1:14" ht="40.049999999999997" customHeight="1" x14ac:dyDescent="0.45">
      <c r="A83" s="14" t="s">
        <v>416</v>
      </c>
      <c r="B83" s="300">
        <v>0.44444444444444442</v>
      </c>
      <c r="C83" s="327" t="s">
        <v>394</v>
      </c>
      <c r="D83" s="35" t="str">
        <f>VLOOKUP(C83,'Liste chauffeur'!$B$5:$L$19,2,TRUE)&amp;" "&amp;VLOOKUP(C83,'Liste chauffeur'!$B$5:$L$19,3,TRUE)</f>
        <v>AMBDI  Houmadi</v>
      </c>
      <c r="E83" s="53">
        <v>9</v>
      </c>
      <c r="F83" s="35">
        <f>B88-B83</f>
        <v>2.777777777777779E-2</v>
      </c>
      <c r="G83" s="35"/>
      <c r="H83" s="62"/>
      <c r="I83" s="35"/>
      <c r="J83" s="35"/>
      <c r="K83" s="35"/>
      <c r="L83" s="36"/>
      <c r="M83" s="40"/>
      <c r="N83" s="61"/>
    </row>
    <row r="84" spans="1:14" ht="40.049999999999997" customHeight="1" x14ac:dyDescent="0.45">
      <c r="A84" s="14" t="s">
        <v>417</v>
      </c>
      <c r="B84" s="300">
        <v>0.44444444444444442</v>
      </c>
      <c r="C84" s="327" t="s">
        <v>386</v>
      </c>
      <c r="D84" s="35" t="str">
        <f>VLOOKUP(C84,'Liste chauffeur'!$B$5:$L$19,2,TRUE)&amp;" "&amp;VLOOKUP(C84,'Liste chauffeur'!$B$5:$L$19,3,TRUE)</f>
        <v>ALLAOUI  Soibrane</v>
      </c>
      <c r="E84" s="53">
        <v>9</v>
      </c>
      <c r="F84" s="35">
        <f>B87-B84</f>
        <v>2.777777777777779E-2</v>
      </c>
      <c r="G84" s="35"/>
      <c r="H84" s="62"/>
      <c r="I84" s="35"/>
      <c r="J84" s="35"/>
      <c r="K84" s="35"/>
      <c r="L84" s="36"/>
      <c r="M84" s="40"/>
      <c r="N84" s="61"/>
    </row>
    <row r="85" spans="1:14" ht="40.049999999999997" customHeight="1" x14ac:dyDescent="0.45">
      <c r="A85" s="14" t="s">
        <v>416</v>
      </c>
      <c r="B85" s="300">
        <v>0.45833333333333331</v>
      </c>
      <c r="C85" s="324" t="s">
        <v>392</v>
      </c>
      <c r="D85" s="35" t="str">
        <f>VLOOKUP(C85,'Liste chauffeur'!$B$5:$L$19,2,TRUE)&amp;" "&amp;VLOOKUP(C85,'Liste chauffeur'!$B$5:$L$19,3,TRUE)</f>
        <v>BARAKA  Soumaila</v>
      </c>
      <c r="E85" s="53">
        <v>9</v>
      </c>
      <c r="F85" s="35">
        <f>B90-B85</f>
        <v>2.777777777777779E-2</v>
      </c>
      <c r="G85" s="35"/>
      <c r="H85" s="62"/>
      <c r="I85" s="35"/>
      <c r="J85" s="35"/>
      <c r="K85" s="35"/>
      <c r="L85" s="36"/>
      <c r="M85" s="40"/>
      <c r="N85" s="61"/>
    </row>
    <row r="86" spans="1:14" ht="40.049999999999997" customHeight="1" x14ac:dyDescent="0.45">
      <c r="A86" s="14" t="s">
        <v>417</v>
      </c>
      <c r="B86" s="300">
        <v>0.45833333333333331</v>
      </c>
      <c r="C86" s="324" t="s">
        <v>385</v>
      </c>
      <c r="D86" s="35" t="str">
        <f>VLOOKUP(C86,'Liste chauffeur'!$B$5:$L$19,2,TRUE)&amp;" "&amp;VLOOKUP(C86,'Liste chauffeur'!$B$5:$L$19,3,TRUE)</f>
        <v>KAMARDINE Mansour (Salarié)</v>
      </c>
      <c r="E86" s="53">
        <v>10</v>
      </c>
      <c r="F86" s="35">
        <f>B89-B86</f>
        <v>2.777777777777779E-2</v>
      </c>
      <c r="G86" s="35"/>
      <c r="H86" s="62"/>
      <c r="I86" s="35"/>
      <c r="J86" s="35"/>
      <c r="K86" s="35"/>
      <c r="L86" s="36"/>
      <c r="M86" s="40"/>
      <c r="N86" s="61"/>
    </row>
    <row r="87" spans="1:14" ht="40.049999999999997" customHeight="1" x14ac:dyDescent="0.45">
      <c r="A87" s="14" t="s">
        <v>416</v>
      </c>
      <c r="B87" s="300">
        <v>0.47222222222222221</v>
      </c>
      <c r="C87" s="324" t="s">
        <v>386</v>
      </c>
      <c r="D87" s="35" t="str">
        <f>VLOOKUP(C87,'Liste chauffeur'!$B$5:$L$19,2,TRUE)&amp;" "&amp;VLOOKUP(C87,'Liste chauffeur'!$B$5:$L$19,3,TRUE)</f>
        <v>ALLAOUI  Soibrane</v>
      </c>
      <c r="E87" s="53">
        <v>10</v>
      </c>
      <c r="F87" s="35">
        <f>B92-B87</f>
        <v>2.777777777777779E-2</v>
      </c>
      <c r="G87" s="35"/>
      <c r="H87" s="62"/>
      <c r="I87" s="35"/>
      <c r="J87" s="35"/>
      <c r="K87" s="35"/>
      <c r="L87" s="36"/>
      <c r="M87" s="40"/>
      <c r="N87" s="61"/>
    </row>
    <row r="88" spans="1:14" ht="40.049999999999997" customHeight="1" x14ac:dyDescent="0.45">
      <c r="A88" s="14" t="s">
        <v>417</v>
      </c>
      <c r="B88" s="300">
        <v>0.47222222222222221</v>
      </c>
      <c r="C88" s="324" t="s">
        <v>394</v>
      </c>
      <c r="D88" s="35" t="str">
        <f>VLOOKUP(C88,'Liste chauffeur'!$B$5:$L$19,2,TRUE)&amp;" "&amp;VLOOKUP(C88,'Liste chauffeur'!$B$5:$L$19,3,TRUE)</f>
        <v>AMBDI  Houmadi</v>
      </c>
      <c r="E88" s="53">
        <v>10</v>
      </c>
      <c r="F88" s="35">
        <f>B91-B88</f>
        <v>2.777777777777779E-2</v>
      </c>
      <c r="G88" s="35"/>
      <c r="H88" s="62"/>
      <c r="I88" s="35"/>
      <c r="J88" s="35"/>
      <c r="K88" s="35"/>
      <c r="L88" s="36"/>
      <c r="M88" s="40"/>
      <c r="N88" s="61"/>
    </row>
    <row r="89" spans="1:14" ht="40.049999999999997" customHeight="1" x14ac:dyDescent="0.45">
      <c r="A89" s="14" t="s">
        <v>416</v>
      </c>
      <c r="B89" s="300">
        <v>0.4861111111111111</v>
      </c>
      <c r="C89" s="324" t="s">
        <v>385</v>
      </c>
      <c r="D89" s="35" t="str">
        <f>VLOOKUP(C89,'Liste chauffeur'!$B$5:$L$19,2,TRUE)&amp;" "&amp;VLOOKUP(C89,'Liste chauffeur'!$B$5:$L$19,3,TRUE)</f>
        <v>KAMARDINE Mansour (Salarié)</v>
      </c>
      <c r="E89" s="53">
        <v>11</v>
      </c>
      <c r="F89" s="35">
        <f>B94-B89</f>
        <v>2.7777777777777735E-2</v>
      </c>
      <c r="G89" s="35"/>
      <c r="H89" s="62"/>
      <c r="I89" s="35"/>
      <c r="J89" s="35"/>
      <c r="K89" s="35"/>
      <c r="L89" s="36"/>
      <c r="M89" s="40"/>
      <c r="N89" s="61"/>
    </row>
    <row r="90" spans="1:14" ht="40.049999999999997" customHeight="1" x14ac:dyDescent="0.45">
      <c r="A90" s="14" t="s">
        <v>417</v>
      </c>
      <c r="B90" s="300">
        <v>0.4861111111111111</v>
      </c>
      <c r="C90" s="324" t="s">
        <v>392</v>
      </c>
      <c r="D90" s="35" t="str">
        <f>VLOOKUP(C90,'Liste chauffeur'!$B$5:$L$19,2,TRUE)&amp;" "&amp;VLOOKUP(C90,'Liste chauffeur'!$B$5:$L$19,3,TRUE)</f>
        <v>BARAKA  Soumaila</v>
      </c>
      <c r="E90" s="53">
        <v>10</v>
      </c>
      <c r="F90" s="35">
        <f>B93-B90</f>
        <v>2.7777777777777735E-2</v>
      </c>
      <c r="G90" s="35"/>
      <c r="H90" s="62"/>
      <c r="I90" s="35"/>
      <c r="J90" s="35"/>
      <c r="K90" s="35"/>
      <c r="L90" s="36"/>
      <c r="M90" s="40"/>
      <c r="N90" s="61"/>
    </row>
    <row r="91" spans="1:14" ht="40.049999999999997" customHeight="1" x14ac:dyDescent="0.45">
      <c r="A91" s="14" t="s">
        <v>416</v>
      </c>
      <c r="B91" s="300">
        <v>0.5</v>
      </c>
      <c r="C91" s="327" t="s">
        <v>394</v>
      </c>
      <c r="D91" s="35" t="str">
        <f>VLOOKUP(C91,'Liste chauffeur'!$B$5:$L$19,2,TRUE)&amp;" "&amp;VLOOKUP(C91,'Liste chauffeur'!$B$5:$L$19,3,TRUE)</f>
        <v>AMBDI  Houmadi</v>
      </c>
      <c r="E91" s="53">
        <v>11</v>
      </c>
      <c r="F91" s="35">
        <f>B96-B91</f>
        <v>2.777777777777779E-2</v>
      </c>
      <c r="G91" s="35"/>
      <c r="H91" s="62"/>
      <c r="I91" s="35"/>
      <c r="J91" s="35"/>
      <c r="K91" s="35"/>
      <c r="L91" s="36"/>
      <c r="M91" s="40"/>
      <c r="N91" s="61"/>
    </row>
    <row r="92" spans="1:14" ht="40.049999999999997" customHeight="1" x14ac:dyDescent="0.45">
      <c r="A92" s="14" t="s">
        <v>417</v>
      </c>
      <c r="B92" s="300">
        <v>0.5</v>
      </c>
      <c r="C92" s="327" t="s">
        <v>386</v>
      </c>
      <c r="D92" s="35" t="str">
        <f>VLOOKUP(C92,'Liste chauffeur'!$B$5:$L$19,2,TRUE)&amp;" "&amp;VLOOKUP(C92,'Liste chauffeur'!$B$5:$L$19,3,TRUE)</f>
        <v>ALLAOUI  Soibrane</v>
      </c>
      <c r="E92" s="53">
        <v>11</v>
      </c>
      <c r="F92" s="35">
        <f>B95-B92</f>
        <v>2.777777777777779E-2</v>
      </c>
      <c r="G92" s="35"/>
      <c r="H92" s="62"/>
      <c r="I92" s="35"/>
      <c r="J92" s="35"/>
      <c r="K92" s="35"/>
      <c r="L92" s="36"/>
      <c r="M92" s="40"/>
      <c r="N92" s="61"/>
    </row>
    <row r="93" spans="1:14" ht="40.049999999999997" customHeight="1" x14ac:dyDescent="0.45">
      <c r="A93" s="14" t="s">
        <v>416</v>
      </c>
      <c r="B93" s="300">
        <v>0.51388888888888884</v>
      </c>
      <c r="C93" s="324" t="s">
        <v>392</v>
      </c>
      <c r="D93" s="35" t="str">
        <f>VLOOKUP(C93,'Liste chauffeur'!$B$5:$L$19,2,TRUE)&amp;" "&amp;VLOOKUP(C93,'Liste chauffeur'!$B$5:$L$19,3,TRUE)</f>
        <v>BARAKA  Soumaila</v>
      </c>
      <c r="E93" s="53">
        <v>11</v>
      </c>
      <c r="F93" s="35">
        <f>B98-B93</f>
        <v>2.777777777777779E-2</v>
      </c>
      <c r="G93" s="35"/>
      <c r="H93" s="62"/>
      <c r="I93" s="35"/>
      <c r="J93" s="35"/>
      <c r="K93" s="35"/>
      <c r="L93" s="36"/>
      <c r="M93" s="40"/>
      <c r="N93" s="61"/>
    </row>
    <row r="94" spans="1:14" ht="40.049999999999997" customHeight="1" x14ac:dyDescent="0.45">
      <c r="A94" s="14" t="s">
        <v>417</v>
      </c>
      <c r="B94" s="300">
        <v>0.51388888888888884</v>
      </c>
      <c r="C94" s="324" t="s">
        <v>385</v>
      </c>
      <c r="D94" s="35" t="str">
        <f>VLOOKUP(C94,'Liste chauffeur'!$B$5:$L$19,2,TRUE)&amp;" "&amp;VLOOKUP(C94,'Liste chauffeur'!$B$5:$L$19,3,TRUE)</f>
        <v>KAMARDINE Mansour (Salarié)</v>
      </c>
      <c r="E94" s="53">
        <v>12</v>
      </c>
      <c r="F94" s="35">
        <f>B97-B94</f>
        <v>2.777777777777779E-2</v>
      </c>
      <c r="G94" s="35"/>
      <c r="H94" s="62"/>
      <c r="I94" s="35"/>
      <c r="J94" s="35"/>
      <c r="K94" s="35"/>
      <c r="L94" s="36"/>
      <c r="M94" s="40"/>
      <c r="N94" s="61"/>
    </row>
    <row r="95" spans="1:14" ht="40.049999999999997" customHeight="1" x14ac:dyDescent="0.45">
      <c r="A95" s="14" t="s">
        <v>416</v>
      </c>
      <c r="B95" s="300">
        <v>0.52777777777777779</v>
      </c>
      <c r="C95" s="324" t="s">
        <v>386</v>
      </c>
      <c r="D95" s="35" t="str">
        <f>VLOOKUP(C95,'Liste chauffeur'!$B$5:$L$19,2,TRUE)&amp;" "&amp;VLOOKUP(C95,'Liste chauffeur'!$B$5:$L$19,3,TRUE)</f>
        <v>ALLAOUI  Soibrane</v>
      </c>
      <c r="E95" s="53">
        <v>12</v>
      </c>
      <c r="F95" s="35">
        <f>B100-B95</f>
        <v>2.777777777777779E-2</v>
      </c>
      <c r="G95" s="35"/>
      <c r="H95" s="62"/>
      <c r="I95" s="35"/>
      <c r="J95" s="35"/>
      <c r="K95" s="35"/>
      <c r="L95" s="36"/>
      <c r="M95" s="40"/>
      <c r="N95" s="61"/>
    </row>
    <row r="96" spans="1:14" ht="40.049999999999997" customHeight="1" x14ac:dyDescent="0.45">
      <c r="A96" s="14" t="s">
        <v>417</v>
      </c>
      <c r="B96" s="300">
        <v>0.52777777777777779</v>
      </c>
      <c r="C96" s="324" t="s">
        <v>394</v>
      </c>
      <c r="D96" s="35" t="str">
        <f>VLOOKUP(C96,'Liste chauffeur'!$B$5:$L$19,2,TRUE)&amp;" "&amp;VLOOKUP(C96,'Liste chauffeur'!$B$5:$L$19,3,TRUE)</f>
        <v>AMBDI  Houmadi</v>
      </c>
      <c r="E96" s="53">
        <v>12</v>
      </c>
      <c r="F96" s="35">
        <f>B99-B96</f>
        <v>2.777777777777779E-2</v>
      </c>
      <c r="G96" s="35"/>
      <c r="H96" s="62"/>
      <c r="I96" s="35"/>
      <c r="J96" s="35"/>
      <c r="K96" s="35"/>
      <c r="L96" s="36"/>
      <c r="M96" s="40"/>
      <c r="N96" s="61"/>
    </row>
    <row r="97" spans="1:14" ht="40.049999999999997" customHeight="1" x14ac:dyDescent="0.45">
      <c r="A97" s="14" t="s">
        <v>416</v>
      </c>
      <c r="B97" s="300">
        <v>0.54166666666666663</v>
      </c>
      <c r="C97" s="324" t="s">
        <v>385</v>
      </c>
      <c r="D97" s="35" t="str">
        <f>VLOOKUP(C97,'Liste chauffeur'!$B$5:$L$19,2,TRUE)&amp;" "&amp;VLOOKUP(C97,'Liste chauffeur'!$B$5:$L$19,3,TRUE)</f>
        <v>KAMARDINE Mansour (Salarié)</v>
      </c>
      <c r="E97" s="53">
        <v>13</v>
      </c>
      <c r="F97" s="35">
        <f>B102-B97</f>
        <v>2.777777777777779E-2</v>
      </c>
      <c r="G97" s="35"/>
      <c r="H97" s="62"/>
      <c r="I97" s="35"/>
      <c r="J97" s="35"/>
      <c r="K97" s="35"/>
      <c r="L97" s="36"/>
      <c r="M97" s="40"/>
      <c r="N97" s="61"/>
    </row>
    <row r="98" spans="1:14" ht="40.049999999999997" customHeight="1" x14ac:dyDescent="0.45">
      <c r="A98" s="14" t="s">
        <v>417</v>
      </c>
      <c r="B98" s="300">
        <v>0.54166666666666663</v>
      </c>
      <c r="C98" s="324" t="s">
        <v>392</v>
      </c>
      <c r="D98" s="35" t="str">
        <f>VLOOKUP(C98,'Liste chauffeur'!$B$5:$L$19,2,TRUE)&amp;" "&amp;VLOOKUP(C98,'Liste chauffeur'!$B$5:$L$19,3,TRUE)</f>
        <v>BARAKA  Soumaila</v>
      </c>
      <c r="E98" s="53">
        <v>12</v>
      </c>
      <c r="F98" s="35">
        <f>B101-B98</f>
        <v>2.777777777777779E-2</v>
      </c>
      <c r="G98" s="35"/>
      <c r="H98" s="62"/>
      <c r="I98" s="35"/>
      <c r="J98" s="35"/>
      <c r="K98" s="35"/>
      <c r="L98" s="36"/>
      <c r="M98" s="40"/>
      <c r="N98" s="61"/>
    </row>
    <row r="99" spans="1:14" ht="40.049999999999997" customHeight="1" x14ac:dyDescent="0.45">
      <c r="A99" s="14" t="s">
        <v>416</v>
      </c>
      <c r="B99" s="300">
        <v>0.55555555555555558</v>
      </c>
      <c r="C99" s="327" t="s">
        <v>394</v>
      </c>
      <c r="D99" s="35" t="str">
        <f>VLOOKUP(C99,'Liste chauffeur'!$B$5:$L$19,2,TRUE)&amp;" "&amp;VLOOKUP(C99,'Liste chauffeur'!$B$5:$L$19,3,TRUE)</f>
        <v>AMBDI  Houmadi</v>
      </c>
      <c r="E99" s="53">
        <v>13</v>
      </c>
      <c r="F99" s="35">
        <f>B104-B99</f>
        <v>2.777777777777779E-2</v>
      </c>
      <c r="G99" s="35"/>
      <c r="H99" s="62"/>
      <c r="I99" s="35"/>
      <c r="J99" s="35"/>
      <c r="K99" s="35"/>
      <c r="L99" s="36"/>
      <c r="M99" s="40"/>
      <c r="N99" s="61"/>
    </row>
    <row r="100" spans="1:14" ht="40.049999999999997" customHeight="1" x14ac:dyDescent="0.45">
      <c r="A100" s="14" t="s">
        <v>417</v>
      </c>
      <c r="B100" s="299">
        <v>0.55555555555555558</v>
      </c>
      <c r="C100" s="327" t="s">
        <v>386</v>
      </c>
      <c r="D100" s="35" t="str">
        <f>VLOOKUP(C100,'Liste chauffeur'!$B$5:$L$19,2,TRUE)&amp;" "&amp;VLOOKUP(C100,'Liste chauffeur'!$B$5:$L$19,3,TRUE)</f>
        <v>ALLAOUI  Soibrane</v>
      </c>
      <c r="E100" s="53">
        <v>13</v>
      </c>
      <c r="F100" s="35"/>
      <c r="G100" s="35"/>
      <c r="H100" s="62"/>
      <c r="I100" s="35"/>
      <c r="J100" s="35"/>
      <c r="K100" s="35"/>
      <c r="L100" s="36"/>
      <c r="M100" s="40"/>
      <c r="N100" s="61"/>
    </row>
    <row r="101" spans="1:14" ht="40.049999999999997" customHeight="1" x14ac:dyDescent="0.45">
      <c r="A101" s="14" t="s">
        <v>416</v>
      </c>
      <c r="B101" s="300">
        <v>0.56944444444444442</v>
      </c>
      <c r="C101" s="324" t="s">
        <v>392</v>
      </c>
      <c r="D101" s="35" t="str">
        <f>VLOOKUP(C101,'Liste chauffeur'!$B$5:$L$19,2,TRUE)&amp;" "&amp;VLOOKUP(C101,'Liste chauffeur'!$B$5:$L$19,3,TRUE)</f>
        <v>BARAKA  Soumaila</v>
      </c>
      <c r="E101" s="53">
        <v>13</v>
      </c>
      <c r="F101" s="35">
        <f>B106-B101</f>
        <v>2.777777777777779E-2</v>
      </c>
      <c r="G101" s="35"/>
      <c r="H101" s="62"/>
      <c r="I101" s="35"/>
      <c r="J101" s="35"/>
      <c r="K101" s="35"/>
      <c r="L101" s="36"/>
      <c r="M101" s="40"/>
      <c r="N101" s="61"/>
    </row>
    <row r="102" spans="1:14" ht="40.049999999999997" customHeight="1" x14ac:dyDescent="0.45">
      <c r="A102" s="14" t="s">
        <v>417</v>
      </c>
      <c r="B102" s="299">
        <v>0.56944444444444442</v>
      </c>
      <c r="C102" s="324" t="s">
        <v>385</v>
      </c>
      <c r="D102" s="35" t="str">
        <f>VLOOKUP(C102,'Liste chauffeur'!$B$5:$L$19,2,TRUE)&amp;" "&amp;VLOOKUP(C102,'Liste chauffeur'!$B$5:$L$19,3,TRUE)</f>
        <v>KAMARDINE Mansour (Salarié)</v>
      </c>
      <c r="E102" s="53">
        <v>14</v>
      </c>
      <c r="F102" s="35"/>
      <c r="G102" s="35"/>
      <c r="H102" s="62"/>
      <c r="I102" s="35"/>
      <c r="J102" s="35"/>
      <c r="K102" s="35"/>
      <c r="L102" s="36"/>
      <c r="M102" s="40"/>
      <c r="N102" s="61"/>
    </row>
    <row r="103" spans="1:14" ht="40.049999999999997" customHeight="1" x14ac:dyDescent="0.45">
      <c r="A103" s="14" t="s">
        <v>416</v>
      </c>
      <c r="B103" s="48">
        <v>0.58333333333333304</v>
      </c>
      <c r="C103" s="324" t="s">
        <v>384</v>
      </c>
      <c r="D103" s="35" t="str">
        <f>VLOOKUP(C103,'Liste chauffeur'!$B$5:$L$19,2,TRUE)&amp;" "&amp;VLOOKUP(C103,'Liste chauffeur'!$B$5:$L$19,3,TRUE)</f>
        <v>MOHAMED Ali (laglace)</v>
      </c>
      <c r="E103" s="53">
        <v>8</v>
      </c>
      <c r="F103" s="35">
        <f>B108-B103</f>
        <v>2.7777777777778123E-2</v>
      </c>
      <c r="G103" s="35"/>
      <c r="H103" s="62"/>
      <c r="I103" s="35"/>
      <c r="J103" s="35"/>
      <c r="K103" s="35"/>
      <c r="L103" s="36"/>
      <c r="M103" s="40"/>
      <c r="N103" s="61"/>
    </row>
    <row r="104" spans="1:14" ht="40.049999999999997" customHeight="1" x14ac:dyDescent="0.45">
      <c r="A104" s="14" t="s">
        <v>417</v>
      </c>
      <c r="B104" s="299">
        <v>0.58333333333333337</v>
      </c>
      <c r="C104" s="324" t="s">
        <v>394</v>
      </c>
      <c r="D104" s="35" t="str">
        <f>VLOOKUP(C104,'Liste chauffeur'!$B$5:$L$19,2,TRUE)&amp;" "&amp;VLOOKUP(C104,'Liste chauffeur'!$B$5:$L$19,3,TRUE)</f>
        <v>AMBDI  Houmadi</v>
      </c>
      <c r="E104" s="53">
        <v>14</v>
      </c>
      <c r="F104" s="35"/>
      <c r="G104" s="35"/>
      <c r="H104" s="62"/>
      <c r="I104" s="35"/>
      <c r="J104" s="35"/>
      <c r="K104" s="35"/>
      <c r="L104" s="36"/>
      <c r="M104" s="40"/>
      <c r="N104" s="61"/>
    </row>
    <row r="105" spans="1:14" ht="40.049999999999997" customHeight="1" x14ac:dyDescent="0.45">
      <c r="A105" s="14" t="s">
        <v>416</v>
      </c>
      <c r="B105" s="48">
        <v>0.59722222222222199</v>
      </c>
      <c r="C105" s="325" t="s">
        <v>400</v>
      </c>
      <c r="D105" s="35" t="str">
        <f>VLOOKUP(C105,'Liste chauffeur'!$B$5:$L$19,2,TRUE)&amp;" "&amp;VLOOKUP(C105,'Liste chauffeur'!$B$5:$L$19,3,TRUE)</f>
        <v>ISSOUF Dailami</v>
      </c>
      <c r="E105" s="53">
        <v>1</v>
      </c>
      <c r="F105" s="35">
        <f>B110-B105</f>
        <v>2.7777777777778012E-2</v>
      </c>
      <c r="G105" s="35"/>
      <c r="H105" s="62"/>
      <c r="I105" s="35"/>
      <c r="J105" s="35"/>
      <c r="K105" s="35"/>
      <c r="L105" s="36"/>
      <c r="M105" s="40"/>
      <c r="N105" s="61"/>
    </row>
    <row r="106" spans="1:14" ht="40.049999999999997" customHeight="1" x14ac:dyDescent="0.45">
      <c r="A106" s="14" t="s">
        <v>417</v>
      </c>
      <c r="B106" s="300">
        <v>0.59722222222222221</v>
      </c>
      <c r="C106" s="325" t="s">
        <v>392</v>
      </c>
      <c r="D106" s="35" t="str">
        <f>VLOOKUP(C106,'Liste chauffeur'!$B$5:$L$19,2,TRUE)&amp;" "&amp;VLOOKUP(C106,'Liste chauffeur'!$B$5:$L$19,3,TRUE)</f>
        <v>BARAKA  Soumaila</v>
      </c>
      <c r="E106" s="53">
        <v>14</v>
      </c>
      <c r="F106" s="35"/>
      <c r="G106" s="35"/>
      <c r="H106" s="62"/>
      <c r="I106" s="35"/>
      <c r="J106" s="35"/>
      <c r="K106" s="35"/>
      <c r="L106" s="36"/>
      <c r="M106" s="40"/>
      <c r="N106" s="61"/>
    </row>
    <row r="107" spans="1:14" ht="40.049999999999997" customHeight="1" x14ac:dyDescent="0.45">
      <c r="A107" s="14" t="s">
        <v>416</v>
      </c>
      <c r="B107" s="48">
        <v>0.61111111111111105</v>
      </c>
      <c r="C107" s="324" t="s">
        <v>393</v>
      </c>
      <c r="D107" s="35" t="str">
        <f>VLOOKUP(C107,'Liste chauffeur'!$B$5:$L$19,2,TRUE)&amp;" "&amp;VLOOKUP(C107,'Liste chauffeur'!$B$5:$L$19,3,TRUE)</f>
        <v>ABDOURAHIM Mohamed</v>
      </c>
      <c r="E107" s="53">
        <v>6</v>
      </c>
      <c r="F107" s="35">
        <f>B112-B107</f>
        <v>2.083333333333337E-2</v>
      </c>
      <c r="G107" s="35"/>
      <c r="H107" s="62"/>
      <c r="I107" s="35"/>
      <c r="J107" s="35"/>
      <c r="K107" s="35"/>
      <c r="L107" s="36"/>
      <c r="M107" s="40"/>
      <c r="N107" s="61"/>
    </row>
    <row r="108" spans="1:14" ht="40.049999999999997" customHeight="1" x14ac:dyDescent="0.45">
      <c r="A108" s="14" t="s">
        <v>417</v>
      </c>
      <c r="B108" s="300">
        <v>0.61111111111111116</v>
      </c>
      <c r="C108" s="324" t="s">
        <v>384</v>
      </c>
      <c r="D108" s="35" t="str">
        <f>VLOOKUP(C108,'Liste chauffeur'!$B$5:$L$19,2,TRUE)&amp;" "&amp;VLOOKUP(C108,'Liste chauffeur'!$B$5:$L$19,3,TRUE)</f>
        <v>MOHAMED Ali (laglace)</v>
      </c>
      <c r="E108" s="53">
        <v>9</v>
      </c>
      <c r="F108" s="35">
        <f>B111-B108</f>
        <v>2.0833333333333259E-2</v>
      </c>
      <c r="G108" s="35"/>
      <c r="H108" s="62"/>
      <c r="I108" s="35"/>
      <c r="J108" s="35"/>
      <c r="K108" s="35"/>
      <c r="L108" s="36"/>
      <c r="M108" s="40"/>
      <c r="N108" s="61"/>
    </row>
    <row r="109" spans="1:14" ht="40.049999999999997" customHeight="1" x14ac:dyDescent="0.45">
      <c r="A109" s="14" t="s">
        <v>416</v>
      </c>
      <c r="B109" s="48">
        <v>0.625</v>
      </c>
      <c r="C109" s="324" t="s">
        <v>398</v>
      </c>
      <c r="D109" s="35" t="str">
        <f>VLOOKUP(C109,'Liste chauffeur'!$B$5:$L$19,2,TRUE)&amp;" "&amp;VLOOKUP(C109,'Liste chauffeur'!$B$5:$L$19,3,TRUE)</f>
        <v>ABDOU HAMIDOUNE Nassabia</v>
      </c>
      <c r="E109" s="53">
        <v>5</v>
      </c>
      <c r="F109" s="35">
        <f>B116-B109</f>
        <v>2.083333333333337E-2</v>
      </c>
      <c r="G109" s="35"/>
      <c r="H109" s="62"/>
      <c r="I109" s="35"/>
      <c r="J109" s="35"/>
      <c r="K109" s="35"/>
      <c r="L109" s="36"/>
      <c r="M109" s="40"/>
      <c r="N109" s="61"/>
    </row>
    <row r="110" spans="1:14" ht="40.049999999999997" customHeight="1" x14ac:dyDescent="0.45">
      <c r="A110" s="14" t="s">
        <v>417</v>
      </c>
      <c r="B110" s="300">
        <v>0.625</v>
      </c>
      <c r="C110" s="324" t="s">
        <v>400</v>
      </c>
      <c r="D110" s="35" t="str">
        <f>VLOOKUP(C110,'Liste chauffeur'!$B$5:$L$19,2,TRUE)&amp;" "&amp;VLOOKUP(C110,'Liste chauffeur'!$B$5:$L$19,3,TRUE)</f>
        <v>ISSOUF Dailami</v>
      </c>
      <c r="E110" s="53">
        <v>2</v>
      </c>
      <c r="F110" s="35">
        <f>B115-B110</f>
        <v>2.083333333333337E-2</v>
      </c>
      <c r="G110" s="35"/>
      <c r="H110" s="62"/>
      <c r="I110" s="35"/>
      <c r="J110" s="35"/>
      <c r="K110" s="35"/>
      <c r="L110" s="36"/>
      <c r="M110" s="40"/>
      <c r="N110" s="61"/>
    </row>
    <row r="111" spans="1:14" ht="40.049999999999997" customHeight="1" x14ac:dyDescent="0.45">
      <c r="A111" s="14" t="s">
        <v>416</v>
      </c>
      <c r="B111" s="300">
        <v>0.63194444444444442</v>
      </c>
      <c r="C111" s="324" t="s">
        <v>384</v>
      </c>
      <c r="D111" s="35" t="str">
        <f>VLOOKUP(C111,'Liste chauffeur'!$B$5:$L$19,2,TRUE)&amp;" "&amp;VLOOKUP(C111,'Liste chauffeur'!$B$5:$L$19,3,TRUE)</f>
        <v>MOHAMED Ali (laglace)</v>
      </c>
      <c r="E111" s="53">
        <v>10</v>
      </c>
      <c r="F111" s="35">
        <f>B118-B111</f>
        <v>2.083333333333337E-2</v>
      </c>
      <c r="G111" s="35"/>
      <c r="H111" s="62"/>
      <c r="I111" s="35"/>
      <c r="J111" s="35"/>
      <c r="K111" s="35"/>
      <c r="L111" s="36"/>
      <c r="M111" s="40"/>
      <c r="N111" s="61"/>
    </row>
    <row r="112" spans="1:14" ht="40.049999999999997" customHeight="1" x14ac:dyDescent="0.45">
      <c r="A112" s="14" t="s">
        <v>417</v>
      </c>
      <c r="B112" s="300">
        <v>0.63194444444444442</v>
      </c>
      <c r="C112" s="324" t="s">
        <v>393</v>
      </c>
      <c r="D112" s="35" t="str">
        <f>VLOOKUP(C112,'Liste chauffeur'!$B$5:$L$19,2,TRUE)&amp;" "&amp;VLOOKUP(C112,'Liste chauffeur'!$B$5:$L$19,3,TRUE)</f>
        <v>ABDOURAHIM Mohamed</v>
      </c>
      <c r="E112" s="53">
        <v>7</v>
      </c>
      <c r="F112" s="35">
        <f>B117-B112</f>
        <v>2.083333333333337E-2</v>
      </c>
      <c r="G112" s="35"/>
      <c r="H112" s="62"/>
      <c r="I112" s="35"/>
      <c r="J112" s="35"/>
      <c r="K112" s="35"/>
      <c r="L112" s="36"/>
      <c r="M112" s="40"/>
      <c r="N112" s="61"/>
    </row>
    <row r="113" spans="1:14" ht="40.049999999999997" customHeight="1" x14ac:dyDescent="0.45">
      <c r="A113" s="14" t="s">
        <v>416</v>
      </c>
      <c r="B113" s="48">
        <v>0.63888888888888884</v>
      </c>
      <c r="C113" s="298" t="s">
        <v>395</v>
      </c>
      <c r="D113" s="35" t="str">
        <f>VLOOKUP(C113,'Liste chauffeur'!$B$5:$L$19,2,TRUE)&amp;" "&amp;VLOOKUP(C113,'Liste chauffeur'!$B$5:$L$19,3,TRUE)</f>
        <v>AMINA Selemani</v>
      </c>
      <c r="E113" s="53">
        <v>7</v>
      </c>
      <c r="F113" s="35">
        <f>B120-B113</f>
        <v>2.083333333333337E-2</v>
      </c>
      <c r="G113" s="35"/>
      <c r="H113" s="62"/>
      <c r="I113" s="35"/>
      <c r="J113" s="35"/>
      <c r="K113" s="35"/>
      <c r="L113" s="36"/>
      <c r="M113" s="40"/>
      <c r="N113" s="61"/>
    </row>
    <row r="114" spans="1:14" ht="40.049999999999997" customHeight="1" x14ac:dyDescent="0.45">
      <c r="A114" s="14" t="s">
        <v>417</v>
      </c>
      <c r="B114" s="48">
        <v>0.63888888888888884</v>
      </c>
      <c r="C114" s="298" t="s">
        <v>401</v>
      </c>
      <c r="D114" s="35" t="str">
        <f>VLOOKUP(C114,'Liste chauffeur'!$B$5:$L$19,2,TRUE)&amp;" "&amp;VLOOKUP(C114,'Liste chauffeur'!$B$5:$L$19,3,TRUE)</f>
        <v>RENEE Assanati</v>
      </c>
      <c r="E114" s="53">
        <v>1</v>
      </c>
      <c r="F114" s="35">
        <f>B119-B114</f>
        <v>2.083333333333337E-2</v>
      </c>
      <c r="G114" s="35"/>
      <c r="H114" s="62"/>
      <c r="I114" s="35"/>
      <c r="J114" s="35"/>
      <c r="K114" s="35"/>
      <c r="L114" s="36"/>
      <c r="M114" s="40"/>
      <c r="N114" s="61"/>
    </row>
    <row r="115" spans="1:14" ht="40.049999999999997" customHeight="1" x14ac:dyDescent="0.45">
      <c r="A115" s="14" t="s">
        <v>416</v>
      </c>
      <c r="B115" s="300">
        <v>0.64583333333333337</v>
      </c>
      <c r="C115" s="325" t="s">
        <v>400</v>
      </c>
      <c r="D115" s="35" t="str">
        <f>VLOOKUP(C115,'Liste chauffeur'!$B$5:$L$19,2,TRUE)&amp;" "&amp;VLOOKUP(C115,'Liste chauffeur'!$B$5:$L$19,3,TRUE)</f>
        <v>ISSOUF Dailami</v>
      </c>
      <c r="E115" s="53">
        <v>3</v>
      </c>
      <c r="F115" s="35">
        <f>B122-B115</f>
        <v>2.0833333333333259E-2</v>
      </c>
      <c r="G115" s="35"/>
      <c r="H115" s="62"/>
      <c r="I115" s="35"/>
      <c r="J115" s="35"/>
      <c r="K115" s="35"/>
      <c r="L115" s="36"/>
      <c r="M115" s="40"/>
      <c r="N115" s="61"/>
    </row>
    <row r="116" spans="1:14" ht="40.049999999999997" customHeight="1" x14ac:dyDescent="0.45">
      <c r="A116" s="14" t="s">
        <v>417</v>
      </c>
      <c r="B116" s="300">
        <v>0.64583333333333337</v>
      </c>
      <c r="C116" s="325" t="s">
        <v>398</v>
      </c>
      <c r="D116" s="35" t="str">
        <f>VLOOKUP(C116,'Liste chauffeur'!$B$5:$L$19,2,TRUE)&amp;" "&amp;VLOOKUP(C116,'Liste chauffeur'!$B$5:$L$19,3,TRUE)</f>
        <v>ABDOU HAMIDOUNE Nassabia</v>
      </c>
      <c r="E116" s="53">
        <v>6</v>
      </c>
      <c r="F116" s="35">
        <f>B121-B116</f>
        <v>2.0833333333333259E-2</v>
      </c>
      <c r="G116" s="35"/>
      <c r="H116" s="62"/>
      <c r="I116" s="35"/>
      <c r="J116" s="35"/>
      <c r="K116" s="35"/>
      <c r="L116" s="36"/>
      <c r="M116" s="40"/>
      <c r="N116" s="61"/>
    </row>
    <row r="117" spans="1:14" ht="40.049999999999997" customHeight="1" x14ac:dyDescent="0.45">
      <c r="A117" s="14" t="s">
        <v>416</v>
      </c>
      <c r="B117" s="300">
        <v>0.65277777777777779</v>
      </c>
      <c r="C117" s="324" t="s">
        <v>393</v>
      </c>
      <c r="D117" s="35" t="str">
        <f>VLOOKUP(C117,'Liste chauffeur'!$B$5:$L$19,2,TRUE)&amp;" "&amp;VLOOKUP(C117,'Liste chauffeur'!$B$5:$L$19,3,TRUE)</f>
        <v>ABDOURAHIM Mohamed</v>
      </c>
      <c r="E117" s="53">
        <v>8</v>
      </c>
      <c r="F117" s="35">
        <f>B124-B117</f>
        <v>2.083333333333337E-2</v>
      </c>
      <c r="G117" s="35"/>
      <c r="H117" s="62"/>
      <c r="I117" s="35"/>
      <c r="J117" s="35"/>
      <c r="K117" s="35"/>
      <c r="L117" s="36"/>
      <c r="M117" s="40"/>
      <c r="N117" s="61"/>
    </row>
    <row r="118" spans="1:14" ht="40.049999999999997" customHeight="1" x14ac:dyDescent="0.45">
      <c r="A118" s="14" t="s">
        <v>417</v>
      </c>
      <c r="B118" s="300">
        <v>0.65277777777777779</v>
      </c>
      <c r="C118" s="324" t="s">
        <v>384</v>
      </c>
      <c r="D118" s="35" t="str">
        <f>VLOOKUP(C118,'Liste chauffeur'!$B$5:$L$19,2,TRUE)&amp;" "&amp;VLOOKUP(C118,'Liste chauffeur'!$B$5:$L$19,3,TRUE)</f>
        <v>MOHAMED Ali (laglace)</v>
      </c>
      <c r="E118" s="53">
        <v>11</v>
      </c>
      <c r="F118" s="35">
        <f>B123-B118</f>
        <v>2.083333333333337E-2</v>
      </c>
      <c r="G118" s="35"/>
      <c r="H118" s="62"/>
      <c r="I118" s="35"/>
      <c r="J118" s="35"/>
      <c r="K118" s="35"/>
      <c r="L118" s="36"/>
      <c r="M118" s="40"/>
      <c r="N118" s="61"/>
    </row>
    <row r="119" spans="1:14" ht="40.049999999999997" customHeight="1" x14ac:dyDescent="0.45">
      <c r="A119" s="14" t="s">
        <v>416</v>
      </c>
      <c r="B119" s="300">
        <v>0.65972222222222221</v>
      </c>
      <c r="C119" s="324" t="s">
        <v>401</v>
      </c>
      <c r="D119" s="35" t="str">
        <f>VLOOKUP(C119,'Liste chauffeur'!$B$5:$L$19,2,TRUE)&amp;" "&amp;VLOOKUP(C119,'Liste chauffeur'!$B$5:$L$19,3,TRUE)</f>
        <v>RENEE Assanati</v>
      </c>
      <c r="E119" s="53">
        <v>2</v>
      </c>
      <c r="F119" s="35">
        <f>B126-B119</f>
        <v>2.083333333333337E-2</v>
      </c>
      <c r="G119" s="35"/>
      <c r="H119" s="62"/>
      <c r="I119" s="35"/>
      <c r="J119" s="35"/>
      <c r="K119" s="35"/>
      <c r="L119" s="36"/>
      <c r="M119" s="40"/>
      <c r="N119" s="61"/>
    </row>
    <row r="120" spans="1:14" ht="40.049999999999997" customHeight="1" x14ac:dyDescent="0.45">
      <c r="A120" s="14" t="s">
        <v>417</v>
      </c>
      <c r="B120" s="300">
        <v>0.65972222222222221</v>
      </c>
      <c r="C120" s="324" t="s">
        <v>395</v>
      </c>
      <c r="D120" s="35" t="str">
        <f>VLOOKUP(C120,'Liste chauffeur'!$B$5:$L$19,2,TRUE)&amp;" "&amp;VLOOKUP(C120,'Liste chauffeur'!$B$5:$L$19,3,TRUE)</f>
        <v>AMINA Selemani</v>
      </c>
      <c r="E120" s="53">
        <v>8</v>
      </c>
      <c r="F120" s="35">
        <f>B125-B120</f>
        <v>2.083333333333337E-2</v>
      </c>
      <c r="G120" s="35"/>
      <c r="H120" s="62"/>
      <c r="I120" s="35"/>
      <c r="J120" s="35"/>
      <c r="K120" s="35"/>
      <c r="L120" s="36"/>
      <c r="M120" s="40"/>
      <c r="N120" s="61"/>
    </row>
    <row r="121" spans="1:14" ht="40.049999999999997" customHeight="1" x14ac:dyDescent="0.45">
      <c r="A121" s="14" t="s">
        <v>416</v>
      </c>
      <c r="B121" s="300">
        <v>0.66666666666666663</v>
      </c>
      <c r="C121" s="324" t="s">
        <v>398</v>
      </c>
      <c r="D121" s="35" t="str">
        <f>VLOOKUP(C121,'Liste chauffeur'!$B$5:$L$19,2,TRUE)&amp;" "&amp;VLOOKUP(C121,'Liste chauffeur'!$B$5:$L$19,3,TRUE)</f>
        <v>ABDOU HAMIDOUNE Nassabia</v>
      </c>
      <c r="E121" s="53">
        <v>7</v>
      </c>
      <c r="F121" s="35">
        <f>B128-B121</f>
        <v>2.083333333333337E-2</v>
      </c>
      <c r="G121" s="35"/>
      <c r="H121" s="62"/>
      <c r="I121" s="35"/>
      <c r="J121" s="35"/>
      <c r="K121" s="35"/>
      <c r="L121" s="36"/>
      <c r="M121" s="40"/>
      <c r="N121" s="61"/>
    </row>
    <row r="122" spans="1:14" ht="40.049999999999997" customHeight="1" x14ac:dyDescent="0.45">
      <c r="A122" s="14" t="s">
        <v>417</v>
      </c>
      <c r="B122" s="300">
        <v>0.66666666666666663</v>
      </c>
      <c r="C122" s="324" t="s">
        <v>400</v>
      </c>
      <c r="D122" s="35" t="str">
        <f>VLOOKUP(C122,'Liste chauffeur'!$B$5:$L$19,2,TRUE)&amp;" "&amp;VLOOKUP(C122,'Liste chauffeur'!$B$5:$L$19,3,TRUE)</f>
        <v>ISSOUF Dailami</v>
      </c>
      <c r="E122" s="53">
        <v>4</v>
      </c>
      <c r="F122" s="35">
        <f>B127-B122</f>
        <v>2.083333333333337E-2</v>
      </c>
      <c r="G122" s="35"/>
      <c r="H122" s="62"/>
      <c r="I122" s="35"/>
      <c r="J122" s="35"/>
      <c r="K122" s="35"/>
      <c r="L122" s="36"/>
      <c r="M122" s="40"/>
      <c r="N122" s="61"/>
    </row>
    <row r="123" spans="1:14" ht="40.049999999999997" customHeight="1" x14ac:dyDescent="0.45">
      <c r="A123" s="14" t="s">
        <v>416</v>
      </c>
      <c r="B123" s="300">
        <v>0.67361111111111116</v>
      </c>
      <c r="C123" s="324" t="s">
        <v>384</v>
      </c>
      <c r="D123" s="35" t="str">
        <f>VLOOKUP(C123,'Liste chauffeur'!$B$5:$L$19,2,TRUE)&amp;" "&amp;VLOOKUP(C123,'Liste chauffeur'!$B$5:$L$19,3,TRUE)</f>
        <v>MOHAMED Ali (laglace)</v>
      </c>
      <c r="E123" s="53">
        <v>12</v>
      </c>
      <c r="F123" s="35">
        <f>B130-B123</f>
        <v>2.0833333333333259E-2</v>
      </c>
      <c r="G123" s="35"/>
      <c r="H123" s="62"/>
      <c r="I123" s="35"/>
      <c r="J123" s="35"/>
      <c r="K123" s="35"/>
      <c r="L123" s="36"/>
      <c r="M123" s="40"/>
      <c r="N123" s="61"/>
    </row>
    <row r="124" spans="1:14" ht="40.049999999999997" customHeight="1" x14ac:dyDescent="0.45">
      <c r="A124" s="14" t="s">
        <v>417</v>
      </c>
      <c r="B124" s="300">
        <v>0.67361111111111116</v>
      </c>
      <c r="C124" s="324" t="s">
        <v>393</v>
      </c>
      <c r="D124" s="35" t="str">
        <f>VLOOKUP(C124,'Liste chauffeur'!$B$5:$L$19,2,TRUE)&amp;" "&amp;VLOOKUP(C124,'Liste chauffeur'!$B$5:$L$19,3,TRUE)</f>
        <v>ABDOURAHIM Mohamed</v>
      </c>
      <c r="E124" s="53">
        <v>9</v>
      </c>
      <c r="F124" s="35">
        <f>B129-B124</f>
        <v>2.0833333333333259E-2</v>
      </c>
      <c r="G124" s="35"/>
      <c r="H124" s="62"/>
      <c r="I124" s="35"/>
      <c r="J124" s="35"/>
      <c r="K124" s="35"/>
      <c r="L124" s="36"/>
      <c r="M124" s="40"/>
      <c r="N124" s="61"/>
    </row>
    <row r="125" spans="1:14" ht="40.049999999999997" customHeight="1" x14ac:dyDescent="0.45">
      <c r="A125" s="14" t="s">
        <v>416</v>
      </c>
      <c r="B125" s="300">
        <v>0.68055555555555558</v>
      </c>
      <c r="C125" s="324" t="s">
        <v>395</v>
      </c>
      <c r="D125" s="35" t="str">
        <f>VLOOKUP(C125,'Liste chauffeur'!$B$5:$L$19,2,TRUE)&amp;" "&amp;VLOOKUP(C125,'Liste chauffeur'!$B$5:$L$19,3,TRUE)</f>
        <v>AMINA Selemani</v>
      </c>
      <c r="E125" s="53">
        <v>9</v>
      </c>
      <c r="F125" s="35">
        <f>B132-B125</f>
        <v>2.0833333333333259E-2</v>
      </c>
      <c r="G125" s="35"/>
      <c r="H125" s="62"/>
      <c r="I125" s="35"/>
      <c r="J125" s="35"/>
      <c r="K125" s="35"/>
      <c r="L125" s="36"/>
      <c r="M125" s="40"/>
      <c r="N125" s="61"/>
    </row>
    <row r="126" spans="1:14" ht="40.049999999999997" customHeight="1" x14ac:dyDescent="0.45">
      <c r="A126" s="14" t="s">
        <v>417</v>
      </c>
      <c r="B126" s="300">
        <v>0.68055555555555558</v>
      </c>
      <c r="C126" s="324" t="s">
        <v>401</v>
      </c>
      <c r="D126" s="35" t="str">
        <f>VLOOKUP(C126,'Liste chauffeur'!$B$5:$L$19,2,TRUE)&amp;" "&amp;VLOOKUP(C126,'Liste chauffeur'!$B$5:$L$19,3,TRUE)</f>
        <v>RENEE Assanati</v>
      </c>
      <c r="E126" s="53">
        <v>3</v>
      </c>
      <c r="F126" s="35">
        <f>B131-B126</f>
        <v>2.0833333333333259E-2</v>
      </c>
      <c r="G126" s="35"/>
      <c r="H126" s="62"/>
      <c r="I126" s="35"/>
      <c r="J126" s="35"/>
      <c r="K126" s="35"/>
      <c r="L126" s="36"/>
      <c r="M126" s="40"/>
      <c r="N126" s="61"/>
    </row>
    <row r="127" spans="1:14" ht="40.049999999999997" customHeight="1" x14ac:dyDescent="0.45">
      <c r="A127" s="14" t="s">
        <v>416</v>
      </c>
      <c r="B127" s="300">
        <v>0.6875</v>
      </c>
      <c r="C127" s="298" t="s">
        <v>400</v>
      </c>
      <c r="D127" s="35" t="str">
        <f>VLOOKUP(C127,'Liste chauffeur'!$B$5:$L$19,2,TRUE)&amp;" "&amp;VLOOKUP(C127,'Liste chauffeur'!$B$5:$L$19,3,TRUE)</f>
        <v>ISSOUF Dailami</v>
      </c>
      <c r="E127" s="53">
        <v>5</v>
      </c>
      <c r="F127" s="35">
        <f>B134-B127</f>
        <v>2.083333333333337E-2</v>
      </c>
      <c r="G127" s="35"/>
      <c r="H127" s="62"/>
      <c r="I127" s="35"/>
      <c r="J127" s="35"/>
      <c r="K127" s="35"/>
      <c r="L127" s="36"/>
      <c r="M127" s="40"/>
      <c r="N127" s="61"/>
    </row>
    <row r="128" spans="1:14" ht="40.049999999999997" customHeight="1" x14ac:dyDescent="0.45">
      <c r="A128" s="14" t="s">
        <v>417</v>
      </c>
      <c r="B128" s="300">
        <v>0.6875</v>
      </c>
      <c r="C128" s="298" t="s">
        <v>398</v>
      </c>
      <c r="D128" s="35" t="str">
        <f>VLOOKUP(C128,'Liste chauffeur'!$B$5:$L$19,2,TRUE)&amp;" "&amp;VLOOKUP(C128,'Liste chauffeur'!$B$5:$L$19,3,TRUE)</f>
        <v>ABDOU HAMIDOUNE Nassabia</v>
      </c>
      <c r="E128" s="53">
        <v>8</v>
      </c>
      <c r="F128" s="35">
        <f>B133-B128</f>
        <v>2.083333333333337E-2</v>
      </c>
      <c r="G128" s="35"/>
      <c r="H128" s="62"/>
      <c r="I128" s="35"/>
      <c r="J128" s="35"/>
      <c r="K128" s="35"/>
      <c r="L128" s="36"/>
      <c r="M128" s="40"/>
      <c r="N128" s="61"/>
    </row>
    <row r="129" spans="1:14" ht="40.049999999999997" customHeight="1" x14ac:dyDescent="0.45">
      <c r="A129" s="14" t="s">
        <v>416</v>
      </c>
      <c r="B129" s="300">
        <v>0.69444444444444442</v>
      </c>
      <c r="C129" s="325" t="s">
        <v>393</v>
      </c>
      <c r="D129" s="35" t="str">
        <f>VLOOKUP(C129,'Liste chauffeur'!$B$5:$L$19,2,TRUE)&amp;" "&amp;VLOOKUP(C129,'Liste chauffeur'!$B$5:$L$19,3,TRUE)</f>
        <v>ABDOURAHIM Mohamed</v>
      </c>
      <c r="E129" s="53">
        <v>10</v>
      </c>
      <c r="F129" s="35">
        <f>B136-B129</f>
        <v>2.083333333333337E-2</v>
      </c>
      <c r="G129" s="35"/>
      <c r="H129" s="62"/>
      <c r="I129" s="35"/>
      <c r="J129" s="35"/>
      <c r="K129" s="35"/>
      <c r="L129" s="36"/>
      <c r="M129" s="40"/>
      <c r="N129" s="61"/>
    </row>
    <row r="130" spans="1:14" ht="40.049999999999997" customHeight="1" x14ac:dyDescent="0.45">
      <c r="A130" s="14" t="s">
        <v>417</v>
      </c>
      <c r="B130" s="300">
        <v>0.69444444444444442</v>
      </c>
      <c r="C130" s="325" t="s">
        <v>384</v>
      </c>
      <c r="D130" s="35" t="str">
        <f>VLOOKUP(C130,'Liste chauffeur'!$B$5:$L$19,2,TRUE)&amp;" "&amp;VLOOKUP(C130,'Liste chauffeur'!$B$5:$L$19,3,TRUE)</f>
        <v>MOHAMED Ali (laglace)</v>
      </c>
      <c r="E130" s="53">
        <v>13</v>
      </c>
      <c r="F130" s="35">
        <f>B135-B130</f>
        <v>2.083333333333337E-2</v>
      </c>
      <c r="G130" s="35"/>
      <c r="H130" s="62"/>
      <c r="I130" s="35"/>
      <c r="J130" s="35"/>
      <c r="K130" s="35"/>
      <c r="L130" s="36"/>
      <c r="M130" s="40"/>
      <c r="N130" s="61"/>
    </row>
    <row r="131" spans="1:14" ht="40.049999999999997" customHeight="1" x14ac:dyDescent="0.45">
      <c r="A131" s="14" t="s">
        <v>416</v>
      </c>
      <c r="B131" s="300">
        <v>0.70138888888888884</v>
      </c>
      <c r="C131" s="324" t="s">
        <v>401</v>
      </c>
      <c r="D131" s="35" t="str">
        <f>VLOOKUP(C131,'Liste chauffeur'!$B$5:$L$19,2,TRUE)&amp;" "&amp;VLOOKUP(C131,'Liste chauffeur'!$B$5:$L$19,3,TRUE)</f>
        <v>RENEE Assanati</v>
      </c>
      <c r="E131" s="53">
        <v>4</v>
      </c>
      <c r="F131" s="35">
        <f>B138-B131</f>
        <v>2.083333333333337E-2</v>
      </c>
      <c r="G131" s="35"/>
      <c r="H131" s="62"/>
      <c r="I131" s="35"/>
      <c r="J131" s="35"/>
      <c r="K131" s="35"/>
      <c r="L131" s="36"/>
      <c r="M131" s="40"/>
      <c r="N131" s="61"/>
    </row>
    <row r="132" spans="1:14" ht="40.049999999999997" customHeight="1" x14ac:dyDescent="0.45">
      <c r="A132" s="14" t="s">
        <v>417</v>
      </c>
      <c r="B132" s="300">
        <v>0.70138888888888884</v>
      </c>
      <c r="C132" s="324" t="s">
        <v>395</v>
      </c>
      <c r="D132" s="35" t="str">
        <f>VLOOKUP(C132,'Liste chauffeur'!$B$5:$L$19,2,TRUE)&amp;" "&amp;VLOOKUP(C132,'Liste chauffeur'!$B$5:$L$19,3,TRUE)</f>
        <v>AMINA Selemani</v>
      </c>
      <c r="E132" s="53">
        <v>10</v>
      </c>
      <c r="F132" s="35">
        <f>B137-B132</f>
        <v>2.0833333333345139E-2</v>
      </c>
      <c r="G132" s="35"/>
      <c r="H132" s="62"/>
      <c r="I132" s="35"/>
      <c r="J132" s="35"/>
      <c r="K132" s="35"/>
      <c r="L132" s="36"/>
      <c r="M132" s="40"/>
      <c r="N132" s="61"/>
    </row>
    <row r="133" spans="1:14" ht="40.049999999999997" customHeight="1" x14ac:dyDescent="0.45">
      <c r="A133" s="14" t="s">
        <v>416</v>
      </c>
      <c r="B133" s="300">
        <v>0.70833333333333337</v>
      </c>
      <c r="C133" s="324" t="s">
        <v>398</v>
      </c>
      <c r="D133" s="35" t="str">
        <f>VLOOKUP(C133,'Liste chauffeur'!$B$5:$L$19,2,TRUE)&amp;" "&amp;VLOOKUP(C133,'Liste chauffeur'!$B$5:$L$19,3,TRUE)</f>
        <v>ABDOU HAMIDOUNE Nassabia</v>
      </c>
      <c r="E133" s="53">
        <v>9</v>
      </c>
      <c r="F133" s="35">
        <f>B140-B133</f>
        <v>2.0833333333333259E-2</v>
      </c>
      <c r="G133" s="35"/>
      <c r="H133" s="62"/>
      <c r="I133" s="35"/>
      <c r="J133" s="35"/>
      <c r="K133" s="35"/>
      <c r="L133" s="36"/>
      <c r="M133" s="40"/>
      <c r="N133" s="61"/>
    </row>
    <row r="134" spans="1:14" ht="40.049999999999997" customHeight="1" x14ac:dyDescent="0.45">
      <c r="A134" s="14" t="s">
        <v>417</v>
      </c>
      <c r="B134" s="300">
        <v>0.70833333333333337</v>
      </c>
      <c r="C134" s="324" t="s">
        <v>400</v>
      </c>
      <c r="D134" s="35" t="str">
        <f>VLOOKUP(C134,'Liste chauffeur'!$B$5:$L$19,2,TRUE)&amp;" "&amp;VLOOKUP(C134,'Liste chauffeur'!$B$5:$L$19,3,TRUE)</f>
        <v>ISSOUF Dailami</v>
      </c>
      <c r="E134" s="53">
        <v>6</v>
      </c>
      <c r="F134" s="35">
        <f>B139-B134</f>
        <v>2.0833333333333259E-2</v>
      </c>
      <c r="G134" s="35"/>
      <c r="H134" s="62"/>
      <c r="I134" s="35"/>
      <c r="J134" s="35"/>
      <c r="K134" s="35"/>
      <c r="L134" s="36"/>
      <c r="M134" s="40"/>
      <c r="N134" s="61"/>
    </row>
    <row r="135" spans="1:14" ht="40.049999999999997" customHeight="1" x14ac:dyDescent="0.45">
      <c r="A135" s="14" t="s">
        <v>416</v>
      </c>
      <c r="B135" s="300">
        <v>0.71527777777777779</v>
      </c>
      <c r="C135" s="324" t="s">
        <v>384</v>
      </c>
      <c r="D135" s="35" t="str">
        <f>VLOOKUP(C135,'Liste chauffeur'!$B$5:$L$19,2,TRUE)&amp;" "&amp;VLOOKUP(C135,'Liste chauffeur'!$B$5:$L$19,3,TRUE)</f>
        <v>MOHAMED Ali (laglace)</v>
      </c>
      <c r="E135" s="53">
        <v>14</v>
      </c>
      <c r="F135" s="35">
        <f>B142-B135</f>
        <v>2.083333333333337E-2</v>
      </c>
      <c r="G135" s="35"/>
      <c r="H135" s="62"/>
      <c r="I135" s="35"/>
      <c r="J135" s="35"/>
      <c r="K135" s="35"/>
      <c r="L135" s="36"/>
      <c r="M135" s="40"/>
      <c r="N135" s="61"/>
    </row>
    <row r="136" spans="1:14" ht="40.049999999999997" customHeight="1" x14ac:dyDescent="0.45">
      <c r="A136" s="14" t="s">
        <v>417</v>
      </c>
      <c r="B136" s="300">
        <v>0.71527777777777779</v>
      </c>
      <c r="C136" s="324" t="s">
        <v>393</v>
      </c>
      <c r="D136" s="35" t="str">
        <f>VLOOKUP(C136,'Liste chauffeur'!$B$5:$L$19,2,TRUE)&amp;" "&amp;VLOOKUP(C136,'Liste chauffeur'!$B$5:$L$19,3,TRUE)</f>
        <v>ABDOURAHIM Mohamed</v>
      </c>
      <c r="E136" s="53">
        <v>11</v>
      </c>
      <c r="F136" s="35">
        <f>B141-B136</f>
        <v>2.0833333333347248E-2</v>
      </c>
      <c r="G136" s="35"/>
      <c r="H136" s="62"/>
      <c r="I136" s="35"/>
      <c r="J136" s="35"/>
      <c r="K136" s="35"/>
      <c r="L136" s="36"/>
      <c r="M136" s="40"/>
      <c r="N136" s="61"/>
    </row>
    <row r="137" spans="1:14" ht="40.049999999999997" customHeight="1" x14ac:dyDescent="0.45">
      <c r="A137" s="14" t="s">
        <v>416</v>
      </c>
      <c r="B137" s="299">
        <v>0.72222222222223398</v>
      </c>
      <c r="C137" s="324" t="s">
        <v>395</v>
      </c>
      <c r="D137" s="35" t="str">
        <f>VLOOKUP(C137,'Liste chauffeur'!$B$5:$L$19,2,TRUE)&amp;" "&amp;VLOOKUP(C137,'Liste chauffeur'!$B$5:$L$19,3,TRUE)</f>
        <v>AMINA Selemani</v>
      </c>
      <c r="E137" s="53">
        <v>11</v>
      </c>
      <c r="F137" s="35"/>
      <c r="G137" s="35"/>
      <c r="H137" s="62"/>
      <c r="I137" s="35"/>
      <c r="J137" s="35"/>
      <c r="K137" s="35"/>
      <c r="L137" s="36"/>
      <c r="M137" s="40"/>
      <c r="N137" s="61"/>
    </row>
    <row r="138" spans="1:14" ht="40.049999999999997" customHeight="1" x14ac:dyDescent="0.45">
      <c r="A138" s="14" t="s">
        <v>417</v>
      </c>
      <c r="B138" s="300">
        <v>0.72222222222222221</v>
      </c>
      <c r="C138" s="324" t="s">
        <v>401</v>
      </c>
      <c r="D138" s="35" t="str">
        <f>VLOOKUP(C138,'Liste chauffeur'!$B$5:$L$19,2,TRUE)&amp;" "&amp;VLOOKUP(C138,'Liste chauffeur'!$B$5:$L$19,3,TRUE)</f>
        <v>RENEE Assanati</v>
      </c>
      <c r="E138" s="53">
        <v>5</v>
      </c>
      <c r="F138" s="35">
        <f>B143-B138</f>
        <v>2.083333333333337E-2</v>
      </c>
      <c r="G138" s="35"/>
      <c r="H138" s="62"/>
      <c r="I138" s="35"/>
      <c r="J138" s="35"/>
      <c r="K138" s="35"/>
      <c r="L138" s="36"/>
      <c r="M138" s="40"/>
      <c r="N138" s="61"/>
    </row>
    <row r="139" spans="1:14" ht="40.049999999999997" customHeight="1" x14ac:dyDescent="0.45">
      <c r="A139" s="14" t="s">
        <v>416</v>
      </c>
      <c r="B139" s="300">
        <v>0.72916666666666663</v>
      </c>
      <c r="C139" s="324" t="s">
        <v>400</v>
      </c>
      <c r="D139" s="35" t="str">
        <f>VLOOKUP(C139,'Liste chauffeur'!$B$5:$L$19,2,TRUE)&amp;" "&amp;VLOOKUP(C139,'Liste chauffeur'!$B$5:$L$19,3,TRUE)</f>
        <v>ISSOUF Dailami</v>
      </c>
      <c r="E139" s="53">
        <v>7</v>
      </c>
      <c r="F139" s="35">
        <f>B146-B139</f>
        <v>2.083333333333337E-2</v>
      </c>
      <c r="G139" s="35"/>
      <c r="H139" s="62"/>
      <c r="I139" s="35"/>
      <c r="J139" s="35"/>
      <c r="K139" s="35"/>
      <c r="L139" s="36"/>
      <c r="M139" s="40"/>
      <c r="N139" s="61"/>
    </row>
    <row r="140" spans="1:14" ht="40.049999999999997" customHeight="1" x14ac:dyDescent="0.45">
      <c r="A140" s="14" t="s">
        <v>417</v>
      </c>
      <c r="B140" s="300">
        <v>0.72916666666666663</v>
      </c>
      <c r="C140" s="324" t="s">
        <v>398</v>
      </c>
      <c r="D140" s="35" t="str">
        <f>VLOOKUP(C140,'Liste chauffeur'!$B$5:$L$19,2,TRUE)&amp;" "&amp;VLOOKUP(C140,'Liste chauffeur'!$B$5:$L$19,3,TRUE)</f>
        <v>ABDOU HAMIDOUNE Nassabia</v>
      </c>
      <c r="E140" s="53">
        <v>10</v>
      </c>
      <c r="F140" s="35">
        <f>B145-B140</f>
        <v>2.0833333333350357E-2</v>
      </c>
      <c r="G140" s="35"/>
      <c r="H140" s="62"/>
      <c r="I140" s="35"/>
      <c r="J140" s="35"/>
      <c r="K140" s="35"/>
      <c r="L140" s="36"/>
      <c r="M140" s="40"/>
      <c r="N140" s="61"/>
    </row>
    <row r="141" spans="1:14" ht="40.049999999999997" customHeight="1" x14ac:dyDescent="0.45">
      <c r="A141" s="14" t="s">
        <v>416</v>
      </c>
      <c r="B141" s="299">
        <v>0.73611111111112504</v>
      </c>
      <c r="C141" s="324" t="s">
        <v>393</v>
      </c>
      <c r="D141" s="35" t="str">
        <f>VLOOKUP(C141,'Liste chauffeur'!$B$5:$L$19,2,TRUE)&amp;" "&amp;VLOOKUP(C141,'Liste chauffeur'!$B$5:$L$19,3,TRUE)</f>
        <v>ABDOURAHIM Mohamed</v>
      </c>
      <c r="E141" s="53">
        <v>12</v>
      </c>
      <c r="F141" s="35"/>
      <c r="G141" s="35"/>
      <c r="H141" s="62"/>
      <c r="I141" s="35"/>
      <c r="J141" s="35"/>
      <c r="K141" s="35"/>
      <c r="L141" s="36"/>
      <c r="M141" s="40"/>
      <c r="N141" s="61"/>
    </row>
    <row r="142" spans="1:14" ht="40.049999999999997" customHeight="1" x14ac:dyDescent="0.45">
      <c r="A142" s="14" t="s">
        <v>417</v>
      </c>
      <c r="B142" s="299">
        <v>0.73611111111111116</v>
      </c>
      <c r="C142" s="324" t="s">
        <v>384</v>
      </c>
      <c r="D142" s="35" t="str">
        <f>VLOOKUP(C142,'Liste chauffeur'!$B$5:$L$19,2,TRUE)&amp;" "&amp;VLOOKUP(C142,'Liste chauffeur'!$B$5:$L$19,3,TRUE)</f>
        <v>MOHAMED Ali (laglace)</v>
      </c>
      <c r="E142" s="53">
        <v>15</v>
      </c>
      <c r="F142" s="35"/>
      <c r="G142" s="35"/>
      <c r="H142" s="62"/>
      <c r="I142" s="35"/>
      <c r="J142" s="35"/>
      <c r="K142" s="35"/>
      <c r="L142" s="36"/>
      <c r="M142" s="40"/>
      <c r="N142" s="61"/>
    </row>
    <row r="143" spans="1:14" ht="40.049999999999997" customHeight="1" x14ac:dyDescent="0.45">
      <c r="A143" s="14" t="s">
        <v>416</v>
      </c>
      <c r="B143" s="300">
        <v>0.74305555555555558</v>
      </c>
      <c r="C143" s="325" t="s">
        <v>401</v>
      </c>
      <c r="D143" s="35" t="str">
        <f>VLOOKUP(C143,'Liste chauffeur'!$B$5:$L$19,2,TRUE)&amp;" "&amp;VLOOKUP(C143,'Liste chauffeur'!$B$5:$L$19,3,TRUE)</f>
        <v>RENEE Assanati</v>
      </c>
      <c r="E143" s="53">
        <v>6</v>
      </c>
      <c r="F143" s="35">
        <f>B148-B143</f>
        <v>2.0833333333333259E-2</v>
      </c>
      <c r="G143" s="35"/>
      <c r="H143" s="62"/>
      <c r="I143" s="35"/>
      <c r="J143" s="35"/>
      <c r="K143" s="35"/>
      <c r="L143" s="36"/>
      <c r="M143" s="40"/>
      <c r="N143" s="61"/>
    </row>
    <row r="144" spans="1:14" ht="40.049999999999997" customHeight="1" x14ac:dyDescent="0.45">
      <c r="A144" s="14" t="s">
        <v>417</v>
      </c>
      <c r="B144" s="48">
        <v>0.74305555555555558</v>
      </c>
      <c r="C144" s="325" t="s">
        <v>399</v>
      </c>
      <c r="D144" s="35" t="str">
        <f>VLOOKUP(C144,'Liste chauffeur'!$B$5:$L$19,2,TRUE)&amp;" "&amp;VLOOKUP(C144,'Liste chauffeur'!$B$5:$L$19,3,TRUE)</f>
        <v>COMBO  Said</v>
      </c>
      <c r="E144" s="53">
        <v>5</v>
      </c>
      <c r="F144" s="35">
        <f>B147-B144</f>
        <v>2.0833333333333259E-2</v>
      </c>
      <c r="G144" s="35"/>
      <c r="H144" s="62"/>
      <c r="I144" s="35"/>
      <c r="J144" s="35"/>
      <c r="K144" s="35"/>
      <c r="L144" s="36"/>
      <c r="M144" s="40"/>
      <c r="N144" s="61"/>
    </row>
    <row r="145" spans="1:14" ht="40.049999999999997" customHeight="1" x14ac:dyDescent="0.45">
      <c r="A145" s="14" t="s">
        <v>416</v>
      </c>
      <c r="B145" s="300">
        <v>0.75000000000001699</v>
      </c>
      <c r="C145" s="324" t="s">
        <v>398</v>
      </c>
      <c r="D145" s="35" t="str">
        <f>VLOOKUP(C145,'Liste chauffeur'!$B$5:$L$19,2,TRUE)&amp;" "&amp;VLOOKUP(C145,'Liste chauffeur'!$B$5:$L$19,3,TRUE)</f>
        <v>ABDOU HAMIDOUNE Nassabia</v>
      </c>
      <c r="E145" s="53">
        <v>11</v>
      </c>
      <c r="F145" s="35">
        <f>B150-B145</f>
        <v>2.7777777777760804E-2</v>
      </c>
      <c r="G145" s="35"/>
      <c r="H145" s="62"/>
      <c r="I145" s="35"/>
      <c r="J145" s="35"/>
      <c r="K145" s="35"/>
      <c r="L145" s="36"/>
      <c r="M145" s="40"/>
      <c r="N145" s="61"/>
    </row>
    <row r="146" spans="1:14" ht="40.049999999999997" customHeight="1" x14ac:dyDescent="0.45">
      <c r="A146" s="14" t="s">
        <v>417</v>
      </c>
      <c r="B146" s="300">
        <v>0.75</v>
      </c>
      <c r="C146" s="324" t="s">
        <v>400</v>
      </c>
      <c r="D146" s="35" t="str">
        <f>VLOOKUP(C146,'Liste chauffeur'!$B$5:$L$19,2,TRUE)&amp;" "&amp;VLOOKUP(C146,'Liste chauffeur'!$B$5:$L$19,3,TRUE)</f>
        <v>ISSOUF Dailami</v>
      </c>
      <c r="E146" s="53">
        <v>8</v>
      </c>
      <c r="F146" s="35">
        <f>B149-B146</f>
        <v>2.777777777777779E-2</v>
      </c>
      <c r="G146" s="35"/>
      <c r="H146" s="62"/>
      <c r="I146" s="35"/>
      <c r="J146" s="35"/>
      <c r="K146" s="35"/>
      <c r="L146" s="36"/>
      <c r="M146" s="40"/>
      <c r="N146" s="61"/>
    </row>
    <row r="147" spans="1:14" ht="40.049999999999997" customHeight="1" x14ac:dyDescent="0.45">
      <c r="A147" s="14" t="s">
        <v>416</v>
      </c>
      <c r="B147" s="300">
        <v>0.76388888888888884</v>
      </c>
      <c r="C147" s="324" t="s">
        <v>399</v>
      </c>
      <c r="D147" s="35" t="str">
        <f>VLOOKUP(C147,'Liste chauffeur'!$B$5:$L$19,2,TRUE)&amp;" "&amp;VLOOKUP(C147,'Liste chauffeur'!$B$5:$L$19,3,TRUE)</f>
        <v>COMBO  Said</v>
      </c>
      <c r="E147" s="53">
        <v>6</v>
      </c>
      <c r="F147" s="35">
        <f>B152-B147</f>
        <v>2.777777777777779E-2</v>
      </c>
      <c r="G147" s="35"/>
      <c r="H147" s="62"/>
      <c r="I147" s="35"/>
      <c r="J147" s="35"/>
      <c r="K147" s="35"/>
      <c r="L147" s="36"/>
      <c r="M147" s="40"/>
      <c r="N147" s="61"/>
    </row>
    <row r="148" spans="1:14" ht="40.049999999999997" customHeight="1" x14ac:dyDescent="0.45">
      <c r="A148" s="14" t="s">
        <v>417</v>
      </c>
      <c r="B148" s="300">
        <v>0.76388888888888884</v>
      </c>
      <c r="C148" s="324" t="s">
        <v>401</v>
      </c>
      <c r="D148" s="35" t="str">
        <f>VLOOKUP(C148,'Liste chauffeur'!$B$5:$L$19,2,TRUE)&amp;" "&amp;VLOOKUP(C148,'Liste chauffeur'!$B$5:$L$19,3,TRUE)</f>
        <v>RENEE Assanati</v>
      </c>
      <c r="E148" s="53">
        <v>7</v>
      </c>
      <c r="F148" s="35">
        <f>B151-B148</f>
        <v>2.777777777777779E-2</v>
      </c>
      <c r="G148" s="35"/>
      <c r="H148" s="62"/>
      <c r="I148" s="35"/>
      <c r="J148" s="35"/>
      <c r="K148" s="35"/>
      <c r="L148" s="36"/>
      <c r="M148" s="40"/>
      <c r="N148" s="61"/>
    </row>
    <row r="149" spans="1:14" ht="40.049999999999997" customHeight="1" x14ac:dyDescent="0.45">
      <c r="A149" s="14" t="s">
        <v>416</v>
      </c>
      <c r="B149" s="300">
        <v>0.77777777777777779</v>
      </c>
      <c r="C149" s="324" t="s">
        <v>400</v>
      </c>
      <c r="D149" s="35" t="str">
        <f>VLOOKUP(C149,'Liste chauffeur'!$B$5:$L$19,2,TRUE)&amp;" "&amp;VLOOKUP(C149,'Liste chauffeur'!$B$5:$L$19,3,TRUE)</f>
        <v>ISSOUF Dailami</v>
      </c>
      <c r="E149" s="53">
        <v>9</v>
      </c>
      <c r="F149" s="35">
        <f>B154-B149</f>
        <v>2.777777777777779E-2</v>
      </c>
      <c r="G149" s="35"/>
      <c r="H149" s="62"/>
      <c r="I149" s="35"/>
      <c r="J149" s="35"/>
      <c r="K149" s="35"/>
      <c r="L149" s="36"/>
      <c r="M149" s="40"/>
      <c r="N149" s="61"/>
    </row>
    <row r="150" spans="1:14" ht="40.049999999999997" customHeight="1" x14ac:dyDescent="0.45">
      <c r="A150" s="14" t="s">
        <v>417</v>
      </c>
      <c r="B150" s="300">
        <v>0.77777777777777779</v>
      </c>
      <c r="C150" s="324" t="s">
        <v>398</v>
      </c>
      <c r="D150" s="35" t="str">
        <f>VLOOKUP(C150,'Liste chauffeur'!$B$5:$L$19,2,TRUE)&amp;" "&amp;VLOOKUP(C150,'Liste chauffeur'!$B$5:$L$19,3,TRUE)</f>
        <v>ABDOU HAMIDOUNE Nassabia</v>
      </c>
      <c r="E150" s="53">
        <v>12</v>
      </c>
      <c r="F150" s="35">
        <f>B153-B150</f>
        <v>2.777777777777779E-2</v>
      </c>
      <c r="G150" s="35"/>
      <c r="H150" s="62"/>
      <c r="I150" s="35"/>
      <c r="J150" s="35"/>
      <c r="K150" s="35"/>
      <c r="L150" s="36"/>
      <c r="M150" s="40"/>
      <c r="N150" s="61"/>
    </row>
    <row r="151" spans="1:14" ht="40.049999999999997" customHeight="1" x14ac:dyDescent="0.45">
      <c r="A151" s="14" t="s">
        <v>416</v>
      </c>
      <c r="B151" s="300">
        <v>0.79166666666666663</v>
      </c>
      <c r="C151" s="325" t="s">
        <v>401</v>
      </c>
      <c r="D151" s="35" t="str">
        <f>VLOOKUP(C151,'Liste chauffeur'!$B$5:$L$19,2,TRUE)&amp;" "&amp;VLOOKUP(C151,'Liste chauffeur'!$B$5:$L$19,3,TRUE)</f>
        <v>RENEE Assanati</v>
      </c>
      <c r="E151" s="53">
        <v>8</v>
      </c>
      <c r="F151" s="35">
        <f>B156-B151</f>
        <v>2.777777777777779E-2</v>
      </c>
      <c r="G151" s="35"/>
      <c r="H151" s="62"/>
      <c r="I151" s="35"/>
      <c r="J151" s="35"/>
      <c r="K151" s="35"/>
      <c r="L151" s="36"/>
      <c r="M151" s="40"/>
      <c r="N151" s="61"/>
    </row>
    <row r="152" spans="1:14" ht="40.049999999999997" customHeight="1" x14ac:dyDescent="0.45">
      <c r="A152" s="14" t="s">
        <v>417</v>
      </c>
      <c r="B152" s="300">
        <v>0.79166666666666663</v>
      </c>
      <c r="C152" s="325" t="s">
        <v>399</v>
      </c>
      <c r="D152" s="35" t="str">
        <f>VLOOKUP(C152,'Liste chauffeur'!$B$5:$L$19,2,TRUE)&amp;" "&amp;VLOOKUP(C152,'Liste chauffeur'!$B$5:$L$19,3,TRUE)</f>
        <v>COMBO  Said</v>
      </c>
      <c r="E152" s="53">
        <v>7</v>
      </c>
      <c r="F152" s="35">
        <f>B155-B152</f>
        <v>2.777777777777779E-2</v>
      </c>
      <c r="G152" s="35"/>
      <c r="H152" s="62"/>
      <c r="I152" s="35"/>
      <c r="J152" s="35"/>
      <c r="K152" s="35"/>
      <c r="L152" s="36"/>
      <c r="M152" s="40"/>
      <c r="N152" s="61"/>
    </row>
    <row r="153" spans="1:14" ht="40.049999999999997" customHeight="1" x14ac:dyDescent="0.45">
      <c r="A153" s="14" t="s">
        <v>416</v>
      </c>
      <c r="B153" s="300">
        <v>0.80555555555555558</v>
      </c>
      <c r="C153" s="324" t="s">
        <v>398</v>
      </c>
      <c r="D153" s="35" t="str">
        <f>VLOOKUP(C153,'Liste chauffeur'!$B$5:$L$19,2,TRUE)&amp;" "&amp;VLOOKUP(C153,'Liste chauffeur'!$B$5:$L$19,3,TRUE)</f>
        <v>ABDOU HAMIDOUNE Nassabia</v>
      </c>
      <c r="E153" s="53">
        <v>13</v>
      </c>
      <c r="F153" s="35">
        <f>B158-B153</f>
        <v>2.777777777777779E-2</v>
      </c>
      <c r="G153" s="35"/>
      <c r="H153" s="62"/>
      <c r="I153" s="35"/>
      <c r="J153" s="35"/>
      <c r="K153" s="35"/>
      <c r="L153" s="36"/>
      <c r="M153" s="40"/>
      <c r="N153" s="61"/>
    </row>
    <row r="154" spans="1:14" ht="40.049999999999997" customHeight="1" x14ac:dyDescent="0.45">
      <c r="A154" s="14" t="s">
        <v>417</v>
      </c>
      <c r="B154" s="300">
        <v>0.80555555555555558</v>
      </c>
      <c r="C154" s="324" t="s">
        <v>400</v>
      </c>
      <c r="D154" s="35" t="str">
        <f>VLOOKUP(C154,'Liste chauffeur'!$B$5:$L$19,2,TRUE)&amp;" "&amp;VLOOKUP(C154,'Liste chauffeur'!$B$5:$L$19,3,TRUE)</f>
        <v>ISSOUF Dailami</v>
      </c>
      <c r="E154" s="53">
        <v>10</v>
      </c>
      <c r="F154" s="35">
        <f>B157-B154</f>
        <v>2.777777777777779E-2</v>
      </c>
      <c r="G154" s="35"/>
      <c r="H154" s="62"/>
      <c r="I154" s="35"/>
      <c r="J154" s="35"/>
      <c r="K154" s="35"/>
      <c r="L154" s="36"/>
      <c r="M154" s="40"/>
      <c r="N154" s="61"/>
    </row>
    <row r="155" spans="1:14" ht="40.049999999999997" customHeight="1" x14ac:dyDescent="0.45">
      <c r="A155" s="14" t="s">
        <v>416</v>
      </c>
      <c r="B155" s="300">
        <v>0.81944444444444442</v>
      </c>
      <c r="C155" s="324" t="s">
        <v>399</v>
      </c>
      <c r="D155" s="35" t="str">
        <f>VLOOKUP(C155,'Liste chauffeur'!$B$5:$L$19,2,TRUE)&amp;" "&amp;VLOOKUP(C155,'Liste chauffeur'!$B$5:$L$19,3,TRUE)</f>
        <v>COMBO  Said</v>
      </c>
      <c r="E155" s="53">
        <v>8</v>
      </c>
      <c r="F155" s="35">
        <f>B160-B155</f>
        <v>2.777777777777779E-2</v>
      </c>
      <c r="G155" s="35"/>
      <c r="H155" s="62"/>
      <c r="I155" s="35"/>
      <c r="J155" s="35"/>
      <c r="K155" s="35"/>
      <c r="L155" s="36"/>
      <c r="M155" s="40"/>
      <c r="N155" s="61"/>
    </row>
    <row r="156" spans="1:14" ht="40.049999999999997" customHeight="1" x14ac:dyDescent="0.45">
      <c r="A156" s="14" t="s">
        <v>417</v>
      </c>
      <c r="B156" s="300">
        <v>0.81944444444444442</v>
      </c>
      <c r="C156" s="324" t="s">
        <v>401</v>
      </c>
      <c r="D156" s="35" t="str">
        <f>VLOOKUP(C156,'Liste chauffeur'!$B$5:$L$19,2,TRUE)&amp;" "&amp;VLOOKUP(C156,'Liste chauffeur'!$B$5:$L$19,3,TRUE)</f>
        <v>RENEE Assanati</v>
      </c>
      <c r="E156" s="53">
        <v>9</v>
      </c>
      <c r="F156" s="35">
        <f>B159-B156</f>
        <v>2.777777777777779E-2</v>
      </c>
      <c r="G156" s="35"/>
      <c r="H156" s="62"/>
      <c r="I156" s="35"/>
      <c r="J156" s="35"/>
      <c r="K156" s="35"/>
      <c r="L156" s="36"/>
      <c r="M156" s="40"/>
      <c r="N156" s="61"/>
    </row>
    <row r="157" spans="1:14" ht="40.049999999999997" customHeight="1" x14ac:dyDescent="0.45">
      <c r="A157" s="14" t="s">
        <v>416</v>
      </c>
      <c r="B157" s="300">
        <v>0.83333333333333337</v>
      </c>
      <c r="C157" s="325" t="s">
        <v>400</v>
      </c>
      <c r="D157" s="35" t="str">
        <f>VLOOKUP(C157,'Liste chauffeur'!$B$5:$L$19,2,TRUE)&amp;" "&amp;VLOOKUP(C157,'Liste chauffeur'!$B$5:$L$19,3,TRUE)</f>
        <v>ISSOUF Dailami</v>
      </c>
      <c r="E157" s="53">
        <v>11</v>
      </c>
      <c r="F157" s="35">
        <f>B161-B157</f>
        <v>2.777777777777779E-2</v>
      </c>
      <c r="G157" s="35"/>
      <c r="H157" s="62"/>
      <c r="I157" s="35"/>
      <c r="J157" s="35"/>
      <c r="K157" s="35"/>
      <c r="L157" s="36"/>
      <c r="M157" s="40"/>
      <c r="N157" s="61"/>
    </row>
    <row r="158" spans="1:14" ht="40.049999999999997" customHeight="1" x14ac:dyDescent="0.45">
      <c r="A158" s="14" t="s">
        <v>417</v>
      </c>
      <c r="B158" s="299">
        <v>0.83333333333333337</v>
      </c>
      <c r="C158" s="325" t="s">
        <v>398</v>
      </c>
      <c r="D158" s="35" t="str">
        <f>VLOOKUP(C158,'Liste chauffeur'!$B$5:$L$19,2,TRUE)&amp;" "&amp;VLOOKUP(C158,'Liste chauffeur'!$B$5:$L$19,3,TRUE)</f>
        <v>ABDOU HAMIDOUNE Nassabia</v>
      </c>
      <c r="E158" s="53">
        <v>14</v>
      </c>
      <c r="F158" s="35"/>
      <c r="G158" s="35"/>
      <c r="H158" s="62"/>
      <c r="I158" s="35"/>
      <c r="J158" s="35"/>
      <c r="K158" s="35"/>
      <c r="L158" s="36"/>
      <c r="M158" s="40"/>
      <c r="N158" s="61"/>
    </row>
    <row r="159" spans="1:14" ht="40.049999999999997" customHeight="1" x14ac:dyDescent="0.45">
      <c r="A159" s="14" t="s">
        <v>416</v>
      </c>
      <c r="B159" s="300">
        <v>0.84722222222222221</v>
      </c>
      <c r="C159" s="324" t="s">
        <v>401</v>
      </c>
      <c r="D159" s="35" t="str">
        <f>VLOOKUP(C159,'Liste chauffeur'!$B$5:$L$19,2,TRUE)&amp;" "&amp;VLOOKUP(C159,'Liste chauffeur'!$B$5:$L$19,3,TRUE)</f>
        <v>RENEE Assanati</v>
      </c>
      <c r="E159" s="53">
        <v>10</v>
      </c>
      <c r="F159" s="35">
        <f>B162-B159</f>
        <v>2.777777777777779E-2</v>
      </c>
      <c r="G159" s="35"/>
      <c r="H159" s="62"/>
      <c r="I159" s="35"/>
      <c r="J159" s="35"/>
      <c r="K159" s="35"/>
      <c r="L159" s="36"/>
      <c r="M159" s="40"/>
      <c r="N159" s="61"/>
    </row>
    <row r="160" spans="1:14" ht="40.049999999999997" customHeight="1" x14ac:dyDescent="0.45">
      <c r="A160" s="14" t="s">
        <v>417</v>
      </c>
      <c r="B160" s="299">
        <v>0.84722222222222221</v>
      </c>
      <c r="C160" s="328" t="s">
        <v>399</v>
      </c>
      <c r="D160" s="35" t="str">
        <f>VLOOKUP(C160,'Liste chauffeur'!$B$5:$L$19,2,TRUE)&amp;" "&amp;VLOOKUP(C160,'Liste chauffeur'!$B$5:$L$19,3,TRUE)</f>
        <v>COMBO  Said</v>
      </c>
      <c r="E160" s="53">
        <v>9</v>
      </c>
      <c r="F160" s="35"/>
      <c r="G160" s="35"/>
      <c r="H160" s="62"/>
      <c r="I160" s="35"/>
      <c r="J160" s="35"/>
      <c r="K160" s="35"/>
      <c r="L160" s="36"/>
      <c r="M160" s="40"/>
      <c r="N160" s="61"/>
    </row>
    <row r="161" spans="1:14" ht="40.049999999999997" customHeight="1" x14ac:dyDescent="0.45">
      <c r="A161" s="14" t="s">
        <v>417</v>
      </c>
      <c r="B161" s="299">
        <v>0.86111111111111116</v>
      </c>
      <c r="C161" s="328" t="s">
        <v>400</v>
      </c>
      <c r="D161" s="35" t="str">
        <f>VLOOKUP(C161,'Liste chauffeur'!$B$5:$L$19,2,TRUE)&amp;" "&amp;VLOOKUP(C161,'Liste chauffeur'!$B$5:$L$19,3,TRUE)</f>
        <v>ISSOUF Dailami</v>
      </c>
      <c r="E161" s="53">
        <v>12</v>
      </c>
      <c r="F161" s="35"/>
      <c r="G161" s="35"/>
      <c r="H161" s="62"/>
      <c r="I161" s="35"/>
      <c r="J161" s="35"/>
      <c r="K161" s="35"/>
      <c r="L161" s="36"/>
      <c r="M161" s="40"/>
      <c r="N161" s="61"/>
    </row>
    <row r="162" spans="1:14" ht="40.049999999999997" customHeight="1" x14ac:dyDescent="0.45">
      <c r="A162" s="14" t="s">
        <v>417</v>
      </c>
      <c r="B162" s="299">
        <v>0.875</v>
      </c>
      <c r="C162" s="328" t="s">
        <v>401</v>
      </c>
      <c r="D162" s="35" t="str">
        <f>VLOOKUP(C162,'Liste chauffeur'!$B$5:$L$19,2,TRUE)&amp;" "&amp;VLOOKUP(C162,'Liste chauffeur'!$B$5:$L$19,3,TRUE)</f>
        <v>RENEE Assanati</v>
      </c>
      <c r="E162" s="53">
        <v>11</v>
      </c>
      <c r="F162" s="35"/>
      <c r="G162" s="35"/>
      <c r="H162" s="62"/>
      <c r="I162" s="35"/>
      <c r="J162" s="35"/>
      <c r="K162" s="35"/>
      <c r="L162" s="36"/>
      <c r="M162" s="40"/>
      <c r="N162" s="61"/>
    </row>
    <row r="163" spans="1:14" ht="40.049999999999997" customHeight="1" x14ac:dyDescent="0.45">
      <c r="A163" s="14"/>
      <c r="B163" s="300"/>
      <c r="C163" s="297"/>
      <c r="D163" s="35"/>
      <c r="E163" s="53"/>
      <c r="F163" s="35"/>
      <c r="G163" s="35"/>
      <c r="H163" s="62"/>
      <c r="I163" s="35"/>
      <c r="J163" s="35"/>
      <c r="K163" s="35"/>
      <c r="L163" s="36"/>
      <c r="M163" s="40"/>
      <c r="N163" s="61"/>
    </row>
    <row r="164" spans="1:14" x14ac:dyDescent="0.45">
      <c r="A164" s="8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9"/>
      <c r="M164" s="42"/>
      <c r="N164" s="6"/>
    </row>
    <row r="166" spans="1:14" x14ac:dyDescent="0.45">
      <c r="I166" t="s">
        <v>325</v>
      </c>
    </row>
  </sheetData>
  <autoFilter ref="A7:K163" xr:uid="{E15BAD97-4E2F-4149-89CB-3FE52EBB9FA2}"/>
  <phoneticPr fontId="5" type="noConversion"/>
  <pageMargins left="0.23622047244094491" right="0.23622047244094491" top="0.74803149606299213" bottom="0.74803149606299213" header="0.31496062992125984" footer="0.31496062992125984"/>
  <pageSetup paperSize="9" scale="4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344B-92E7-4391-AA77-1A6B66B2B790}">
  <sheetPr>
    <pageSetUpPr fitToPage="1"/>
  </sheetPr>
  <dimension ref="A3:N100"/>
  <sheetViews>
    <sheetView zoomScale="99" zoomScaleNormal="99" workbookViewId="0">
      <selection activeCell="C7" sqref="C7"/>
    </sheetView>
  </sheetViews>
  <sheetFormatPr baseColWidth="10" defaultRowHeight="14.25" x14ac:dyDescent="0.45"/>
  <cols>
    <col min="1" max="1" width="18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380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382</v>
      </c>
      <c r="B7" s="3" t="s">
        <v>0</v>
      </c>
      <c r="C7" s="3" t="s">
        <v>25</v>
      </c>
      <c r="D7" s="3" t="s">
        <v>26</v>
      </c>
      <c r="E7" s="3" t="s">
        <v>371</v>
      </c>
      <c r="F7" s="3" t="s">
        <v>370</v>
      </c>
      <c r="G7" s="3" t="s">
        <v>372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24.75" customHeight="1" x14ac:dyDescent="0.45">
      <c r="A8" s="14" t="s">
        <v>416</v>
      </c>
      <c r="B8" s="307">
        <v>0.25</v>
      </c>
      <c r="C8" s="324" t="s">
        <v>387</v>
      </c>
      <c r="D8" s="35" t="str">
        <f>VLOOKUP(C8,'Liste chauffeur'!$B$5:$L$19,2,TRUE)&amp;" "&amp;VLOOKUP(C8,'Liste chauffeur'!$B$5:$L$19,3,TRUE)</f>
        <v>VELOU M'COLO M'Berou</v>
      </c>
      <c r="E8" s="53">
        <v>1</v>
      </c>
      <c r="F8" s="35">
        <f>B10-B8</f>
        <v>2.0833333333333315E-2</v>
      </c>
      <c r="G8" s="35"/>
      <c r="H8" s="51"/>
      <c r="I8" s="51"/>
      <c r="J8" s="51"/>
      <c r="K8" s="51"/>
      <c r="L8" s="295"/>
      <c r="M8" s="296"/>
      <c r="N8" s="61"/>
    </row>
    <row r="9" spans="1:14" ht="24.75" customHeight="1" x14ac:dyDescent="0.45">
      <c r="A9" s="14" t="s">
        <v>416</v>
      </c>
      <c r="B9" s="307">
        <v>0.2638888888888889</v>
      </c>
      <c r="C9" s="324" t="s">
        <v>388</v>
      </c>
      <c r="D9" s="35" t="str">
        <f>VLOOKUP(C9,'Liste chauffeur'!$B$5:$L$19,2,TRUE)&amp;" "&amp;VLOOKUP(C9,'Liste chauffeur'!$B$5:$L$19,3,TRUE)</f>
        <v>MOURIDI Aktoir</v>
      </c>
      <c r="E9" s="53">
        <v>1</v>
      </c>
      <c r="F9" s="35">
        <f t="shared" ref="F9:F51" si="0">B12-B9</f>
        <v>2.0833333333333315E-2</v>
      </c>
      <c r="G9" s="35"/>
      <c r="H9" s="51"/>
      <c r="I9" s="51"/>
      <c r="J9" s="51"/>
      <c r="K9" s="51"/>
      <c r="L9" s="295"/>
      <c r="M9" s="296"/>
      <c r="N9" s="61"/>
    </row>
    <row r="10" spans="1:14" ht="24.75" customHeight="1" x14ac:dyDescent="0.45">
      <c r="A10" s="14" t="s">
        <v>417</v>
      </c>
      <c r="B10" s="326">
        <v>0.27083333333333331</v>
      </c>
      <c r="C10" s="324" t="s">
        <v>387</v>
      </c>
      <c r="D10" s="35" t="str">
        <f>VLOOKUP(C10,'Liste chauffeur'!$B$5:$L$19,2,TRUE)&amp;" "&amp;VLOOKUP(C10,'Liste chauffeur'!$B$5:$L$19,3,TRUE)</f>
        <v>VELOU M'COLO M'Berou</v>
      </c>
      <c r="E10" s="53">
        <v>2</v>
      </c>
      <c r="F10" s="35">
        <f t="shared" si="0"/>
        <v>2.083333333333337E-2</v>
      </c>
      <c r="G10" s="35"/>
      <c r="H10" s="51"/>
      <c r="I10" s="51"/>
      <c r="J10" s="51"/>
      <c r="K10" s="51"/>
      <c r="L10" s="295"/>
      <c r="M10" s="296"/>
      <c r="N10" s="61"/>
    </row>
    <row r="11" spans="1:14" ht="24.75" customHeight="1" x14ac:dyDescent="0.45">
      <c r="A11" s="14" t="s">
        <v>416</v>
      </c>
      <c r="B11" s="307">
        <v>0.27777777777777779</v>
      </c>
      <c r="C11" s="324" t="s">
        <v>395</v>
      </c>
      <c r="D11" s="35" t="str">
        <f>VLOOKUP(C11,'Liste chauffeur'!$B$5:$L$19,2,TRUE)&amp;" "&amp;VLOOKUP(C11,'Liste chauffeur'!$B$5:$L$19,3,TRUE)</f>
        <v>AMINA Selemani</v>
      </c>
      <c r="E11" s="53">
        <v>1</v>
      </c>
      <c r="F11" s="35">
        <f t="shared" si="0"/>
        <v>2.0833333333333315E-2</v>
      </c>
      <c r="G11" s="35"/>
      <c r="H11" s="51"/>
      <c r="I11" s="51"/>
      <c r="J11" s="51"/>
      <c r="K11" s="51"/>
      <c r="L11" s="295"/>
      <c r="M11" s="296"/>
      <c r="N11" s="61"/>
    </row>
    <row r="12" spans="1:14" ht="24.75" customHeight="1" x14ac:dyDescent="0.45">
      <c r="A12" s="14" t="s">
        <v>417</v>
      </c>
      <c r="B12" s="326">
        <v>0.28472222222222221</v>
      </c>
      <c r="C12" s="324" t="s">
        <v>388</v>
      </c>
      <c r="D12" s="35" t="str">
        <f>VLOOKUP(C12,'Liste chauffeur'!$B$5:$L$19,2,TRUE)&amp;" "&amp;VLOOKUP(C12,'Liste chauffeur'!$B$5:$L$19,3,TRUE)</f>
        <v>MOURIDI Aktoir</v>
      </c>
      <c r="E12" s="53">
        <v>2</v>
      </c>
      <c r="F12" s="35">
        <f t="shared" si="0"/>
        <v>2.083333333333337E-2</v>
      </c>
      <c r="G12" s="35"/>
      <c r="H12" s="51"/>
      <c r="I12" s="51"/>
      <c r="J12" s="51"/>
      <c r="K12" s="51"/>
      <c r="L12" s="295"/>
      <c r="M12" s="296"/>
      <c r="N12" s="61"/>
    </row>
    <row r="13" spans="1:14" ht="40.049999999999997" customHeight="1" x14ac:dyDescent="0.45">
      <c r="A13" s="14" t="s">
        <v>416</v>
      </c>
      <c r="B13" s="300">
        <v>0.29166666666666669</v>
      </c>
      <c r="C13" s="324" t="s">
        <v>387</v>
      </c>
      <c r="D13" s="35" t="str">
        <f>VLOOKUP(C13,'Liste chauffeur'!$B$5:$L$19,2,TRUE)&amp;" "&amp;VLOOKUP(C13,'Liste chauffeur'!$B$5:$L$19,3,TRUE)</f>
        <v>VELOU M'COLO M'Berou</v>
      </c>
      <c r="E13" s="53">
        <v>3</v>
      </c>
      <c r="F13" s="35">
        <f t="shared" si="0"/>
        <v>2.0833333333333315E-2</v>
      </c>
      <c r="G13" s="35"/>
      <c r="H13" s="62"/>
      <c r="I13" s="35"/>
      <c r="J13" s="62"/>
      <c r="K13" s="35"/>
      <c r="L13" s="36"/>
      <c r="M13" s="40"/>
      <c r="N13" s="61"/>
    </row>
    <row r="14" spans="1:14" ht="40.049999999999997" customHeight="1" x14ac:dyDescent="0.45">
      <c r="A14" s="14" t="s">
        <v>417</v>
      </c>
      <c r="B14" s="300">
        <v>0.2986111111111111</v>
      </c>
      <c r="C14" s="324" t="s">
        <v>395</v>
      </c>
      <c r="D14" s="35" t="str">
        <f>VLOOKUP(C14,'Liste chauffeur'!$B$5:$L$19,2,TRUE)&amp;" "&amp;VLOOKUP(C14,'Liste chauffeur'!$B$5:$L$19,3,TRUE)</f>
        <v>AMINA Selemani</v>
      </c>
      <c r="E14" s="53">
        <v>2</v>
      </c>
      <c r="F14" s="35">
        <f t="shared" si="0"/>
        <v>2.0833333333332871E-2</v>
      </c>
      <c r="G14" s="35"/>
      <c r="H14" s="62"/>
      <c r="I14" s="35"/>
      <c r="J14" s="62"/>
      <c r="K14" s="35"/>
      <c r="L14" s="36"/>
      <c r="M14" s="40"/>
      <c r="N14" s="61"/>
    </row>
    <row r="15" spans="1:14" ht="40.049999999999997" customHeight="1" x14ac:dyDescent="0.45">
      <c r="A15" s="14" t="s">
        <v>416</v>
      </c>
      <c r="B15" s="300">
        <v>0.30555555555555558</v>
      </c>
      <c r="C15" s="324" t="s">
        <v>388</v>
      </c>
      <c r="D15" s="35" t="str">
        <f>VLOOKUP(C15,'Liste chauffeur'!$B$5:$L$19,2,TRUE)&amp;" "&amp;VLOOKUP(C15,'Liste chauffeur'!$B$5:$L$19,3,TRUE)</f>
        <v>MOURIDI Aktoir</v>
      </c>
      <c r="E15" s="53">
        <v>3</v>
      </c>
      <c r="F15" s="35">
        <f t="shared" si="0"/>
        <v>2.0833333333333426E-2</v>
      </c>
      <c r="G15" s="35"/>
      <c r="H15" s="62"/>
      <c r="I15" s="35"/>
      <c r="J15" s="62"/>
      <c r="K15" s="35"/>
      <c r="L15" s="36"/>
      <c r="M15" s="40"/>
      <c r="N15" s="61"/>
    </row>
    <row r="16" spans="1:14" ht="40.049999999999997" customHeight="1" x14ac:dyDescent="0.45">
      <c r="A16" s="14" t="s">
        <v>417</v>
      </c>
      <c r="B16" s="300">
        <v>0.3125</v>
      </c>
      <c r="C16" s="324" t="s">
        <v>387</v>
      </c>
      <c r="D16" s="35" t="str">
        <f>VLOOKUP(C16,'Liste chauffeur'!$B$5:$L$19,2,TRUE)&amp;" "&amp;VLOOKUP(C16,'Liste chauffeur'!$B$5:$L$19,3,TRUE)</f>
        <v>VELOU M'COLO M'Berou</v>
      </c>
      <c r="E16" s="53">
        <v>4</v>
      </c>
      <c r="F16" s="35">
        <f t="shared" si="0"/>
        <v>2.0833333333332982E-2</v>
      </c>
      <c r="G16" s="35"/>
      <c r="H16" s="62"/>
      <c r="I16" s="35"/>
      <c r="J16" s="62"/>
      <c r="K16" s="35"/>
      <c r="L16" s="36"/>
      <c r="M16" s="40"/>
      <c r="N16" s="61"/>
    </row>
    <row r="17" spans="1:14" ht="40.049999999999997" customHeight="1" x14ac:dyDescent="0.45">
      <c r="A17" s="14" t="s">
        <v>416</v>
      </c>
      <c r="B17" s="300">
        <v>0.31944444444444398</v>
      </c>
      <c r="C17" s="324" t="s">
        <v>395</v>
      </c>
      <c r="D17" s="35" t="str">
        <f>VLOOKUP(C17,'Liste chauffeur'!$B$5:$L$19,2,TRUE)&amp;" "&amp;VLOOKUP(C17,'Liste chauffeur'!$B$5:$L$19,3,TRUE)</f>
        <v>AMINA Selemani</v>
      </c>
      <c r="E17" s="53">
        <v>3</v>
      </c>
      <c r="F17" s="35">
        <f t="shared" si="0"/>
        <v>2.0833333333334036E-2</v>
      </c>
      <c r="G17" s="35"/>
      <c r="H17" s="62"/>
      <c r="I17" s="35"/>
      <c r="J17" s="62"/>
      <c r="K17" s="35"/>
      <c r="L17" s="36"/>
      <c r="M17" s="40"/>
      <c r="N17" s="61"/>
    </row>
    <row r="18" spans="1:14" ht="40.049999999999997" customHeight="1" x14ac:dyDescent="0.45">
      <c r="A18" s="14" t="s">
        <v>417</v>
      </c>
      <c r="B18" s="300">
        <v>0.32638888888888901</v>
      </c>
      <c r="C18" s="324" t="s">
        <v>388</v>
      </c>
      <c r="D18" s="35" t="str">
        <f>VLOOKUP(C18,'Liste chauffeur'!$B$5:$L$19,2,TRUE)&amp;" "&amp;VLOOKUP(C18,'Liste chauffeur'!$B$5:$L$19,3,TRUE)</f>
        <v>MOURIDI Aktoir</v>
      </c>
      <c r="E18" s="53">
        <v>4</v>
      </c>
      <c r="F18" s="35">
        <f t="shared" si="0"/>
        <v>2.0833333333332982E-2</v>
      </c>
      <c r="G18" s="35"/>
      <c r="H18" s="62"/>
      <c r="I18" s="35"/>
      <c r="J18" s="62"/>
      <c r="K18" s="35"/>
      <c r="L18" s="36"/>
      <c r="M18" s="40"/>
      <c r="N18" s="61"/>
    </row>
    <row r="19" spans="1:14" ht="40.049999999999997" customHeight="1" x14ac:dyDescent="0.45">
      <c r="A19" s="14" t="s">
        <v>416</v>
      </c>
      <c r="B19" s="300">
        <v>0.33333333333333298</v>
      </c>
      <c r="C19" s="324" t="s">
        <v>387</v>
      </c>
      <c r="D19" s="35" t="str">
        <f>VLOOKUP(C19,'Liste chauffeur'!$B$5:$L$19,2,TRUE)&amp;" "&amp;VLOOKUP(C19,'Liste chauffeur'!$B$5:$L$19,3,TRUE)</f>
        <v>VELOU M'COLO M'Berou</v>
      </c>
      <c r="E19" s="53">
        <v>5</v>
      </c>
      <c r="F19" s="35">
        <f t="shared" si="0"/>
        <v>2.0833333333333037E-2</v>
      </c>
      <c r="G19" s="35"/>
      <c r="H19" s="62"/>
      <c r="I19" s="35"/>
      <c r="J19" s="62"/>
      <c r="K19" s="35"/>
      <c r="L19" s="36"/>
      <c r="M19" s="40"/>
      <c r="N19" s="61"/>
    </row>
    <row r="20" spans="1:14" ht="40.049999999999997" customHeight="1" x14ac:dyDescent="0.45">
      <c r="A20" s="14" t="s">
        <v>417</v>
      </c>
      <c r="B20" s="300">
        <v>0.34027777777777801</v>
      </c>
      <c r="C20" s="324" t="s">
        <v>395</v>
      </c>
      <c r="D20" s="35" t="str">
        <f>VLOOKUP(C20,'Liste chauffeur'!$B$5:$L$19,2,TRUE)&amp;" "&amp;VLOOKUP(C20,'Liste chauffeur'!$B$5:$L$19,3,TRUE)</f>
        <v>AMINA Selemani</v>
      </c>
      <c r="E20" s="53">
        <v>4</v>
      </c>
      <c r="F20" s="35">
        <f t="shared" si="0"/>
        <v>2.0833333333332982E-2</v>
      </c>
      <c r="G20" s="35"/>
      <c r="H20" s="62"/>
      <c r="I20" s="35"/>
      <c r="J20" s="62"/>
      <c r="K20" s="35"/>
      <c r="L20" s="36"/>
      <c r="M20" s="40"/>
      <c r="N20" s="61"/>
    </row>
    <row r="21" spans="1:14" ht="40.049999999999997" customHeight="1" x14ac:dyDescent="0.45">
      <c r="A21" s="14" t="s">
        <v>416</v>
      </c>
      <c r="B21" s="300">
        <v>0.34722222222222199</v>
      </c>
      <c r="C21" s="324" t="s">
        <v>388</v>
      </c>
      <c r="D21" s="35" t="str">
        <f>VLOOKUP(C21,'Liste chauffeur'!$B$5:$L$19,2,TRUE)&amp;" "&amp;VLOOKUP(C21,'Liste chauffeur'!$B$5:$L$19,3,TRUE)</f>
        <v>MOURIDI Aktoir</v>
      </c>
      <c r="E21" s="53">
        <v>5</v>
      </c>
      <c r="F21" s="35">
        <f t="shared" si="0"/>
        <v>2.0833333333333037E-2</v>
      </c>
      <c r="G21" s="35"/>
      <c r="H21" s="62"/>
      <c r="I21" s="35"/>
      <c r="J21" s="62"/>
      <c r="K21" s="35"/>
      <c r="L21" s="36"/>
      <c r="M21" s="40"/>
      <c r="N21" s="61"/>
    </row>
    <row r="22" spans="1:14" ht="40.049999999999997" customHeight="1" x14ac:dyDescent="0.45">
      <c r="A22" s="14" t="s">
        <v>417</v>
      </c>
      <c r="B22" s="300">
        <v>0.35416666666666602</v>
      </c>
      <c r="C22" s="324" t="s">
        <v>387</v>
      </c>
      <c r="D22" s="35" t="str">
        <f>VLOOKUP(C22,'Liste chauffeur'!$B$5:$L$19,2,TRUE)&amp;" "&amp;VLOOKUP(C22,'Liste chauffeur'!$B$5:$L$19,3,TRUE)</f>
        <v>VELOU M'COLO M'Berou</v>
      </c>
      <c r="E22" s="53">
        <v>6</v>
      </c>
      <c r="F22" s="35">
        <f t="shared" si="0"/>
        <v>2.0833333333333981E-2</v>
      </c>
      <c r="G22" s="35"/>
      <c r="H22" s="62"/>
      <c r="I22" s="35"/>
      <c r="J22" s="62"/>
      <c r="K22" s="35"/>
      <c r="L22" s="36"/>
      <c r="M22" s="40"/>
      <c r="N22" s="61"/>
    </row>
    <row r="23" spans="1:14" ht="40.049999999999997" customHeight="1" x14ac:dyDescent="0.45">
      <c r="A23" s="14" t="s">
        <v>416</v>
      </c>
      <c r="B23" s="300">
        <v>0.36111111111111099</v>
      </c>
      <c r="C23" s="324" t="s">
        <v>395</v>
      </c>
      <c r="D23" s="35" t="str">
        <f>VLOOKUP(C23,'Liste chauffeur'!$B$5:$L$19,2,TRUE)&amp;" "&amp;VLOOKUP(C23,'Liste chauffeur'!$B$5:$L$19,3,TRUE)</f>
        <v>AMINA Selemani</v>
      </c>
      <c r="E23" s="53">
        <v>5</v>
      </c>
      <c r="F23" s="35">
        <f t="shared" si="0"/>
        <v>2.0833333333332982E-2</v>
      </c>
      <c r="G23" s="35"/>
      <c r="H23" s="62"/>
      <c r="I23" s="35"/>
      <c r="J23" s="62"/>
      <c r="K23" s="35"/>
      <c r="L23" s="36"/>
      <c r="M23" s="40"/>
      <c r="N23" s="61"/>
    </row>
    <row r="24" spans="1:14" ht="40.049999999999997" customHeight="1" x14ac:dyDescent="0.45">
      <c r="A24" s="14" t="s">
        <v>417</v>
      </c>
      <c r="B24" s="300">
        <v>0.36805555555555503</v>
      </c>
      <c r="C24" s="324" t="s">
        <v>388</v>
      </c>
      <c r="D24" s="35" t="str">
        <f>VLOOKUP(C24,'Liste chauffeur'!$B$5:$L$19,2,TRUE)&amp;" "&amp;VLOOKUP(C24,'Liste chauffeur'!$B$5:$L$19,3,TRUE)</f>
        <v>MOURIDI Aktoir</v>
      </c>
      <c r="E24" s="53">
        <v>6</v>
      </c>
      <c r="F24" s="35">
        <f t="shared" si="0"/>
        <v>2.0833333333333981E-2</v>
      </c>
      <c r="G24" s="35"/>
      <c r="H24" s="62"/>
      <c r="I24" s="35"/>
      <c r="J24" s="62"/>
      <c r="K24" s="35"/>
      <c r="L24" s="36"/>
      <c r="M24" s="40"/>
      <c r="N24" s="61"/>
    </row>
    <row r="25" spans="1:14" ht="40.049999999999997" customHeight="1" x14ac:dyDescent="0.45">
      <c r="A25" s="14" t="s">
        <v>416</v>
      </c>
      <c r="B25" s="300">
        <v>0.375</v>
      </c>
      <c r="C25" s="324" t="s">
        <v>387</v>
      </c>
      <c r="D25" s="35" t="str">
        <f>VLOOKUP(C25,'Liste chauffeur'!$B$5:$L$19,2,TRUE)&amp;" "&amp;VLOOKUP(C25,'Liste chauffeur'!$B$5:$L$19,3,TRUE)</f>
        <v>VELOU M'COLO M'Berou</v>
      </c>
      <c r="E25" s="53">
        <v>7</v>
      </c>
      <c r="F25" s="35">
        <f t="shared" si="0"/>
        <v>2.0833333333332982E-2</v>
      </c>
      <c r="G25" s="35"/>
      <c r="H25" s="62"/>
      <c r="I25" s="35"/>
      <c r="J25" s="62"/>
      <c r="K25" s="35"/>
      <c r="L25" s="36"/>
      <c r="M25" s="40"/>
      <c r="N25" s="61"/>
    </row>
    <row r="26" spans="1:14" ht="40.049999999999997" customHeight="1" x14ac:dyDescent="0.45">
      <c r="A26" s="14" t="s">
        <v>417</v>
      </c>
      <c r="B26" s="300">
        <v>0.38194444444444398</v>
      </c>
      <c r="C26" s="324" t="s">
        <v>395</v>
      </c>
      <c r="D26" s="35" t="str">
        <f>VLOOKUP(C26,'Liste chauffeur'!$B$5:$L$19,2,TRUE)&amp;" "&amp;VLOOKUP(C26,'Liste chauffeur'!$B$5:$L$19,3,TRUE)</f>
        <v>AMINA Selemani</v>
      </c>
      <c r="E26" s="53">
        <v>6</v>
      </c>
      <c r="F26" s="35">
        <f t="shared" si="0"/>
        <v>2.0833333333333037E-2</v>
      </c>
      <c r="G26" s="35"/>
      <c r="H26" s="62"/>
      <c r="I26" s="35"/>
      <c r="J26" s="62"/>
      <c r="K26" s="35"/>
      <c r="L26" s="36"/>
      <c r="M26" s="40"/>
      <c r="N26" s="61"/>
    </row>
    <row r="27" spans="1:14" ht="40.049999999999997" customHeight="1" x14ac:dyDescent="0.45">
      <c r="A27" s="14" t="s">
        <v>416</v>
      </c>
      <c r="B27" s="300">
        <v>0.38888888888888901</v>
      </c>
      <c r="C27" s="324" t="s">
        <v>388</v>
      </c>
      <c r="D27" s="35" t="str">
        <f>VLOOKUP(C27,'Liste chauffeur'!$B$5:$L$19,2,TRUE)&amp;" "&amp;VLOOKUP(C27,'Liste chauffeur'!$B$5:$L$19,3,TRUE)</f>
        <v>MOURIDI Aktoir</v>
      </c>
      <c r="E27" s="53">
        <v>7</v>
      </c>
      <c r="F27" s="35">
        <f t="shared" si="0"/>
        <v>2.0833333333332982E-2</v>
      </c>
      <c r="G27" s="35"/>
      <c r="H27" s="62"/>
      <c r="I27" s="35"/>
      <c r="J27" s="62"/>
      <c r="K27" s="35"/>
      <c r="L27" s="36"/>
      <c r="M27" s="40"/>
      <c r="N27" s="61"/>
    </row>
    <row r="28" spans="1:14" ht="40.049999999999997" customHeight="1" x14ac:dyDescent="0.45">
      <c r="A28" s="14" t="s">
        <v>417</v>
      </c>
      <c r="B28" s="300">
        <v>0.39583333333333298</v>
      </c>
      <c r="C28" s="324" t="s">
        <v>387</v>
      </c>
      <c r="D28" s="35" t="str">
        <f>VLOOKUP(C28,'Liste chauffeur'!$B$5:$L$19,2,TRUE)&amp;" "&amp;VLOOKUP(C28,'Liste chauffeur'!$B$5:$L$19,3,TRUE)</f>
        <v>VELOU M'COLO M'Berou</v>
      </c>
      <c r="E28" s="53">
        <v>8</v>
      </c>
      <c r="F28" s="35">
        <f t="shared" si="0"/>
        <v>2.0833333333334036E-2</v>
      </c>
      <c r="G28" s="35"/>
      <c r="H28" s="62"/>
      <c r="I28" s="35"/>
      <c r="J28" s="62"/>
      <c r="K28" s="35"/>
      <c r="L28" s="36"/>
      <c r="M28" s="40"/>
      <c r="N28" s="61"/>
    </row>
    <row r="29" spans="1:14" ht="40.049999999999997" customHeight="1" x14ac:dyDescent="0.45">
      <c r="A29" s="14" t="s">
        <v>416</v>
      </c>
      <c r="B29" s="300">
        <v>0.40277777777777701</v>
      </c>
      <c r="C29" s="324" t="s">
        <v>395</v>
      </c>
      <c r="D29" s="35" t="str">
        <f>VLOOKUP(C29,'Liste chauffeur'!$B$5:$L$19,2,TRUE)&amp;" "&amp;VLOOKUP(C29,'Liste chauffeur'!$B$5:$L$19,3,TRUE)</f>
        <v>AMINA Selemani</v>
      </c>
      <c r="E29" s="53">
        <v>7</v>
      </c>
      <c r="F29" s="35">
        <f t="shared" si="0"/>
        <v>2.0833333333333981E-2</v>
      </c>
      <c r="G29" s="35"/>
      <c r="H29" s="62"/>
      <c r="I29" s="35"/>
      <c r="J29" s="62"/>
      <c r="K29" s="35"/>
      <c r="L29" s="36"/>
      <c r="M29" s="40"/>
      <c r="N29" s="61"/>
    </row>
    <row r="30" spans="1:14" ht="40.049999999999997" customHeight="1" x14ac:dyDescent="0.45">
      <c r="A30" s="14" t="s">
        <v>417</v>
      </c>
      <c r="B30" s="300">
        <v>0.40972222222222199</v>
      </c>
      <c r="C30" s="324" t="s">
        <v>388</v>
      </c>
      <c r="D30" s="35" t="str">
        <f>VLOOKUP(C30,'Liste chauffeur'!$B$5:$L$19,2,TRUE)&amp;" "&amp;VLOOKUP(C30,'Liste chauffeur'!$B$5:$L$19,3,TRUE)</f>
        <v>MOURIDI Aktoir</v>
      </c>
      <c r="E30" s="53">
        <v>8</v>
      </c>
      <c r="F30" s="35">
        <f t="shared" si="0"/>
        <v>2.0833333333334036E-2</v>
      </c>
      <c r="G30" s="35"/>
      <c r="H30" s="62"/>
      <c r="I30" s="35"/>
      <c r="J30" s="62"/>
      <c r="K30" s="35"/>
      <c r="L30" s="36"/>
      <c r="M30" s="40"/>
      <c r="N30" s="61"/>
    </row>
    <row r="31" spans="1:14" ht="40.049999999999997" customHeight="1" x14ac:dyDescent="0.45">
      <c r="A31" s="14" t="s">
        <v>416</v>
      </c>
      <c r="B31" s="300">
        <v>0.41666666666666702</v>
      </c>
      <c r="C31" s="324" t="s">
        <v>387</v>
      </c>
      <c r="D31" s="35" t="str">
        <f>VLOOKUP(C31,'Liste chauffeur'!$B$5:$L$19,2,TRUE)&amp;" "&amp;VLOOKUP(C31,'Liste chauffeur'!$B$5:$L$19,3,TRUE)</f>
        <v>VELOU M'COLO M'Berou</v>
      </c>
      <c r="E31" s="53">
        <v>9</v>
      </c>
      <c r="F31" s="35">
        <f t="shared" si="0"/>
        <v>2.0833333333332982E-2</v>
      </c>
      <c r="G31" s="35"/>
      <c r="H31" s="62"/>
      <c r="I31" s="35"/>
      <c r="J31" s="62"/>
      <c r="K31" s="35"/>
      <c r="L31" s="36"/>
      <c r="M31" s="40"/>
      <c r="N31" s="61"/>
    </row>
    <row r="32" spans="1:14" ht="40.049999999999997" customHeight="1" x14ac:dyDescent="0.45">
      <c r="A32" s="14" t="s">
        <v>417</v>
      </c>
      <c r="B32" s="300">
        <v>0.42361111111111099</v>
      </c>
      <c r="C32" s="324" t="s">
        <v>395</v>
      </c>
      <c r="D32" s="35" t="str">
        <f>VLOOKUP(C32,'Liste chauffeur'!$B$5:$L$19,2,TRUE)&amp;" "&amp;VLOOKUP(C32,'Liste chauffeur'!$B$5:$L$19,3,TRUE)</f>
        <v>AMINA Selemani</v>
      </c>
      <c r="E32" s="53">
        <v>8</v>
      </c>
      <c r="F32" s="35">
        <f t="shared" si="0"/>
        <v>2.0833333333332982E-2</v>
      </c>
      <c r="G32" s="35"/>
      <c r="H32" s="62"/>
      <c r="I32" s="35"/>
      <c r="J32" s="62"/>
      <c r="K32" s="35"/>
      <c r="L32" s="36"/>
      <c r="M32" s="40"/>
      <c r="N32" s="61"/>
    </row>
    <row r="33" spans="1:14" ht="40.049999999999997" customHeight="1" x14ac:dyDescent="0.45">
      <c r="A33" s="14" t="s">
        <v>416</v>
      </c>
      <c r="B33" s="300">
        <v>0.43055555555555602</v>
      </c>
      <c r="C33" s="324" t="s">
        <v>388</v>
      </c>
      <c r="D33" s="35" t="str">
        <f>VLOOKUP(C33,'Liste chauffeur'!$B$5:$L$19,2,TRUE)&amp;" "&amp;VLOOKUP(C33,'Liste chauffeur'!$B$5:$L$19,3,TRUE)</f>
        <v>MOURIDI Aktoir</v>
      </c>
      <c r="E33" s="53">
        <v>9</v>
      </c>
      <c r="F33" s="35">
        <f t="shared" si="0"/>
        <v>2.0833333333332982E-2</v>
      </c>
      <c r="G33" s="35"/>
      <c r="H33" s="62"/>
      <c r="I33" s="35"/>
      <c r="J33" s="62"/>
      <c r="K33" s="35"/>
      <c r="L33" s="36"/>
      <c r="M33" s="40"/>
      <c r="N33" s="61"/>
    </row>
    <row r="34" spans="1:14" ht="40.049999999999997" customHeight="1" x14ac:dyDescent="0.45">
      <c r="A34" s="14" t="s">
        <v>417</v>
      </c>
      <c r="B34" s="300">
        <v>0.4375</v>
      </c>
      <c r="C34" s="324" t="s">
        <v>387</v>
      </c>
      <c r="D34" s="35" t="str">
        <f>VLOOKUP(C34,'Liste chauffeur'!$B$5:$L$19,2,TRUE)&amp;" "&amp;VLOOKUP(C34,'Liste chauffeur'!$B$5:$L$19,3,TRUE)</f>
        <v>VELOU M'COLO M'Berou</v>
      </c>
      <c r="E34" s="53">
        <v>10</v>
      </c>
      <c r="F34" s="35">
        <f t="shared" si="0"/>
        <v>2.0833333333332982E-2</v>
      </c>
      <c r="G34" s="35"/>
      <c r="H34" s="62"/>
      <c r="I34" s="35"/>
      <c r="J34" s="62"/>
      <c r="K34" s="35"/>
      <c r="L34" s="36"/>
      <c r="M34" s="40"/>
      <c r="N34" s="61"/>
    </row>
    <row r="35" spans="1:14" ht="40.049999999999997" customHeight="1" x14ac:dyDescent="0.45">
      <c r="A35" s="14" t="s">
        <v>416</v>
      </c>
      <c r="B35" s="300">
        <v>0.44444444444444398</v>
      </c>
      <c r="C35" s="324" t="s">
        <v>395</v>
      </c>
      <c r="D35" s="35" t="str">
        <f>VLOOKUP(C35,'Liste chauffeur'!$B$5:$L$19,2,TRUE)&amp;" "&amp;VLOOKUP(C35,'Liste chauffeur'!$B$5:$L$19,3,TRUE)</f>
        <v>AMINA Selemani</v>
      </c>
      <c r="E35" s="53">
        <v>9</v>
      </c>
      <c r="F35" s="35">
        <f t="shared" si="0"/>
        <v>2.0833333333334036E-2</v>
      </c>
      <c r="G35" s="35"/>
      <c r="H35" s="62"/>
      <c r="I35" s="35"/>
      <c r="J35" s="62"/>
      <c r="K35" s="35"/>
      <c r="L35" s="36"/>
      <c r="M35" s="40"/>
      <c r="N35" s="61"/>
    </row>
    <row r="36" spans="1:14" ht="40.049999999999997" customHeight="1" x14ac:dyDescent="0.45">
      <c r="A36" s="14" t="s">
        <v>417</v>
      </c>
      <c r="B36" s="300">
        <v>0.45138888888888901</v>
      </c>
      <c r="C36" s="324" t="s">
        <v>388</v>
      </c>
      <c r="D36" s="35" t="str">
        <f>VLOOKUP(C36,'Liste chauffeur'!$B$5:$L$19,2,TRUE)&amp;" "&amp;VLOOKUP(C36,'Liste chauffeur'!$B$5:$L$19,3,TRUE)</f>
        <v>MOURIDI Aktoir</v>
      </c>
      <c r="E36" s="53">
        <v>10</v>
      </c>
      <c r="F36" s="35">
        <f t="shared" si="0"/>
        <v>2.0833333333332982E-2</v>
      </c>
      <c r="G36" s="35"/>
      <c r="H36" s="62"/>
      <c r="I36" s="35"/>
      <c r="J36" s="62"/>
      <c r="K36" s="35"/>
      <c r="L36" s="36"/>
      <c r="M36" s="40"/>
      <c r="N36" s="61"/>
    </row>
    <row r="37" spans="1:14" ht="40.049999999999997" customHeight="1" x14ac:dyDescent="0.45">
      <c r="A37" s="14" t="s">
        <v>416</v>
      </c>
      <c r="B37" s="300">
        <v>0.45833333333333298</v>
      </c>
      <c r="C37" s="324" t="s">
        <v>387</v>
      </c>
      <c r="D37" s="35" t="str">
        <f>VLOOKUP(C37,'Liste chauffeur'!$B$5:$L$19,2,TRUE)&amp;" "&amp;VLOOKUP(C37,'Liste chauffeur'!$B$5:$L$19,3,TRUE)</f>
        <v>VELOU M'COLO M'Berou</v>
      </c>
      <c r="E37" s="53">
        <v>11</v>
      </c>
      <c r="F37" s="35">
        <f t="shared" si="0"/>
        <v>2.0833333333333037E-2</v>
      </c>
      <c r="G37" s="35"/>
      <c r="H37" s="62"/>
      <c r="I37" s="35"/>
      <c r="J37" s="62"/>
      <c r="K37" s="35"/>
      <c r="L37" s="36"/>
      <c r="M37" s="40"/>
      <c r="N37" s="61"/>
    </row>
    <row r="38" spans="1:14" ht="40.049999999999997" customHeight="1" x14ac:dyDescent="0.45">
      <c r="A38" s="14" t="s">
        <v>417</v>
      </c>
      <c r="B38" s="300">
        <v>0.46527777777777801</v>
      </c>
      <c r="C38" s="324" t="s">
        <v>395</v>
      </c>
      <c r="D38" s="35" t="str">
        <f>VLOOKUP(C38,'Liste chauffeur'!$B$5:$L$19,2,TRUE)&amp;" "&amp;VLOOKUP(C38,'Liste chauffeur'!$B$5:$L$19,3,TRUE)</f>
        <v>AMINA Selemani</v>
      </c>
      <c r="E38" s="53">
        <v>10</v>
      </c>
      <c r="F38" s="35">
        <f t="shared" si="0"/>
        <v>2.0833333333332982E-2</v>
      </c>
      <c r="G38" s="35"/>
      <c r="H38" s="62"/>
      <c r="I38" s="35"/>
      <c r="J38" s="62"/>
      <c r="K38" s="35"/>
      <c r="L38" s="36"/>
      <c r="M38" s="40"/>
      <c r="N38" s="61"/>
    </row>
    <row r="39" spans="1:14" ht="40.049999999999997" customHeight="1" x14ac:dyDescent="0.45">
      <c r="A39" s="14" t="s">
        <v>416</v>
      </c>
      <c r="B39" s="300">
        <v>0.47222222222222199</v>
      </c>
      <c r="C39" s="324" t="s">
        <v>388</v>
      </c>
      <c r="D39" s="35" t="str">
        <f>VLOOKUP(C39,'Liste chauffeur'!$B$5:$L$19,2,TRUE)&amp;" "&amp;VLOOKUP(C39,'Liste chauffeur'!$B$5:$L$19,3,TRUE)</f>
        <v>MOURIDI Aktoir</v>
      </c>
      <c r="E39" s="53">
        <v>11</v>
      </c>
      <c r="F39" s="300">
        <f t="shared" si="0"/>
        <v>2.0833333333333037E-2</v>
      </c>
      <c r="G39" s="35"/>
      <c r="H39" s="62"/>
      <c r="I39" s="35"/>
      <c r="J39" s="62"/>
      <c r="K39" s="35"/>
      <c r="L39" s="36"/>
      <c r="M39" s="40"/>
      <c r="N39" s="61"/>
    </row>
    <row r="40" spans="1:14" ht="40.049999999999997" customHeight="1" x14ac:dyDescent="0.45">
      <c r="A40" s="14" t="s">
        <v>417</v>
      </c>
      <c r="B40" s="300">
        <v>0.47916666666666602</v>
      </c>
      <c r="C40" s="324" t="s">
        <v>387</v>
      </c>
      <c r="D40" s="35" t="str">
        <f>VLOOKUP(C40,'Liste chauffeur'!$B$5:$L$19,2,TRUE)&amp;" "&amp;VLOOKUP(C40,'Liste chauffeur'!$B$5:$L$19,3,TRUE)</f>
        <v>VELOU M'COLO M'Berou</v>
      </c>
      <c r="E40" s="53">
        <v>12</v>
      </c>
      <c r="F40" s="300">
        <f t="shared" si="0"/>
        <v>2.0833333333333981E-2</v>
      </c>
      <c r="G40" s="35"/>
      <c r="H40" s="62"/>
      <c r="I40" s="35"/>
      <c r="J40" s="62"/>
      <c r="K40" s="35"/>
      <c r="L40" s="36"/>
      <c r="M40" s="40"/>
      <c r="N40" s="61"/>
    </row>
    <row r="41" spans="1:14" ht="40.049999999999997" customHeight="1" x14ac:dyDescent="0.45">
      <c r="A41" s="14" t="s">
        <v>416</v>
      </c>
      <c r="B41" s="300">
        <v>0.48611111111111099</v>
      </c>
      <c r="C41" s="324" t="s">
        <v>395</v>
      </c>
      <c r="D41" s="35" t="str">
        <f>VLOOKUP(C41,'Liste chauffeur'!$B$5:$L$19,2,TRUE)&amp;" "&amp;VLOOKUP(C41,'Liste chauffeur'!$B$5:$L$19,3,TRUE)</f>
        <v>AMINA Selemani</v>
      </c>
      <c r="E41" s="53">
        <v>11</v>
      </c>
      <c r="F41" s="300">
        <f t="shared" si="0"/>
        <v>2.0833333333332982E-2</v>
      </c>
      <c r="G41" s="300"/>
      <c r="H41" s="62"/>
      <c r="I41" s="35"/>
      <c r="J41" s="62"/>
      <c r="K41" s="35"/>
      <c r="L41" s="36"/>
      <c r="M41" s="40"/>
      <c r="N41" s="61"/>
    </row>
    <row r="42" spans="1:14" ht="40.049999999999997" customHeight="1" x14ac:dyDescent="0.45">
      <c r="A42" s="14" t="s">
        <v>417</v>
      </c>
      <c r="B42" s="300">
        <v>0.49305555555555503</v>
      </c>
      <c r="C42" s="324" t="s">
        <v>388</v>
      </c>
      <c r="D42" s="35" t="str">
        <f>VLOOKUP(C42,'Liste chauffeur'!$B$5:$L$19,2,TRUE)&amp;" "&amp;VLOOKUP(C42,'Liste chauffeur'!$B$5:$L$19,3,TRUE)</f>
        <v>MOURIDI Aktoir</v>
      </c>
      <c r="E42" s="53">
        <v>12</v>
      </c>
      <c r="F42" s="300">
        <f t="shared" si="0"/>
        <v>2.0833333333333925E-2</v>
      </c>
      <c r="G42" s="300"/>
      <c r="H42" s="62"/>
      <c r="I42" s="35"/>
      <c r="J42" s="62"/>
      <c r="K42" s="35"/>
      <c r="L42" s="36"/>
      <c r="M42" s="40"/>
      <c r="N42" s="61"/>
    </row>
    <row r="43" spans="1:14" ht="40.049999999999997" customHeight="1" x14ac:dyDescent="0.45">
      <c r="A43" s="14" t="s">
        <v>416</v>
      </c>
      <c r="B43" s="300">
        <v>0.5</v>
      </c>
      <c r="C43" s="324" t="s">
        <v>387</v>
      </c>
      <c r="D43" s="35" t="str">
        <f>VLOOKUP(C43,'Liste chauffeur'!$B$5:$L$19,2,TRUE)&amp;" "&amp;VLOOKUP(C43,'Liste chauffeur'!$B$5:$L$19,3,TRUE)</f>
        <v>VELOU M'COLO M'Berou</v>
      </c>
      <c r="E43" s="53">
        <v>13</v>
      </c>
      <c r="F43" s="35">
        <f t="shared" si="0"/>
        <v>2.0833333333333037E-2</v>
      </c>
      <c r="G43" s="35"/>
      <c r="H43" s="62"/>
      <c r="I43" s="35"/>
      <c r="J43" s="62"/>
      <c r="K43" s="35"/>
      <c r="L43" s="36"/>
      <c r="M43" s="40"/>
      <c r="N43" s="61"/>
    </row>
    <row r="44" spans="1:14" ht="40.049999999999997" customHeight="1" x14ac:dyDescent="0.45">
      <c r="A44" s="14" t="s">
        <v>417</v>
      </c>
      <c r="B44" s="300">
        <v>0.50694444444444398</v>
      </c>
      <c r="C44" s="324" t="s">
        <v>395</v>
      </c>
      <c r="D44" s="35" t="str">
        <f>VLOOKUP(C44,'Liste chauffeur'!$B$5:$L$19,2,TRUE)&amp;" "&amp;VLOOKUP(C44,'Liste chauffeur'!$B$5:$L$19,3,TRUE)</f>
        <v>AMINA Selemani</v>
      </c>
      <c r="E44" s="53">
        <v>12</v>
      </c>
      <c r="F44" s="35">
        <f t="shared" si="0"/>
        <v>2.0833333333333037E-2</v>
      </c>
      <c r="G44" s="35"/>
      <c r="H44" s="62"/>
      <c r="I44" s="35"/>
      <c r="J44" s="62"/>
      <c r="K44" s="35"/>
      <c r="L44" s="36"/>
      <c r="M44" s="40"/>
      <c r="N44" s="61"/>
    </row>
    <row r="45" spans="1:14" ht="40.049999999999997" customHeight="1" x14ac:dyDescent="0.45">
      <c r="A45" s="14" t="s">
        <v>416</v>
      </c>
      <c r="B45" s="300">
        <v>0.51388888888888895</v>
      </c>
      <c r="C45" s="324" t="s">
        <v>388</v>
      </c>
      <c r="D45" s="35" t="str">
        <f>VLOOKUP(C45,'Liste chauffeur'!$B$5:$L$19,2,TRUE)&amp;" "&amp;VLOOKUP(C45,'Liste chauffeur'!$B$5:$L$19,3,TRUE)</f>
        <v>MOURIDI Aktoir</v>
      </c>
      <c r="E45" s="53">
        <v>13</v>
      </c>
      <c r="F45" s="35">
        <f t="shared" si="0"/>
        <v>2.0833333333333037E-2</v>
      </c>
      <c r="G45" s="35"/>
      <c r="H45" s="62"/>
      <c r="I45" s="35"/>
      <c r="J45" s="62"/>
      <c r="K45" s="35"/>
      <c r="L45" s="36"/>
      <c r="M45" s="40"/>
      <c r="N45" s="61"/>
    </row>
    <row r="46" spans="1:14" ht="40.049999999999997" customHeight="1" x14ac:dyDescent="0.45">
      <c r="A46" s="14" t="s">
        <v>417</v>
      </c>
      <c r="B46" s="300">
        <v>0.52083333333333304</v>
      </c>
      <c r="C46" s="324" t="s">
        <v>387</v>
      </c>
      <c r="D46" s="35" t="str">
        <f>VLOOKUP(C46,'Liste chauffeur'!$B$5:$L$19,2,TRUE)&amp;" "&amp;VLOOKUP(C46,'Liste chauffeur'!$B$5:$L$19,3,TRUE)</f>
        <v>VELOU M'COLO M'Berou</v>
      </c>
      <c r="E46" s="53">
        <v>14</v>
      </c>
      <c r="F46" s="35">
        <f t="shared" si="0"/>
        <v>2.0833333333332926E-2</v>
      </c>
      <c r="G46" s="35"/>
      <c r="H46" s="62"/>
      <c r="I46" s="35"/>
      <c r="J46" s="62"/>
      <c r="K46" s="35"/>
      <c r="L46" s="36"/>
      <c r="M46" s="40"/>
      <c r="N46" s="61"/>
    </row>
    <row r="47" spans="1:14" ht="40.049999999999997" customHeight="1" x14ac:dyDescent="0.45">
      <c r="A47" s="14" t="s">
        <v>416</v>
      </c>
      <c r="B47" s="300">
        <v>0.52777777777777701</v>
      </c>
      <c r="C47" s="324" t="s">
        <v>395</v>
      </c>
      <c r="D47" s="35" t="str">
        <f>VLOOKUP(C47,'Liste chauffeur'!$B$5:$L$19,2,TRUE)&amp;" "&amp;VLOOKUP(C47,'Liste chauffeur'!$B$5:$L$19,3,TRUE)</f>
        <v>AMINA Selemani</v>
      </c>
      <c r="E47" s="53">
        <v>13</v>
      </c>
      <c r="F47" s="35">
        <f t="shared" si="0"/>
        <v>2.0833333333334036E-2</v>
      </c>
      <c r="G47" s="35"/>
      <c r="H47" s="62"/>
      <c r="I47" s="35"/>
      <c r="J47" s="62"/>
      <c r="K47" s="35"/>
      <c r="L47" s="36"/>
      <c r="M47" s="40"/>
      <c r="N47" s="61"/>
    </row>
    <row r="48" spans="1:14" ht="40.049999999999997" customHeight="1" x14ac:dyDescent="0.45">
      <c r="A48" s="14" t="s">
        <v>417</v>
      </c>
      <c r="B48" s="300">
        <v>0.53472222222222199</v>
      </c>
      <c r="C48" s="324" t="s">
        <v>388</v>
      </c>
      <c r="D48" s="35" t="str">
        <f>VLOOKUP(C48,'Liste chauffeur'!$B$5:$L$19,2,TRUE)&amp;" "&amp;VLOOKUP(C48,'Liste chauffeur'!$B$5:$L$19,3,TRUE)</f>
        <v>MOURIDI Aktoir</v>
      </c>
      <c r="E48" s="53">
        <v>14</v>
      </c>
      <c r="F48" s="35">
        <f t="shared" si="0"/>
        <v>2.0833333333333037E-2</v>
      </c>
      <c r="G48" s="35"/>
      <c r="H48" s="62"/>
      <c r="I48" s="35"/>
      <c r="J48" s="62"/>
      <c r="K48" s="35"/>
      <c r="L48" s="36"/>
      <c r="M48" s="40"/>
      <c r="N48" s="61"/>
    </row>
    <row r="49" spans="1:14" ht="40.049999999999997" customHeight="1" x14ac:dyDescent="0.45">
      <c r="A49" s="14" t="s">
        <v>416</v>
      </c>
      <c r="B49" s="300">
        <v>0.54166666666666596</v>
      </c>
      <c r="C49" s="324" t="s">
        <v>387</v>
      </c>
      <c r="D49" s="35" t="str">
        <f>VLOOKUP(C49,'Liste chauffeur'!$B$5:$L$19,2,TRUE)&amp;" "&amp;VLOOKUP(C49,'Liste chauffeur'!$B$5:$L$19,3,TRUE)</f>
        <v>VELOU M'COLO M'Berou</v>
      </c>
      <c r="E49" s="53">
        <v>15</v>
      </c>
      <c r="F49" s="35">
        <f t="shared" si="0"/>
        <v>2.0833333333334036E-2</v>
      </c>
      <c r="G49" s="35"/>
      <c r="H49" s="62"/>
      <c r="I49" s="35"/>
      <c r="J49" s="62"/>
      <c r="K49" s="35"/>
      <c r="L49" s="36"/>
      <c r="M49" s="40"/>
      <c r="N49" s="61"/>
    </row>
    <row r="50" spans="1:14" ht="40.049999999999997" customHeight="1" x14ac:dyDescent="0.45">
      <c r="A50" s="14" t="s">
        <v>417</v>
      </c>
      <c r="B50" s="300">
        <v>0.54861111111111105</v>
      </c>
      <c r="C50" s="324" t="s">
        <v>395</v>
      </c>
      <c r="D50" s="35" t="str">
        <f>VLOOKUP(C50,'Liste chauffeur'!$B$5:$L$19,2,TRUE)&amp;" "&amp;VLOOKUP(C50,'Liste chauffeur'!$B$5:$L$19,3,TRUE)</f>
        <v>AMINA Selemani</v>
      </c>
      <c r="E50" s="53">
        <v>14</v>
      </c>
      <c r="F50" s="35">
        <f t="shared" si="0"/>
        <v>2.0833333333332926E-2</v>
      </c>
      <c r="G50" s="35"/>
      <c r="H50" s="62"/>
      <c r="I50" s="35"/>
      <c r="J50" s="62"/>
      <c r="K50" s="35"/>
      <c r="L50" s="36"/>
      <c r="M50" s="40"/>
      <c r="N50" s="61"/>
    </row>
    <row r="51" spans="1:14" ht="40.049999999999997" customHeight="1" x14ac:dyDescent="0.45">
      <c r="A51" s="14" t="s">
        <v>416</v>
      </c>
      <c r="B51" s="300">
        <v>0.55555555555555503</v>
      </c>
      <c r="C51" s="324" t="s">
        <v>388</v>
      </c>
      <c r="D51" s="35" t="str">
        <f>VLOOKUP(C51,'Liste chauffeur'!$B$5:$L$19,2,TRUE)&amp;" "&amp;VLOOKUP(C51,'Liste chauffeur'!$B$5:$L$19,3,TRUE)</f>
        <v>MOURIDI Aktoir</v>
      </c>
      <c r="E51" s="53">
        <v>15</v>
      </c>
      <c r="F51" s="35">
        <f t="shared" si="0"/>
        <v>2.0833333333332926E-2</v>
      </c>
      <c r="G51" s="35"/>
      <c r="H51" s="62"/>
      <c r="I51" s="35"/>
      <c r="J51" s="62"/>
      <c r="K51" s="35"/>
      <c r="L51" s="36"/>
      <c r="M51" s="40"/>
      <c r="N51" s="61"/>
    </row>
    <row r="52" spans="1:14" ht="40.049999999999997" customHeight="1" x14ac:dyDescent="0.45">
      <c r="A52" s="14" t="s">
        <v>417</v>
      </c>
      <c r="B52" s="299">
        <v>0.5625</v>
      </c>
      <c r="C52" s="324" t="s">
        <v>387</v>
      </c>
      <c r="D52" s="35" t="str">
        <f>VLOOKUP(C52,'Liste chauffeur'!$B$5:$L$19,2,TRUE)&amp;" "&amp;VLOOKUP(C52,'Liste chauffeur'!$B$5:$L$19,3,TRUE)</f>
        <v>VELOU M'COLO M'Berou</v>
      </c>
      <c r="E52" s="53">
        <v>16</v>
      </c>
      <c r="F52" s="35"/>
      <c r="G52" s="35"/>
      <c r="H52" s="62"/>
      <c r="I52" s="35"/>
      <c r="J52" s="62"/>
      <c r="K52" s="35"/>
      <c r="L52" s="36"/>
      <c r="M52" s="40"/>
      <c r="N52" s="61"/>
    </row>
    <row r="53" spans="1:14" ht="40.049999999999997" customHeight="1" x14ac:dyDescent="0.45">
      <c r="A53" s="14" t="s">
        <v>416</v>
      </c>
      <c r="B53" s="300">
        <v>0.56944444444444398</v>
      </c>
      <c r="C53" s="324" t="s">
        <v>395</v>
      </c>
      <c r="D53" s="35" t="str">
        <f>VLOOKUP(C53,'Liste chauffeur'!$B$5:$L$19,2,TRUE)&amp;" "&amp;VLOOKUP(C53,'Liste chauffeur'!$B$5:$L$19,3,TRUE)</f>
        <v>AMINA Selemani</v>
      </c>
      <c r="E53" s="53">
        <v>15</v>
      </c>
      <c r="F53" s="35">
        <f>B56-B53</f>
        <v>2.0833333333333037E-2</v>
      </c>
      <c r="G53" s="35"/>
      <c r="H53" s="62"/>
      <c r="I53" s="35"/>
      <c r="J53" s="62"/>
      <c r="K53" s="35"/>
      <c r="L53" s="36"/>
      <c r="M53" s="40"/>
      <c r="N53" s="61"/>
    </row>
    <row r="54" spans="1:14" ht="40.049999999999997" customHeight="1" x14ac:dyDescent="0.45">
      <c r="A54" s="14" t="s">
        <v>417</v>
      </c>
      <c r="B54" s="299">
        <v>0.57638888888888795</v>
      </c>
      <c r="C54" s="324" t="s">
        <v>388</v>
      </c>
      <c r="D54" s="35" t="str">
        <f>VLOOKUP(C54,'Liste chauffeur'!$B$5:$L$19,2,TRUE)&amp;" "&amp;VLOOKUP(C54,'Liste chauffeur'!$B$5:$L$19,3,TRUE)</f>
        <v>MOURIDI Aktoir</v>
      </c>
      <c r="E54" s="53">
        <v>16</v>
      </c>
      <c r="F54" s="35"/>
      <c r="G54" s="35"/>
      <c r="H54" s="62"/>
      <c r="I54" s="35"/>
      <c r="J54" s="62"/>
      <c r="K54" s="35"/>
      <c r="L54" s="36"/>
      <c r="M54" s="40"/>
      <c r="N54" s="61"/>
    </row>
    <row r="55" spans="1:14" ht="40.049999999999997" customHeight="1" x14ac:dyDescent="0.45">
      <c r="A55" s="14" t="s">
        <v>416</v>
      </c>
      <c r="B55" s="48">
        <v>0.58333333333333304</v>
      </c>
      <c r="C55" s="324" t="s">
        <v>401</v>
      </c>
      <c r="D55" s="35" t="str">
        <f>VLOOKUP(C55,'Liste chauffeur'!$B$5:$L$19,2,TRUE)&amp;" "&amp;VLOOKUP(C55,'Liste chauffeur'!$B$5:$L$19,3,TRUE)</f>
        <v>RENEE Assanati</v>
      </c>
      <c r="E55" s="53">
        <v>1</v>
      </c>
      <c r="F55" s="35">
        <f>B58-B55</f>
        <v>2.0833333333332926E-2</v>
      </c>
      <c r="G55" s="35"/>
      <c r="H55" s="62"/>
      <c r="I55" s="35"/>
      <c r="J55" s="62"/>
      <c r="K55" s="35"/>
      <c r="L55" s="36"/>
      <c r="M55" s="40"/>
      <c r="N55" s="61"/>
    </row>
    <row r="56" spans="1:14" ht="40.049999999999997" customHeight="1" x14ac:dyDescent="0.45">
      <c r="A56" s="14" t="s">
        <v>417</v>
      </c>
      <c r="B56" s="299">
        <v>0.59027777777777701</v>
      </c>
      <c r="C56" s="324" t="s">
        <v>395</v>
      </c>
      <c r="D56" s="35" t="str">
        <f>VLOOKUP(C56,'Liste chauffeur'!$B$5:$L$19,2,TRUE)&amp;" "&amp;VLOOKUP(C56,'Liste chauffeur'!$B$5:$L$19,3,TRUE)</f>
        <v>AMINA Selemani</v>
      </c>
      <c r="E56" s="53">
        <v>16</v>
      </c>
      <c r="F56" s="35"/>
      <c r="G56" s="35"/>
      <c r="H56" s="62"/>
      <c r="I56" s="35"/>
      <c r="J56" s="62"/>
      <c r="K56" s="35"/>
      <c r="L56" s="36"/>
      <c r="M56" s="40"/>
      <c r="N56" s="61"/>
    </row>
    <row r="57" spans="1:14" ht="40.049999999999997" customHeight="1" x14ac:dyDescent="0.45">
      <c r="A57" s="14" t="s">
        <v>416</v>
      </c>
      <c r="B57" s="48">
        <v>0.59722222222222199</v>
      </c>
      <c r="C57" s="324" t="s">
        <v>31</v>
      </c>
      <c r="D57" s="35" t="str">
        <f>VLOOKUP(C57,'Liste chauffeur'!$B$5:$L$20,2,FALSE)&amp;" "&amp;VLOOKUP(C57,'Liste chauffeur'!$B$5:$L$20,3,FALSE)</f>
        <v>HAMADA Babou</v>
      </c>
      <c r="E57" s="53">
        <v>1</v>
      </c>
      <c r="F57" s="35">
        <f t="shared" ref="F57:F93" si="1">B60-B57</f>
        <v>2.0833333333333037E-2</v>
      </c>
      <c r="G57" s="35"/>
      <c r="H57" s="62"/>
      <c r="I57" s="35"/>
      <c r="J57" s="62"/>
      <c r="K57" s="35"/>
      <c r="L57" s="36"/>
      <c r="M57" s="40"/>
      <c r="N57" s="61"/>
    </row>
    <row r="58" spans="1:14" ht="40.049999999999997" customHeight="1" x14ac:dyDescent="0.45">
      <c r="A58" s="14" t="s">
        <v>417</v>
      </c>
      <c r="B58" s="300">
        <v>0.60416666666666596</v>
      </c>
      <c r="C58" s="324" t="s">
        <v>401</v>
      </c>
      <c r="D58" s="35" t="str">
        <f>VLOOKUP(C58,'Liste chauffeur'!$B$5:$L$19,2,TRUE)&amp;" "&amp;VLOOKUP(C58,'Liste chauffeur'!$B$5:$L$19,3,TRUE)</f>
        <v>RENEE Assanati</v>
      </c>
      <c r="E58" s="53">
        <v>2</v>
      </c>
      <c r="F58" s="35">
        <f t="shared" si="1"/>
        <v>2.0833333333333037E-2</v>
      </c>
      <c r="G58" s="35"/>
      <c r="H58" s="62"/>
      <c r="I58" s="35"/>
      <c r="J58" s="62"/>
      <c r="K58" s="35"/>
      <c r="L58" s="36"/>
      <c r="M58" s="40"/>
      <c r="N58" s="61"/>
    </row>
    <row r="59" spans="1:14" ht="40.049999999999997" customHeight="1" x14ac:dyDescent="0.45">
      <c r="A59" s="14" t="s">
        <v>416</v>
      </c>
      <c r="B59" s="48">
        <v>0.61111111111111005</v>
      </c>
      <c r="C59" s="324" t="s">
        <v>391</v>
      </c>
      <c r="D59" s="35" t="str">
        <f>VLOOKUP(C59,'Liste chauffeur'!$B$5:$L$19,2,TRUE)&amp;" "&amp;VLOOKUP(C59,'Liste chauffeur'!$B$5:$L$19,3,TRUE)</f>
        <v xml:space="preserve">KAMARDINE Mansour  </v>
      </c>
      <c r="E59" s="53">
        <v>1</v>
      </c>
      <c r="F59" s="35">
        <f t="shared" si="1"/>
        <v>2.0833333333333925E-2</v>
      </c>
      <c r="G59" s="35"/>
      <c r="H59" s="62"/>
      <c r="I59" s="35"/>
      <c r="J59" s="62"/>
      <c r="K59" s="35"/>
      <c r="L59" s="36"/>
      <c r="M59" s="40"/>
      <c r="N59" s="61"/>
    </row>
    <row r="60" spans="1:14" ht="40.049999999999997" customHeight="1" x14ac:dyDescent="0.45">
      <c r="A60" s="14" t="s">
        <v>417</v>
      </c>
      <c r="B60" s="300">
        <v>0.61805555555555503</v>
      </c>
      <c r="C60" s="324" t="s">
        <v>31</v>
      </c>
      <c r="D60" s="35" t="str">
        <f>VLOOKUP(C60,'Liste chauffeur'!$B$5:$L$20,2,FALSE)&amp;" "&amp;VLOOKUP(C60,'Liste chauffeur'!$B$5:$L$20,3,FALSE)</f>
        <v>HAMADA Babou</v>
      </c>
      <c r="E60" s="53">
        <v>2</v>
      </c>
      <c r="F60" s="35">
        <f t="shared" si="1"/>
        <v>2.0833333333332926E-2</v>
      </c>
      <c r="G60" s="35"/>
      <c r="H60" s="62"/>
      <c r="I60" s="35"/>
      <c r="J60" s="62"/>
      <c r="K60" s="35"/>
      <c r="L60" s="36"/>
      <c r="M60" s="40"/>
      <c r="N60" s="61"/>
    </row>
    <row r="61" spans="1:14" ht="40.049999999999997" customHeight="1" x14ac:dyDescent="0.45">
      <c r="A61" s="14" t="s">
        <v>416</v>
      </c>
      <c r="B61" s="300">
        <v>0.624999999999999</v>
      </c>
      <c r="C61" s="324" t="s">
        <v>401</v>
      </c>
      <c r="D61" s="35" t="str">
        <f>VLOOKUP(C61,'Liste chauffeur'!$B$5:$L$20,2,FALSE)&amp;" "&amp;VLOOKUP(C61,'Liste chauffeur'!$B$5:$L$20,3,FALSE)</f>
        <v>RENEE Assanati</v>
      </c>
      <c r="E61" s="53">
        <v>3</v>
      </c>
      <c r="F61" s="35">
        <f t="shared" si="1"/>
        <v>2.0833333333334036E-2</v>
      </c>
      <c r="G61" s="35"/>
      <c r="H61" s="62"/>
      <c r="I61" s="35"/>
      <c r="J61" s="62"/>
      <c r="K61" s="35"/>
      <c r="L61" s="36"/>
      <c r="M61" s="40"/>
      <c r="N61" s="61"/>
    </row>
    <row r="62" spans="1:14" ht="40.049999999999997" customHeight="1" x14ac:dyDescent="0.45">
      <c r="A62" s="14" t="s">
        <v>417</v>
      </c>
      <c r="B62" s="300">
        <v>0.63194444444444398</v>
      </c>
      <c r="C62" s="324" t="s">
        <v>391</v>
      </c>
      <c r="D62" s="35" t="str">
        <f>VLOOKUP(C62,'Liste chauffeur'!$B$5:$L$20,2,FALSE)&amp;" "&amp;VLOOKUP(C62,'Liste chauffeur'!$B$5:$L$20,3,FALSE)</f>
        <v xml:space="preserve">KAMARDINE Mansour  </v>
      </c>
      <c r="E62" s="53">
        <v>2</v>
      </c>
      <c r="F62" s="35">
        <f t="shared" si="1"/>
        <v>2.0833333333333037E-2</v>
      </c>
      <c r="G62" s="35"/>
      <c r="H62" s="62"/>
      <c r="I62" s="35"/>
      <c r="J62" s="62"/>
      <c r="K62" s="35"/>
      <c r="L62" s="36"/>
      <c r="M62" s="40"/>
      <c r="N62" s="61"/>
    </row>
    <row r="63" spans="1:14" ht="40.049999999999997" customHeight="1" x14ac:dyDescent="0.45">
      <c r="A63" s="14" t="s">
        <v>416</v>
      </c>
      <c r="B63" s="300">
        <v>0.63888888888888795</v>
      </c>
      <c r="C63" s="324" t="s">
        <v>31</v>
      </c>
      <c r="D63" s="35" t="str">
        <f>VLOOKUP(C63,'Liste chauffeur'!$B$5:$L$20,2,FALSE)&amp;" "&amp;VLOOKUP(C63,'Liste chauffeur'!$B$5:$L$20,3,FALSE)</f>
        <v>HAMADA Babou</v>
      </c>
      <c r="E63" s="53">
        <v>3</v>
      </c>
      <c r="F63" s="35">
        <f t="shared" si="1"/>
        <v>2.0833333333333037E-2</v>
      </c>
      <c r="G63" s="35"/>
      <c r="H63" s="62"/>
      <c r="I63" s="35"/>
      <c r="J63" s="62"/>
      <c r="K63" s="35"/>
      <c r="L63" s="36"/>
      <c r="M63" s="40"/>
      <c r="N63" s="61"/>
    </row>
    <row r="64" spans="1:14" ht="40.049999999999997" customHeight="1" x14ac:dyDescent="0.45">
      <c r="A64" s="14" t="s">
        <v>417</v>
      </c>
      <c r="B64" s="300">
        <v>0.64583333333333304</v>
      </c>
      <c r="C64" s="324" t="s">
        <v>401</v>
      </c>
      <c r="D64" s="35" t="str">
        <f>VLOOKUP(C64,'Liste chauffeur'!$B$5:$L$20,2,FALSE)&amp;" "&amp;VLOOKUP(C64,'Liste chauffeur'!$B$5:$L$20,3,FALSE)</f>
        <v>RENEE Assanati</v>
      </c>
      <c r="E64" s="53">
        <v>4</v>
      </c>
      <c r="F64" s="35">
        <f t="shared" si="1"/>
        <v>2.0833333333332926E-2</v>
      </c>
      <c r="G64" s="35"/>
      <c r="H64" s="62"/>
      <c r="I64" s="35"/>
      <c r="J64" s="62"/>
      <c r="K64" s="35"/>
      <c r="L64" s="36"/>
      <c r="M64" s="40"/>
      <c r="N64" s="61"/>
    </row>
    <row r="65" spans="1:14" ht="40.049999999999997" customHeight="1" x14ac:dyDescent="0.45">
      <c r="A65" s="14" t="s">
        <v>416</v>
      </c>
      <c r="B65" s="300">
        <v>0.65277777777777701</v>
      </c>
      <c r="C65" s="324" t="s">
        <v>391</v>
      </c>
      <c r="D65" s="35" t="str">
        <f>VLOOKUP(C65,'Liste chauffeur'!$B$5:$L$20,2,FALSE)&amp;" "&amp;VLOOKUP(C65,'Liste chauffeur'!$B$5:$L$20,3,FALSE)</f>
        <v xml:space="preserve">KAMARDINE Mansour  </v>
      </c>
      <c r="E65" s="53">
        <v>3</v>
      </c>
      <c r="F65" s="300">
        <f t="shared" si="1"/>
        <v>2.0833333333333037E-2</v>
      </c>
      <c r="G65" s="35"/>
      <c r="H65" s="62"/>
      <c r="I65" s="35"/>
      <c r="J65" s="35"/>
      <c r="K65" s="35"/>
      <c r="L65" s="36"/>
      <c r="M65" s="40"/>
      <c r="N65" s="61"/>
    </row>
    <row r="66" spans="1:14" ht="40.049999999999997" customHeight="1" x14ac:dyDescent="0.45">
      <c r="A66" s="14" t="s">
        <v>417</v>
      </c>
      <c r="B66" s="300">
        <v>0.65972222222222099</v>
      </c>
      <c r="C66" s="324" t="s">
        <v>31</v>
      </c>
      <c r="D66" s="35" t="str">
        <f>VLOOKUP(C66,'Liste chauffeur'!$B$5:$L$20,2,FALSE)&amp;" "&amp;VLOOKUP(C66,'Liste chauffeur'!$B$5:$L$20,3,FALSE)</f>
        <v>HAMADA Babou</v>
      </c>
      <c r="E66" s="53">
        <v>4</v>
      </c>
      <c r="F66" s="300">
        <f t="shared" si="1"/>
        <v>2.0833333333334036E-2</v>
      </c>
      <c r="G66" s="35"/>
      <c r="H66" s="62"/>
      <c r="I66" s="35"/>
      <c r="J66" s="35"/>
      <c r="K66" s="35"/>
      <c r="L66" s="36"/>
      <c r="M66" s="40"/>
      <c r="N66" s="61"/>
    </row>
    <row r="67" spans="1:14" ht="40.049999999999997" customHeight="1" x14ac:dyDescent="0.45">
      <c r="A67" s="14" t="s">
        <v>416</v>
      </c>
      <c r="B67" s="300">
        <v>0.66666666666666596</v>
      </c>
      <c r="C67" s="324" t="s">
        <v>401</v>
      </c>
      <c r="D67" s="35" t="str">
        <f>VLOOKUP(C67,'Liste chauffeur'!$B$5:$L$20,2,FALSE)&amp;" "&amp;VLOOKUP(C67,'Liste chauffeur'!$B$5:$L$20,3,FALSE)</f>
        <v>RENEE Assanati</v>
      </c>
      <c r="E67" s="53">
        <v>5</v>
      </c>
      <c r="F67" s="35">
        <f t="shared" si="1"/>
        <v>2.0833333333333037E-2</v>
      </c>
      <c r="G67" s="35"/>
      <c r="H67" s="62"/>
      <c r="I67" s="35"/>
      <c r="J67" s="35"/>
      <c r="K67" s="35"/>
      <c r="L67" s="36"/>
      <c r="M67" s="40"/>
      <c r="N67" s="61"/>
    </row>
    <row r="68" spans="1:14" ht="40.049999999999997" customHeight="1" x14ac:dyDescent="0.45">
      <c r="A68" s="14" t="s">
        <v>417</v>
      </c>
      <c r="B68" s="300">
        <v>0.67361111111111005</v>
      </c>
      <c r="C68" s="324" t="s">
        <v>391</v>
      </c>
      <c r="D68" s="35" t="str">
        <f>VLOOKUP(C68,'Liste chauffeur'!$B$5:$L$20,2,FALSE)&amp;" "&amp;VLOOKUP(C68,'Liste chauffeur'!$B$5:$L$20,3,FALSE)</f>
        <v xml:space="preserve">KAMARDINE Mansour  </v>
      </c>
      <c r="E68" s="53">
        <v>4</v>
      </c>
      <c r="F68" s="35">
        <f t="shared" si="1"/>
        <v>2.0833333333333925E-2</v>
      </c>
      <c r="G68" s="35"/>
      <c r="H68" s="62"/>
      <c r="I68" s="35"/>
      <c r="J68" s="35"/>
      <c r="K68" s="35"/>
      <c r="L68" s="36"/>
      <c r="M68" s="40"/>
      <c r="N68" s="61"/>
    </row>
    <row r="69" spans="1:14" ht="40.049999999999997" customHeight="1" x14ac:dyDescent="0.45">
      <c r="A69" s="14" t="s">
        <v>416</v>
      </c>
      <c r="B69" s="300">
        <v>0.68055555555555503</v>
      </c>
      <c r="C69" s="324" t="s">
        <v>31</v>
      </c>
      <c r="D69" s="35" t="str">
        <f>VLOOKUP(C69,'Liste chauffeur'!$B$5:$L$20,2,FALSE)&amp;" "&amp;VLOOKUP(C69,'Liste chauffeur'!$B$5:$L$20,3,FALSE)</f>
        <v>HAMADA Babou</v>
      </c>
      <c r="E69" s="53">
        <v>5</v>
      </c>
      <c r="F69" s="35">
        <f t="shared" si="1"/>
        <v>2.0833333333332926E-2</v>
      </c>
      <c r="G69" s="35"/>
      <c r="H69" s="62"/>
      <c r="I69" s="35"/>
      <c r="J69" s="35"/>
      <c r="K69" s="35"/>
      <c r="L69" s="36"/>
      <c r="M69" s="40"/>
      <c r="N69" s="61"/>
    </row>
    <row r="70" spans="1:14" ht="40.049999999999997" customHeight="1" x14ac:dyDescent="0.45">
      <c r="A70" s="14" t="s">
        <v>417</v>
      </c>
      <c r="B70" s="300">
        <v>0.687499999999999</v>
      </c>
      <c r="C70" s="324" t="s">
        <v>401</v>
      </c>
      <c r="D70" s="35" t="str">
        <f>VLOOKUP(C70,'Liste chauffeur'!$B$5:$L$20,2,FALSE)&amp;" "&amp;VLOOKUP(C70,'Liste chauffeur'!$B$5:$L$20,3,FALSE)</f>
        <v>RENEE Assanati</v>
      </c>
      <c r="E70" s="53">
        <v>6</v>
      </c>
      <c r="F70" s="35">
        <f t="shared" si="1"/>
        <v>2.0833333333333037E-2</v>
      </c>
      <c r="G70" s="35"/>
      <c r="H70" s="62"/>
      <c r="I70" s="35"/>
      <c r="J70" s="35"/>
      <c r="K70" s="35"/>
      <c r="L70" s="36"/>
      <c r="M70" s="40"/>
      <c r="N70" s="61"/>
    </row>
    <row r="71" spans="1:14" ht="40.049999999999997" customHeight="1" x14ac:dyDescent="0.45">
      <c r="A71" s="14" t="s">
        <v>416</v>
      </c>
      <c r="B71" s="300">
        <v>0.69444444444444398</v>
      </c>
      <c r="C71" s="324" t="s">
        <v>391</v>
      </c>
      <c r="D71" s="35" t="str">
        <f>VLOOKUP(C71,'Liste chauffeur'!$B$5:$L$20,2,FALSE)&amp;" "&amp;VLOOKUP(C71,'Liste chauffeur'!$B$5:$L$20,3,FALSE)</f>
        <v xml:space="preserve">KAMARDINE Mansour  </v>
      </c>
      <c r="E71" s="53">
        <v>5</v>
      </c>
      <c r="F71" s="300">
        <f t="shared" si="1"/>
        <v>2.0833333333333037E-2</v>
      </c>
      <c r="G71" s="35"/>
      <c r="H71" s="62"/>
      <c r="I71" s="35"/>
      <c r="J71" s="35"/>
      <c r="K71" s="35"/>
      <c r="L71" s="36"/>
      <c r="M71" s="40"/>
      <c r="N71" s="61"/>
    </row>
    <row r="72" spans="1:14" ht="40.049999999999997" customHeight="1" x14ac:dyDescent="0.45">
      <c r="A72" s="14" t="s">
        <v>417</v>
      </c>
      <c r="B72" s="300">
        <v>0.70138888888888795</v>
      </c>
      <c r="C72" s="324" t="s">
        <v>31</v>
      </c>
      <c r="D72" s="35" t="str">
        <f>VLOOKUP(C72,'Liste chauffeur'!$B$5:$L$20,2,FALSE)&amp;" "&amp;VLOOKUP(C72,'Liste chauffeur'!$B$5:$L$20,3,FALSE)</f>
        <v>HAMADA Babou</v>
      </c>
      <c r="E72" s="53">
        <v>6</v>
      </c>
      <c r="F72" s="300">
        <f t="shared" si="1"/>
        <v>2.0833333333333037E-2</v>
      </c>
      <c r="G72" s="35"/>
      <c r="H72" s="62"/>
      <c r="I72" s="35"/>
      <c r="J72" s="35"/>
      <c r="K72" s="35"/>
      <c r="L72" s="36"/>
      <c r="M72" s="40"/>
      <c r="N72" s="61"/>
    </row>
    <row r="73" spans="1:14" ht="40.049999999999997" customHeight="1" x14ac:dyDescent="0.45">
      <c r="A73" s="14" t="s">
        <v>416</v>
      </c>
      <c r="B73" s="300">
        <v>0.70833333333333204</v>
      </c>
      <c r="C73" s="324" t="s">
        <v>401</v>
      </c>
      <c r="D73" s="35" t="str">
        <f>VLOOKUP(C73,'Liste chauffeur'!$B$5:$L$20,2,FALSE)&amp;" "&amp;VLOOKUP(C73,'Liste chauffeur'!$B$5:$L$20,3,FALSE)</f>
        <v>RENEE Assanati</v>
      </c>
      <c r="E73" s="53">
        <v>7</v>
      </c>
      <c r="F73" s="35">
        <f t="shared" si="1"/>
        <v>2.0833333333333925E-2</v>
      </c>
      <c r="G73" s="35"/>
      <c r="H73" s="62"/>
      <c r="I73" s="35"/>
      <c r="J73" s="35"/>
      <c r="K73" s="35"/>
      <c r="L73" s="36"/>
      <c r="M73" s="40"/>
      <c r="N73" s="61"/>
    </row>
    <row r="74" spans="1:14" ht="40.049999999999997" customHeight="1" x14ac:dyDescent="0.45">
      <c r="A74" s="14" t="s">
        <v>417</v>
      </c>
      <c r="B74" s="300">
        <v>0.71527777777777701</v>
      </c>
      <c r="C74" s="324" t="s">
        <v>391</v>
      </c>
      <c r="D74" s="35" t="str">
        <f>VLOOKUP(C74,'Liste chauffeur'!$B$5:$L$20,2,FALSE)&amp;" "&amp;VLOOKUP(C74,'Liste chauffeur'!$B$5:$L$20,3,FALSE)</f>
        <v xml:space="preserve">KAMARDINE Mansour  </v>
      </c>
      <c r="E74" s="53">
        <v>6</v>
      </c>
      <c r="F74" s="35">
        <f t="shared" si="1"/>
        <v>2.0833333333333037E-2</v>
      </c>
      <c r="G74" s="35"/>
      <c r="H74" s="62"/>
      <c r="I74" s="35"/>
      <c r="J74" s="35"/>
      <c r="K74" s="35"/>
      <c r="L74" s="36"/>
      <c r="M74" s="40"/>
      <c r="N74" s="61"/>
    </row>
    <row r="75" spans="1:14" ht="40.049999999999997" customHeight="1" x14ac:dyDescent="0.45">
      <c r="A75" s="14" t="s">
        <v>416</v>
      </c>
      <c r="B75" s="300">
        <v>0.72222222222222099</v>
      </c>
      <c r="C75" s="324" t="s">
        <v>31</v>
      </c>
      <c r="D75" s="35" t="str">
        <f>VLOOKUP(C75,'Liste chauffeur'!$B$5:$L$20,2,FALSE)&amp;" "&amp;VLOOKUP(C75,'Liste chauffeur'!$B$5:$L$20,3,FALSE)</f>
        <v>HAMADA Babou</v>
      </c>
      <c r="E75" s="53">
        <v>7</v>
      </c>
      <c r="F75" s="35">
        <f t="shared" si="1"/>
        <v>2.0833333333333037E-2</v>
      </c>
      <c r="G75" s="35"/>
      <c r="H75" s="62"/>
      <c r="I75" s="35"/>
      <c r="J75" s="35"/>
      <c r="K75" s="35"/>
      <c r="L75" s="36"/>
      <c r="M75" s="40"/>
      <c r="N75" s="61"/>
    </row>
    <row r="76" spans="1:14" ht="40.049999999999997" customHeight="1" x14ac:dyDescent="0.45">
      <c r="A76" s="14" t="s">
        <v>417</v>
      </c>
      <c r="B76" s="300">
        <v>0.72916666666666596</v>
      </c>
      <c r="C76" s="324" t="s">
        <v>401</v>
      </c>
      <c r="D76" s="35" t="str">
        <f>VLOOKUP(C76,'Liste chauffeur'!$B$5:$L$20,2,FALSE)&amp;" "&amp;VLOOKUP(C76,'Liste chauffeur'!$B$5:$L$20,3,FALSE)</f>
        <v>RENEE Assanati</v>
      </c>
      <c r="E76" s="53">
        <v>8</v>
      </c>
      <c r="F76" s="35">
        <f t="shared" si="1"/>
        <v>2.0833333333333037E-2</v>
      </c>
      <c r="G76" s="35"/>
      <c r="H76" s="62"/>
      <c r="I76" s="35"/>
      <c r="J76" s="35"/>
      <c r="K76" s="35"/>
      <c r="L76" s="36"/>
      <c r="M76" s="40"/>
      <c r="N76" s="61"/>
    </row>
    <row r="77" spans="1:14" ht="40.049999999999997" customHeight="1" x14ac:dyDescent="0.45">
      <c r="A77" s="14" t="s">
        <v>416</v>
      </c>
      <c r="B77" s="300">
        <v>0.73611111111111005</v>
      </c>
      <c r="C77" s="324" t="s">
        <v>391</v>
      </c>
      <c r="D77" s="35" t="str">
        <f>VLOOKUP(C77,'Liste chauffeur'!$B$5:$L$20,2,FALSE)&amp;" "&amp;VLOOKUP(C77,'Liste chauffeur'!$B$5:$L$20,3,FALSE)</f>
        <v xml:space="preserve">KAMARDINE Mansour  </v>
      </c>
      <c r="E77" s="53">
        <v>7</v>
      </c>
      <c r="F77" s="35">
        <f t="shared" si="1"/>
        <v>2.0833333333332926E-2</v>
      </c>
      <c r="G77" s="35"/>
      <c r="H77" s="62"/>
      <c r="I77" s="35"/>
      <c r="J77" s="35"/>
      <c r="K77" s="35"/>
      <c r="L77" s="36"/>
      <c r="M77" s="40"/>
      <c r="N77" s="61"/>
    </row>
    <row r="78" spans="1:14" ht="40.049999999999997" customHeight="1" x14ac:dyDescent="0.45">
      <c r="A78" s="14" t="s">
        <v>417</v>
      </c>
      <c r="B78" s="300">
        <v>0.74305555555555403</v>
      </c>
      <c r="C78" s="324" t="s">
        <v>31</v>
      </c>
      <c r="D78" s="35" t="str">
        <f>VLOOKUP(C78,'Liste chauffeur'!$B$5:$L$20,2,FALSE)&amp;" "&amp;VLOOKUP(C78,'Liste chauffeur'!$B$5:$L$20,3,FALSE)</f>
        <v>HAMADA Babou</v>
      </c>
      <c r="E78" s="53">
        <v>8</v>
      </c>
      <c r="F78" s="35">
        <f t="shared" si="1"/>
        <v>2.0833333333333925E-2</v>
      </c>
      <c r="G78" s="35"/>
      <c r="H78" s="62"/>
      <c r="I78" s="35"/>
      <c r="J78" s="35"/>
      <c r="K78" s="35"/>
      <c r="L78" s="36"/>
      <c r="M78" s="40"/>
      <c r="N78" s="61"/>
    </row>
    <row r="79" spans="1:14" ht="40.049999999999997" customHeight="1" x14ac:dyDescent="0.45">
      <c r="A79" s="14" t="s">
        <v>416</v>
      </c>
      <c r="B79" s="300">
        <v>0.749999999999999</v>
      </c>
      <c r="C79" s="324" t="s">
        <v>401</v>
      </c>
      <c r="D79" s="35" t="str">
        <f>VLOOKUP(C79,'Liste chauffeur'!$B$5:$L$20,2,FALSE)&amp;" "&amp;VLOOKUP(C79,'Liste chauffeur'!$B$5:$L$20,3,FALSE)</f>
        <v>RENEE Assanati</v>
      </c>
      <c r="E79" s="53">
        <v>9</v>
      </c>
      <c r="F79" s="35">
        <f t="shared" si="1"/>
        <v>2.0833333333333037E-2</v>
      </c>
      <c r="G79" s="35"/>
      <c r="H79" s="62"/>
      <c r="I79" s="35"/>
      <c r="J79" s="35"/>
      <c r="K79" s="35"/>
      <c r="L79" s="36"/>
      <c r="M79" s="40"/>
      <c r="N79" s="61"/>
    </row>
    <row r="80" spans="1:14" ht="40.049999999999997" customHeight="1" x14ac:dyDescent="0.45">
      <c r="A80" s="14" t="s">
        <v>417</v>
      </c>
      <c r="B80" s="300">
        <v>0.75694444444444298</v>
      </c>
      <c r="C80" s="324" t="s">
        <v>391</v>
      </c>
      <c r="D80" s="35" t="str">
        <f>VLOOKUP(C80,'Liste chauffeur'!$B$5:$L$20,2,FALSE)&amp;" "&amp;VLOOKUP(C80,'Liste chauffeur'!$B$5:$L$20,3,FALSE)</f>
        <v xml:space="preserve">KAMARDINE Mansour  </v>
      </c>
      <c r="E80" s="53">
        <v>8</v>
      </c>
      <c r="F80" s="35">
        <f t="shared" si="1"/>
        <v>2.0833333333334036E-2</v>
      </c>
      <c r="G80" s="35"/>
      <c r="H80" s="62"/>
      <c r="I80" s="35"/>
      <c r="J80" s="35"/>
      <c r="K80" s="35"/>
      <c r="L80" s="36"/>
      <c r="M80" s="40"/>
      <c r="N80" s="61"/>
    </row>
    <row r="81" spans="1:14" ht="40.049999999999997" customHeight="1" x14ac:dyDescent="0.45">
      <c r="A81" s="14" t="s">
        <v>416</v>
      </c>
      <c r="B81" s="300">
        <v>0.76388888888888795</v>
      </c>
      <c r="C81" s="324" t="s">
        <v>31</v>
      </c>
      <c r="D81" s="35" t="str">
        <f>VLOOKUP(C81,'Liste chauffeur'!$B$5:$L$20,2,FALSE)&amp;" "&amp;VLOOKUP(C81,'Liste chauffeur'!$B$5:$L$20,3,FALSE)</f>
        <v>HAMADA Babou</v>
      </c>
      <c r="E81" s="53">
        <v>9</v>
      </c>
      <c r="F81" s="35">
        <f t="shared" si="1"/>
        <v>2.0833333333333037E-2</v>
      </c>
      <c r="G81" s="35"/>
      <c r="H81" s="62"/>
      <c r="I81" s="35"/>
      <c r="J81" s="35"/>
      <c r="K81" s="35"/>
      <c r="L81" s="36"/>
      <c r="M81" s="40"/>
      <c r="N81" s="61"/>
    </row>
    <row r="82" spans="1:14" ht="40.049999999999997" customHeight="1" x14ac:dyDescent="0.45">
      <c r="A82" s="14" t="s">
        <v>417</v>
      </c>
      <c r="B82" s="300">
        <v>0.77083333333333204</v>
      </c>
      <c r="C82" s="324" t="s">
        <v>401</v>
      </c>
      <c r="D82" s="35" t="str">
        <f>VLOOKUP(C82,'Liste chauffeur'!$B$5:$L$20,2,FALSE)&amp;" "&amp;VLOOKUP(C82,'Liste chauffeur'!$B$5:$L$20,3,FALSE)</f>
        <v>RENEE Assanati</v>
      </c>
      <c r="E82" s="53">
        <v>10</v>
      </c>
      <c r="F82" s="35">
        <f t="shared" si="1"/>
        <v>2.0833333333332926E-2</v>
      </c>
      <c r="G82" s="35"/>
      <c r="H82" s="62"/>
      <c r="I82" s="35"/>
      <c r="J82" s="35"/>
      <c r="K82" s="35"/>
      <c r="L82" s="36"/>
      <c r="M82" s="40"/>
      <c r="N82" s="61"/>
    </row>
    <row r="83" spans="1:14" ht="40.049999999999997" customHeight="1" x14ac:dyDescent="0.45">
      <c r="A83" s="14" t="s">
        <v>416</v>
      </c>
      <c r="B83" s="300">
        <v>0.77777777777777701</v>
      </c>
      <c r="C83" s="324" t="s">
        <v>391</v>
      </c>
      <c r="D83" s="35" t="str">
        <f>VLOOKUP(C83,'Liste chauffeur'!$B$5:$L$20,2,FALSE)&amp;" "&amp;VLOOKUP(C83,'Liste chauffeur'!$B$5:$L$20,3,FALSE)</f>
        <v xml:space="preserve">KAMARDINE Mansour  </v>
      </c>
      <c r="E83" s="53">
        <v>9</v>
      </c>
      <c r="F83" s="35">
        <f t="shared" si="1"/>
        <v>2.0833333333333037E-2</v>
      </c>
      <c r="G83" s="35"/>
      <c r="H83" s="62"/>
      <c r="I83" s="35"/>
      <c r="J83" s="35"/>
      <c r="K83" s="35"/>
      <c r="L83" s="36"/>
      <c r="M83" s="40"/>
      <c r="N83" s="61"/>
    </row>
    <row r="84" spans="1:14" ht="40.049999999999997" customHeight="1" x14ac:dyDescent="0.45">
      <c r="A84" s="14" t="s">
        <v>417</v>
      </c>
      <c r="B84" s="300">
        <v>0.78472222222222099</v>
      </c>
      <c r="C84" s="324" t="s">
        <v>31</v>
      </c>
      <c r="D84" s="35" t="str">
        <f>VLOOKUP(C84,'Liste chauffeur'!$B$5:$L$20,2,FALSE)&amp;" "&amp;VLOOKUP(C84,'Liste chauffeur'!$B$5:$L$20,3,FALSE)</f>
        <v>HAMADA Babou</v>
      </c>
      <c r="E84" s="53">
        <v>10</v>
      </c>
      <c r="F84" s="35">
        <f t="shared" si="1"/>
        <v>2.0833333333333037E-2</v>
      </c>
      <c r="G84" s="35"/>
      <c r="H84" s="62"/>
      <c r="I84" s="35"/>
      <c r="J84" s="35"/>
      <c r="K84" s="35"/>
      <c r="L84" s="36"/>
      <c r="M84" s="40"/>
      <c r="N84" s="61"/>
    </row>
    <row r="85" spans="1:14" ht="40.049999999999997" customHeight="1" x14ac:dyDescent="0.45">
      <c r="A85" s="14" t="s">
        <v>416</v>
      </c>
      <c r="B85" s="300">
        <v>0.79166666666666496</v>
      </c>
      <c r="C85" s="324" t="s">
        <v>401</v>
      </c>
      <c r="D85" s="35" t="str">
        <f>VLOOKUP(C85,'Liste chauffeur'!$B$5:$L$20,2,FALSE)&amp;" "&amp;VLOOKUP(C85,'Liste chauffeur'!$B$5:$L$20,3,FALSE)</f>
        <v>RENEE Assanati</v>
      </c>
      <c r="E85" s="53">
        <v>11</v>
      </c>
      <c r="F85" s="35">
        <f t="shared" si="1"/>
        <v>2.0833333333334036E-2</v>
      </c>
      <c r="G85" s="35"/>
      <c r="H85" s="62"/>
      <c r="I85" s="35"/>
      <c r="J85" s="35"/>
      <c r="K85" s="35"/>
      <c r="L85" s="36"/>
      <c r="M85" s="40"/>
      <c r="N85" s="61"/>
    </row>
    <row r="86" spans="1:14" ht="40.049999999999997" customHeight="1" x14ac:dyDescent="0.45">
      <c r="A86" s="14" t="s">
        <v>417</v>
      </c>
      <c r="B86" s="300">
        <v>0.79861111111111005</v>
      </c>
      <c r="C86" s="324" t="s">
        <v>391</v>
      </c>
      <c r="D86" s="35" t="str">
        <f>VLOOKUP(C86,'Liste chauffeur'!$B$5:$L$20,2,FALSE)&amp;" "&amp;VLOOKUP(C86,'Liste chauffeur'!$B$5:$L$20,3,FALSE)</f>
        <v xml:space="preserve">KAMARDINE Mansour  </v>
      </c>
      <c r="E86" s="53">
        <v>10</v>
      </c>
      <c r="F86" s="35">
        <f t="shared" si="1"/>
        <v>2.0833333333332926E-2</v>
      </c>
      <c r="G86" s="35"/>
      <c r="H86" s="62"/>
      <c r="I86" s="35"/>
      <c r="J86" s="35"/>
      <c r="K86" s="35"/>
      <c r="L86" s="36"/>
      <c r="M86" s="40"/>
      <c r="N86" s="61"/>
    </row>
    <row r="87" spans="1:14" ht="40.049999999999997" customHeight="1" x14ac:dyDescent="0.45">
      <c r="A87" s="14" t="s">
        <v>416</v>
      </c>
      <c r="B87" s="300">
        <v>0.80555555555555403</v>
      </c>
      <c r="C87" s="324" t="s">
        <v>31</v>
      </c>
      <c r="D87" s="35" t="str">
        <f>VLOOKUP(C87,'Liste chauffeur'!$B$5:$L$20,2,FALSE)&amp;" "&amp;VLOOKUP(C87,'Liste chauffeur'!$B$5:$L$20,3,FALSE)</f>
        <v>HAMADA Babou</v>
      </c>
      <c r="E87" s="53">
        <v>11</v>
      </c>
      <c r="F87" s="35">
        <f t="shared" si="1"/>
        <v>2.0833333333332926E-2</v>
      </c>
      <c r="G87" s="35"/>
      <c r="H87" s="62"/>
      <c r="I87" s="35"/>
      <c r="J87" s="35"/>
      <c r="K87" s="35"/>
      <c r="L87" s="36"/>
      <c r="M87" s="40"/>
      <c r="N87" s="61"/>
    </row>
    <row r="88" spans="1:14" ht="40.049999999999997" customHeight="1" x14ac:dyDescent="0.45">
      <c r="A88" s="14" t="s">
        <v>417</v>
      </c>
      <c r="B88" s="300">
        <v>0.812499999999999</v>
      </c>
      <c r="C88" s="324" t="s">
        <v>401</v>
      </c>
      <c r="D88" s="35" t="str">
        <f>VLOOKUP(C88,'Liste chauffeur'!$B$5:$L$20,2,FALSE)&amp;" "&amp;VLOOKUP(C88,'Liste chauffeur'!$B$5:$L$20,3,FALSE)</f>
        <v>RENEE Assanati</v>
      </c>
      <c r="E88" s="53">
        <v>12</v>
      </c>
      <c r="F88" s="35">
        <f t="shared" si="1"/>
        <v>2.0833333333333037E-2</v>
      </c>
      <c r="G88" s="35"/>
      <c r="H88" s="62"/>
      <c r="I88" s="35"/>
      <c r="J88" s="35"/>
      <c r="K88" s="35"/>
      <c r="L88" s="36"/>
      <c r="M88" s="40"/>
      <c r="N88" s="61"/>
    </row>
    <row r="89" spans="1:14" ht="40.049999999999997" customHeight="1" x14ac:dyDescent="0.45">
      <c r="A89" s="14" t="s">
        <v>416</v>
      </c>
      <c r="B89" s="300">
        <v>0.81944444444444298</v>
      </c>
      <c r="C89" s="324" t="s">
        <v>391</v>
      </c>
      <c r="D89" s="35" t="str">
        <f>VLOOKUP(C89,'Liste chauffeur'!$B$5:$L$20,2,FALSE)&amp;" "&amp;VLOOKUP(C89,'Liste chauffeur'!$B$5:$L$20,3,FALSE)</f>
        <v xml:space="preserve">KAMARDINE Mansour  </v>
      </c>
      <c r="E89" s="53">
        <v>11</v>
      </c>
      <c r="F89" s="35">
        <f t="shared" si="1"/>
        <v>2.0833333333333037E-2</v>
      </c>
      <c r="G89" s="35"/>
      <c r="H89" s="62"/>
      <c r="I89" s="35"/>
      <c r="J89" s="35"/>
      <c r="K89" s="35"/>
      <c r="L89" s="36"/>
      <c r="M89" s="40"/>
      <c r="N89" s="61"/>
    </row>
    <row r="90" spans="1:14" ht="40.049999999999997" customHeight="1" x14ac:dyDescent="0.45">
      <c r="A90" s="14" t="s">
        <v>417</v>
      </c>
      <c r="B90" s="300">
        <v>0.82638888888888695</v>
      </c>
      <c r="C90" s="324" t="s">
        <v>31</v>
      </c>
      <c r="D90" s="35" t="str">
        <f>VLOOKUP(C90,'Liste chauffeur'!$B$5:$L$20,2,FALSE)&amp;" "&amp;VLOOKUP(C90,'Liste chauffeur'!$B$5:$L$20,3,FALSE)</f>
        <v>HAMADA Babou</v>
      </c>
      <c r="E90" s="53">
        <v>12</v>
      </c>
      <c r="F90" s="35">
        <f t="shared" si="1"/>
        <v>2.0833333333334036E-2</v>
      </c>
      <c r="G90" s="35"/>
      <c r="H90" s="62"/>
      <c r="I90" s="35"/>
      <c r="J90" s="35"/>
      <c r="K90" s="35"/>
      <c r="L90" s="36"/>
      <c r="M90" s="40"/>
      <c r="N90" s="61"/>
    </row>
    <row r="91" spans="1:14" ht="40.049999999999997" customHeight="1" x14ac:dyDescent="0.45">
      <c r="A91" s="14" t="s">
        <v>416</v>
      </c>
      <c r="B91" s="300">
        <v>0.83333333333333204</v>
      </c>
      <c r="C91" s="324" t="s">
        <v>401</v>
      </c>
      <c r="D91" s="35" t="str">
        <f>VLOOKUP(C91,'Liste chauffeur'!$B$5:$L$20,2,FALSE)&amp;" "&amp;VLOOKUP(C91,'Liste chauffeur'!$B$5:$L$20,3,FALSE)</f>
        <v>RENEE Assanati</v>
      </c>
      <c r="E91" s="53">
        <v>13</v>
      </c>
      <c r="F91" s="35">
        <f t="shared" si="1"/>
        <v>2.0833333333332926E-2</v>
      </c>
      <c r="G91" s="35"/>
      <c r="H91" s="62"/>
      <c r="I91" s="35"/>
      <c r="J91" s="35"/>
      <c r="K91" s="35"/>
      <c r="L91" s="36"/>
      <c r="M91" s="40"/>
      <c r="N91" s="61"/>
    </row>
    <row r="92" spans="1:14" ht="40.049999999999997" customHeight="1" x14ac:dyDescent="0.45">
      <c r="A92" s="14" t="s">
        <v>417</v>
      </c>
      <c r="B92" s="300">
        <v>0.84027777777777601</v>
      </c>
      <c r="C92" s="324" t="s">
        <v>391</v>
      </c>
      <c r="D92" s="35" t="str">
        <f>VLOOKUP(C92,'Liste chauffeur'!$B$5:$L$20,2,FALSE)&amp;" "&amp;VLOOKUP(C92,'Liste chauffeur'!$B$5:$L$20,3,FALSE)</f>
        <v xml:space="preserve">KAMARDINE Mansour  </v>
      </c>
      <c r="E92" s="53">
        <v>12</v>
      </c>
      <c r="F92" s="35">
        <f t="shared" si="1"/>
        <v>2.0833333333334036E-2</v>
      </c>
      <c r="G92" s="35"/>
      <c r="H92" s="62"/>
      <c r="I92" s="35"/>
      <c r="J92" s="35"/>
      <c r="K92" s="35"/>
      <c r="L92" s="36"/>
      <c r="M92" s="40"/>
      <c r="N92" s="61"/>
    </row>
    <row r="93" spans="1:14" ht="40.049999999999997" customHeight="1" x14ac:dyDescent="0.45">
      <c r="A93" s="14" t="s">
        <v>416</v>
      </c>
      <c r="B93" s="300">
        <v>0.84722222222222099</v>
      </c>
      <c r="C93" s="324" t="s">
        <v>31</v>
      </c>
      <c r="D93" s="35" t="str">
        <f>VLOOKUP(C93,'Liste chauffeur'!$B$5:$L$20,2,FALSE)&amp;" "&amp;VLOOKUP(C93,'Liste chauffeur'!$B$5:$L$20,3,FALSE)</f>
        <v>HAMADA Babou</v>
      </c>
      <c r="E93" s="53">
        <v>13</v>
      </c>
      <c r="F93" s="35">
        <f t="shared" si="1"/>
        <v>2.0833333333333037E-2</v>
      </c>
      <c r="G93" s="35"/>
      <c r="H93" s="62"/>
      <c r="I93" s="35"/>
      <c r="J93" s="35"/>
      <c r="K93" s="35"/>
      <c r="L93" s="36"/>
      <c r="M93" s="40"/>
      <c r="N93" s="61"/>
    </row>
    <row r="94" spans="1:14" ht="40.049999999999997" customHeight="1" x14ac:dyDescent="0.45">
      <c r="A94" s="14" t="s">
        <v>417</v>
      </c>
      <c r="B94" s="299">
        <v>0.85416666666666496</v>
      </c>
      <c r="C94" s="324" t="s">
        <v>401</v>
      </c>
      <c r="D94" s="35" t="str">
        <f>VLOOKUP(C94,'Liste chauffeur'!$B$5:$L$20,2,FALSE)&amp;" "&amp;VLOOKUP(C94,'Liste chauffeur'!$B$5:$L$20,3,FALSE)</f>
        <v>RENEE Assanati</v>
      </c>
      <c r="E94" s="53">
        <v>14</v>
      </c>
      <c r="F94" s="35"/>
      <c r="G94" s="35"/>
      <c r="H94" s="62"/>
      <c r="I94" s="35"/>
      <c r="J94" s="35"/>
      <c r="K94" s="35"/>
      <c r="L94" s="36"/>
      <c r="M94" s="40"/>
      <c r="N94" s="61"/>
    </row>
    <row r="95" spans="1:14" ht="40.049999999999997" customHeight="1" x14ac:dyDescent="0.45">
      <c r="A95" s="14" t="s">
        <v>416</v>
      </c>
      <c r="B95" s="299">
        <v>0.86111111111111005</v>
      </c>
      <c r="C95" s="324" t="s">
        <v>391</v>
      </c>
      <c r="D95" s="35" t="str">
        <f>VLOOKUP(C95,'Liste chauffeur'!$B$5:$L$20,2,FALSE)&amp;" "&amp;VLOOKUP(C95,'Liste chauffeur'!$B$5:$L$20,3,FALSE)</f>
        <v xml:space="preserve">KAMARDINE Mansour  </v>
      </c>
      <c r="E95" s="53"/>
      <c r="F95" s="35"/>
      <c r="G95" s="35"/>
      <c r="H95" s="62"/>
      <c r="I95" s="35"/>
      <c r="J95" s="35"/>
      <c r="K95" s="35"/>
      <c r="L95" s="36"/>
      <c r="M95" s="40"/>
      <c r="N95" s="61"/>
    </row>
    <row r="96" spans="1:14" ht="40.049999999999997" customHeight="1" x14ac:dyDescent="0.45">
      <c r="A96" s="14" t="s">
        <v>417</v>
      </c>
      <c r="B96" s="299">
        <v>0.86805555555555403</v>
      </c>
      <c r="C96" s="324" t="s">
        <v>31</v>
      </c>
      <c r="D96" s="35" t="str">
        <f>VLOOKUP(C96,'Liste chauffeur'!$B$5:$L$20,2,FALSE)&amp;" "&amp;VLOOKUP(C96,'Liste chauffeur'!$B$5:$L$20,3,FALSE)</f>
        <v>HAMADA Babou</v>
      </c>
      <c r="E96" s="53">
        <v>14</v>
      </c>
      <c r="F96" s="35"/>
      <c r="G96" s="35"/>
      <c r="H96" s="62"/>
      <c r="I96" s="35"/>
      <c r="J96" s="35"/>
      <c r="K96" s="35"/>
      <c r="L96" s="36"/>
      <c r="M96" s="40"/>
      <c r="N96" s="61"/>
    </row>
    <row r="97" spans="1:14" ht="40.049999999999997" customHeight="1" x14ac:dyDescent="0.45">
      <c r="A97" s="14"/>
      <c r="B97" s="300"/>
      <c r="C97" s="297"/>
      <c r="D97" s="35"/>
      <c r="E97" s="53"/>
      <c r="F97" s="35"/>
      <c r="G97" s="35"/>
      <c r="H97" s="62"/>
      <c r="I97" s="35"/>
      <c r="J97" s="35"/>
      <c r="K97" s="35"/>
      <c r="L97" s="36"/>
      <c r="M97" s="40"/>
      <c r="N97" s="61"/>
    </row>
    <row r="98" spans="1:14" x14ac:dyDescent="0.45">
      <c r="A98" s="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9"/>
      <c r="M98" s="42"/>
      <c r="N98" s="6"/>
    </row>
    <row r="100" spans="1:14" x14ac:dyDescent="0.45">
      <c r="I100" t="s">
        <v>325</v>
      </c>
    </row>
  </sheetData>
  <autoFilter ref="A7:K97" xr:uid="{E15BAD97-4E2F-4149-89CB-3FE52EBB9FA2}"/>
  <pageMargins left="0.23622047244094491" right="0.23622047244094491" top="0.74803149606299213" bottom="0.74803149606299213" header="0.31496062992125984" footer="0.31496062992125984"/>
  <pageSetup paperSize="9" scale="4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67A9-1E88-440E-A834-0DD1AA6FA16B}">
  <sheetPr>
    <pageSetUpPr fitToPage="1"/>
  </sheetPr>
  <dimension ref="A3:N55"/>
  <sheetViews>
    <sheetView zoomScale="99" zoomScaleNormal="99" workbookViewId="0">
      <selection activeCell="E51" sqref="E51"/>
    </sheetView>
  </sheetViews>
  <sheetFormatPr baseColWidth="10" defaultRowHeight="14.25" x14ac:dyDescent="0.45"/>
  <cols>
    <col min="1" max="1" width="18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380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382</v>
      </c>
      <c r="B7" s="3" t="s">
        <v>0</v>
      </c>
      <c r="C7" s="3" t="s">
        <v>25</v>
      </c>
      <c r="D7" s="3" t="s">
        <v>26</v>
      </c>
      <c r="E7" s="3" t="s">
        <v>371</v>
      </c>
      <c r="F7" s="3" t="s">
        <v>370</v>
      </c>
      <c r="G7" s="3" t="s">
        <v>372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40.049999999999997" customHeight="1" x14ac:dyDescent="0.45">
      <c r="A8" s="14" t="s">
        <v>416</v>
      </c>
      <c r="B8" s="48">
        <v>0.33333333333333298</v>
      </c>
      <c r="C8" s="324" t="s">
        <v>387</v>
      </c>
      <c r="D8" s="35" t="str">
        <f>VLOOKUP(C8,'Liste chauffeur'!$B$5:$L$19,2,TRUE)&amp;" "&amp;VLOOKUP(C8,'Liste chauffeur'!$B$5:$L$19,3,TRUE)</f>
        <v>VELOU M'COLO M'Berou</v>
      </c>
      <c r="E8" s="53">
        <v>1</v>
      </c>
      <c r="F8" s="35">
        <f>B9-B8</f>
        <v>2.0833333333333703E-2</v>
      </c>
      <c r="G8" s="35"/>
      <c r="H8" s="62"/>
      <c r="I8" s="35"/>
      <c r="J8" s="62"/>
      <c r="K8" s="35"/>
      <c r="L8" s="36"/>
      <c r="M8" s="40"/>
      <c r="N8" s="61"/>
    </row>
    <row r="9" spans="1:14" ht="40.049999999999997" customHeight="1" x14ac:dyDescent="0.45">
      <c r="A9" s="14" t="s">
        <v>417</v>
      </c>
      <c r="B9" s="300">
        <v>0.35416666666666669</v>
      </c>
      <c r="C9" s="324" t="s">
        <v>387</v>
      </c>
      <c r="D9" s="35" t="str">
        <f>VLOOKUP(C9,'Liste chauffeur'!$B$5:$L$19,2,TRUE)&amp;" "&amp;VLOOKUP(C9,'Liste chauffeur'!$B$5:$L$19,3,TRUE)</f>
        <v>VELOU M'COLO M'Berou</v>
      </c>
      <c r="E9" s="53">
        <v>2</v>
      </c>
      <c r="F9" s="35">
        <f>B12-B9</f>
        <v>2.0833333333333315E-2</v>
      </c>
      <c r="G9" s="35"/>
      <c r="H9" s="62"/>
      <c r="I9" s="35"/>
      <c r="J9" s="62"/>
      <c r="K9" s="35"/>
      <c r="L9" s="36"/>
      <c r="M9" s="40"/>
      <c r="N9" s="61"/>
    </row>
    <row r="10" spans="1:14" ht="40.049999999999997" customHeight="1" x14ac:dyDescent="0.45">
      <c r="A10" s="14" t="s">
        <v>416</v>
      </c>
      <c r="B10" s="48">
        <v>0.35416666666666669</v>
      </c>
      <c r="C10" s="324" t="s">
        <v>399</v>
      </c>
      <c r="D10" s="35" t="str">
        <f>VLOOKUP(C10,'Liste chauffeur'!$B$5:$L$19,2,TRUE)&amp;" "&amp;VLOOKUP(C10,'Liste chauffeur'!$B$5:$L$19,3,TRUE)</f>
        <v>COMBO  Said</v>
      </c>
      <c r="E10" s="53">
        <v>1</v>
      </c>
      <c r="F10" s="35">
        <f>B11-B10</f>
        <v>2.0833333333333315E-2</v>
      </c>
      <c r="G10" s="35"/>
      <c r="H10" s="62"/>
      <c r="I10" s="35"/>
      <c r="J10" s="62"/>
      <c r="K10" s="35"/>
      <c r="L10" s="36"/>
      <c r="M10" s="40"/>
      <c r="N10" s="61"/>
    </row>
    <row r="11" spans="1:14" ht="40.049999999999997" customHeight="1" x14ac:dyDescent="0.45">
      <c r="A11" s="14" t="s">
        <v>417</v>
      </c>
      <c r="B11" s="300">
        <v>0.375</v>
      </c>
      <c r="C11" s="324" t="s">
        <v>399</v>
      </c>
      <c r="D11" s="35" t="str">
        <f>VLOOKUP(C11,'Liste chauffeur'!$B$5:$L$19,2,TRUE)&amp;" "&amp;VLOOKUP(C11,'Liste chauffeur'!$B$5:$L$19,3,TRUE)</f>
        <v>COMBO  Said</v>
      </c>
      <c r="E11" s="53">
        <v>2</v>
      </c>
      <c r="F11" s="35">
        <f>B14-B11</f>
        <v>2.0833333333333315E-2</v>
      </c>
      <c r="G11" s="35"/>
      <c r="H11" s="62"/>
      <c r="I11" s="35"/>
      <c r="J11" s="62"/>
      <c r="K11" s="35"/>
      <c r="L11" s="36"/>
      <c r="M11" s="40"/>
      <c r="N11" s="61"/>
    </row>
    <row r="12" spans="1:14" ht="40.049999999999997" customHeight="1" x14ac:dyDescent="0.45">
      <c r="A12" s="14" t="s">
        <v>416</v>
      </c>
      <c r="B12" s="300">
        <v>0.375</v>
      </c>
      <c r="C12" s="324" t="s">
        <v>387</v>
      </c>
      <c r="D12" s="35" t="str">
        <f>VLOOKUP(C12,'Liste chauffeur'!$B$5:$L$19,2,TRUE)&amp;" "&amp;VLOOKUP(C12,'Liste chauffeur'!$B$5:$L$19,3,TRUE)</f>
        <v>VELOU M'COLO M'Berou</v>
      </c>
      <c r="E12" s="53">
        <v>3</v>
      </c>
      <c r="F12" s="35">
        <f>B13-B12</f>
        <v>2.0833333333333315E-2</v>
      </c>
      <c r="G12" s="35"/>
      <c r="H12" s="62"/>
      <c r="I12" s="35"/>
      <c r="J12" s="62"/>
      <c r="K12" s="35"/>
      <c r="L12" s="36"/>
      <c r="M12" s="40"/>
      <c r="N12" s="61"/>
    </row>
    <row r="13" spans="1:14" ht="40.049999999999997" customHeight="1" x14ac:dyDescent="0.45">
      <c r="A13" s="14" t="s">
        <v>417</v>
      </c>
      <c r="B13" s="300">
        <v>0.39583333333333331</v>
      </c>
      <c r="C13" s="324" t="s">
        <v>387</v>
      </c>
      <c r="D13" s="35" t="str">
        <f>VLOOKUP(C13,'Liste chauffeur'!$B$5:$L$19,2,TRUE)&amp;" "&amp;VLOOKUP(C13,'Liste chauffeur'!$B$5:$L$19,3,TRUE)</f>
        <v>VELOU M'COLO M'Berou</v>
      </c>
      <c r="E13" s="53">
        <v>4</v>
      </c>
      <c r="F13" s="35">
        <f>B16-B13</f>
        <v>2.083333333333337E-2</v>
      </c>
      <c r="G13" s="35"/>
      <c r="H13" s="62"/>
      <c r="I13" s="35"/>
      <c r="J13" s="62"/>
      <c r="K13" s="35"/>
      <c r="L13" s="36"/>
      <c r="M13" s="40"/>
      <c r="N13" s="61"/>
    </row>
    <row r="14" spans="1:14" ht="40.049999999999997" customHeight="1" x14ac:dyDescent="0.45">
      <c r="A14" s="14" t="s">
        <v>416</v>
      </c>
      <c r="B14" s="300">
        <v>0.39583333333333331</v>
      </c>
      <c r="C14" s="324" t="s">
        <v>399</v>
      </c>
      <c r="D14" s="35" t="str">
        <f>VLOOKUP(C14,'Liste chauffeur'!$B$5:$L$19,2,TRUE)&amp;" "&amp;VLOOKUP(C14,'Liste chauffeur'!$B$5:$L$19,3,TRUE)</f>
        <v>COMBO  Said</v>
      </c>
      <c r="E14" s="53">
        <v>3</v>
      </c>
      <c r="F14" s="35">
        <f>B15-B14</f>
        <v>2.083333333333337E-2</v>
      </c>
      <c r="G14" s="35"/>
      <c r="H14" s="62"/>
      <c r="I14" s="35"/>
      <c r="J14" s="62"/>
      <c r="K14" s="35"/>
      <c r="L14" s="36"/>
      <c r="M14" s="40"/>
      <c r="N14" s="61"/>
    </row>
    <row r="15" spans="1:14" ht="40.049999999999997" customHeight="1" x14ac:dyDescent="0.45">
      <c r="A15" s="14" t="s">
        <v>417</v>
      </c>
      <c r="B15" s="300">
        <v>0.41666666666666669</v>
      </c>
      <c r="C15" s="324" t="s">
        <v>399</v>
      </c>
      <c r="D15" s="35" t="str">
        <f>VLOOKUP(C15,'Liste chauffeur'!$B$5:$L$19,2,TRUE)&amp;" "&amp;VLOOKUP(C15,'Liste chauffeur'!$B$5:$L$19,3,TRUE)</f>
        <v>COMBO  Said</v>
      </c>
      <c r="E15" s="53">
        <v>4</v>
      </c>
      <c r="F15" s="35">
        <f>B18-B15</f>
        <v>2.0833333333333315E-2</v>
      </c>
      <c r="G15" s="35"/>
      <c r="H15" s="62"/>
      <c r="I15" s="35"/>
      <c r="J15" s="62"/>
      <c r="K15" s="35"/>
      <c r="L15" s="36"/>
      <c r="M15" s="40"/>
      <c r="N15" s="61"/>
    </row>
    <row r="16" spans="1:14" ht="40.049999999999997" customHeight="1" x14ac:dyDescent="0.45">
      <c r="A16" s="14" t="s">
        <v>416</v>
      </c>
      <c r="B16" s="300">
        <v>0.41666666666666669</v>
      </c>
      <c r="C16" s="324" t="s">
        <v>387</v>
      </c>
      <c r="D16" s="35" t="str">
        <f>VLOOKUP(C16,'Liste chauffeur'!$B$5:$L$19,2,TRUE)&amp;" "&amp;VLOOKUP(C16,'Liste chauffeur'!$B$5:$L$19,3,TRUE)</f>
        <v>VELOU M'COLO M'Berou</v>
      </c>
      <c r="E16" s="53">
        <v>5</v>
      </c>
      <c r="F16" s="35">
        <f>B17-B16</f>
        <v>2.0833333333333315E-2</v>
      </c>
      <c r="G16" s="35"/>
      <c r="H16" s="62"/>
      <c r="I16" s="35"/>
      <c r="J16" s="62"/>
      <c r="K16" s="35"/>
      <c r="L16" s="36"/>
      <c r="M16" s="40"/>
      <c r="N16" s="61"/>
    </row>
    <row r="17" spans="1:14" ht="40.049999999999997" customHeight="1" x14ac:dyDescent="0.45">
      <c r="A17" s="14" t="s">
        <v>417</v>
      </c>
      <c r="B17" s="300">
        <v>0.4375</v>
      </c>
      <c r="C17" s="324" t="s">
        <v>387</v>
      </c>
      <c r="D17" s="35" t="str">
        <f>VLOOKUP(C17,'Liste chauffeur'!$B$5:$L$19,2,TRUE)&amp;" "&amp;VLOOKUP(C17,'Liste chauffeur'!$B$5:$L$19,3,TRUE)</f>
        <v>VELOU M'COLO M'Berou</v>
      </c>
      <c r="E17" s="53">
        <v>6</v>
      </c>
      <c r="F17" s="35">
        <f>B20-B17</f>
        <v>2.0833333333333315E-2</v>
      </c>
      <c r="G17" s="35"/>
      <c r="H17" s="62"/>
      <c r="I17" s="35"/>
      <c r="J17" s="62"/>
      <c r="K17" s="35"/>
      <c r="L17" s="36"/>
      <c r="M17" s="40"/>
      <c r="N17" s="61"/>
    </row>
    <row r="18" spans="1:14" ht="40.049999999999997" customHeight="1" x14ac:dyDescent="0.45">
      <c r="A18" s="14" t="s">
        <v>416</v>
      </c>
      <c r="B18" s="300">
        <v>0.4375</v>
      </c>
      <c r="C18" s="324" t="s">
        <v>399</v>
      </c>
      <c r="D18" s="35" t="str">
        <f>VLOOKUP(C18,'Liste chauffeur'!$B$5:$L$19,2,TRUE)&amp;" "&amp;VLOOKUP(C18,'Liste chauffeur'!$B$5:$L$19,3,TRUE)</f>
        <v>COMBO  Said</v>
      </c>
      <c r="E18" s="53">
        <v>5</v>
      </c>
      <c r="F18" s="35">
        <f>B19-B18</f>
        <v>2.0833333333333315E-2</v>
      </c>
      <c r="G18" s="35"/>
      <c r="H18" s="62"/>
      <c r="I18" s="35"/>
      <c r="J18" s="62"/>
      <c r="K18" s="35"/>
      <c r="L18" s="36"/>
      <c r="M18" s="40"/>
      <c r="N18" s="61"/>
    </row>
    <row r="19" spans="1:14" ht="40.049999999999997" customHeight="1" x14ac:dyDescent="0.45">
      <c r="A19" s="14" t="s">
        <v>417</v>
      </c>
      <c r="B19" s="300">
        <v>0.45833333333333331</v>
      </c>
      <c r="C19" s="324" t="s">
        <v>399</v>
      </c>
      <c r="D19" s="35" t="str">
        <f>VLOOKUP(C19,'Liste chauffeur'!$B$5:$L$19,2,TRUE)&amp;" "&amp;VLOOKUP(C19,'Liste chauffeur'!$B$5:$L$19,3,TRUE)</f>
        <v>COMBO  Said</v>
      </c>
      <c r="E19" s="53">
        <v>6</v>
      </c>
      <c r="F19" s="35">
        <f>B22-B19</f>
        <v>2.083333333333337E-2</v>
      </c>
      <c r="G19" s="35"/>
      <c r="H19" s="62"/>
      <c r="I19" s="35"/>
      <c r="J19" s="62"/>
      <c r="K19" s="35"/>
      <c r="L19" s="36"/>
      <c r="M19" s="40"/>
      <c r="N19" s="61"/>
    </row>
    <row r="20" spans="1:14" ht="40.049999999999997" customHeight="1" x14ac:dyDescent="0.45">
      <c r="A20" s="14" t="s">
        <v>416</v>
      </c>
      <c r="B20" s="300">
        <v>0.45833333333333331</v>
      </c>
      <c r="C20" s="324" t="s">
        <v>387</v>
      </c>
      <c r="D20" s="35" t="str">
        <f>VLOOKUP(C20,'Liste chauffeur'!$B$5:$L$19,2,TRUE)&amp;" "&amp;VLOOKUP(C20,'Liste chauffeur'!$B$5:$L$19,3,TRUE)</f>
        <v>VELOU M'COLO M'Berou</v>
      </c>
      <c r="E20" s="53">
        <v>7</v>
      </c>
      <c r="F20" s="35">
        <f>B21-B20</f>
        <v>2.083333333333337E-2</v>
      </c>
      <c r="G20" s="35"/>
      <c r="H20" s="62"/>
      <c r="I20" s="35"/>
      <c r="J20" s="62"/>
      <c r="K20" s="35"/>
      <c r="L20" s="36"/>
      <c r="M20" s="40"/>
      <c r="N20" s="61"/>
    </row>
    <row r="21" spans="1:14" ht="40.049999999999997" customHeight="1" x14ac:dyDescent="0.45">
      <c r="A21" s="14" t="s">
        <v>417</v>
      </c>
      <c r="B21" s="300">
        <v>0.47916666666666669</v>
      </c>
      <c r="C21" s="324" t="s">
        <v>387</v>
      </c>
      <c r="D21" s="35" t="str">
        <f>VLOOKUP(C21,'Liste chauffeur'!$B$5:$L$19,2,TRUE)&amp;" "&amp;VLOOKUP(C21,'Liste chauffeur'!$B$5:$L$19,3,TRUE)</f>
        <v>VELOU M'COLO M'Berou</v>
      </c>
      <c r="E21" s="53">
        <v>8</v>
      </c>
      <c r="F21" s="35">
        <f>B24-B21</f>
        <v>2.0833333333333315E-2</v>
      </c>
      <c r="G21" s="35"/>
      <c r="H21" s="62"/>
      <c r="I21" s="35"/>
      <c r="J21" s="62"/>
      <c r="K21" s="35"/>
      <c r="L21" s="36"/>
      <c r="M21" s="40"/>
      <c r="N21" s="61"/>
    </row>
    <row r="22" spans="1:14" ht="40.049999999999997" customHeight="1" x14ac:dyDescent="0.45">
      <c r="A22" s="14" t="s">
        <v>416</v>
      </c>
      <c r="B22" s="300">
        <v>0.47916666666666669</v>
      </c>
      <c r="C22" s="324" t="s">
        <v>399</v>
      </c>
      <c r="D22" s="35" t="str">
        <f>VLOOKUP(C22,'Liste chauffeur'!$B$5:$L$19,2,TRUE)&amp;" "&amp;VLOOKUP(C22,'Liste chauffeur'!$B$5:$L$19,3,TRUE)</f>
        <v>COMBO  Said</v>
      </c>
      <c r="E22" s="53">
        <v>7</v>
      </c>
      <c r="F22" s="35">
        <f>B23-B22</f>
        <v>2.0833333333333315E-2</v>
      </c>
      <c r="G22" s="35"/>
      <c r="H22" s="62"/>
      <c r="I22" s="35"/>
      <c r="J22" s="62"/>
      <c r="K22" s="35"/>
      <c r="L22" s="36"/>
      <c r="M22" s="40"/>
      <c r="N22" s="61"/>
    </row>
    <row r="23" spans="1:14" ht="40.049999999999997" customHeight="1" x14ac:dyDescent="0.45">
      <c r="A23" s="14" t="s">
        <v>417</v>
      </c>
      <c r="B23" s="300">
        <v>0.5</v>
      </c>
      <c r="C23" s="324" t="s">
        <v>399</v>
      </c>
      <c r="D23" s="35" t="str">
        <f>VLOOKUP(C23,'Liste chauffeur'!$B$5:$L$19,2,TRUE)&amp;" "&amp;VLOOKUP(C23,'Liste chauffeur'!$B$5:$L$19,3,TRUE)</f>
        <v>COMBO  Said</v>
      </c>
      <c r="E23" s="53">
        <v>8</v>
      </c>
      <c r="F23" s="35">
        <f>B26-B23</f>
        <v>2.083333333333337E-2</v>
      </c>
      <c r="G23" s="35"/>
      <c r="H23" s="62"/>
      <c r="I23" s="35"/>
      <c r="J23" s="62"/>
      <c r="K23" s="35"/>
      <c r="L23" s="36"/>
      <c r="M23" s="40"/>
      <c r="N23" s="61"/>
    </row>
    <row r="24" spans="1:14" ht="40.049999999999997" customHeight="1" x14ac:dyDescent="0.45">
      <c r="A24" s="14" t="s">
        <v>416</v>
      </c>
      <c r="B24" s="300">
        <v>0.5</v>
      </c>
      <c r="C24" s="324" t="s">
        <v>387</v>
      </c>
      <c r="D24" s="35" t="str">
        <f>VLOOKUP(C24,'Liste chauffeur'!$B$5:$L$19,2,TRUE)&amp;" "&amp;VLOOKUP(C24,'Liste chauffeur'!$B$5:$L$19,3,TRUE)</f>
        <v>VELOU M'COLO M'Berou</v>
      </c>
      <c r="E24" s="53">
        <v>9</v>
      </c>
      <c r="F24" s="35">
        <f>B25-B24</f>
        <v>2.083333333333337E-2</v>
      </c>
      <c r="G24" s="35"/>
      <c r="H24" s="62"/>
      <c r="I24" s="35"/>
      <c r="J24" s="62"/>
      <c r="K24" s="35"/>
      <c r="L24" s="36"/>
      <c r="M24" s="40"/>
      <c r="N24" s="61"/>
    </row>
    <row r="25" spans="1:14" ht="40.049999999999997" customHeight="1" x14ac:dyDescent="0.45">
      <c r="A25" s="14" t="s">
        <v>417</v>
      </c>
      <c r="B25" s="300">
        <v>0.52083333333333337</v>
      </c>
      <c r="C25" s="324" t="s">
        <v>387</v>
      </c>
      <c r="D25" s="35" t="str">
        <f>VLOOKUP(C25,'Liste chauffeur'!$B$5:$L$19,2,TRUE)&amp;" "&amp;VLOOKUP(C25,'Liste chauffeur'!$B$5:$L$19,3,TRUE)</f>
        <v>VELOU M'COLO M'Berou</v>
      </c>
      <c r="E25" s="53">
        <v>10</v>
      </c>
      <c r="F25" s="35">
        <f>B28-B25</f>
        <v>2.0833333333333259E-2</v>
      </c>
      <c r="G25" s="35"/>
      <c r="H25" s="62"/>
      <c r="I25" s="35"/>
      <c r="J25" s="62"/>
      <c r="K25" s="35"/>
      <c r="L25" s="36"/>
      <c r="M25" s="40"/>
      <c r="N25" s="61"/>
    </row>
    <row r="26" spans="1:14" ht="40.049999999999997" customHeight="1" x14ac:dyDescent="0.45">
      <c r="A26" s="14" t="s">
        <v>416</v>
      </c>
      <c r="B26" s="300">
        <v>0.52083333333333337</v>
      </c>
      <c r="C26" s="324" t="s">
        <v>399</v>
      </c>
      <c r="D26" s="35" t="str">
        <f>VLOOKUP(C26,'Liste chauffeur'!$B$5:$L$19,2,TRUE)&amp;" "&amp;VLOOKUP(C26,'Liste chauffeur'!$B$5:$L$19,3,TRUE)</f>
        <v>COMBO  Said</v>
      </c>
      <c r="E26" s="53">
        <v>9</v>
      </c>
      <c r="F26" s="35">
        <f>B27-B26</f>
        <v>2.0833333333333259E-2</v>
      </c>
      <c r="G26" s="35"/>
      <c r="H26" s="62"/>
      <c r="I26" s="35"/>
      <c r="J26" s="62"/>
      <c r="K26" s="35"/>
      <c r="L26" s="36"/>
      <c r="M26" s="40"/>
      <c r="N26" s="61"/>
    </row>
    <row r="27" spans="1:14" ht="40.049999999999997" customHeight="1" x14ac:dyDescent="0.45">
      <c r="A27" s="14" t="s">
        <v>417</v>
      </c>
      <c r="B27" s="300">
        <v>0.54166666666666663</v>
      </c>
      <c r="C27" s="324" t="s">
        <v>399</v>
      </c>
      <c r="D27" s="35" t="str">
        <f>VLOOKUP(C27,'Liste chauffeur'!$B$5:$L$19,2,TRUE)&amp;" "&amp;VLOOKUP(C27,'Liste chauffeur'!$B$5:$L$19,3,TRUE)</f>
        <v>COMBO  Said</v>
      </c>
      <c r="E27" s="53">
        <v>10</v>
      </c>
      <c r="F27" s="35">
        <f>B30-B27</f>
        <v>2.083333333333337E-2</v>
      </c>
      <c r="G27" s="35"/>
      <c r="H27" s="62"/>
      <c r="I27" s="35"/>
      <c r="J27" s="62"/>
      <c r="K27" s="35"/>
      <c r="L27" s="36"/>
      <c r="M27" s="40"/>
      <c r="N27" s="61"/>
    </row>
    <row r="28" spans="1:14" ht="40.049999999999997" customHeight="1" x14ac:dyDescent="0.45">
      <c r="A28" s="14" t="s">
        <v>416</v>
      </c>
      <c r="B28" s="299">
        <v>0.54166666666666663</v>
      </c>
      <c r="C28" s="324" t="s">
        <v>387</v>
      </c>
      <c r="D28" s="35" t="str">
        <f>VLOOKUP(C28,'Liste chauffeur'!$B$5:$L$19,2,TRUE)&amp;" "&amp;VLOOKUP(C28,'Liste chauffeur'!$B$5:$L$19,3,TRUE)</f>
        <v>VELOU M'COLO M'Berou</v>
      </c>
      <c r="E28" s="53">
        <v>11</v>
      </c>
      <c r="F28" s="300"/>
      <c r="G28" s="35"/>
      <c r="H28" s="62"/>
      <c r="I28" s="35"/>
      <c r="J28" s="62"/>
      <c r="K28" s="35"/>
      <c r="L28" s="36"/>
      <c r="M28" s="40"/>
      <c r="N28" s="61"/>
    </row>
    <row r="29" spans="1:14" ht="40.049999999999997" customHeight="1" x14ac:dyDescent="0.45">
      <c r="A29" s="14" t="s">
        <v>417</v>
      </c>
      <c r="B29" s="48">
        <v>0.5625</v>
      </c>
      <c r="C29" s="324" t="s">
        <v>390</v>
      </c>
      <c r="D29" s="35" t="str">
        <f>VLOOKUP(C29,'Liste chauffeur'!$B$5:$L$19,2,TRUE)&amp;" "&amp;VLOOKUP(C29,'Liste chauffeur'!$B$5:$L$19,3,TRUE)</f>
        <v>AHAMADI Laydine</v>
      </c>
      <c r="E29" s="53">
        <v>1</v>
      </c>
      <c r="F29" s="300">
        <f>B32-B29</f>
        <v>2.083333333333337E-2</v>
      </c>
      <c r="G29" s="35"/>
      <c r="H29" s="62"/>
      <c r="I29" s="35"/>
      <c r="J29" s="62"/>
      <c r="K29" s="35"/>
      <c r="L29" s="36"/>
      <c r="M29" s="40"/>
      <c r="N29" s="61"/>
    </row>
    <row r="30" spans="1:14" ht="40.049999999999997" customHeight="1" x14ac:dyDescent="0.45">
      <c r="A30" s="14" t="s">
        <v>416</v>
      </c>
      <c r="B30" s="299">
        <v>0.5625</v>
      </c>
      <c r="C30" s="324" t="s">
        <v>399</v>
      </c>
      <c r="D30" s="35" t="str">
        <f>VLOOKUP(C30,'Liste chauffeur'!$B$5:$L$19,2,TRUE)&amp;" "&amp;VLOOKUP(C30,'Liste chauffeur'!$B$5:$L$19,3,TRUE)</f>
        <v>COMBO  Said</v>
      </c>
      <c r="E30" s="53">
        <v>11</v>
      </c>
      <c r="F30" s="300"/>
      <c r="G30" s="300"/>
      <c r="H30" s="62"/>
      <c r="I30" s="35"/>
      <c r="J30" s="62"/>
      <c r="K30" s="35"/>
      <c r="L30" s="36"/>
      <c r="M30" s="40"/>
      <c r="N30" s="61"/>
    </row>
    <row r="31" spans="1:14" ht="40.049999999999997" customHeight="1" x14ac:dyDescent="0.45">
      <c r="A31" s="14" t="s">
        <v>417</v>
      </c>
      <c r="B31" s="48">
        <v>0.58333333333333337</v>
      </c>
      <c r="C31" s="324" t="s">
        <v>388</v>
      </c>
      <c r="D31" s="35" t="str">
        <f>VLOOKUP(C31,'Liste chauffeur'!$B$5:$L$19,2,TRUE)&amp;" "&amp;VLOOKUP(C31,'Liste chauffeur'!$B$5:$L$19,3,TRUE)</f>
        <v>MOURIDI Aktoir</v>
      </c>
      <c r="E31" s="53">
        <v>1</v>
      </c>
      <c r="F31" s="300">
        <f>B34-B31</f>
        <v>2.0833333333333259E-2</v>
      </c>
      <c r="G31" s="300"/>
      <c r="H31" s="62"/>
      <c r="I31" s="35"/>
      <c r="J31" s="62"/>
      <c r="K31" s="35"/>
      <c r="L31" s="36"/>
      <c r="M31" s="40"/>
      <c r="N31" s="61"/>
    </row>
    <row r="32" spans="1:14" ht="40.049999999999997" customHeight="1" x14ac:dyDescent="0.45">
      <c r="A32" s="14" t="s">
        <v>416</v>
      </c>
      <c r="B32" s="300">
        <v>0.58333333333333337</v>
      </c>
      <c r="C32" s="324" t="s">
        <v>390</v>
      </c>
      <c r="D32" s="35" t="str">
        <f>VLOOKUP(C32,'Liste chauffeur'!$B$5:$L$19,2,TRUE)&amp;" "&amp;VLOOKUP(C32,'Liste chauffeur'!$B$5:$L$19,3,TRUE)</f>
        <v>AHAMADI Laydine</v>
      </c>
      <c r="E32" s="53">
        <v>2</v>
      </c>
      <c r="F32" s="35">
        <f>B33-B32</f>
        <v>2.0833333333333259E-2</v>
      </c>
      <c r="G32" s="35"/>
      <c r="H32" s="62"/>
      <c r="I32" s="35"/>
      <c r="J32" s="62"/>
      <c r="K32" s="35"/>
      <c r="L32" s="36"/>
      <c r="M32" s="40"/>
      <c r="N32" s="61"/>
    </row>
    <row r="33" spans="1:14" ht="40.049999999999997" customHeight="1" x14ac:dyDescent="0.45">
      <c r="A33" s="14" t="s">
        <v>417</v>
      </c>
      <c r="B33" s="300">
        <v>0.60416666666666663</v>
      </c>
      <c r="C33" s="324" t="s">
        <v>390</v>
      </c>
      <c r="D33" s="35" t="str">
        <f>VLOOKUP(C33,'Liste chauffeur'!$B$5:$L$19,2,TRUE)&amp;" "&amp;VLOOKUP(C33,'Liste chauffeur'!$B$5:$L$19,3,TRUE)</f>
        <v>AHAMADI Laydine</v>
      </c>
      <c r="E33" s="53">
        <v>3</v>
      </c>
      <c r="F33" s="35">
        <f>B36-B33</f>
        <v>2.083333333333337E-2</v>
      </c>
      <c r="G33" s="35"/>
      <c r="H33" s="62"/>
      <c r="I33" s="35"/>
      <c r="J33" s="62"/>
      <c r="K33" s="35"/>
      <c r="L33" s="36"/>
      <c r="M33" s="40"/>
      <c r="N33" s="61"/>
    </row>
    <row r="34" spans="1:14" ht="40.049999999999997" customHeight="1" x14ac:dyDescent="0.45">
      <c r="A34" s="14" t="s">
        <v>416</v>
      </c>
      <c r="B34" s="300">
        <v>0.60416666666666663</v>
      </c>
      <c r="C34" s="324" t="s">
        <v>388</v>
      </c>
      <c r="D34" s="35" t="str">
        <f>VLOOKUP(C34,'Liste chauffeur'!$B$5:$L$19,2,TRUE)&amp;" "&amp;VLOOKUP(C34,'Liste chauffeur'!$B$5:$L$19,3,TRUE)</f>
        <v>MOURIDI Aktoir</v>
      </c>
      <c r="E34" s="53">
        <v>2</v>
      </c>
      <c r="F34" s="35">
        <f>B35-B34</f>
        <v>2.083333333333337E-2</v>
      </c>
      <c r="G34" s="35"/>
      <c r="H34" s="62"/>
      <c r="I34" s="35"/>
      <c r="J34" s="62"/>
      <c r="K34" s="35"/>
      <c r="L34" s="36"/>
      <c r="M34" s="40"/>
      <c r="N34" s="61"/>
    </row>
    <row r="35" spans="1:14" ht="40.049999999999997" customHeight="1" x14ac:dyDescent="0.45">
      <c r="A35" s="14" t="s">
        <v>417</v>
      </c>
      <c r="B35" s="300">
        <v>0.625</v>
      </c>
      <c r="C35" s="324" t="s">
        <v>388</v>
      </c>
      <c r="D35" s="35" t="str">
        <f>VLOOKUP(C35,'Liste chauffeur'!$B$5:$L$19,2,TRUE)&amp;" "&amp;VLOOKUP(C35,'Liste chauffeur'!$B$5:$L$19,3,TRUE)</f>
        <v>MOURIDI Aktoir</v>
      </c>
      <c r="E35" s="53">
        <v>3</v>
      </c>
      <c r="F35" s="35">
        <f>B38-B35</f>
        <v>2.083333333333337E-2</v>
      </c>
      <c r="G35" s="35"/>
      <c r="H35" s="62"/>
      <c r="I35" s="35"/>
      <c r="J35" s="62"/>
      <c r="K35" s="35"/>
      <c r="L35" s="36"/>
      <c r="M35" s="40"/>
      <c r="N35" s="61"/>
    </row>
    <row r="36" spans="1:14" ht="40.049999999999997" customHeight="1" x14ac:dyDescent="0.45">
      <c r="A36" s="14" t="s">
        <v>416</v>
      </c>
      <c r="B36" s="300">
        <v>0.625</v>
      </c>
      <c r="C36" s="324" t="s">
        <v>390</v>
      </c>
      <c r="D36" s="35" t="str">
        <f>VLOOKUP(C36,'Liste chauffeur'!$B$5:$L$19,2,TRUE)&amp;" "&amp;VLOOKUP(C36,'Liste chauffeur'!$B$5:$L$19,3,TRUE)</f>
        <v>AHAMADI Laydine</v>
      </c>
      <c r="E36" s="53">
        <v>4</v>
      </c>
      <c r="F36" s="35">
        <f>B37-B36</f>
        <v>2.083333333333337E-2</v>
      </c>
      <c r="G36" s="35"/>
      <c r="H36" s="62"/>
      <c r="I36" s="35"/>
      <c r="J36" s="62"/>
      <c r="K36" s="35"/>
      <c r="L36" s="36"/>
      <c r="M36" s="40"/>
      <c r="N36" s="61"/>
    </row>
    <row r="37" spans="1:14" ht="40.049999999999997" customHeight="1" x14ac:dyDescent="0.45">
      <c r="A37" s="14" t="s">
        <v>417</v>
      </c>
      <c r="B37" s="300">
        <v>0.64583333333333337</v>
      </c>
      <c r="C37" s="324" t="s">
        <v>390</v>
      </c>
      <c r="D37" s="35" t="str">
        <f>VLOOKUP(C37,'Liste chauffeur'!$B$5:$L$19,2,TRUE)&amp;" "&amp;VLOOKUP(C37,'Liste chauffeur'!$B$5:$L$19,3,TRUE)</f>
        <v>AHAMADI Laydine</v>
      </c>
      <c r="E37" s="53">
        <v>5</v>
      </c>
      <c r="F37" s="35">
        <f>B40-B37</f>
        <v>2.0833333333333259E-2</v>
      </c>
      <c r="G37" s="35"/>
      <c r="H37" s="62"/>
      <c r="I37" s="35"/>
      <c r="J37" s="62"/>
      <c r="K37" s="35"/>
      <c r="L37" s="36"/>
      <c r="M37" s="40"/>
      <c r="N37" s="61"/>
    </row>
    <row r="38" spans="1:14" ht="40.049999999999997" customHeight="1" x14ac:dyDescent="0.45">
      <c r="A38" s="14" t="s">
        <v>416</v>
      </c>
      <c r="B38" s="300">
        <v>0.64583333333333337</v>
      </c>
      <c r="C38" s="324" t="s">
        <v>388</v>
      </c>
      <c r="D38" s="35" t="str">
        <f>VLOOKUP(C38,'Liste chauffeur'!$B$5:$L$19,2,TRUE)&amp;" "&amp;VLOOKUP(C38,'Liste chauffeur'!$B$5:$L$19,3,TRUE)</f>
        <v>MOURIDI Aktoir</v>
      </c>
      <c r="E38" s="53">
        <v>4</v>
      </c>
      <c r="F38" s="35">
        <f>B39-B38</f>
        <v>2.0833333333333259E-2</v>
      </c>
      <c r="G38" s="35"/>
      <c r="H38" s="62"/>
      <c r="I38" s="35"/>
      <c r="J38" s="62"/>
      <c r="K38" s="35"/>
      <c r="L38" s="36"/>
      <c r="M38" s="40"/>
      <c r="N38" s="61"/>
    </row>
    <row r="39" spans="1:14" ht="40.049999999999997" customHeight="1" x14ac:dyDescent="0.45">
      <c r="A39" s="14" t="s">
        <v>417</v>
      </c>
      <c r="B39" s="300">
        <v>0.66666666666666663</v>
      </c>
      <c r="C39" s="324" t="s">
        <v>388</v>
      </c>
      <c r="D39" s="35" t="str">
        <f>VLOOKUP(C39,'Liste chauffeur'!$B$5:$L$19,2,TRUE)&amp;" "&amp;VLOOKUP(C39,'Liste chauffeur'!$B$5:$L$19,3,TRUE)</f>
        <v>MOURIDI Aktoir</v>
      </c>
      <c r="E39" s="53">
        <v>5</v>
      </c>
      <c r="F39" s="35">
        <f>B42-B39</f>
        <v>2.083333333333337E-2</v>
      </c>
      <c r="G39" s="35"/>
      <c r="H39" s="62"/>
      <c r="I39" s="35"/>
      <c r="J39" s="62"/>
      <c r="K39" s="35"/>
      <c r="L39" s="36"/>
      <c r="M39" s="40"/>
      <c r="N39" s="61"/>
    </row>
    <row r="40" spans="1:14" ht="40.049999999999997" customHeight="1" x14ac:dyDescent="0.45">
      <c r="A40" s="14" t="s">
        <v>416</v>
      </c>
      <c r="B40" s="300">
        <v>0.66666666666666663</v>
      </c>
      <c r="C40" s="324" t="s">
        <v>390</v>
      </c>
      <c r="D40" s="35" t="str">
        <f>VLOOKUP(C40,'Liste chauffeur'!$B$5:$L$19,2,TRUE)&amp;" "&amp;VLOOKUP(C40,'Liste chauffeur'!$B$5:$L$19,3,TRUE)</f>
        <v>AHAMADI Laydine</v>
      </c>
      <c r="E40" s="53">
        <v>6</v>
      </c>
      <c r="F40" s="35">
        <f>B41-B40</f>
        <v>2.083333333333337E-2</v>
      </c>
      <c r="G40" s="35"/>
      <c r="H40" s="62"/>
      <c r="I40" s="35"/>
      <c r="J40" s="62"/>
      <c r="K40" s="35"/>
      <c r="L40" s="36"/>
      <c r="M40" s="40"/>
      <c r="N40" s="61"/>
    </row>
    <row r="41" spans="1:14" ht="40.049999999999997" customHeight="1" x14ac:dyDescent="0.45">
      <c r="A41" s="14" t="s">
        <v>417</v>
      </c>
      <c r="B41" s="300">
        <v>0.6875</v>
      </c>
      <c r="C41" s="324" t="s">
        <v>390</v>
      </c>
      <c r="D41" s="35" t="str">
        <f>VLOOKUP(C41,'Liste chauffeur'!$B$5:$L$19,2,TRUE)&amp;" "&amp;VLOOKUP(C41,'Liste chauffeur'!$B$5:$L$19,3,TRUE)</f>
        <v>AHAMADI Laydine</v>
      </c>
      <c r="E41" s="53">
        <v>7</v>
      </c>
      <c r="F41" s="35">
        <f>B44-B41</f>
        <v>2.083333333333337E-2</v>
      </c>
      <c r="G41" s="35"/>
      <c r="H41" s="62"/>
      <c r="I41" s="35"/>
      <c r="J41" s="62"/>
      <c r="K41" s="35"/>
      <c r="L41" s="36"/>
      <c r="M41" s="40"/>
      <c r="N41" s="61"/>
    </row>
    <row r="42" spans="1:14" ht="40.049999999999997" customHeight="1" x14ac:dyDescent="0.45">
      <c r="A42" s="14" t="s">
        <v>416</v>
      </c>
      <c r="B42" s="300">
        <v>0.6875</v>
      </c>
      <c r="C42" s="324" t="s">
        <v>388</v>
      </c>
      <c r="D42" s="35" t="str">
        <f>VLOOKUP(C42,'Liste chauffeur'!$B$5:$L$19,2,TRUE)&amp;" "&amp;VLOOKUP(C42,'Liste chauffeur'!$B$5:$L$19,3,TRUE)</f>
        <v>MOURIDI Aktoir</v>
      </c>
      <c r="E42" s="53">
        <v>6</v>
      </c>
      <c r="F42" s="35">
        <f>B43-B42</f>
        <v>2.083333333333337E-2</v>
      </c>
      <c r="G42" s="35"/>
      <c r="H42" s="62"/>
      <c r="I42" s="35"/>
      <c r="J42" s="62"/>
      <c r="K42" s="35"/>
      <c r="L42" s="36"/>
      <c r="M42" s="40"/>
      <c r="N42" s="61"/>
    </row>
    <row r="43" spans="1:14" ht="40.049999999999997" customHeight="1" x14ac:dyDescent="0.45">
      <c r="A43" s="14" t="s">
        <v>417</v>
      </c>
      <c r="B43" s="300">
        <v>0.70833333333333337</v>
      </c>
      <c r="C43" s="324" t="s">
        <v>388</v>
      </c>
      <c r="D43" s="35" t="str">
        <f>VLOOKUP(C43,'Liste chauffeur'!$B$5:$L$19,2,TRUE)&amp;" "&amp;VLOOKUP(C43,'Liste chauffeur'!$B$5:$L$19,3,TRUE)</f>
        <v>MOURIDI Aktoir</v>
      </c>
      <c r="E43" s="53">
        <v>7</v>
      </c>
      <c r="F43" s="35">
        <f>B46-B43</f>
        <v>2.0833333333333259E-2</v>
      </c>
      <c r="G43" s="35"/>
      <c r="H43" s="62"/>
      <c r="I43" s="35"/>
      <c r="J43" s="62"/>
      <c r="K43" s="35"/>
      <c r="L43" s="36"/>
      <c r="M43" s="40"/>
      <c r="N43" s="61"/>
    </row>
    <row r="44" spans="1:14" ht="40.049999999999997" customHeight="1" x14ac:dyDescent="0.45">
      <c r="A44" s="14" t="s">
        <v>416</v>
      </c>
      <c r="B44" s="300">
        <v>0.70833333333333337</v>
      </c>
      <c r="C44" s="324" t="s">
        <v>390</v>
      </c>
      <c r="D44" s="35" t="str">
        <f>VLOOKUP(C44,'Liste chauffeur'!$B$5:$L$19,2,TRUE)&amp;" "&amp;VLOOKUP(C44,'Liste chauffeur'!$B$5:$L$19,3,TRUE)</f>
        <v>AHAMADI Laydine</v>
      </c>
      <c r="E44" s="53">
        <v>8</v>
      </c>
      <c r="F44" s="35">
        <f>B45-B44</f>
        <v>2.0833333333333259E-2</v>
      </c>
      <c r="G44" s="35"/>
      <c r="H44" s="62"/>
      <c r="I44" s="35"/>
      <c r="J44" s="62"/>
      <c r="K44" s="35"/>
      <c r="L44" s="36"/>
      <c r="M44" s="40"/>
      <c r="N44" s="61"/>
    </row>
    <row r="45" spans="1:14" ht="40.049999999999997" customHeight="1" x14ac:dyDescent="0.45">
      <c r="A45" s="14" t="s">
        <v>417</v>
      </c>
      <c r="B45" s="300">
        <v>0.72916666666666663</v>
      </c>
      <c r="C45" s="324" t="s">
        <v>390</v>
      </c>
      <c r="D45" s="35" t="str">
        <f>VLOOKUP(C45,'Liste chauffeur'!$B$5:$L$19,2,TRUE)&amp;" "&amp;VLOOKUP(C45,'Liste chauffeur'!$B$5:$L$19,3,TRUE)</f>
        <v>AHAMADI Laydine</v>
      </c>
      <c r="E45" s="53">
        <v>9</v>
      </c>
      <c r="F45" s="35">
        <f>B48-B45</f>
        <v>2.083333333333337E-2</v>
      </c>
      <c r="G45" s="35"/>
      <c r="H45" s="62"/>
      <c r="I45" s="35"/>
      <c r="J45" s="62"/>
      <c r="K45" s="35"/>
      <c r="L45" s="36"/>
      <c r="M45" s="40"/>
      <c r="N45" s="61"/>
    </row>
    <row r="46" spans="1:14" ht="40.049999999999997" customHeight="1" x14ac:dyDescent="0.45">
      <c r="A46" s="14" t="s">
        <v>416</v>
      </c>
      <c r="B46" s="300">
        <v>0.72916666666666663</v>
      </c>
      <c r="C46" s="324" t="s">
        <v>388</v>
      </c>
      <c r="D46" s="35" t="str">
        <f>VLOOKUP(C46,'Liste chauffeur'!$B$5:$L$19,2,TRUE)&amp;" "&amp;VLOOKUP(C46,'Liste chauffeur'!$B$5:$L$19,3,TRUE)</f>
        <v>MOURIDI Aktoir</v>
      </c>
      <c r="E46" s="53">
        <v>8</v>
      </c>
      <c r="F46" s="35">
        <f>B47-B46</f>
        <v>2.083333333333337E-2</v>
      </c>
      <c r="G46" s="35"/>
      <c r="H46" s="62"/>
      <c r="I46" s="35"/>
      <c r="J46" s="62"/>
      <c r="K46" s="35"/>
      <c r="L46" s="36"/>
      <c r="M46" s="40"/>
      <c r="N46" s="61"/>
    </row>
    <row r="47" spans="1:14" ht="40.049999999999997" customHeight="1" x14ac:dyDescent="0.45">
      <c r="A47" s="14" t="s">
        <v>417</v>
      </c>
      <c r="B47" s="300">
        <v>0.75</v>
      </c>
      <c r="C47" s="324" t="s">
        <v>388</v>
      </c>
      <c r="D47" s="35" t="str">
        <f>VLOOKUP(C47,'Liste chauffeur'!$B$5:$L$19,2,TRUE)&amp;" "&amp;VLOOKUP(C47,'Liste chauffeur'!$B$5:$L$19,3,TRUE)</f>
        <v>MOURIDI Aktoir</v>
      </c>
      <c r="E47" s="53">
        <v>9</v>
      </c>
      <c r="F47" s="35">
        <f>B51-B47</f>
        <v>4.166666666666663E-2</v>
      </c>
      <c r="G47" s="35"/>
      <c r="H47" s="62"/>
      <c r="I47" s="35"/>
      <c r="J47" s="62"/>
      <c r="K47" s="35"/>
      <c r="L47" s="36"/>
      <c r="M47" s="40"/>
      <c r="N47" s="61"/>
    </row>
    <row r="48" spans="1:14" ht="40.049999999999997" customHeight="1" x14ac:dyDescent="0.45">
      <c r="A48" s="14" t="s">
        <v>416</v>
      </c>
      <c r="B48" s="300">
        <v>0.75</v>
      </c>
      <c r="C48" s="324" t="s">
        <v>390</v>
      </c>
      <c r="D48" s="35" t="str">
        <f>VLOOKUP(C48,'Liste chauffeur'!$B$5:$L$19,2,TRUE)&amp;" "&amp;VLOOKUP(C48,'Liste chauffeur'!$B$5:$L$19,3,TRUE)</f>
        <v>AHAMADI Laydine</v>
      </c>
      <c r="E48" s="53">
        <v>10</v>
      </c>
      <c r="F48" s="35">
        <f>B49-B48</f>
        <v>2.083333333333337E-2</v>
      </c>
      <c r="G48" s="35"/>
      <c r="H48" s="62"/>
      <c r="I48" s="35"/>
      <c r="J48" s="62"/>
      <c r="K48" s="35"/>
      <c r="L48" s="36"/>
      <c r="M48" s="40"/>
      <c r="N48" s="61"/>
    </row>
    <row r="49" spans="1:14" ht="40.049999999999997" customHeight="1" x14ac:dyDescent="0.45">
      <c r="A49" s="14" t="s">
        <v>417</v>
      </c>
      <c r="B49" s="299">
        <v>0.77083333333333337</v>
      </c>
      <c r="C49" s="324" t="s">
        <v>390</v>
      </c>
      <c r="D49" s="35" t="str">
        <f>VLOOKUP(C49,'Liste chauffeur'!$B$5:$L$19,2,TRUE)&amp;" "&amp;VLOOKUP(C49,'Liste chauffeur'!$B$5:$L$19,3,TRUE)</f>
        <v>AHAMADI Laydine</v>
      </c>
      <c r="E49" s="53">
        <v>11</v>
      </c>
      <c r="F49" s="35"/>
      <c r="G49" s="35"/>
      <c r="H49" s="62"/>
      <c r="I49" s="35"/>
      <c r="J49" s="62"/>
      <c r="K49" s="35"/>
      <c r="L49" s="36"/>
      <c r="M49" s="40"/>
      <c r="N49" s="61"/>
    </row>
    <row r="50" spans="1:14" ht="40.049999999999997" customHeight="1" x14ac:dyDescent="0.45">
      <c r="A50" s="14" t="s">
        <v>416</v>
      </c>
      <c r="B50" s="299">
        <v>0.77083333333333337</v>
      </c>
      <c r="C50" s="324" t="s">
        <v>388</v>
      </c>
      <c r="D50" s="35" t="str">
        <f>VLOOKUP(C50,'Liste chauffeur'!$B$5:$L$19,2,TRUE)&amp;" "&amp;VLOOKUP(C50,'Liste chauffeur'!$B$5:$L$19,3,TRUE)</f>
        <v>MOURIDI Aktoir</v>
      </c>
      <c r="E50" s="53">
        <v>10</v>
      </c>
      <c r="F50" s="35"/>
      <c r="G50" s="35"/>
      <c r="H50" s="62"/>
      <c r="I50" s="35"/>
      <c r="J50" s="62"/>
      <c r="K50" s="35"/>
      <c r="L50" s="36"/>
      <c r="M50" s="40"/>
      <c r="N50" s="61"/>
    </row>
    <row r="51" spans="1:14" ht="40.049999999999997" customHeight="1" x14ac:dyDescent="0.45">
      <c r="A51" s="14" t="s">
        <v>417</v>
      </c>
      <c r="B51" s="299">
        <v>0.79166666666666663</v>
      </c>
      <c r="C51" s="324" t="s">
        <v>388</v>
      </c>
      <c r="D51" s="35" t="str">
        <f>VLOOKUP(C51,'Liste chauffeur'!$B$5:$L$19,2,TRUE)&amp;" "&amp;VLOOKUP(C51,'Liste chauffeur'!$B$5:$L$19,3,TRUE)</f>
        <v>MOURIDI Aktoir</v>
      </c>
      <c r="E51" s="53">
        <v>11</v>
      </c>
      <c r="F51" s="35"/>
      <c r="G51" s="35"/>
      <c r="H51" s="62"/>
      <c r="I51" s="35"/>
      <c r="J51" s="62"/>
      <c r="K51" s="35"/>
      <c r="L51" s="36"/>
      <c r="M51" s="40"/>
      <c r="N51" s="61"/>
    </row>
    <row r="52" spans="1:14" ht="40.049999999999997" customHeight="1" x14ac:dyDescent="0.45">
      <c r="A52" s="14"/>
      <c r="B52" s="300"/>
      <c r="C52" s="297"/>
      <c r="D52" s="35"/>
      <c r="E52" s="53"/>
      <c r="F52" s="35"/>
      <c r="G52" s="35"/>
      <c r="H52" s="62"/>
      <c r="I52" s="35"/>
      <c r="J52" s="35"/>
      <c r="K52" s="35"/>
      <c r="L52" s="36"/>
      <c r="M52" s="40"/>
      <c r="N52" s="61"/>
    </row>
    <row r="53" spans="1:14" x14ac:dyDescent="0.45">
      <c r="A53" s="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9"/>
      <c r="M53" s="42"/>
      <c r="N53" s="6"/>
    </row>
    <row r="55" spans="1:14" x14ac:dyDescent="0.45">
      <c r="I55" t="s">
        <v>325</v>
      </c>
    </row>
  </sheetData>
  <autoFilter ref="A7:K52" xr:uid="{E15BAD97-4E2F-4149-89CB-3FE52EBB9FA2}"/>
  <pageMargins left="0.23622047244094491" right="0.23622047244094491" top="0.74803149606299213" bottom="0.74803149606299213" header="0.31496062992125984" footer="0.31496062992125984"/>
  <pageSetup paperSize="9" scale="4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EED3-9C7F-4DFA-9271-BE643857BE68}">
  <sheetPr>
    <pageSetUpPr fitToPage="1"/>
  </sheetPr>
  <dimension ref="A3:N55"/>
  <sheetViews>
    <sheetView zoomScale="99" zoomScaleNormal="99" workbookViewId="0">
      <selection activeCell="D46" sqref="D46"/>
    </sheetView>
  </sheetViews>
  <sheetFormatPr baseColWidth="10" defaultRowHeight="14.25" x14ac:dyDescent="0.45"/>
  <cols>
    <col min="1" max="1" width="18" customWidth="1"/>
    <col min="4" max="4" width="24.6640625" customWidth="1"/>
    <col min="5" max="5" width="8.33203125" customWidth="1"/>
    <col min="6" max="6" width="10.1328125" customWidth="1"/>
    <col min="7" max="7" width="9.6640625" customWidth="1"/>
    <col min="8" max="8" width="10" customWidth="1"/>
    <col min="9" max="9" width="19.46484375" customWidth="1"/>
    <col min="10" max="10" width="9.796875" customWidth="1"/>
    <col min="11" max="11" width="19.46484375" customWidth="1"/>
    <col min="14" max="14" width="34.796875" customWidth="1"/>
  </cols>
  <sheetData>
    <row r="3" spans="1:14" x14ac:dyDescent="0.45">
      <c r="A3" t="s">
        <v>14</v>
      </c>
      <c r="D3" s="225" t="s">
        <v>380</v>
      </c>
      <c r="E3" s="225"/>
      <c r="F3" s="225"/>
      <c r="G3" s="225"/>
    </row>
    <row r="4" spans="1:14" x14ac:dyDescent="0.45">
      <c r="A4" t="s">
        <v>13</v>
      </c>
    </row>
    <row r="6" spans="1:14" x14ac:dyDescent="0.45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5"/>
    </row>
    <row r="7" spans="1:14" ht="42.75" x14ac:dyDescent="0.45">
      <c r="A7" s="8" t="s">
        <v>382</v>
      </c>
      <c r="B7" s="3" t="s">
        <v>0</v>
      </c>
      <c r="C7" s="3" t="s">
        <v>25</v>
      </c>
      <c r="D7" s="3" t="s">
        <v>26</v>
      </c>
      <c r="E7" s="3" t="s">
        <v>371</v>
      </c>
      <c r="F7" s="3" t="s">
        <v>370</v>
      </c>
      <c r="G7" s="3" t="s">
        <v>372</v>
      </c>
      <c r="H7" s="3" t="s">
        <v>52</v>
      </c>
      <c r="I7" s="3" t="s">
        <v>53</v>
      </c>
      <c r="J7" s="3" t="s">
        <v>54</v>
      </c>
      <c r="K7" s="3" t="s">
        <v>55</v>
      </c>
      <c r="L7" s="18" t="s">
        <v>1</v>
      </c>
      <c r="M7" s="4" t="s">
        <v>3</v>
      </c>
      <c r="N7" s="6" t="s">
        <v>12</v>
      </c>
    </row>
    <row r="8" spans="1:14" ht="40.049999999999997" customHeight="1" x14ac:dyDescent="0.45">
      <c r="A8" s="14" t="s">
        <v>416</v>
      </c>
      <c r="B8" s="48">
        <v>0.33333333333333298</v>
      </c>
      <c r="C8" s="324" t="s">
        <v>387</v>
      </c>
      <c r="D8" s="35" t="str">
        <f>VLOOKUP(C8,'Liste chauffeur'!$B$5:$L$19,2,TRUE)&amp;" "&amp;VLOOKUP(C8,'Liste chauffeur'!$B$5:$L$19,3,TRUE)</f>
        <v>VELOU M'COLO M'Berou</v>
      </c>
      <c r="E8" s="53">
        <v>1</v>
      </c>
      <c r="F8" s="35">
        <f>B9-B8</f>
        <v>2.0833333333333703E-2</v>
      </c>
      <c r="G8" s="35"/>
      <c r="H8" s="62"/>
      <c r="I8" s="35"/>
      <c r="J8" s="62"/>
      <c r="K8" s="35"/>
      <c r="L8" s="36"/>
      <c r="M8" s="40"/>
      <c r="N8" s="61"/>
    </row>
    <row r="9" spans="1:14" ht="40.049999999999997" customHeight="1" x14ac:dyDescent="0.45">
      <c r="A9" s="14" t="s">
        <v>417</v>
      </c>
      <c r="B9" s="300">
        <v>0.35416666666666669</v>
      </c>
      <c r="C9" s="324" t="s">
        <v>387</v>
      </c>
      <c r="D9" s="35" t="str">
        <f>VLOOKUP(C9,'Liste chauffeur'!$B$5:$L$19,2,TRUE)&amp;" "&amp;VLOOKUP(C9,'Liste chauffeur'!$B$5:$L$19,3,TRUE)</f>
        <v>VELOU M'COLO M'Berou</v>
      </c>
      <c r="E9" s="53">
        <v>2</v>
      </c>
      <c r="F9" s="35">
        <f>B12-B9</f>
        <v>2.0833333333333315E-2</v>
      </c>
      <c r="G9" s="35"/>
      <c r="H9" s="62"/>
      <c r="I9" s="35"/>
      <c r="J9" s="62"/>
      <c r="K9" s="35"/>
      <c r="L9" s="36"/>
      <c r="M9" s="40"/>
      <c r="N9" s="61"/>
    </row>
    <row r="10" spans="1:14" ht="40.049999999999997" customHeight="1" x14ac:dyDescent="0.45">
      <c r="A10" s="14" t="s">
        <v>416</v>
      </c>
      <c r="B10" s="48">
        <v>0.35416666666666669</v>
      </c>
      <c r="C10" s="324" t="s">
        <v>399</v>
      </c>
      <c r="D10" s="35" t="str">
        <f>VLOOKUP(C10,'Liste chauffeur'!$B$5:$L$19,2,TRUE)&amp;" "&amp;VLOOKUP(C10,'Liste chauffeur'!$B$5:$L$19,3,TRUE)</f>
        <v>COMBO  Said</v>
      </c>
      <c r="E10" s="53">
        <v>1</v>
      </c>
      <c r="F10" s="35">
        <f>B11-B10</f>
        <v>2.0833333333333315E-2</v>
      </c>
      <c r="G10" s="35"/>
      <c r="H10" s="62"/>
      <c r="I10" s="35"/>
      <c r="J10" s="62"/>
      <c r="K10" s="35"/>
      <c r="L10" s="36"/>
      <c r="M10" s="40"/>
      <c r="N10" s="61"/>
    </row>
    <row r="11" spans="1:14" ht="40.049999999999997" customHeight="1" x14ac:dyDescent="0.45">
      <c r="A11" s="14" t="s">
        <v>417</v>
      </c>
      <c r="B11" s="300">
        <v>0.375</v>
      </c>
      <c r="C11" s="324" t="s">
        <v>399</v>
      </c>
      <c r="D11" s="35" t="str">
        <f>VLOOKUP(C11,'Liste chauffeur'!$B$5:$L$19,2,TRUE)&amp;" "&amp;VLOOKUP(C11,'Liste chauffeur'!$B$5:$L$19,3,TRUE)</f>
        <v>COMBO  Said</v>
      </c>
      <c r="E11" s="53">
        <v>2</v>
      </c>
      <c r="F11" s="35">
        <f>B14-B11</f>
        <v>2.0833333333333315E-2</v>
      </c>
      <c r="G11" s="35"/>
      <c r="H11" s="62"/>
      <c r="I11" s="35"/>
      <c r="J11" s="62"/>
      <c r="K11" s="35"/>
      <c r="L11" s="36"/>
      <c r="M11" s="40"/>
      <c r="N11" s="61"/>
    </row>
    <row r="12" spans="1:14" ht="40.049999999999997" customHeight="1" x14ac:dyDescent="0.45">
      <c r="A12" s="14" t="s">
        <v>416</v>
      </c>
      <c r="B12" s="300">
        <v>0.375</v>
      </c>
      <c r="C12" s="324" t="s">
        <v>387</v>
      </c>
      <c r="D12" s="35" t="str">
        <f>VLOOKUP(C12,'Liste chauffeur'!$B$5:$L$19,2,TRUE)&amp;" "&amp;VLOOKUP(C12,'Liste chauffeur'!$B$5:$L$19,3,TRUE)</f>
        <v>VELOU M'COLO M'Berou</v>
      </c>
      <c r="E12" s="53">
        <v>3</v>
      </c>
      <c r="F12" s="35">
        <f>B13-B12</f>
        <v>2.0833333333333315E-2</v>
      </c>
      <c r="G12" s="35"/>
      <c r="H12" s="62"/>
      <c r="I12" s="35"/>
      <c r="J12" s="62"/>
      <c r="K12" s="35"/>
      <c r="L12" s="36"/>
      <c r="M12" s="40"/>
      <c r="N12" s="61"/>
    </row>
    <row r="13" spans="1:14" ht="40.049999999999997" customHeight="1" x14ac:dyDescent="0.45">
      <c r="A13" s="14" t="s">
        <v>417</v>
      </c>
      <c r="B13" s="300">
        <v>0.39583333333333331</v>
      </c>
      <c r="C13" s="324" t="s">
        <v>387</v>
      </c>
      <c r="D13" s="35" t="str">
        <f>VLOOKUP(C13,'Liste chauffeur'!$B$5:$L$19,2,TRUE)&amp;" "&amp;VLOOKUP(C13,'Liste chauffeur'!$B$5:$L$19,3,TRUE)</f>
        <v>VELOU M'COLO M'Berou</v>
      </c>
      <c r="E13" s="53">
        <v>4</v>
      </c>
      <c r="F13" s="35">
        <f>B16-B13</f>
        <v>2.083333333333337E-2</v>
      </c>
      <c r="G13" s="35"/>
      <c r="H13" s="62"/>
      <c r="I13" s="35"/>
      <c r="J13" s="62"/>
      <c r="K13" s="35"/>
      <c r="L13" s="36"/>
      <c r="M13" s="40"/>
      <c r="N13" s="61"/>
    </row>
    <row r="14" spans="1:14" ht="40.049999999999997" customHeight="1" x14ac:dyDescent="0.45">
      <c r="A14" s="14" t="s">
        <v>416</v>
      </c>
      <c r="B14" s="300">
        <v>0.39583333333333331</v>
      </c>
      <c r="C14" s="324" t="s">
        <v>399</v>
      </c>
      <c r="D14" s="35" t="str">
        <f>VLOOKUP(C14,'Liste chauffeur'!$B$5:$L$19,2,TRUE)&amp;" "&amp;VLOOKUP(C14,'Liste chauffeur'!$B$5:$L$19,3,TRUE)</f>
        <v>COMBO  Said</v>
      </c>
      <c r="E14" s="53">
        <v>3</v>
      </c>
      <c r="F14" s="35">
        <f>B15-B14</f>
        <v>2.083333333333337E-2</v>
      </c>
      <c r="G14" s="35"/>
      <c r="H14" s="62"/>
      <c r="I14" s="35"/>
      <c r="J14" s="62"/>
      <c r="K14" s="35"/>
      <c r="L14" s="36"/>
      <c r="M14" s="40"/>
      <c r="N14" s="61"/>
    </row>
    <row r="15" spans="1:14" ht="40.049999999999997" customHeight="1" x14ac:dyDescent="0.45">
      <c r="A15" s="14" t="s">
        <v>417</v>
      </c>
      <c r="B15" s="300">
        <v>0.41666666666666669</v>
      </c>
      <c r="C15" s="324" t="s">
        <v>399</v>
      </c>
      <c r="D15" s="35" t="str">
        <f>VLOOKUP(C15,'Liste chauffeur'!$B$5:$L$19,2,TRUE)&amp;" "&amp;VLOOKUP(C15,'Liste chauffeur'!$B$5:$L$19,3,TRUE)</f>
        <v>COMBO  Said</v>
      </c>
      <c r="E15" s="53">
        <v>4</v>
      </c>
      <c r="F15" s="35">
        <f>B18-B15</f>
        <v>2.0833333333333315E-2</v>
      </c>
      <c r="G15" s="35"/>
      <c r="H15" s="62"/>
      <c r="I15" s="35"/>
      <c r="J15" s="62"/>
      <c r="K15" s="35"/>
      <c r="L15" s="36"/>
      <c r="M15" s="40"/>
      <c r="N15" s="61"/>
    </row>
    <row r="16" spans="1:14" ht="40.049999999999997" customHeight="1" x14ac:dyDescent="0.45">
      <c r="A16" s="14" t="s">
        <v>416</v>
      </c>
      <c r="B16" s="300">
        <v>0.41666666666666669</v>
      </c>
      <c r="C16" s="324" t="s">
        <v>387</v>
      </c>
      <c r="D16" s="35" t="str">
        <f>VLOOKUP(C16,'Liste chauffeur'!$B$5:$L$19,2,TRUE)&amp;" "&amp;VLOOKUP(C16,'Liste chauffeur'!$B$5:$L$19,3,TRUE)</f>
        <v>VELOU M'COLO M'Berou</v>
      </c>
      <c r="E16" s="53">
        <v>5</v>
      </c>
      <c r="F16" s="35">
        <f>B17-B16</f>
        <v>2.0833333333333315E-2</v>
      </c>
      <c r="G16" s="35"/>
      <c r="H16" s="62"/>
      <c r="I16" s="35"/>
      <c r="J16" s="62"/>
      <c r="K16" s="35"/>
      <c r="L16" s="36"/>
      <c r="M16" s="40"/>
      <c r="N16" s="61"/>
    </row>
    <row r="17" spans="1:14" ht="40.049999999999997" customHeight="1" x14ac:dyDescent="0.45">
      <c r="A17" s="14" t="s">
        <v>417</v>
      </c>
      <c r="B17" s="300">
        <v>0.4375</v>
      </c>
      <c r="C17" s="324" t="s">
        <v>387</v>
      </c>
      <c r="D17" s="35" t="str">
        <f>VLOOKUP(C17,'Liste chauffeur'!$B$5:$L$19,2,TRUE)&amp;" "&amp;VLOOKUP(C17,'Liste chauffeur'!$B$5:$L$19,3,TRUE)</f>
        <v>VELOU M'COLO M'Berou</v>
      </c>
      <c r="E17" s="53">
        <v>6</v>
      </c>
      <c r="F17" s="35">
        <f>B20-B17</f>
        <v>2.0833333333333315E-2</v>
      </c>
      <c r="G17" s="35"/>
      <c r="H17" s="62"/>
      <c r="I17" s="35"/>
      <c r="J17" s="62"/>
      <c r="K17" s="35"/>
      <c r="L17" s="36"/>
      <c r="M17" s="40"/>
      <c r="N17" s="61"/>
    </row>
    <row r="18" spans="1:14" ht="40.049999999999997" customHeight="1" x14ac:dyDescent="0.45">
      <c r="A18" s="14" t="s">
        <v>416</v>
      </c>
      <c r="B18" s="300">
        <v>0.4375</v>
      </c>
      <c r="C18" s="324" t="s">
        <v>399</v>
      </c>
      <c r="D18" s="35" t="str">
        <f>VLOOKUP(C18,'Liste chauffeur'!$B$5:$L$19,2,TRUE)&amp;" "&amp;VLOOKUP(C18,'Liste chauffeur'!$B$5:$L$19,3,TRUE)</f>
        <v>COMBO  Said</v>
      </c>
      <c r="E18" s="53">
        <v>5</v>
      </c>
      <c r="F18" s="35">
        <f>B19-B18</f>
        <v>2.0833333333333315E-2</v>
      </c>
      <c r="G18" s="35"/>
      <c r="H18" s="62"/>
      <c r="I18" s="35"/>
      <c r="J18" s="62"/>
      <c r="K18" s="35"/>
      <c r="L18" s="36"/>
      <c r="M18" s="40"/>
      <c r="N18" s="61"/>
    </row>
    <row r="19" spans="1:14" ht="40.049999999999997" customHeight="1" x14ac:dyDescent="0.45">
      <c r="A19" s="14" t="s">
        <v>417</v>
      </c>
      <c r="B19" s="300">
        <v>0.45833333333333331</v>
      </c>
      <c r="C19" s="324" t="s">
        <v>399</v>
      </c>
      <c r="D19" s="35" t="str">
        <f>VLOOKUP(C19,'Liste chauffeur'!$B$5:$L$19,2,TRUE)&amp;" "&amp;VLOOKUP(C19,'Liste chauffeur'!$B$5:$L$19,3,TRUE)</f>
        <v>COMBO  Said</v>
      </c>
      <c r="E19" s="53">
        <v>6</v>
      </c>
      <c r="F19" s="35">
        <f>B22-B19</f>
        <v>2.083333333333337E-2</v>
      </c>
      <c r="G19" s="35"/>
      <c r="H19" s="62"/>
      <c r="I19" s="35"/>
      <c r="J19" s="62"/>
      <c r="K19" s="35"/>
      <c r="L19" s="36"/>
      <c r="M19" s="40"/>
      <c r="N19" s="61"/>
    </row>
    <row r="20" spans="1:14" ht="40.049999999999997" customHeight="1" x14ac:dyDescent="0.45">
      <c r="A20" s="14" t="s">
        <v>416</v>
      </c>
      <c r="B20" s="300">
        <v>0.45833333333333331</v>
      </c>
      <c r="C20" s="324" t="s">
        <v>387</v>
      </c>
      <c r="D20" s="35" t="str">
        <f>VLOOKUP(C20,'Liste chauffeur'!$B$5:$L$19,2,TRUE)&amp;" "&amp;VLOOKUP(C20,'Liste chauffeur'!$B$5:$L$19,3,TRUE)</f>
        <v>VELOU M'COLO M'Berou</v>
      </c>
      <c r="E20" s="53">
        <v>7</v>
      </c>
      <c r="F20" s="35">
        <f>B21-B20</f>
        <v>2.083333333333337E-2</v>
      </c>
      <c r="G20" s="35"/>
      <c r="H20" s="62"/>
      <c r="I20" s="35"/>
      <c r="J20" s="62"/>
      <c r="K20" s="35"/>
      <c r="L20" s="36"/>
      <c r="M20" s="40"/>
      <c r="N20" s="61"/>
    </row>
    <row r="21" spans="1:14" ht="40.049999999999997" customHeight="1" x14ac:dyDescent="0.45">
      <c r="A21" s="14" t="s">
        <v>417</v>
      </c>
      <c r="B21" s="300">
        <v>0.47916666666666669</v>
      </c>
      <c r="C21" s="324" t="s">
        <v>387</v>
      </c>
      <c r="D21" s="35" t="str">
        <f>VLOOKUP(C21,'Liste chauffeur'!$B$5:$L$19,2,TRUE)&amp;" "&amp;VLOOKUP(C21,'Liste chauffeur'!$B$5:$L$19,3,TRUE)</f>
        <v>VELOU M'COLO M'Berou</v>
      </c>
      <c r="E21" s="53">
        <v>8</v>
      </c>
      <c r="F21" s="35">
        <f>B24-B21</f>
        <v>2.0833333333333315E-2</v>
      </c>
      <c r="G21" s="35"/>
      <c r="H21" s="62"/>
      <c r="I21" s="35"/>
      <c r="J21" s="62"/>
      <c r="K21" s="35"/>
      <c r="L21" s="36"/>
      <c r="M21" s="40"/>
      <c r="N21" s="61"/>
    </row>
    <row r="22" spans="1:14" ht="40.049999999999997" customHeight="1" x14ac:dyDescent="0.45">
      <c r="A22" s="14" t="s">
        <v>416</v>
      </c>
      <c r="B22" s="300">
        <v>0.47916666666666669</v>
      </c>
      <c r="C22" s="324" t="s">
        <v>399</v>
      </c>
      <c r="D22" s="35" t="str">
        <f>VLOOKUP(C22,'Liste chauffeur'!$B$5:$L$19,2,TRUE)&amp;" "&amp;VLOOKUP(C22,'Liste chauffeur'!$B$5:$L$19,3,TRUE)</f>
        <v>COMBO  Said</v>
      </c>
      <c r="E22" s="53">
        <v>7</v>
      </c>
      <c r="F22" s="35">
        <f>B23-B22</f>
        <v>2.0833333333333315E-2</v>
      </c>
      <c r="G22" s="35"/>
      <c r="H22" s="62"/>
      <c r="I22" s="35"/>
      <c r="J22" s="62"/>
      <c r="K22" s="35"/>
      <c r="L22" s="36"/>
      <c r="M22" s="40"/>
      <c r="N22" s="61"/>
    </row>
    <row r="23" spans="1:14" ht="40.049999999999997" customHeight="1" x14ac:dyDescent="0.45">
      <c r="A23" s="14" t="s">
        <v>417</v>
      </c>
      <c r="B23" s="300">
        <v>0.5</v>
      </c>
      <c r="C23" s="324" t="s">
        <v>399</v>
      </c>
      <c r="D23" s="35" t="str">
        <f>VLOOKUP(C23,'Liste chauffeur'!$B$5:$L$19,2,TRUE)&amp;" "&amp;VLOOKUP(C23,'Liste chauffeur'!$B$5:$L$19,3,TRUE)</f>
        <v>COMBO  Said</v>
      </c>
      <c r="E23" s="53">
        <v>8</v>
      </c>
      <c r="F23" s="35">
        <f>B26-B23</f>
        <v>2.083333333333337E-2</v>
      </c>
      <c r="G23" s="35"/>
      <c r="H23" s="62"/>
      <c r="I23" s="35"/>
      <c r="J23" s="62"/>
      <c r="K23" s="35"/>
      <c r="L23" s="36"/>
      <c r="M23" s="40"/>
      <c r="N23" s="61"/>
    </row>
    <row r="24" spans="1:14" ht="40.049999999999997" customHeight="1" x14ac:dyDescent="0.45">
      <c r="A24" s="14" t="s">
        <v>416</v>
      </c>
      <c r="B24" s="300">
        <v>0.5</v>
      </c>
      <c r="C24" s="324" t="s">
        <v>387</v>
      </c>
      <c r="D24" s="35" t="str">
        <f>VLOOKUP(C24,'Liste chauffeur'!$B$5:$L$19,2,TRUE)&amp;" "&amp;VLOOKUP(C24,'Liste chauffeur'!$B$5:$L$19,3,TRUE)</f>
        <v>VELOU M'COLO M'Berou</v>
      </c>
      <c r="E24" s="53">
        <v>9</v>
      </c>
      <c r="F24" s="35">
        <f>B25-B24</f>
        <v>2.083333333333337E-2</v>
      </c>
      <c r="G24" s="35"/>
      <c r="H24" s="62"/>
      <c r="I24" s="35"/>
      <c r="J24" s="62"/>
      <c r="K24" s="35"/>
      <c r="L24" s="36"/>
      <c r="M24" s="40"/>
      <c r="N24" s="61"/>
    </row>
    <row r="25" spans="1:14" ht="40.049999999999997" customHeight="1" x14ac:dyDescent="0.45">
      <c r="A25" s="14" t="s">
        <v>417</v>
      </c>
      <c r="B25" s="300">
        <v>0.52083333333333337</v>
      </c>
      <c r="C25" s="324" t="s">
        <v>387</v>
      </c>
      <c r="D25" s="35" t="str">
        <f>VLOOKUP(C25,'Liste chauffeur'!$B$5:$L$19,2,TRUE)&amp;" "&amp;VLOOKUP(C25,'Liste chauffeur'!$B$5:$L$19,3,TRUE)</f>
        <v>VELOU M'COLO M'Berou</v>
      </c>
      <c r="E25" s="53">
        <v>10</v>
      </c>
      <c r="F25" s="35">
        <f>B28-B25</f>
        <v>2.0833333333333259E-2</v>
      </c>
      <c r="G25" s="35"/>
      <c r="H25" s="62"/>
      <c r="I25" s="35"/>
      <c r="J25" s="62"/>
      <c r="K25" s="35"/>
      <c r="L25" s="36"/>
      <c r="M25" s="40"/>
      <c r="N25" s="61"/>
    </row>
    <row r="26" spans="1:14" ht="40.049999999999997" customHeight="1" x14ac:dyDescent="0.45">
      <c r="A26" s="14" t="s">
        <v>416</v>
      </c>
      <c r="B26" s="300">
        <v>0.52083333333333337</v>
      </c>
      <c r="C26" s="324" t="s">
        <v>399</v>
      </c>
      <c r="D26" s="35" t="str">
        <f>VLOOKUP(C26,'Liste chauffeur'!$B$5:$L$19,2,TRUE)&amp;" "&amp;VLOOKUP(C26,'Liste chauffeur'!$B$5:$L$19,3,TRUE)</f>
        <v>COMBO  Said</v>
      </c>
      <c r="E26" s="53">
        <v>9</v>
      </c>
      <c r="F26" s="35">
        <f>B27-B26</f>
        <v>2.0833333333333259E-2</v>
      </c>
      <c r="G26" s="35"/>
      <c r="H26" s="62"/>
      <c r="I26" s="35"/>
      <c r="J26" s="62"/>
      <c r="K26" s="35"/>
      <c r="L26" s="36"/>
      <c r="M26" s="40"/>
      <c r="N26" s="61"/>
    </row>
    <row r="27" spans="1:14" ht="40.049999999999997" customHeight="1" x14ac:dyDescent="0.45">
      <c r="A27" s="14" t="s">
        <v>417</v>
      </c>
      <c r="B27" s="300">
        <v>0.54166666666666663</v>
      </c>
      <c r="C27" s="324" t="s">
        <v>399</v>
      </c>
      <c r="D27" s="35" t="str">
        <f>VLOOKUP(C27,'Liste chauffeur'!$B$5:$L$19,2,TRUE)&amp;" "&amp;VLOOKUP(C27,'Liste chauffeur'!$B$5:$L$19,3,TRUE)</f>
        <v>COMBO  Said</v>
      </c>
      <c r="E27" s="53">
        <v>10</v>
      </c>
      <c r="F27" s="35">
        <f>B30-B27</f>
        <v>2.083333333333337E-2</v>
      </c>
      <c r="G27" s="35"/>
      <c r="H27" s="62"/>
      <c r="I27" s="35"/>
      <c r="J27" s="62"/>
      <c r="K27" s="35"/>
      <c r="L27" s="36"/>
      <c r="M27" s="40"/>
      <c r="N27" s="61"/>
    </row>
    <row r="28" spans="1:14" ht="40.049999999999997" customHeight="1" x14ac:dyDescent="0.45">
      <c r="A28" s="14" t="s">
        <v>416</v>
      </c>
      <c r="B28" s="299">
        <v>0.54166666666666663</v>
      </c>
      <c r="C28" s="324" t="s">
        <v>387</v>
      </c>
      <c r="D28" s="35" t="str">
        <f>VLOOKUP(C28,'Liste chauffeur'!$B$5:$L$19,2,TRUE)&amp;" "&amp;VLOOKUP(C28,'Liste chauffeur'!$B$5:$L$19,3,TRUE)</f>
        <v>VELOU M'COLO M'Berou</v>
      </c>
      <c r="E28" s="53">
        <v>11</v>
      </c>
      <c r="F28" s="300"/>
      <c r="G28" s="35"/>
      <c r="H28" s="62"/>
      <c r="I28" s="35"/>
      <c r="J28" s="62"/>
      <c r="K28" s="35"/>
      <c r="L28" s="36"/>
      <c r="M28" s="40"/>
      <c r="N28" s="61"/>
    </row>
    <row r="29" spans="1:14" ht="40.049999999999997" customHeight="1" x14ac:dyDescent="0.45">
      <c r="A29" s="14" t="s">
        <v>417</v>
      </c>
      <c r="B29" s="48">
        <v>0.5625</v>
      </c>
      <c r="C29" s="324" t="s">
        <v>390</v>
      </c>
      <c r="D29" s="35" t="str">
        <f>VLOOKUP(C29,'Liste chauffeur'!$B$5:$L$19,2,TRUE)&amp;" "&amp;VLOOKUP(C29,'Liste chauffeur'!$B$5:$L$19,3,TRUE)</f>
        <v>AHAMADI Laydine</v>
      </c>
      <c r="E29" s="53">
        <v>1</v>
      </c>
      <c r="F29" s="300">
        <f>B32-B29</f>
        <v>2.083333333333337E-2</v>
      </c>
      <c r="G29" s="35"/>
      <c r="H29" s="62"/>
      <c r="I29" s="35"/>
      <c r="J29" s="62"/>
      <c r="K29" s="35"/>
      <c r="L29" s="36"/>
      <c r="M29" s="40"/>
      <c r="N29" s="61"/>
    </row>
    <row r="30" spans="1:14" ht="40.049999999999997" customHeight="1" x14ac:dyDescent="0.45">
      <c r="A30" s="14" t="s">
        <v>416</v>
      </c>
      <c r="B30" s="299">
        <v>0.5625</v>
      </c>
      <c r="C30" s="324" t="s">
        <v>399</v>
      </c>
      <c r="D30" s="35" t="str">
        <f>VLOOKUP(C30,'Liste chauffeur'!$B$5:$L$19,2,TRUE)&amp;" "&amp;VLOOKUP(C30,'Liste chauffeur'!$B$5:$L$19,3,TRUE)</f>
        <v>COMBO  Said</v>
      </c>
      <c r="E30" s="53">
        <v>11</v>
      </c>
      <c r="F30" s="300"/>
      <c r="G30" s="300"/>
      <c r="H30" s="62"/>
      <c r="I30" s="35"/>
      <c r="J30" s="62"/>
      <c r="K30" s="35"/>
      <c r="L30" s="36"/>
      <c r="M30" s="40"/>
      <c r="N30" s="61"/>
    </row>
    <row r="31" spans="1:14" ht="40.049999999999997" customHeight="1" x14ac:dyDescent="0.45">
      <c r="A31" s="14" t="s">
        <v>417</v>
      </c>
      <c r="B31" s="48">
        <v>0.58333333333333337</v>
      </c>
      <c r="C31" s="324" t="s">
        <v>400</v>
      </c>
      <c r="D31" s="35" t="str">
        <f>VLOOKUP(C31,'Liste chauffeur'!$B$5:$L$19,2,TRUE)&amp;" "&amp;VLOOKUP(C31,'Liste chauffeur'!$B$5:$L$19,3,TRUE)</f>
        <v>ISSOUF Dailami</v>
      </c>
      <c r="E31" s="53">
        <v>1</v>
      </c>
      <c r="F31" s="300">
        <f>B34-B31</f>
        <v>2.0833333333333259E-2</v>
      </c>
      <c r="G31" s="300"/>
      <c r="H31" s="62"/>
      <c r="I31" s="35"/>
      <c r="J31" s="62"/>
      <c r="K31" s="35"/>
      <c r="L31" s="36"/>
      <c r="M31" s="40"/>
      <c r="N31" s="61"/>
    </row>
    <row r="32" spans="1:14" ht="40.049999999999997" customHeight="1" x14ac:dyDescent="0.45">
      <c r="A32" s="14" t="s">
        <v>416</v>
      </c>
      <c r="B32" s="300">
        <v>0.58333333333333337</v>
      </c>
      <c r="C32" s="324" t="s">
        <v>390</v>
      </c>
      <c r="D32" s="35" t="str">
        <f>VLOOKUP(C32,'Liste chauffeur'!$B$5:$L$19,2,TRUE)&amp;" "&amp;VLOOKUP(C32,'Liste chauffeur'!$B$5:$L$19,3,TRUE)</f>
        <v>AHAMADI Laydine</v>
      </c>
      <c r="E32" s="53">
        <v>2</v>
      </c>
      <c r="F32" s="35">
        <f>B33-B32</f>
        <v>2.0833333333333259E-2</v>
      </c>
      <c r="G32" s="35"/>
      <c r="H32" s="62"/>
      <c r="I32" s="35"/>
      <c r="J32" s="62"/>
      <c r="K32" s="35"/>
      <c r="L32" s="36"/>
      <c r="M32" s="40"/>
      <c r="N32" s="61"/>
    </row>
    <row r="33" spans="1:14" ht="40.049999999999997" customHeight="1" x14ac:dyDescent="0.45">
      <c r="A33" s="14" t="s">
        <v>417</v>
      </c>
      <c r="B33" s="300">
        <v>0.60416666666666663</v>
      </c>
      <c r="C33" s="324" t="s">
        <v>390</v>
      </c>
      <c r="D33" s="35" t="str">
        <f>VLOOKUP(C33,'Liste chauffeur'!$B$5:$L$19,2,TRUE)&amp;" "&amp;VLOOKUP(C33,'Liste chauffeur'!$B$5:$L$19,3,TRUE)</f>
        <v>AHAMADI Laydine</v>
      </c>
      <c r="E33" s="53">
        <v>3</v>
      </c>
      <c r="F33" s="35">
        <f>B36-B33</f>
        <v>2.083333333333337E-2</v>
      </c>
      <c r="G33" s="35"/>
      <c r="H33" s="62"/>
      <c r="I33" s="35"/>
      <c r="J33" s="62"/>
      <c r="K33" s="35"/>
      <c r="L33" s="36"/>
      <c r="M33" s="40"/>
      <c r="N33" s="61"/>
    </row>
    <row r="34" spans="1:14" ht="40.049999999999997" customHeight="1" x14ac:dyDescent="0.45">
      <c r="A34" s="14" t="s">
        <v>416</v>
      </c>
      <c r="B34" s="300">
        <v>0.60416666666666663</v>
      </c>
      <c r="C34" s="324" t="s">
        <v>400</v>
      </c>
      <c r="D34" s="35" t="str">
        <f>VLOOKUP(C34,'Liste chauffeur'!$B$5:$L$19,2,TRUE)&amp;" "&amp;VLOOKUP(C34,'Liste chauffeur'!$B$5:$L$19,3,TRUE)</f>
        <v>ISSOUF Dailami</v>
      </c>
      <c r="E34" s="53">
        <v>2</v>
      </c>
      <c r="F34" s="35">
        <f>B35-B34</f>
        <v>2.083333333333337E-2</v>
      </c>
      <c r="G34" s="35"/>
      <c r="H34" s="62"/>
      <c r="I34" s="35"/>
      <c r="J34" s="62"/>
      <c r="K34" s="35"/>
      <c r="L34" s="36"/>
      <c r="M34" s="40"/>
      <c r="N34" s="61"/>
    </row>
    <row r="35" spans="1:14" ht="40.049999999999997" customHeight="1" x14ac:dyDescent="0.45">
      <c r="A35" s="14" t="s">
        <v>417</v>
      </c>
      <c r="B35" s="300">
        <v>0.625</v>
      </c>
      <c r="C35" s="324" t="s">
        <v>400</v>
      </c>
      <c r="D35" s="35" t="str">
        <f>VLOOKUP(C35,'Liste chauffeur'!$B$5:$L$19,2,TRUE)&amp;" "&amp;VLOOKUP(C35,'Liste chauffeur'!$B$5:$L$19,3,TRUE)</f>
        <v>ISSOUF Dailami</v>
      </c>
      <c r="E35" s="53">
        <v>3</v>
      </c>
      <c r="F35" s="35">
        <f>B38-B35</f>
        <v>2.083333333333337E-2</v>
      </c>
      <c r="G35" s="35"/>
      <c r="H35" s="62"/>
      <c r="I35" s="35"/>
      <c r="J35" s="62"/>
      <c r="K35" s="35"/>
      <c r="L35" s="36"/>
      <c r="M35" s="40"/>
      <c r="N35" s="61"/>
    </row>
    <row r="36" spans="1:14" ht="40.049999999999997" customHeight="1" x14ac:dyDescent="0.45">
      <c r="A36" s="14" t="s">
        <v>416</v>
      </c>
      <c r="B36" s="300">
        <v>0.625</v>
      </c>
      <c r="C36" s="324" t="s">
        <v>390</v>
      </c>
      <c r="D36" s="35" t="str">
        <f>VLOOKUP(C36,'Liste chauffeur'!$B$5:$L$19,2,TRUE)&amp;" "&amp;VLOOKUP(C36,'Liste chauffeur'!$B$5:$L$19,3,TRUE)</f>
        <v>AHAMADI Laydine</v>
      </c>
      <c r="E36" s="53">
        <v>4</v>
      </c>
      <c r="F36" s="35">
        <f>B37-B36</f>
        <v>2.083333333333337E-2</v>
      </c>
      <c r="G36" s="35"/>
      <c r="H36" s="62"/>
      <c r="I36" s="35"/>
      <c r="J36" s="62"/>
      <c r="K36" s="35"/>
      <c r="L36" s="36"/>
      <c r="M36" s="40"/>
      <c r="N36" s="61"/>
    </row>
    <row r="37" spans="1:14" ht="40.049999999999997" customHeight="1" x14ac:dyDescent="0.45">
      <c r="A37" s="14" t="s">
        <v>417</v>
      </c>
      <c r="B37" s="300">
        <v>0.64583333333333337</v>
      </c>
      <c r="C37" s="324" t="s">
        <v>390</v>
      </c>
      <c r="D37" s="35" t="str">
        <f>VLOOKUP(C37,'Liste chauffeur'!$B$5:$L$19,2,TRUE)&amp;" "&amp;VLOOKUP(C37,'Liste chauffeur'!$B$5:$L$19,3,TRUE)</f>
        <v>AHAMADI Laydine</v>
      </c>
      <c r="E37" s="53">
        <v>5</v>
      </c>
      <c r="F37" s="35">
        <f>B40-B37</f>
        <v>2.0833333333333259E-2</v>
      </c>
      <c r="G37" s="35"/>
      <c r="H37" s="62"/>
      <c r="I37" s="35"/>
      <c r="J37" s="62"/>
      <c r="K37" s="35"/>
      <c r="L37" s="36"/>
      <c r="M37" s="40"/>
      <c r="N37" s="61"/>
    </row>
    <row r="38" spans="1:14" ht="40.049999999999997" customHeight="1" x14ac:dyDescent="0.45">
      <c r="A38" s="14" t="s">
        <v>416</v>
      </c>
      <c r="B38" s="300">
        <v>0.64583333333333337</v>
      </c>
      <c r="C38" s="324" t="s">
        <v>400</v>
      </c>
      <c r="D38" s="35" t="str">
        <f>VLOOKUP(C38,'Liste chauffeur'!$B$5:$L$19,2,TRUE)&amp;" "&amp;VLOOKUP(C38,'Liste chauffeur'!$B$5:$L$19,3,TRUE)</f>
        <v>ISSOUF Dailami</v>
      </c>
      <c r="E38" s="53">
        <v>4</v>
      </c>
      <c r="F38" s="35">
        <f>B39-B38</f>
        <v>2.0833333333333259E-2</v>
      </c>
      <c r="G38" s="35"/>
      <c r="H38" s="62"/>
      <c r="I38" s="35"/>
      <c r="J38" s="62"/>
      <c r="K38" s="35"/>
      <c r="L38" s="36"/>
      <c r="M38" s="40"/>
      <c r="N38" s="61"/>
    </row>
    <row r="39" spans="1:14" ht="40.049999999999997" customHeight="1" x14ac:dyDescent="0.45">
      <c r="A39" s="14" t="s">
        <v>417</v>
      </c>
      <c r="B39" s="300">
        <v>0.66666666666666663</v>
      </c>
      <c r="C39" s="324" t="s">
        <v>400</v>
      </c>
      <c r="D39" s="35" t="str">
        <f>VLOOKUP(C39,'Liste chauffeur'!$B$5:$L$19,2,TRUE)&amp;" "&amp;VLOOKUP(C39,'Liste chauffeur'!$B$5:$L$19,3,TRUE)</f>
        <v>ISSOUF Dailami</v>
      </c>
      <c r="E39" s="53">
        <v>5</v>
      </c>
      <c r="F39" s="35">
        <f>B42-B39</f>
        <v>2.083333333333337E-2</v>
      </c>
      <c r="G39" s="35"/>
      <c r="H39" s="62"/>
      <c r="I39" s="35"/>
      <c r="J39" s="62"/>
      <c r="K39" s="35"/>
      <c r="L39" s="36"/>
      <c r="M39" s="40"/>
      <c r="N39" s="61"/>
    </row>
    <row r="40" spans="1:14" ht="40.049999999999997" customHeight="1" x14ac:dyDescent="0.45">
      <c r="A40" s="14" t="s">
        <v>416</v>
      </c>
      <c r="B40" s="300">
        <v>0.66666666666666663</v>
      </c>
      <c r="C40" s="324" t="s">
        <v>390</v>
      </c>
      <c r="D40" s="35" t="str">
        <f>VLOOKUP(C40,'Liste chauffeur'!$B$5:$L$19,2,TRUE)&amp;" "&amp;VLOOKUP(C40,'Liste chauffeur'!$B$5:$L$19,3,TRUE)</f>
        <v>AHAMADI Laydine</v>
      </c>
      <c r="E40" s="53">
        <v>6</v>
      </c>
      <c r="F40" s="35">
        <f>B41-B40</f>
        <v>2.083333333333337E-2</v>
      </c>
      <c r="G40" s="35"/>
      <c r="H40" s="62"/>
      <c r="I40" s="35"/>
      <c r="J40" s="62"/>
      <c r="K40" s="35"/>
      <c r="L40" s="36"/>
      <c r="M40" s="40"/>
      <c r="N40" s="61"/>
    </row>
    <row r="41" spans="1:14" ht="40.049999999999997" customHeight="1" x14ac:dyDescent="0.45">
      <c r="A41" s="14" t="s">
        <v>417</v>
      </c>
      <c r="B41" s="300">
        <v>0.6875</v>
      </c>
      <c r="C41" s="324" t="s">
        <v>390</v>
      </c>
      <c r="D41" s="35" t="str">
        <f>VLOOKUP(C41,'Liste chauffeur'!$B$5:$L$19,2,TRUE)&amp;" "&amp;VLOOKUP(C41,'Liste chauffeur'!$B$5:$L$19,3,TRUE)</f>
        <v>AHAMADI Laydine</v>
      </c>
      <c r="E41" s="53">
        <v>7</v>
      </c>
      <c r="F41" s="35">
        <f>B44-B41</f>
        <v>2.083333333333337E-2</v>
      </c>
      <c r="G41" s="35"/>
      <c r="H41" s="62"/>
      <c r="I41" s="35"/>
      <c r="J41" s="62"/>
      <c r="K41" s="35"/>
      <c r="L41" s="36"/>
      <c r="M41" s="40"/>
      <c r="N41" s="61"/>
    </row>
    <row r="42" spans="1:14" ht="40.049999999999997" customHeight="1" x14ac:dyDescent="0.45">
      <c r="A42" s="14" t="s">
        <v>416</v>
      </c>
      <c r="B42" s="300">
        <v>0.6875</v>
      </c>
      <c r="C42" s="324" t="s">
        <v>400</v>
      </c>
      <c r="D42" s="35" t="str">
        <f>VLOOKUP(C42,'Liste chauffeur'!$B$5:$L$19,2,TRUE)&amp;" "&amp;VLOOKUP(C42,'Liste chauffeur'!$B$5:$L$19,3,TRUE)</f>
        <v>ISSOUF Dailami</v>
      </c>
      <c r="E42" s="53">
        <v>6</v>
      </c>
      <c r="F42" s="35">
        <f>B43-B42</f>
        <v>2.083333333333337E-2</v>
      </c>
      <c r="G42" s="35"/>
      <c r="H42" s="62"/>
      <c r="I42" s="35"/>
      <c r="J42" s="62"/>
      <c r="K42" s="35"/>
      <c r="L42" s="36"/>
      <c r="M42" s="40"/>
      <c r="N42" s="61"/>
    </row>
    <row r="43" spans="1:14" ht="40.049999999999997" customHeight="1" x14ac:dyDescent="0.45">
      <c r="A43" s="14" t="s">
        <v>417</v>
      </c>
      <c r="B43" s="300">
        <v>0.70833333333333337</v>
      </c>
      <c r="C43" s="324" t="s">
        <v>400</v>
      </c>
      <c r="D43" s="35" t="str">
        <f>VLOOKUP(C43,'Liste chauffeur'!$B$5:$L$19,2,TRUE)&amp;" "&amp;VLOOKUP(C43,'Liste chauffeur'!$B$5:$L$19,3,TRUE)</f>
        <v>ISSOUF Dailami</v>
      </c>
      <c r="E43" s="53">
        <v>7</v>
      </c>
      <c r="F43" s="35">
        <f>B46-B43</f>
        <v>2.0833333333333259E-2</v>
      </c>
      <c r="G43" s="35"/>
      <c r="H43" s="62"/>
      <c r="I43" s="35"/>
      <c r="J43" s="62"/>
      <c r="K43" s="35"/>
      <c r="L43" s="36"/>
      <c r="M43" s="40"/>
      <c r="N43" s="61"/>
    </row>
    <row r="44" spans="1:14" ht="40.049999999999997" customHeight="1" x14ac:dyDescent="0.45">
      <c r="A44" s="14" t="s">
        <v>416</v>
      </c>
      <c r="B44" s="300">
        <v>0.70833333333333337</v>
      </c>
      <c r="C44" s="324" t="s">
        <v>390</v>
      </c>
      <c r="D44" s="35" t="str">
        <f>VLOOKUP(C44,'Liste chauffeur'!$B$5:$L$19,2,TRUE)&amp;" "&amp;VLOOKUP(C44,'Liste chauffeur'!$B$5:$L$19,3,TRUE)</f>
        <v>AHAMADI Laydine</v>
      </c>
      <c r="E44" s="53">
        <v>8</v>
      </c>
      <c r="F44" s="35">
        <f>B45-B44</f>
        <v>2.0833333333333259E-2</v>
      </c>
      <c r="G44" s="35"/>
      <c r="H44" s="62"/>
      <c r="I44" s="35"/>
      <c r="J44" s="62"/>
      <c r="K44" s="35"/>
      <c r="L44" s="36"/>
      <c r="M44" s="40"/>
      <c r="N44" s="61"/>
    </row>
    <row r="45" spans="1:14" ht="40.049999999999997" customHeight="1" x14ac:dyDescent="0.45">
      <c r="A45" s="14" t="s">
        <v>417</v>
      </c>
      <c r="B45" s="300">
        <v>0.72916666666666663</v>
      </c>
      <c r="C45" s="324" t="s">
        <v>390</v>
      </c>
      <c r="D45" s="35" t="str">
        <f>VLOOKUP(C45,'Liste chauffeur'!$B$5:$L$19,2,TRUE)&amp;" "&amp;VLOOKUP(C45,'Liste chauffeur'!$B$5:$L$19,3,TRUE)</f>
        <v>AHAMADI Laydine</v>
      </c>
      <c r="E45" s="53">
        <v>9</v>
      </c>
      <c r="F45" s="35">
        <f>B48-B45</f>
        <v>2.083333333333337E-2</v>
      </c>
      <c r="G45" s="35"/>
      <c r="H45" s="62"/>
      <c r="I45" s="35"/>
      <c r="J45" s="62"/>
      <c r="K45" s="35"/>
      <c r="L45" s="36"/>
      <c r="M45" s="40"/>
      <c r="N45" s="61"/>
    </row>
    <row r="46" spans="1:14" ht="40.049999999999997" customHeight="1" x14ac:dyDescent="0.45">
      <c r="A46" s="14" t="s">
        <v>416</v>
      </c>
      <c r="B46" s="300">
        <v>0.72916666666666663</v>
      </c>
      <c r="C46" s="324" t="s">
        <v>400</v>
      </c>
      <c r="D46" s="35" t="str">
        <f>VLOOKUP(C46,'Liste chauffeur'!$B$5:$L$19,2,TRUE)&amp;" "&amp;VLOOKUP(C46,'Liste chauffeur'!$B$5:$L$19,3,TRUE)</f>
        <v>ISSOUF Dailami</v>
      </c>
      <c r="E46" s="53">
        <v>8</v>
      </c>
      <c r="F46" s="35">
        <f>B47-B46</f>
        <v>2.083333333333337E-2</v>
      </c>
      <c r="G46" s="35"/>
      <c r="H46" s="62"/>
      <c r="I46" s="35"/>
      <c r="J46" s="62"/>
      <c r="K46" s="35"/>
      <c r="L46" s="36"/>
      <c r="M46" s="40"/>
      <c r="N46" s="61"/>
    </row>
    <row r="47" spans="1:14" ht="40.049999999999997" customHeight="1" x14ac:dyDescent="0.45">
      <c r="A47" s="14" t="s">
        <v>417</v>
      </c>
      <c r="B47" s="300">
        <v>0.75</v>
      </c>
      <c r="C47" s="324" t="s">
        <v>400</v>
      </c>
      <c r="D47" s="35" t="str">
        <f>VLOOKUP(C47,'Liste chauffeur'!$B$5:$L$19,2,TRUE)&amp;" "&amp;VLOOKUP(C47,'Liste chauffeur'!$B$5:$L$19,3,TRUE)</f>
        <v>ISSOUF Dailami</v>
      </c>
      <c r="E47" s="53">
        <v>9</v>
      </c>
      <c r="F47" s="35">
        <f>B51-B47</f>
        <v>4.166666666666663E-2</v>
      </c>
      <c r="G47" s="35"/>
      <c r="H47" s="62"/>
      <c r="I47" s="35"/>
      <c r="J47" s="62"/>
      <c r="K47" s="35"/>
      <c r="L47" s="36"/>
      <c r="M47" s="40"/>
      <c r="N47" s="61"/>
    </row>
    <row r="48" spans="1:14" ht="40.049999999999997" customHeight="1" x14ac:dyDescent="0.45">
      <c r="A48" s="14" t="s">
        <v>416</v>
      </c>
      <c r="B48" s="300">
        <v>0.75</v>
      </c>
      <c r="C48" s="324" t="s">
        <v>390</v>
      </c>
      <c r="D48" s="35" t="str">
        <f>VLOOKUP(C48,'Liste chauffeur'!$B$5:$L$19,2,TRUE)&amp;" "&amp;VLOOKUP(C48,'Liste chauffeur'!$B$5:$L$19,3,TRUE)</f>
        <v>AHAMADI Laydine</v>
      </c>
      <c r="E48" s="53">
        <v>10</v>
      </c>
      <c r="F48" s="35">
        <f>B49-B48</f>
        <v>2.083333333333337E-2</v>
      </c>
      <c r="G48" s="35"/>
      <c r="H48" s="62"/>
      <c r="I48" s="35"/>
      <c r="J48" s="62"/>
      <c r="K48" s="35"/>
      <c r="L48" s="36"/>
      <c r="M48" s="40"/>
      <c r="N48" s="61"/>
    </row>
    <row r="49" spans="1:14" ht="40.049999999999997" customHeight="1" x14ac:dyDescent="0.45">
      <c r="A49" s="14" t="s">
        <v>417</v>
      </c>
      <c r="B49" s="299">
        <v>0.77083333333333337</v>
      </c>
      <c r="C49" s="324" t="s">
        <v>390</v>
      </c>
      <c r="D49" s="35" t="str">
        <f>VLOOKUP(C49,'Liste chauffeur'!$B$5:$L$19,2,TRUE)&amp;" "&amp;VLOOKUP(C49,'Liste chauffeur'!$B$5:$L$19,3,TRUE)</f>
        <v>AHAMADI Laydine</v>
      </c>
      <c r="E49" s="53">
        <v>11</v>
      </c>
      <c r="F49" s="35"/>
      <c r="G49" s="35"/>
      <c r="H49" s="62"/>
      <c r="I49" s="35"/>
      <c r="J49" s="62"/>
      <c r="K49" s="35"/>
      <c r="L49" s="36"/>
      <c r="M49" s="40"/>
      <c r="N49" s="61"/>
    </row>
    <row r="50" spans="1:14" ht="40.049999999999997" customHeight="1" x14ac:dyDescent="0.45">
      <c r="A50" s="14" t="s">
        <v>416</v>
      </c>
      <c r="B50" s="300">
        <v>0.77083333333333337</v>
      </c>
      <c r="C50" s="324" t="s">
        <v>400</v>
      </c>
      <c r="D50" s="35" t="str">
        <f>VLOOKUP(C50,'Liste chauffeur'!$B$5:$L$19,2,TRUE)&amp;" "&amp;VLOOKUP(C50,'Liste chauffeur'!$B$5:$L$19,3,TRUE)</f>
        <v>ISSOUF Dailami</v>
      </c>
      <c r="E50" s="53">
        <v>10</v>
      </c>
      <c r="F50" s="35"/>
      <c r="G50" s="35"/>
      <c r="H50" s="62"/>
      <c r="I50" s="35"/>
      <c r="J50" s="62"/>
      <c r="K50" s="35"/>
      <c r="L50" s="36"/>
      <c r="M50" s="40"/>
      <c r="N50" s="61"/>
    </row>
    <row r="51" spans="1:14" ht="40.049999999999997" customHeight="1" x14ac:dyDescent="0.45">
      <c r="A51" s="14" t="s">
        <v>417</v>
      </c>
      <c r="B51" s="299">
        <v>0.79166666666666663</v>
      </c>
      <c r="C51" s="324" t="s">
        <v>400</v>
      </c>
      <c r="D51" s="35" t="str">
        <f>VLOOKUP(C51,'Liste chauffeur'!$B$5:$L$19,2,TRUE)&amp;" "&amp;VLOOKUP(C51,'Liste chauffeur'!$B$5:$L$19,3,TRUE)</f>
        <v>ISSOUF Dailami</v>
      </c>
      <c r="E51" s="53">
        <v>11</v>
      </c>
      <c r="F51" s="35"/>
      <c r="G51" s="35"/>
      <c r="H51" s="62"/>
      <c r="I51" s="35"/>
      <c r="J51" s="62"/>
      <c r="K51" s="35"/>
      <c r="L51" s="36"/>
      <c r="M51" s="40"/>
      <c r="N51" s="61"/>
    </row>
    <row r="52" spans="1:14" ht="40.049999999999997" customHeight="1" x14ac:dyDescent="0.45">
      <c r="A52" s="14"/>
      <c r="B52" s="300"/>
      <c r="C52" s="297"/>
      <c r="D52" s="35"/>
      <c r="E52" s="53"/>
      <c r="F52" s="35"/>
      <c r="G52" s="35"/>
      <c r="H52" s="62"/>
      <c r="I52" s="35"/>
      <c r="J52" s="35"/>
      <c r="K52" s="35"/>
      <c r="L52" s="36"/>
      <c r="M52" s="40"/>
      <c r="N52" s="61"/>
    </row>
    <row r="53" spans="1:14" x14ac:dyDescent="0.45">
      <c r="A53" s="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9"/>
      <c r="M53" s="42"/>
      <c r="N53" s="6"/>
    </row>
    <row r="55" spans="1:14" x14ac:dyDescent="0.45">
      <c r="I55" t="s">
        <v>325</v>
      </c>
    </row>
  </sheetData>
  <autoFilter ref="A7:K52" xr:uid="{E15BAD97-4E2F-4149-89CB-3FE52EBB9FA2}"/>
  <pageMargins left="0.23622047244094491" right="0.23622047244094491" top="0.74803149606299213" bottom="0.74803149606299213" header="0.31496062992125984" footer="0.31496062992125984"/>
  <pageSetup paperSize="9" scale="4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2458-2003-48DC-B237-A3D1C00A5FF1}">
  <sheetPr>
    <pageSetUpPr fitToPage="1"/>
  </sheetPr>
  <dimension ref="A2:U49"/>
  <sheetViews>
    <sheetView workbookViewId="0">
      <selection activeCell="AA69" sqref="AA68:AA69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5.7968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36</v>
      </c>
    </row>
    <row r="3" spans="1:21" ht="27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30.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4" orientation="landscape" copies="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EB4D-F718-4463-8F73-B159E929A216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5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3.25" x14ac:dyDescent="0.45">
      <c r="A2" s="137" t="s">
        <v>18</v>
      </c>
      <c r="B2" s="247" t="s">
        <v>27</v>
      </c>
    </row>
    <row r="3" spans="1:21" ht="27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6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4" orientation="landscape" copies="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B257-CB14-40D4-999B-F7A347496F8B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2" width="10.796875" style="137"/>
    <col min="3" max="3" width="12.1328125" style="137" customWidth="1"/>
    <col min="4" max="4" width="10.796875" style="137"/>
    <col min="5" max="5" width="11" style="137" customWidth="1"/>
    <col min="6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1328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48</v>
      </c>
    </row>
    <row r="3" spans="1:21" ht="27.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6.5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69.7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9" t="s">
        <v>328</v>
      </c>
      <c r="G7" s="240" t="s">
        <v>5</v>
      </c>
      <c r="H7" s="241" t="s">
        <v>19</v>
      </c>
      <c r="I7" s="232" t="s">
        <v>130</v>
      </c>
      <c r="J7" s="239" t="s">
        <v>328</v>
      </c>
      <c r="K7" s="240" t="s">
        <v>9</v>
      </c>
      <c r="L7" s="241" t="s">
        <v>19</v>
      </c>
      <c r="M7" s="232" t="s">
        <v>130</v>
      </c>
      <c r="N7" s="239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2" orientation="landscape" copies="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8723-891B-48B6-8207-A94330A8E953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49</v>
      </c>
    </row>
    <row r="3" spans="1:21" ht="31.0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3" customHeight="1" x14ac:dyDescent="0.45">
      <c r="A4" s="137" t="s">
        <v>13</v>
      </c>
      <c r="B4" s="248" t="s">
        <v>329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customHeight="1" x14ac:dyDescent="0.45">
      <c r="A10" s="197" t="s">
        <v>8</v>
      </c>
      <c r="B10" s="172">
        <v>0.22222222222222199</v>
      </c>
      <c r="C10" s="173"/>
      <c r="D10" s="210"/>
      <c r="E10" s="200"/>
      <c r="F10" s="201"/>
      <c r="G10" s="199"/>
      <c r="H10" s="172">
        <f t="shared" si="0"/>
        <v>0</v>
      </c>
      <c r="I10" s="200"/>
      <c r="J10" s="201"/>
      <c r="K10" s="199"/>
      <c r="L10" s="172">
        <f t="shared" si="1"/>
        <v>0</v>
      </c>
      <c r="M10" s="200"/>
      <c r="N10" s="201"/>
      <c r="O10" s="199"/>
      <c r="P10" s="172">
        <f t="shared" si="2"/>
        <v>0</v>
      </c>
      <c r="Q10" s="200"/>
      <c r="R10" s="202"/>
      <c r="S10" s="199"/>
      <c r="T10" s="175"/>
      <c r="U10" s="188">
        <f t="shared" si="3"/>
        <v>0</v>
      </c>
    </row>
    <row r="11" spans="1:21" ht="40.049999999999997" hidden="1" customHeight="1" x14ac:dyDescent="0.45">
      <c r="A11" s="149" t="s">
        <v>8</v>
      </c>
      <c r="B11" s="138">
        <v>0.22916666666666699</v>
      </c>
      <c r="C11" s="150"/>
      <c r="D11" s="151"/>
      <c r="E11" s="182"/>
      <c r="F11" s="183"/>
      <c r="G11" s="184"/>
      <c r="H11" s="138">
        <f t="shared" si="0"/>
        <v>0</v>
      </c>
      <c r="I11" s="182"/>
      <c r="J11" s="183"/>
      <c r="K11" s="184"/>
      <c r="L11" s="138">
        <f t="shared" si="1"/>
        <v>0</v>
      </c>
      <c r="M11" s="182"/>
      <c r="N11" s="183"/>
      <c r="O11" s="184"/>
      <c r="P11" s="138">
        <f t="shared" si="2"/>
        <v>0</v>
      </c>
      <c r="Q11" s="182"/>
      <c r="R11" s="185"/>
      <c r="S11" s="184"/>
      <c r="T11" s="152"/>
      <c r="U11" s="188">
        <f t="shared" si="3"/>
        <v>0</v>
      </c>
    </row>
    <row r="12" spans="1:21" ht="40.049999999999997" hidden="1" customHeight="1" x14ac:dyDescent="0.45">
      <c r="A12" s="149" t="s">
        <v>8</v>
      </c>
      <c r="B12" s="138">
        <v>0.23611111111111099</v>
      </c>
      <c r="C12" s="150"/>
      <c r="D12" s="151"/>
      <c r="E12" s="182"/>
      <c r="F12" s="183"/>
      <c r="G12" s="184"/>
      <c r="H12" s="138">
        <f t="shared" si="0"/>
        <v>0</v>
      </c>
      <c r="I12" s="182"/>
      <c r="J12" s="183"/>
      <c r="K12" s="184"/>
      <c r="L12" s="138">
        <f t="shared" si="1"/>
        <v>0</v>
      </c>
      <c r="M12" s="182"/>
      <c r="N12" s="183"/>
      <c r="O12" s="184"/>
      <c r="P12" s="138">
        <f t="shared" si="2"/>
        <v>0</v>
      </c>
      <c r="Q12" s="182"/>
      <c r="R12" s="185"/>
      <c r="S12" s="184"/>
      <c r="T12" s="152"/>
      <c r="U12" s="188">
        <f t="shared" si="3"/>
        <v>0</v>
      </c>
    </row>
    <row r="13" spans="1:21" ht="40.049999999999997" hidden="1" customHeight="1" x14ac:dyDescent="0.45">
      <c r="A13" s="149" t="s">
        <v>8</v>
      </c>
      <c r="B13" s="138">
        <v>0.243055555555556</v>
      </c>
      <c r="C13" s="150"/>
      <c r="D13" s="151"/>
      <c r="E13" s="182"/>
      <c r="F13" s="183"/>
      <c r="G13" s="184"/>
      <c r="H13" s="138">
        <f t="shared" si="0"/>
        <v>0</v>
      </c>
      <c r="I13" s="182"/>
      <c r="J13" s="183"/>
      <c r="K13" s="184"/>
      <c r="L13" s="138">
        <f t="shared" si="1"/>
        <v>0</v>
      </c>
      <c r="M13" s="182"/>
      <c r="N13" s="183"/>
      <c r="O13" s="184"/>
      <c r="P13" s="138">
        <f t="shared" si="2"/>
        <v>0</v>
      </c>
      <c r="Q13" s="182"/>
      <c r="R13" s="185"/>
      <c r="S13" s="184"/>
      <c r="T13" s="152"/>
      <c r="U13" s="188">
        <f t="shared" si="3"/>
        <v>0</v>
      </c>
    </row>
    <row r="14" spans="1:21" ht="40.049999999999997" hidden="1" customHeight="1" x14ac:dyDescent="0.45">
      <c r="A14" s="149" t="s">
        <v>8</v>
      </c>
      <c r="B14" s="138">
        <v>0.25</v>
      </c>
      <c r="C14" s="150"/>
      <c r="D14" s="151"/>
      <c r="E14" s="182"/>
      <c r="F14" s="183"/>
      <c r="G14" s="184"/>
      <c r="H14" s="138">
        <f t="shared" si="0"/>
        <v>0</v>
      </c>
      <c r="I14" s="182"/>
      <c r="J14" s="183"/>
      <c r="K14" s="184"/>
      <c r="L14" s="138">
        <f t="shared" si="1"/>
        <v>0</v>
      </c>
      <c r="M14" s="182"/>
      <c r="N14" s="183"/>
      <c r="O14" s="184"/>
      <c r="P14" s="138">
        <f t="shared" si="2"/>
        <v>0</v>
      </c>
      <c r="Q14" s="182"/>
      <c r="R14" s="185"/>
      <c r="S14" s="184"/>
      <c r="T14" s="152"/>
      <c r="U14" s="188">
        <f t="shared" si="3"/>
        <v>0</v>
      </c>
    </row>
    <row r="15" spans="1:21" ht="40.049999999999997" customHeight="1" x14ac:dyDescent="0.45">
      <c r="A15" s="149" t="s">
        <v>8</v>
      </c>
      <c r="B15" s="138">
        <v>0.25694444444444398</v>
      </c>
      <c r="C15" s="150"/>
      <c r="D15" s="151"/>
      <c r="E15" s="182"/>
      <c r="F15" s="183"/>
      <c r="G15" s="184"/>
      <c r="H15" s="138">
        <f t="shared" si="0"/>
        <v>0</v>
      </c>
      <c r="I15" s="182"/>
      <c r="J15" s="183"/>
      <c r="K15" s="184"/>
      <c r="L15" s="138">
        <f t="shared" si="1"/>
        <v>0</v>
      </c>
      <c r="M15" s="182"/>
      <c r="N15" s="183"/>
      <c r="O15" s="184"/>
      <c r="P15" s="138">
        <f t="shared" si="2"/>
        <v>0</v>
      </c>
      <c r="Q15" s="182"/>
      <c r="R15" s="185"/>
      <c r="S15" s="184"/>
      <c r="T15" s="152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customHeight="1" x14ac:dyDescent="0.45">
      <c r="A35" s="171" t="s">
        <v>11</v>
      </c>
      <c r="B35" s="172">
        <v>0.67361111111111105</v>
      </c>
      <c r="C35" s="173"/>
      <c r="D35" s="174"/>
      <c r="E35" s="197"/>
      <c r="F35" s="198"/>
      <c r="G35" s="199"/>
      <c r="H35" s="172">
        <f t="shared" si="0"/>
        <v>0</v>
      </c>
      <c r="I35" s="200"/>
      <c r="J35" s="201"/>
      <c r="K35" s="199"/>
      <c r="L35" s="172">
        <f t="shared" si="4"/>
        <v>0</v>
      </c>
      <c r="M35" s="200"/>
      <c r="N35" s="201"/>
      <c r="O35" s="199"/>
      <c r="P35" s="172">
        <f t="shared" si="5"/>
        <v>0</v>
      </c>
      <c r="Q35" s="200"/>
      <c r="R35" s="202"/>
      <c r="S35" s="199"/>
      <c r="T35" s="175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customHeight="1" x14ac:dyDescent="0.45">
      <c r="A42" s="171" t="s">
        <v>11</v>
      </c>
      <c r="B42" s="172">
        <v>0.72222222222222199</v>
      </c>
      <c r="C42" s="173"/>
      <c r="D42" s="174"/>
      <c r="E42" s="197"/>
      <c r="F42" s="198"/>
      <c r="G42" s="199"/>
      <c r="H42" s="172">
        <f t="shared" si="0"/>
        <v>0</v>
      </c>
      <c r="I42" s="200"/>
      <c r="J42" s="201"/>
      <c r="K42" s="199"/>
      <c r="L42" s="172">
        <f t="shared" si="4"/>
        <v>0</v>
      </c>
      <c r="M42" s="200"/>
      <c r="N42" s="201"/>
      <c r="O42" s="199"/>
      <c r="P42" s="172">
        <f t="shared" si="5"/>
        <v>0</v>
      </c>
      <c r="Q42" s="200"/>
      <c r="R42" s="202"/>
      <c r="S42" s="199"/>
      <c r="T42" s="175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700F-113F-482F-9BB9-C3BCD427C298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50</v>
      </c>
    </row>
    <row r="3" spans="1:21" ht="33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4.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customHeight="1" x14ac:dyDescent="0.45">
      <c r="A10" s="197" t="s">
        <v>8</v>
      </c>
      <c r="B10" s="172">
        <v>0.22222222222222199</v>
      </c>
      <c r="C10" s="173"/>
      <c r="D10" s="210"/>
      <c r="E10" s="200"/>
      <c r="F10" s="201"/>
      <c r="G10" s="199"/>
      <c r="H10" s="172">
        <f t="shared" si="0"/>
        <v>0</v>
      </c>
      <c r="I10" s="200"/>
      <c r="J10" s="201"/>
      <c r="K10" s="199"/>
      <c r="L10" s="172">
        <f t="shared" si="1"/>
        <v>0</v>
      </c>
      <c r="M10" s="200"/>
      <c r="N10" s="201"/>
      <c r="O10" s="199"/>
      <c r="P10" s="172">
        <f t="shared" si="2"/>
        <v>0</v>
      </c>
      <c r="Q10" s="200"/>
      <c r="R10" s="202"/>
      <c r="S10" s="199"/>
      <c r="T10" s="175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customHeight="1" x14ac:dyDescent="0.45">
      <c r="A31" s="171" t="s">
        <v>11</v>
      </c>
      <c r="B31" s="172">
        <v>0.64583333333333304</v>
      </c>
      <c r="C31" s="173"/>
      <c r="D31" s="174"/>
      <c r="E31" s="197"/>
      <c r="F31" s="198"/>
      <c r="G31" s="199"/>
      <c r="H31" s="172">
        <f t="shared" si="0"/>
        <v>0</v>
      </c>
      <c r="I31" s="200"/>
      <c r="J31" s="201"/>
      <c r="K31" s="199"/>
      <c r="L31" s="172">
        <f t="shared" si="4"/>
        <v>0</v>
      </c>
      <c r="M31" s="200"/>
      <c r="N31" s="201"/>
      <c r="O31" s="199"/>
      <c r="P31" s="172">
        <f t="shared" si="5"/>
        <v>0</v>
      </c>
      <c r="Q31" s="200"/>
      <c r="R31" s="202"/>
      <c r="S31" s="199"/>
      <c r="T31" s="175"/>
      <c r="U31" s="188">
        <f t="shared" si="3"/>
        <v>0</v>
      </c>
    </row>
    <row r="32" spans="1:21" ht="39.5" hidden="1" customHeight="1" x14ac:dyDescent="0.45">
      <c r="A32" s="176" t="s">
        <v>11</v>
      </c>
      <c r="B32" s="138">
        <v>0.65277777777777801</v>
      </c>
      <c r="C32" s="150"/>
      <c r="D32" s="177"/>
      <c r="E32" s="149"/>
      <c r="F32" s="211"/>
      <c r="G32" s="184"/>
      <c r="H32" s="138">
        <f t="shared" si="0"/>
        <v>0</v>
      </c>
      <c r="I32" s="182"/>
      <c r="J32" s="183"/>
      <c r="K32" s="184"/>
      <c r="L32" s="138">
        <f t="shared" si="4"/>
        <v>0</v>
      </c>
      <c r="M32" s="182"/>
      <c r="N32" s="183"/>
      <c r="O32" s="184"/>
      <c r="P32" s="138">
        <f t="shared" si="5"/>
        <v>0</v>
      </c>
      <c r="Q32" s="182"/>
      <c r="R32" s="185"/>
      <c r="S32" s="184"/>
      <c r="T32" s="152"/>
      <c r="U32" s="188">
        <f t="shared" si="3"/>
        <v>0</v>
      </c>
    </row>
    <row r="33" spans="1:21" ht="39.5" hidden="1" customHeight="1" x14ac:dyDescent="0.45">
      <c r="A33" s="176" t="s">
        <v>11</v>
      </c>
      <c r="B33" s="138">
        <v>0.65972222222222199</v>
      </c>
      <c r="C33" s="150"/>
      <c r="D33" s="177"/>
      <c r="E33" s="149"/>
      <c r="F33" s="211"/>
      <c r="G33" s="184"/>
      <c r="H33" s="138">
        <f t="shared" si="0"/>
        <v>0</v>
      </c>
      <c r="I33" s="182"/>
      <c r="J33" s="183"/>
      <c r="K33" s="184"/>
      <c r="L33" s="138">
        <f t="shared" si="4"/>
        <v>0</v>
      </c>
      <c r="M33" s="182"/>
      <c r="N33" s="183"/>
      <c r="O33" s="184"/>
      <c r="P33" s="138">
        <f t="shared" si="5"/>
        <v>0</v>
      </c>
      <c r="Q33" s="182"/>
      <c r="R33" s="185"/>
      <c r="S33" s="184"/>
      <c r="T33" s="152"/>
      <c r="U33" s="188">
        <f t="shared" si="3"/>
        <v>0</v>
      </c>
    </row>
    <row r="34" spans="1:21" ht="39.5" hidden="1" customHeight="1" x14ac:dyDescent="0.45">
      <c r="A34" s="176" t="s">
        <v>11</v>
      </c>
      <c r="B34" s="138">
        <v>0.66666666666666696</v>
      </c>
      <c r="C34" s="150"/>
      <c r="D34" s="177"/>
      <c r="E34" s="149"/>
      <c r="F34" s="211"/>
      <c r="G34" s="184"/>
      <c r="H34" s="138">
        <f t="shared" si="0"/>
        <v>0</v>
      </c>
      <c r="I34" s="182"/>
      <c r="J34" s="183"/>
      <c r="K34" s="184"/>
      <c r="L34" s="138">
        <f t="shared" si="4"/>
        <v>0</v>
      </c>
      <c r="M34" s="182"/>
      <c r="N34" s="183"/>
      <c r="O34" s="184"/>
      <c r="P34" s="138">
        <f t="shared" si="5"/>
        <v>0</v>
      </c>
      <c r="Q34" s="182"/>
      <c r="R34" s="185"/>
      <c r="S34" s="184"/>
      <c r="T34" s="152"/>
      <c r="U34" s="188">
        <f t="shared" si="3"/>
        <v>0</v>
      </c>
    </row>
    <row r="35" spans="1:21" ht="39.5" hidden="1" customHeight="1" x14ac:dyDescent="0.45">
      <c r="A35" s="176" t="s">
        <v>11</v>
      </c>
      <c r="B35" s="138">
        <v>0.67361111111111105</v>
      </c>
      <c r="C35" s="150"/>
      <c r="D35" s="177"/>
      <c r="E35" s="149"/>
      <c r="F35" s="211"/>
      <c r="G35" s="184"/>
      <c r="H35" s="138">
        <f t="shared" si="0"/>
        <v>0</v>
      </c>
      <c r="I35" s="182"/>
      <c r="J35" s="183"/>
      <c r="K35" s="184"/>
      <c r="L35" s="138">
        <f t="shared" si="4"/>
        <v>0</v>
      </c>
      <c r="M35" s="182"/>
      <c r="N35" s="183"/>
      <c r="O35" s="184"/>
      <c r="P35" s="138">
        <f t="shared" si="5"/>
        <v>0</v>
      </c>
      <c r="Q35" s="182"/>
      <c r="R35" s="185"/>
      <c r="S35" s="184"/>
      <c r="T35" s="152"/>
      <c r="U35" s="188">
        <f t="shared" si="3"/>
        <v>0</v>
      </c>
    </row>
    <row r="36" spans="1:21" ht="39.5" customHeight="1" x14ac:dyDescent="0.45">
      <c r="A36" s="176" t="s">
        <v>11</v>
      </c>
      <c r="B36" s="138">
        <v>0.68055555555555503</v>
      </c>
      <c r="C36" s="150"/>
      <c r="D36" s="177"/>
      <c r="E36" s="149"/>
      <c r="F36" s="211"/>
      <c r="G36" s="184"/>
      <c r="H36" s="138">
        <f t="shared" si="0"/>
        <v>0</v>
      </c>
      <c r="I36" s="182"/>
      <c r="J36" s="183"/>
      <c r="K36" s="184"/>
      <c r="L36" s="138">
        <f t="shared" si="4"/>
        <v>0</v>
      </c>
      <c r="M36" s="182"/>
      <c r="N36" s="183"/>
      <c r="O36" s="184"/>
      <c r="P36" s="138">
        <f t="shared" si="5"/>
        <v>0</v>
      </c>
      <c r="Q36" s="182"/>
      <c r="R36" s="185"/>
      <c r="S36" s="184"/>
      <c r="T36" s="152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4D8A-DD64-460D-8492-D13979DA2300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6.66406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51</v>
      </c>
    </row>
    <row r="3" spans="1:21" ht="27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7.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customHeight="1" x14ac:dyDescent="0.45">
      <c r="A11" s="197" t="s">
        <v>8</v>
      </c>
      <c r="B11" s="172">
        <v>0.22916666666666699</v>
      </c>
      <c r="C11" s="173"/>
      <c r="D11" s="210"/>
      <c r="E11" s="200"/>
      <c r="F11" s="201"/>
      <c r="G11" s="199"/>
      <c r="H11" s="172">
        <f t="shared" si="0"/>
        <v>0</v>
      </c>
      <c r="I11" s="200"/>
      <c r="J11" s="201"/>
      <c r="K11" s="199"/>
      <c r="L11" s="172">
        <f t="shared" si="1"/>
        <v>0</v>
      </c>
      <c r="M11" s="200"/>
      <c r="N11" s="201"/>
      <c r="O11" s="199"/>
      <c r="P11" s="172">
        <f t="shared" si="2"/>
        <v>0</v>
      </c>
      <c r="Q11" s="200"/>
      <c r="R11" s="202"/>
      <c r="S11" s="199"/>
      <c r="T11" s="175"/>
      <c r="U11" s="188">
        <f t="shared" si="3"/>
        <v>0</v>
      </c>
    </row>
    <row r="12" spans="1:21" ht="40.049999999999997" hidden="1" customHeight="1" x14ac:dyDescent="0.45">
      <c r="A12" s="149" t="s">
        <v>8</v>
      </c>
      <c r="B12" s="138">
        <v>0.23611111111111099</v>
      </c>
      <c r="C12" s="150"/>
      <c r="D12" s="151"/>
      <c r="E12" s="182"/>
      <c r="F12" s="183"/>
      <c r="G12" s="184"/>
      <c r="H12" s="138">
        <f t="shared" si="0"/>
        <v>0</v>
      </c>
      <c r="I12" s="182"/>
      <c r="J12" s="183"/>
      <c r="K12" s="184"/>
      <c r="L12" s="138">
        <f t="shared" si="1"/>
        <v>0</v>
      </c>
      <c r="M12" s="182"/>
      <c r="N12" s="183"/>
      <c r="O12" s="184"/>
      <c r="P12" s="138">
        <f t="shared" si="2"/>
        <v>0</v>
      </c>
      <c r="Q12" s="182"/>
      <c r="R12" s="185"/>
      <c r="S12" s="184"/>
      <c r="T12" s="152"/>
      <c r="U12" s="188">
        <f t="shared" si="3"/>
        <v>0</v>
      </c>
    </row>
    <row r="13" spans="1:21" ht="40.049999999999997" hidden="1" customHeight="1" x14ac:dyDescent="0.45">
      <c r="A13" s="149" t="s">
        <v>8</v>
      </c>
      <c r="B13" s="138">
        <v>0.243055555555556</v>
      </c>
      <c r="C13" s="150"/>
      <c r="D13" s="151"/>
      <c r="E13" s="182"/>
      <c r="F13" s="183"/>
      <c r="G13" s="184"/>
      <c r="H13" s="138">
        <f t="shared" si="0"/>
        <v>0</v>
      </c>
      <c r="I13" s="182"/>
      <c r="J13" s="183"/>
      <c r="K13" s="184"/>
      <c r="L13" s="138">
        <f t="shared" si="1"/>
        <v>0</v>
      </c>
      <c r="M13" s="182"/>
      <c r="N13" s="183"/>
      <c r="O13" s="184"/>
      <c r="P13" s="138">
        <f t="shared" si="2"/>
        <v>0</v>
      </c>
      <c r="Q13" s="182"/>
      <c r="R13" s="185"/>
      <c r="S13" s="184"/>
      <c r="T13" s="152"/>
      <c r="U13" s="188">
        <f t="shared" si="3"/>
        <v>0</v>
      </c>
    </row>
    <row r="14" spans="1:21" ht="40.049999999999997" hidden="1" customHeight="1" x14ac:dyDescent="0.45">
      <c r="A14" s="149" t="s">
        <v>8</v>
      </c>
      <c r="B14" s="138">
        <v>0.25</v>
      </c>
      <c r="C14" s="150"/>
      <c r="D14" s="151"/>
      <c r="E14" s="182"/>
      <c r="F14" s="183"/>
      <c r="G14" s="184"/>
      <c r="H14" s="138">
        <f t="shared" si="0"/>
        <v>0</v>
      </c>
      <c r="I14" s="182"/>
      <c r="J14" s="183"/>
      <c r="K14" s="184"/>
      <c r="L14" s="138">
        <f t="shared" si="1"/>
        <v>0</v>
      </c>
      <c r="M14" s="182"/>
      <c r="N14" s="183"/>
      <c r="O14" s="184"/>
      <c r="P14" s="138">
        <f t="shared" si="2"/>
        <v>0</v>
      </c>
      <c r="Q14" s="182"/>
      <c r="R14" s="185"/>
      <c r="S14" s="184"/>
      <c r="T14" s="152"/>
      <c r="U14" s="188">
        <f t="shared" si="3"/>
        <v>0</v>
      </c>
    </row>
    <row r="15" spans="1:21" ht="40.049999999999997" hidden="1" customHeight="1" x14ac:dyDescent="0.45">
      <c r="A15" s="149" t="s">
        <v>8</v>
      </c>
      <c r="B15" s="138">
        <v>0.25694444444444398</v>
      </c>
      <c r="C15" s="150"/>
      <c r="D15" s="151"/>
      <c r="E15" s="182"/>
      <c r="F15" s="183"/>
      <c r="G15" s="184"/>
      <c r="H15" s="138">
        <f t="shared" si="0"/>
        <v>0</v>
      </c>
      <c r="I15" s="182"/>
      <c r="J15" s="183"/>
      <c r="K15" s="184"/>
      <c r="L15" s="138">
        <f t="shared" si="1"/>
        <v>0</v>
      </c>
      <c r="M15" s="182"/>
      <c r="N15" s="183"/>
      <c r="O15" s="184"/>
      <c r="P15" s="138">
        <f t="shared" si="2"/>
        <v>0</v>
      </c>
      <c r="Q15" s="182"/>
      <c r="R15" s="185"/>
      <c r="S15" s="184"/>
      <c r="T15" s="152"/>
      <c r="U15" s="188">
        <f t="shared" si="3"/>
        <v>0</v>
      </c>
    </row>
    <row r="16" spans="1:21" ht="40.049999999999997" hidden="1" customHeight="1" x14ac:dyDescent="0.45">
      <c r="A16" s="149" t="s">
        <v>8</v>
      </c>
      <c r="B16" s="138">
        <v>0.26388888888888901</v>
      </c>
      <c r="C16" s="150"/>
      <c r="D16" s="151"/>
      <c r="E16" s="182"/>
      <c r="F16" s="183"/>
      <c r="G16" s="184"/>
      <c r="H16" s="138">
        <f t="shared" si="0"/>
        <v>0</v>
      </c>
      <c r="I16" s="182"/>
      <c r="J16" s="183"/>
      <c r="K16" s="184"/>
      <c r="L16" s="138">
        <f t="shared" si="1"/>
        <v>0</v>
      </c>
      <c r="M16" s="182"/>
      <c r="N16" s="183"/>
      <c r="O16" s="184"/>
      <c r="P16" s="138">
        <f t="shared" si="2"/>
        <v>0</v>
      </c>
      <c r="Q16" s="182"/>
      <c r="R16" s="185"/>
      <c r="S16" s="184"/>
      <c r="T16" s="152"/>
      <c r="U16" s="188">
        <f t="shared" si="3"/>
        <v>0</v>
      </c>
    </row>
    <row r="17" spans="1:21" ht="40.049999999999997" customHeight="1" x14ac:dyDescent="0.45">
      <c r="A17" s="149" t="s">
        <v>8</v>
      </c>
      <c r="B17" s="138">
        <v>0.27083333333333298</v>
      </c>
      <c r="C17" s="150"/>
      <c r="D17" s="151"/>
      <c r="E17" s="182"/>
      <c r="F17" s="183"/>
      <c r="G17" s="184"/>
      <c r="H17" s="138">
        <f t="shared" si="0"/>
        <v>0</v>
      </c>
      <c r="I17" s="182"/>
      <c r="J17" s="183"/>
      <c r="K17" s="184"/>
      <c r="L17" s="138">
        <f t="shared" si="1"/>
        <v>0</v>
      </c>
      <c r="M17" s="182"/>
      <c r="N17" s="183"/>
      <c r="O17" s="184"/>
      <c r="P17" s="138">
        <f t="shared" si="2"/>
        <v>0</v>
      </c>
      <c r="Q17" s="182"/>
      <c r="R17" s="185"/>
      <c r="S17" s="184"/>
      <c r="T17" s="152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customHeight="1" x14ac:dyDescent="0.45">
      <c r="A36" s="171" t="s">
        <v>11</v>
      </c>
      <c r="B36" s="172">
        <v>0.68055555555555503</v>
      </c>
      <c r="C36" s="173"/>
      <c r="D36" s="174"/>
      <c r="E36" s="197"/>
      <c r="F36" s="198"/>
      <c r="G36" s="199"/>
      <c r="H36" s="172">
        <f t="shared" si="0"/>
        <v>0</v>
      </c>
      <c r="I36" s="200"/>
      <c r="J36" s="201"/>
      <c r="K36" s="199"/>
      <c r="L36" s="172">
        <f t="shared" si="4"/>
        <v>0</v>
      </c>
      <c r="M36" s="200"/>
      <c r="N36" s="201"/>
      <c r="O36" s="199"/>
      <c r="P36" s="172">
        <f t="shared" si="5"/>
        <v>0</v>
      </c>
      <c r="Q36" s="200"/>
      <c r="R36" s="202"/>
      <c r="S36" s="199"/>
      <c r="T36" s="175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3CC-256D-4138-873D-839C5ABBCAD6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37</v>
      </c>
    </row>
    <row r="3" spans="1:21" ht="27.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6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4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customHeight="1" x14ac:dyDescent="0.45">
      <c r="A11" s="197" t="s">
        <v>8</v>
      </c>
      <c r="B11" s="172">
        <v>0.22916666666666699</v>
      </c>
      <c r="C11" s="173"/>
      <c r="D11" s="210"/>
      <c r="E11" s="200"/>
      <c r="F11" s="201"/>
      <c r="G11" s="199"/>
      <c r="H11" s="172">
        <f t="shared" si="0"/>
        <v>0</v>
      </c>
      <c r="I11" s="200"/>
      <c r="J11" s="201"/>
      <c r="K11" s="199"/>
      <c r="L11" s="172">
        <f t="shared" si="1"/>
        <v>0</v>
      </c>
      <c r="M11" s="200"/>
      <c r="N11" s="201"/>
      <c r="O11" s="199"/>
      <c r="P11" s="172">
        <f t="shared" si="2"/>
        <v>0</v>
      </c>
      <c r="Q11" s="200"/>
      <c r="R11" s="202"/>
      <c r="S11" s="199"/>
      <c r="T11" s="175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customHeight="1" x14ac:dyDescent="0.45">
      <c r="A32" s="171" t="s">
        <v>11</v>
      </c>
      <c r="B32" s="172">
        <v>0.65277777777777801</v>
      </c>
      <c r="C32" s="173"/>
      <c r="D32" s="174"/>
      <c r="E32" s="197"/>
      <c r="F32" s="198"/>
      <c r="G32" s="199"/>
      <c r="H32" s="172">
        <f t="shared" si="0"/>
        <v>0</v>
      </c>
      <c r="I32" s="200"/>
      <c r="J32" s="201"/>
      <c r="K32" s="199"/>
      <c r="L32" s="172">
        <f t="shared" si="4"/>
        <v>0</v>
      </c>
      <c r="M32" s="200"/>
      <c r="N32" s="201"/>
      <c r="O32" s="199"/>
      <c r="P32" s="172">
        <f t="shared" si="5"/>
        <v>0</v>
      </c>
      <c r="Q32" s="200"/>
      <c r="R32" s="202"/>
      <c r="S32" s="199"/>
      <c r="T32" s="175"/>
      <c r="U32" s="188">
        <f t="shared" si="3"/>
        <v>0</v>
      </c>
    </row>
    <row r="33" spans="1:21" ht="39.5" hidden="1" customHeight="1" x14ac:dyDescent="0.45">
      <c r="A33" s="176" t="s">
        <v>11</v>
      </c>
      <c r="B33" s="138">
        <v>0.65972222222222199</v>
      </c>
      <c r="C33" s="150"/>
      <c r="D33" s="177"/>
      <c r="E33" s="149"/>
      <c r="F33" s="211"/>
      <c r="G33" s="184"/>
      <c r="H33" s="138">
        <f t="shared" si="0"/>
        <v>0</v>
      </c>
      <c r="I33" s="182"/>
      <c r="J33" s="183"/>
      <c r="K33" s="184"/>
      <c r="L33" s="138">
        <f t="shared" si="4"/>
        <v>0</v>
      </c>
      <c r="M33" s="182"/>
      <c r="N33" s="183"/>
      <c r="O33" s="184"/>
      <c r="P33" s="138">
        <f t="shared" si="5"/>
        <v>0</v>
      </c>
      <c r="Q33" s="182"/>
      <c r="R33" s="185"/>
      <c r="S33" s="184"/>
      <c r="T33" s="152"/>
      <c r="U33" s="188">
        <f t="shared" si="3"/>
        <v>0</v>
      </c>
    </row>
    <row r="34" spans="1:21" ht="39.5" hidden="1" customHeight="1" x14ac:dyDescent="0.45">
      <c r="A34" s="176" t="s">
        <v>11</v>
      </c>
      <c r="B34" s="138">
        <v>0.66666666666666696</v>
      </c>
      <c r="C34" s="150"/>
      <c r="D34" s="177"/>
      <c r="E34" s="149"/>
      <c r="F34" s="211"/>
      <c r="G34" s="184"/>
      <c r="H34" s="138">
        <f t="shared" si="0"/>
        <v>0</v>
      </c>
      <c r="I34" s="182"/>
      <c r="J34" s="183"/>
      <c r="K34" s="184"/>
      <c r="L34" s="138">
        <f t="shared" si="4"/>
        <v>0</v>
      </c>
      <c r="M34" s="182"/>
      <c r="N34" s="183"/>
      <c r="O34" s="184"/>
      <c r="P34" s="138">
        <f t="shared" si="5"/>
        <v>0</v>
      </c>
      <c r="Q34" s="182"/>
      <c r="R34" s="185"/>
      <c r="S34" s="184"/>
      <c r="T34" s="152"/>
      <c r="U34" s="188">
        <f t="shared" si="3"/>
        <v>0</v>
      </c>
    </row>
    <row r="35" spans="1:21" ht="39.5" hidden="1" customHeight="1" x14ac:dyDescent="0.45">
      <c r="A35" s="176" t="s">
        <v>11</v>
      </c>
      <c r="B35" s="138">
        <v>0.67361111111111105</v>
      </c>
      <c r="C35" s="150"/>
      <c r="D35" s="177"/>
      <c r="E35" s="149"/>
      <c r="F35" s="211"/>
      <c r="G35" s="184"/>
      <c r="H35" s="138">
        <f t="shared" si="0"/>
        <v>0</v>
      </c>
      <c r="I35" s="182"/>
      <c r="J35" s="183"/>
      <c r="K35" s="184"/>
      <c r="L35" s="138">
        <f t="shared" si="4"/>
        <v>0</v>
      </c>
      <c r="M35" s="182"/>
      <c r="N35" s="183"/>
      <c r="O35" s="184"/>
      <c r="P35" s="138">
        <f t="shared" si="5"/>
        <v>0</v>
      </c>
      <c r="Q35" s="182"/>
      <c r="R35" s="185"/>
      <c r="S35" s="184"/>
      <c r="T35" s="152"/>
      <c r="U35" s="188">
        <f t="shared" si="3"/>
        <v>0</v>
      </c>
    </row>
    <row r="36" spans="1:21" ht="39.5" hidden="1" customHeight="1" x14ac:dyDescent="0.45">
      <c r="A36" s="176" t="s">
        <v>11</v>
      </c>
      <c r="B36" s="138">
        <v>0.68055555555555503</v>
      </c>
      <c r="C36" s="150"/>
      <c r="D36" s="177"/>
      <c r="E36" s="149"/>
      <c r="F36" s="211"/>
      <c r="G36" s="184"/>
      <c r="H36" s="138">
        <f t="shared" si="0"/>
        <v>0</v>
      </c>
      <c r="I36" s="182"/>
      <c r="J36" s="183"/>
      <c r="K36" s="184"/>
      <c r="L36" s="138">
        <f t="shared" si="4"/>
        <v>0</v>
      </c>
      <c r="M36" s="182"/>
      <c r="N36" s="183"/>
      <c r="O36" s="184"/>
      <c r="P36" s="138">
        <f t="shared" si="5"/>
        <v>0</v>
      </c>
      <c r="Q36" s="182"/>
      <c r="R36" s="185"/>
      <c r="S36" s="184"/>
      <c r="T36" s="152"/>
      <c r="U36" s="188">
        <f t="shared" si="3"/>
        <v>0</v>
      </c>
    </row>
    <row r="37" spans="1:21" ht="39.5" customHeight="1" x14ac:dyDescent="0.45">
      <c r="A37" s="176" t="s">
        <v>11</v>
      </c>
      <c r="B37" s="138">
        <v>0.6875</v>
      </c>
      <c r="C37" s="150"/>
      <c r="D37" s="177"/>
      <c r="E37" s="149"/>
      <c r="F37" s="211"/>
      <c r="G37" s="184"/>
      <c r="H37" s="138">
        <f t="shared" si="0"/>
        <v>0</v>
      </c>
      <c r="I37" s="182"/>
      <c r="J37" s="183"/>
      <c r="K37" s="184"/>
      <c r="L37" s="138">
        <f t="shared" si="4"/>
        <v>0</v>
      </c>
      <c r="M37" s="182"/>
      <c r="N37" s="183"/>
      <c r="O37" s="184"/>
      <c r="P37" s="138">
        <f t="shared" si="5"/>
        <v>0</v>
      </c>
      <c r="Q37" s="182"/>
      <c r="R37" s="185"/>
      <c r="S37" s="184"/>
      <c r="T37" s="152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232E-0CAD-4A44-84D6-BB9F54A2A4AD}">
  <sheetPr>
    <pageSetUpPr fitToPage="1"/>
  </sheetPr>
  <dimension ref="A2:U49"/>
  <sheetViews>
    <sheetView workbookViewId="0">
      <selection activeCell="Z23" sqref="Z23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41</v>
      </c>
    </row>
    <row r="3" spans="1:21" ht="24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2.0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5" spans="1:21" x14ac:dyDescent="0.45">
      <c r="T5" s="16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customHeight="1" x14ac:dyDescent="0.45">
      <c r="A13" s="197" t="s">
        <v>8</v>
      </c>
      <c r="B13" s="172">
        <v>0.243055555555556</v>
      </c>
      <c r="C13" s="173"/>
      <c r="D13" s="210"/>
      <c r="E13" s="200"/>
      <c r="F13" s="201"/>
      <c r="G13" s="199"/>
      <c r="H13" s="172">
        <f t="shared" si="0"/>
        <v>0</v>
      </c>
      <c r="I13" s="200"/>
      <c r="J13" s="201"/>
      <c r="K13" s="199"/>
      <c r="L13" s="172">
        <f t="shared" si="1"/>
        <v>0</v>
      </c>
      <c r="M13" s="200"/>
      <c r="N13" s="201"/>
      <c r="O13" s="199"/>
      <c r="P13" s="172">
        <f t="shared" si="2"/>
        <v>0</v>
      </c>
      <c r="Q13" s="200"/>
      <c r="R13" s="202"/>
      <c r="S13" s="199"/>
      <c r="T13" s="175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customHeight="1" x14ac:dyDescent="0.45">
      <c r="A28" s="212" t="s">
        <v>11</v>
      </c>
      <c r="B28" s="213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customHeight="1" x14ac:dyDescent="0.45">
      <c r="A29" s="212" t="s">
        <v>11</v>
      </c>
      <c r="B29" s="213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customHeight="1" x14ac:dyDescent="0.45">
      <c r="A30" s="212" t="s">
        <v>11</v>
      </c>
      <c r="B30" s="213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customHeight="1" x14ac:dyDescent="0.45">
      <c r="A31" s="212" t="s">
        <v>11</v>
      </c>
      <c r="B31" s="213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customHeight="1" x14ac:dyDescent="0.45">
      <c r="A32" s="212" t="s">
        <v>11</v>
      </c>
      <c r="B32" s="213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customHeight="1" x14ac:dyDescent="0.45">
      <c r="A33" s="212" t="s">
        <v>11</v>
      </c>
      <c r="B33" s="213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customHeight="1" x14ac:dyDescent="0.45">
      <c r="A34" s="212" t="s">
        <v>11</v>
      </c>
      <c r="B34" s="213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customHeight="1" x14ac:dyDescent="0.45">
      <c r="A35" s="212" t="s">
        <v>11</v>
      </c>
      <c r="B35" s="213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customHeight="1" x14ac:dyDescent="0.45">
      <c r="A36" s="212" t="s">
        <v>11</v>
      </c>
      <c r="B36" s="213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customHeight="1" x14ac:dyDescent="0.45">
      <c r="A37" s="176" t="s">
        <v>11</v>
      </c>
      <c r="B37" s="138">
        <v>0.6875</v>
      </c>
      <c r="C37" s="150"/>
      <c r="D37" s="177"/>
      <c r="E37" s="149"/>
      <c r="F37" s="211"/>
      <c r="G37" s="184"/>
      <c r="H37" s="138">
        <f t="shared" si="0"/>
        <v>0</v>
      </c>
      <c r="I37" s="182"/>
      <c r="J37" s="183"/>
      <c r="K37" s="184"/>
      <c r="L37" s="138">
        <f t="shared" si="4"/>
        <v>0</v>
      </c>
      <c r="M37" s="182"/>
      <c r="N37" s="183"/>
      <c r="O37" s="184"/>
      <c r="P37" s="138">
        <f t="shared" si="5"/>
        <v>0</v>
      </c>
      <c r="Q37" s="182"/>
      <c r="R37" s="185"/>
      <c r="S37" s="184"/>
      <c r="T37" s="152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70" orientation="landscape" copies="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F2EF-2F40-461A-946F-924E0BDA05AE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1328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42</v>
      </c>
    </row>
    <row r="3" spans="1:21" ht="23.5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2.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customHeight="1" x14ac:dyDescent="0.45">
      <c r="A28" s="171" t="s">
        <v>11</v>
      </c>
      <c r="B28" s="172">
        <v>0.625</v>
      </c>
      <c r="C28" s="173"/>
      <c r="D28" s="174"/>
      <c r="E28" s="197"/>
      <c r="F28" s="198"/>
      <c r="G28" s="199"/>
      <c r="H28" s="172">
        <f t="shared" si="0"/>
        <v>0</v>
      </c>
      <c r="I28" s="200"/>
      <c r="J28" s="201"/>
      <c r="K28" s="199"/>
      <c r="L28" s="172">
        <f t="shared" ref="L28:L46" si="4">K28-G28</f>
        <v>0</v>
      </c>
      <c r="M28" s="200"/>
      <c r="N28" s="201"/>
      <c r="O28" s="199"/>
      <c r="P28" s="172">
        <f t="shared" ref="P28:P46" si="5">O28-K28</f>
        <v>0</v>
      </c>
      <c r="Q28" s="200"/>
      <c r="R28" s="202"/>
      <c r="S28" s="199"/>
      <c r="T28" s="175"/>
      <c r="U28" s="188">
        <f t="shared" si="3"/>
        <v>0</v>
      </c>
    </row>
    <row r="29" spans="1:21" ht="39.5" hidden="1" customHeight="1" x14ac:dyDescent="0.45">
      <c r="A29" s="176" t="s">
        <v>11</v>
      </c>
      <c r="B29" s="138">
        <v>0.63194444444444442</v>
      </c>
      <c r="C29" s="150"/>
      <c r="D29" s="177"/>
      <c r="E29" s="149"/>
      <c r="F29" s="211"/>
      <c r="G29" s="184"/>
      <c r="H29" s="138">
        <f t="shared" si="0"/>
        <v>0</v>
      </c>
      <c r="I29" s="182"/>
      <c r="J29" s="183"/>
      <c r="K29" s="184"/>
      <c r="L29" s="138">
        <f t="shared" si="4"/>
        <v>0</v>
      </c>
      <c r="M29" s="182"/>
      <c r="N29" s="183"/>
      <c r="O29" s="184"/>
      <c r="P29" s="138">
        <f t="shared" si="5"/>
        <v>0</v>
      </c>
      <c r="Q29" s="182"/>
      <c r="R29" s="185"/>
      <c r="S29" s="184"/>
      <c r="T29" s="152"/>
      <c r="U29" s="188">
        <f t="shared" si="3"/>
        <v>0</v>
      </c>
    </row>
    <row r="30" spans="1:21" ht="39.5" hidden="1" customHeight="1" x14ac:dyDescent="0.45">
      <c r="A30" s="176" t="s">
        <v>11</v>
      </c>
      <c r="B30" s="138">
        <v>0.63888888888888895</v>
      </c>
      <c r="C30" s="150"/>
      <c r="D30" s="177"/>
      <c r="E30" s="149"/>
      <c r="F30" s="211"/>
      <c r="G30" s="184"/>
      <c r="H30" s="138">
        <f t="shared" si="0"/>
        <v>0</v>
      </c>
      <c r="I30" s="182"/>
      <c r="J30" s="183"/>
      <c r="K30" s="184"/>
      <c r="L30" s="138">
        <f t="shared" si="4"/>
        <v>0</v>
      </c>
      <c r="M30" s="182"/>
      <c r="N30" s="183"/>
      <c r="O30" s="184"/>
      <c r="P30" s="138">
        <f t="shared" si="5"/>
        <v>0</v>
      </c>
      <c r="Q30" s="182"/>
      <c r="R30" s="185"/>
      <c r="S30" s="184"/>
      <c r="T30" s="152"/>
      <c r="U30" s="188">
        <f t="shared" si="3"/>
        <v>0</v>
      </c>
    </row>
    <row r="31" spans="1:21" ht="39.5" hidden="1" customHeight="1" x14ac:dyDescent="0.45">
      <c r="A31" s="176" t="s">
        <v>11</v>
      </c>
      <c r="B31" s="138">
        <v>0.64583333333333304</v>
      </c>
      <c r="C31" s="150"/>
      <c r="D31" s="177"/>
      <c r="E31" s="149"/>
      <c r="F31" s="211"/>
      <c r="G31" s="184"/>
      <c r="H31" s="138">
        <f t="shared" si="0"/>
        <v>0</v>
      </c>
      <c r="I31" s="182"/>
      <c r="J31" s="183"/>
      <c r="K31" s="184"/>
      <c r="L31" s="138">
        <f t="shared" si="4"/>
        <v>0</v>
      </c>
      <c r="M31" s="182"/>
      <c r="N31" s="183"/>
      <c r="O31" s="184"/>
      <c r="P31" s="138">
        <f t="shared" si="5"/>
        <v>0</v>
      </c>
      <c r="Q31" s="182"/>
      <c r="R31" s="185"/>
      <c r="S31" s="184"/>
      <c r="T31" s="152"/>
      <c r="U31" s="188">
        <f t="shared" si="3"/>
        <v>0</v>
      </c>
    </row>
    <row r="32" spans="1:21" ht="39.5" hidden="1" customHeight="1" x14ac:dyDescent="0.45">
      <c r="A32" s="176" t="s">
        <v>11</v>
      </c>
      <c r="B32" s="138">
        <v>0.65277777777777801</v>
      </c>
      <c r="C32" s="150"/>
      <c r="D32" s="177"/>
      <c r="E32" s="149"/>
      <c r="F32" s="211"/>
      <c r="G32" s="184"/>
      <c r="H32" s="138">
        <f t="shared" si="0"/>
        <v>0</v>
      </c>
      <c r="I32" s="182"/>
      <c r="J32" s="183"/>
      <c r="K32" s="184"/>
      <c r="L32" s="138">
        <f t="shared" si="4"/>
        <v>0</v>
      </c>
      <c r="M32" s="182"/>
      <c r="N32" s="183"/>
      <c r="O32" s="184"/>
      <c r="P32" s="138">
        <f t="shared" si="5"/>
        <v>0</v>
      </c>
      <c r="Q32" s="182"/>
      <c r="R32" s="185"/>
      <c r="S32" s="184"/>
      <c r="T32" s="152"/>
      <c r="U32" s="188">
        <f t="shared" si="3"/>
        <v>0</v>
      </c>
    </row>
    <row r="33" spans="1:21" ht="39.5" customHeight="1" x14ac:dyDescent="0.45">
      <c r="A33" s="176" t="s">
        <v>11</v>
      </c>
      <c r="B33" s="138">
        <v>0.65972222222222199</v>
      </c>
      <c r="C33" s="150"/>
      <c r="D33" s="177"/>
      <c r="E33" s="149"/>
      <c r="F33" s="211"/>
      <c r="G33" s="184"/>
      <c r="H33" s="138">
        <f t="shared" si="0"/>
        <v>0</v>
      </c>
      <c r="I33" s="182"/>
      <c r="J33" s="183"/>
      <c r="K33" s="184"/>
      <c r="L33" s="138">
        <f t="shared" si="4"/>
        <v>0</v>
      </c>
      <c r="M33" s="182"/>
      <c r="N33" s="183"/>
      <c r="O33" s="184"/>
      <c r="P33" s="138">
        <f t="shared" si="5"/>
        <v>0</v>
      </c>
      <c r="Q33" s="182"/>
      <c r="R33" s="185"/>
      <c r="S33" s="184"/>
      <c r="T33" s="152"/>
      <c r="U33" s="188">
        <f t="shared" si="3"/>
        <v>0</v>
      </c>
    </row>
    <row r="34" spans="1:21" ht="39.5" hidden="1" customHeight="1" x14ac:dyDescent="0.45">
      <c r="A34" s="176" t="s">
        <v>11</v>
      </c>
      <c r="B34" s="138">
        <v>0.66666666666666696</v>
      </c>
      <c r="C34" s="150"/>
      <c r="D34" s="177"/>
      <c r="E34" s="149"/>
      <c r="F34" s="211"/>
      <c r="G34" s="184"/>
      <c r="H34" s="138">
        <f t="shared" si="0"/>
        <v>0</v>
      </c>
      <c r="I34" s="182"/>
      <c r="J34" s="183"/>
      <c r="K34" s="184"/>
      <c r="L34" s="138">
        <f t="shared" si="4"/>
        <v>0</v>
      </c>
      <c r="M34" s="182"/>
      <c r="N34" s="183"/>
      <c r="O34" s="184"/>
      <c r="P34" s="138">
        <f t="shared" si="5"/>
        <v>0</v>
      </c>
      <c r="Q34" s="182"/>
      <c r="R34" s="185"/>
      <c r="S34" s="184"/>
      <c r="T34" s="152"/>
      <c r="U34" s="188">
        <f t="shared" si="3"/>
        <v>0</v>
      </c>
    </row>
    <row r="35" spans="1:21" ht="39.5" hidden="1" customHeight="1" x14ac:dyDescent="0.45">
      <c r="A35" s="176" t="s">
        <v>11</v>
      </c>
      <c r="B35" s="138">
        <v>0.67361111111111105</v>
      </c>
      <c r="C35" s="150"/>
      <c r="D35" s="177"/>
      <c r="E35" s="149"/>
      <c r="F35" s="211"/>
      <c r="G35" s="184"/>
      <c r="H35" s="138">
        <f t="shared" si="0"/>
        <v>0</v>
      </c>
      <c r="I35" s="182"/>
      <c r="J35" s="183"/>
      <c r="K35" s="184"/>
      <c r="L35" s="138">
        <f t="shared" si="4"/>
        <v>0</v>
      </c>
      <c r="M35" s="182"/>
      <c r="N35" s="183"/>
      <c r="O35" s="184"/>
      <c r="P35" s="138">
        <f t="shared" si="5"/>
        <v>0</v>
      </c>
      <c r="Q35" s="182"/>
      <c r="R35" s="185"/>
      <c r="S35" s="184"/>
      <c r="T35" s="152"/>
      <c r="U35" s="188">
        <f t="shared" si="3"/>
        <v>0</v>
      </c>
    </row>
    <row r="36" spans="1:21" ht="39.5" hidden="1" customHeight="1" x14ac:dyDescent="0.45">
      <c r="A36" s="176" t="s">
        <v>11</v>
      </c>
      <c r="B36" s="138">
        <v>0.68055555555555503</v>
      </c>
      <c r="C36" s="150"/>
      <c r="D36" s="177"/>
      <c r="E36" s="149"/>
      <c r="F36" s="211"/>
      <c r="G36" s="184"/>
      <c r="H36" s="138">
        <f t="shared" si="0"/>
        <v>0</v>
      </c>
      <c r="I36" s="182"/>
      <c r="J36" s="183"/>
      <c r="K36" s="184"/>
      <c r="L36" s="138">
        <f t="shared" si="4"/>
        <v>0</v>
      </c>
      <c r="M36" s="182"/>
      <c r="N36" s="183"/>
      <c r="O36" s="184"/>
      <c r="P36" s="138">
        <f t="shared" si="5"/>
        <v>0</v>
      </c>
      <c r="Q36" s="182"/>
      <c r="R36" s="185"/>
      <c r="S36" s="184"/>
      <c r="T36" s="152"/>
      <c r="U36" s="188">
        <f t="shared" si="3"/>
        <v>0</v>
      </c>
    </row>
    <row r="37" spans="1:21" ht="39.5" hidden="1" customHeight="1" x14ac:dyDescent="0.45">
      <c r="A37" s="176" t="s">
        <v>11</v>
      </c>
      <c r="B37" s="138">
        <v>0.6875</v>
      </c>
      <c r="C37" s="150"/>
      <c r="D37" s="177"/>
      <c r="E37" s="149"/>
      <c r="F37" s="211"/>
      <c r="G37" s="184"/>
      <c r="H37" s="138">
        <f t="shared" si="0"/>
        <v>0</v>
      </c>
      <c r="I37" s="182"/>
      <c r="J37" s="183"/>
      <c r="K37" s="184"/>
      <c r="L37" s="138">
        <f t="shared" si="4"/>
        <v>0</v>
      </c>
      <c r="M37" s="182"/>
      <c r="N37" s="183"/>
      <c r="O37" s="184"/>
      <c r="P37" s="138">
        <f t="shared" si="5"/>
        <v>0</v>
      </c>
      <c r="Q37" s="182"/>
      <c r="R37" s="185"/>
      <c r="S37" s="184"/>
      <c r="T37" s="152"/>
      <c r="U37" s="188">
        <f t="shared" si="3"/>
        <v>0</v>
      </c>
    </row>
    <row r="38" spans="1:21" ht="39.5" customHeight="1" x14ac:dyDescent="0.45">
      <c r="A38" s="176" t="s">
        <v>11</v>
      </c>
      <c r="B38" s="138">
        <v>0.69444444444444398</v>
      </c>
      <c r="C38" s="150"/>
      <c r="D38" s="177"/>
      <c r="E38" s="149"/>
      <c r="F38" s="211"/>
      <c r="G38" s="184"/>
      <c r="H38" s="138">
        <f t="shared" si="0"/>
        <v>0</v>
      </c>
      <c r="I38" s="182"/>
      <c r="J38" s="183"/>
      <c r="K38" s="184"/>
      <c r="L38" s="138">
        <f t="shared" si="4"/>
        <v>0</v>
      </c>
      <c r="M38" s="182"/>
      <c r="N38" s="183"/>
      <c r="O38" s="184"/>
      <c r="P38" s="138">
        <f t="shared" si="5"/>
        <v>0</v>
      </c>
      <c r="Q38" s="182"/>
      <c r="R38" s="185"/>
      <c r="S38" s="184"/>
      <c r="T38" s="152"/>
      <c r="U38" s="188">
        <f t="shared" si="3"/>
        <v>0</v>
      </c>
    </row>
    <row r="39" spans="1:21" ht="39.5" hidden="1" customHeight="1" x14ac:dyDescent="0.45">
      <c r="A39" s="176" t="s">
        <v>11</v>
      </c>
      <c r="B39" s="138">
        <v>0.70138888888888895</v>
      </c>
      <c r="C39" s="150"/>
      <c r="D39" s="177"/>
      <c r="E39" s="149"/>
      <c r="F39" s="211"/>
      <c r="G39" s="184"/>
      <c r="H39" s="138">
        <f t="shared" si="0"/>
        <v>0</v>
      </c>
      <c r="I39" s="182"/>
      <c r="J39" s="183"/>
      <c r="K39" s="184"/>
      <c r="L39" s="138">
        <f t="shared" si="4"/>
        <v>0</v>
      </c>
      <c r="M39" s="182"/>
      <c r="N39" s="183"/>
      <c r="O39" s="184"/>
      <c r="P39" s="138">
        <f t="shared" si="5"/>
        <v>0</v>
      </c>
      <c r="Q39" s="182"/>
      <c r="R39" s="185"/>
      <c r="S39" s="184"/>
      <c r="T39" s="152"/>
      <c r="U39" s="188">
        <f t="shared" si="3"/>
        <v>0</v>
      </c>
    </row>
    <row r="40" spans="1:21" ht="39.5" hidden="1" customHeight="1" x14ac:dyDescent="0.45">
      <c r="A40" s="176" t="s">
        <v>11</v>
      </c>
      <c r="B40" s="138">
        <v>0.70833333333333304</v>
      </c>
      <c r="C40" s="150"/>
      <c r="D40" s="177"/>
      <c r="E40" s="149"/>
      <c r="F40" s="211"/>
      <c r="G40" s="184"/>
      <c r="H40" s="138">
        <f t="shared" si="0"/>
        <v>0</v>
      </c>
      <c r="I40" s="182"/>
      <c r="J40" s="183"/>
      <c r="K40" s="184"/>
      <c r="L40" s="138">
        <f t="shared" si="4"/>
        <v>0</v>
      </c>
      <c r="M40" s="182"/>
      <c r="N40" s="183"/>
      <c r="O40" s="184"/>
      <c r="P40" s="138">
        <f t="shared" si="5"/>
        <v>0</v>
      </c>
      <c r="Q40" s="182"/>
      <c r="R40" s="185"/>
      <c r="S40" s="184"/>
      <c r="T40" s="152"/>
      <c r="U40" s="188">
        <f t="shared" si="3"/>
        <v>0</v>
      </c>
    </row>
    <row r="41" spans="1:21" ht="39.5" hidden="1" customHeight="1" x14ac:dyDescent="0.45">
      <c r="A41" s="176" t="s">
        <v>11</v>
      </c>
      <c r="B41" s="138">
        <v>0.71527777777777701</v>
      </c>
      <c r="C41" s="150"/>
      <c r="D41" s="177"/>
      <c r="E41" s="149"/>
      <c r="F41" s="211"/>
      <c r="G41" s="184"/>
      <c r="H41" s="138">
        <f t="shared" si="0"/>
        <v>0</v>
      </c>
      <c r="I41" s="182"/>
      <c r="J41" s="183"/>
      <c r="K41" s="184"/>
      <c r="L41" s="138">
        <f t="shared" si="4"/>
        <v>0</v>
      </c>
      <c r="M41" s="182"/>
      <c r="N41" s="183"/>
      <c r="O41" s="184"/>
      <c r="P41" s="138">
        <f t="shared" si="5"/>
        <v>0</v>
      </c>
      <c r="Q41" s="182"/>
      <c r="R41" s="185"/>
      <c r="S41" s="184"/>
      <c r="T41" s="152"/>
      <c r="U41" s="188">
        <f t="shared" si="3"/>
        <v>0</v>
      </c>
    </row>
    <row r="42" spans="1:21" ht="39.5" hidden="1" customHeight="1" x14ac:dyDescent="0.45">
      <c r="A42" s="176" t="s">
        <v>11</v>
      </c>
      <c r="B42" s="138">
        <v>0.72222222222222199</v>
      </c>
      <c r="C42" s="150"/>
      <c r="D42" s="177"/>
      <c r="E42" s="149"/>
      <c r="F42" s="211"/>
      <c r="G42" s="184"/>
      <c r="H42" s="138">
        <f t="shared" si="0"/>
        <v>0</v>
      </c>
      <c r="I42" s="182"/>
      <c r="J42" s="183"/>
      <c r="K42" s="184"/>
      <c r="L42" s="138">
        <f t="shared" si="4"/>
        <v>0</v>
      </c>
      <c r="M42" s="182"/>
      <c r="N42" s="183"/>
      <c r="O42" s="184"/>
      <c r="P42" s="138">
        <f t="shared" si="5"/>
        <v>0</v>
      </c>
      <c r="Q42" s="182"/>
      <c r="R42" s="185"/>
      <c r="S42" s="184"/>
      <c r="T42" s="152"/>
      <c r="U42" s="188">
        <f t="shared" si="3"/>
        <v>0</v>
      </c>
    </row>
    <row r="43" spans="1:21" ht="39.5" hidden="1" customHeight="1" x14ac:dyDescent="0.45">
      <c r="A43" s="176" t="s">
        <v>11</v>
      </c>
      <c r="B43" s="138">
        <v>0.72916666666666596</v>
      </c>
      <c r="C43" s="150"/>
      <c r="D43" s="177"/>
      <c r="E43" s="149"/>
      <c r="F43" s="211"/>
      <c r="G43" s="184"/>
      <c r="H43" s="138">
        <f t="shared" si="0"/>
        <v>0</v>
      </c>
      <c r="I43" s="182"/>
      <c r="J43" s="183"/>
      <c r="K43" s="184"/>
      <c r="L43" s="138">
        <f t="shared" si="4"/>
        <v>0</v>
      </c>
      <c r="M43" s="182"/>
      <c r="N43" s="183"/>
      <c r="O43" s="184"/>
      <c r="P43" s="138">
        <f t="shared" si="5"/>
        <v>0</v>
      </c>
      <c r="Q43" s="182"/>
      <c r="R43" s="185"/>
      <c r="S43" s="184"/>
      <c r="T43" s="152"/>
      <c r="U43" s="188">
        <f t="shared" si="3"/>
        <v>0</v>
      </c>
    </row>
    <row r="44" spans="1:21" ht="39.5" hidden="1" customHeight="1" x14ac:dyDescent="0.45">
      <c r="A44" s="176" t="s">
        <v>11</v>
      </c>
      <c r="B44" s="138">
        <v>0.73611111111111105</v>
      </c>
      <c r="C44" s="150"/>
      <c r="D44" s="177"/>
      <c r="E44" s="149"/>
      <c r="F44" s="211"/>
      <c r="G44" s="184"/>
      <c r="H44" s="138">
        <f t="shared" si="0"/>
        <v>0</v>
      </c>
      <c r="I44" s="182"/>
      <c r="J44" s="183"/>
      <c r="K44" s="184"/>
      <c r="L44" s="138">
        <f t="shared" si="4"/>
        <v>0</v>
      </c>
      <c r="M44" s="182"/>
      <c r="N44" s="183"/>
      <c r="O44" s="184"/>
      <c r="P44" s="138">
        <f t="shared" si="5"/>
        <v>0</v>
      </c>
      <c r="Q44" s="182"/>
      <c r="R44" s="185"/>
      <c r="S44" s="184"/>
      <c r="T44" s="152"/>
      <c r="U44" s="188">
        <f t="shared" si="3"/>
        <v>0</v>
      </c>
    </row>
    <row r="45" spans="1:21" ht="39.5" customHeight="1" x14ac:dyDescent="0.45">
      <c r="A45" s="176" t="s">
        <v>11</v>
      </c>
      <c r="B45" s="138">
        <v>0.74305555555555503</v>
      </c>
      <c r="C45" s="150"/>
      <c r="D45" s="177"/>
      <c r="E45" s="149"/>
      <c r="F45" s="211"/>
      <c r="G45" s="184"/>
      <c r="H45" s="138">
        <f t="shared" si="0"/>
        <v>0</v>
      </c>
      <c r="I45" s="182"/>
      <c r="J45" s="183"/>
      <c r="K45" s="184"/>
      <c r="L45" s="138">
        <f t="shared" si="4"/>
        <v>0</v>
      </c>
      <c r="M45" s="182"/>
      <c r="N45" s="183"/>
      <c r="O45" s="184"/>
      <c r="P45" s="138">
        <f t="shared" si="5"/>
        <v>0</v>
      </c>
      <c r="Q45" s="182"/>
      <c r="R45" s="185"/>
      <c r="S45" s="184"/>
      <c r="T45" s="152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66C8-C6A2-4C4B-8A6D-E1562AFFD8AC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33203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43</v>
      </c>
    </row>
    <row r="3" spans="1:21" ht="27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31.0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customHeight="1" x14ac:dyDescent="0.45">
      <c r="A8" s="214" t="s">
        <v>8</v>
      </c>
      <c r="B8" s="213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customHeight="1" x14ac:dyDescent="0.45">
      <c r="A9" s="214" t="s">
        <v>8</v>
      </c>
      <c r="B9" s="213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customHeight="1" x14ac:dyDescent="0.45">
      <c r="A10" s="214" t="s">
        <v>8</v>
      </c>
      <c r="B10" s="213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customHeight="1" x14ac:dyDescent="0.45">
      <c r="A11" s="214" t="s">
        <v>8</v>
      </c>
      <c r="B11" s="213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customHeight="1" x14ac:dyDescent="0.45">
      <c r="A12" s="214" t="s">
        <v>8</v>
      </c>
      <c r="B12" s="213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customHeight="1" x14ac:dyDescent="0.45">
      <c r="A13" s="214" t="s">
        <v>8</v>
      </c>
      <c r="B13" s="213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customHeight="1" x14ac:dyDescent="0.45">
      <c r="A14" s="214" t="s">
        <v>8</v>
      </c>
      <c r="B14" s="213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customHeight="1" x14ac:dyDescent="0.45">
      <c r="A15" s="214" t="s">
        <v>8</v>
      </c>
      <c r="B15" s="213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customHeight="1" x14ac:dyDescent="0.45">
      <c r="A16" s="149" t="s">
        <v>8</v>
      </c>
      <c r="B16" s="138">
        <v>0.26388888888888901</v>
      </c>
      <c r="C16" s="150"/>
      <c r="D16" s="151"/>
      <c r="E16" s="182"/>
      <c r="F16" s="183"/>
      <c r="G16" s="184"/>
      <c r="H16" s="138">
        <f t="shared" si="0"/>
        <v>0</v>
      </c>
      <c r="I16" s="182"/>
      <c r="J16" s="183"/>
      <c r="K16" s="184"/>
      <c r="L16" s="138">
        <f t="shared" si="1"/>
        <v>0</v>
      </c>
      <c r="M16" s="182"/>
      <c r="N16" s="183"/>
      <c r="O16" s="184"/>
      <c r="P16" s="138">
        <f t="shared" si="2"/>
        <v>0</v>
      </c>
      <c r="Q16" s="182"/>
      <c r="R16" s="185"/>
      <c r="S16" s="184"/>
      <c r="T16" s="152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customHeight="1" x14ac:dyDescent="0.45">
      <c r="A39" s="171" t="s">
        <v>11</v>
      </c>
      <c r="B39" s="172">
        <v>0.70138888888888895</v>
      </c>
      <c r="C39" s="173"/>
      <c r="D39" s="174"/>
      <c r="E39" s="197"/>
      <c r="F39" s="198"/>
      <c r="G39" s="199"/>
      <c r="H39" s="172">
        <f t="shared" si="0"/>
        <v>0</v>
      </c>
      <c r="I39" s="200"/>
      <c r="J39" s="201"/>
      <c r="K39" s="199"/>
      <c r="L39" s="172">
        <f t="shared" si="4"/>
        <v>0</v>
      </c>
      <c r="M39" s="200"/>
      <c r="N39" s="201"/>
      <c r="O39" s="199"/>
      <c r="P39" s="172">
        <f t="shared" si="5"/>
        <v>0</v>
      </c>
      <c r="Q39" s="200"/>
      <c r="R39" s="202"/>
      <c r="S39" s="199"/>
      <c r="T39" s="175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72" orientation="landscape" copies="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0A09-DE4D-4FD1-B1D4-2ECFBC91245E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44</v>
      </c>
    </row>
    <row r="3" spans="1:21" ht="30.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6.55" customHeight="1" x14ac:dyDescent="0.45">
      <c r="A4" s="137" t="s">
        <v>13</v>
      </c>
      <c r="B4" s="248" t="s">
        <v>330</v>
      </c>
      <c r="C4" s="243"/>
      <c r="D4" s="244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customHeight="1" x14ac:dyDescent="0.45">
      <c r="A39" s="171" t="s">
        <v>11</v>
      </c>
      <c r="B39" s="172">
        <v>0.70138888888888895</v>
      </c>
      <c r="C39" s="173"/>
      <c r="D39" s="174"/>
      <c r="E39" s="197"/>
      <c r="F39" s="198"/>
      <c r="G39" s="199"/>
      <c r="H39" s="172">
        <f t="shared" si="0"/>
        <v>0</v>
      </c>
      <c r="I39" s="200"/>
      <c r="J39" s="201"/>
      <c r="K39" s="199"/>
      <c r="L39" s="172">
        <f t="shared" si="4"/>
        <v>0</v>
      </c>
      <c r="M39" s="200"/>
      <c r="N39" s="201"/>
      <c r="O39" s="199"/>
      <c r="P39" s="172">
        <f t="shared" si="5"/>
        <v>0</v>
      </c>
      <c r="Q39" s="200"/>
      <c r="R39" s="202"/>
      <c r="S39" s="199"/>
      <c r="T39" s="175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EAA-4D7A-4A3B-BA0B-90552BEBBF1A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9.3320312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45</v>
      </c>
    </row>
    <row r="3" spans="1:21" ht="39.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37.049999999999997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customHeight="1" x14ac:dyDescent="0.45">
      <c r="A40" s="171" t="s">
        <v>11</v>
      </c>
      <c r="B40" s="172">
        <v>0.70833333333333304</v>
      </c>
      <c r="C40" s="173"/>
      <c r="D40" s="174"/>
      <c r="E40" s="197"/>
      <c r="F40" s="198"/>
      <c r="G40" s="199"/>
      <c r="H40" s="172">
        <f t="shared" si="0"/>
        <v>0</v>
      </c>
      <c r="I40" s="200"/>
      <c r="J40" s="201"/>
      <c r="K40" s="199"/>
      <c r="L40" s="172">
        <f t="shared" si="4"/>
        <v>0</v>
      </c>
      <c r="M40" s="200"/>
      <c r="N40" s="201"/>
      <c r="O40" s="199"/>
      <c r="P40" s="172">
        <f t="shared" si="5"/>
        <v>0</v>
      </c>
      <c r="Q40" s="200"/>
      <c r="R40" s="202"/>
      <c r="S40" s="199"/>
      <c r="T40" s="175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2" orientation="landscape" copies="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768F-D706-459F-82E9-6E089B691108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464843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21" x14ac:dyDescent="0.45">
      <c r="A2" s="137" t="s">
        <v>18</v>
      </c>
      <c r="B2" s="238" t="s">
        <v>46</v>
      </c>
    </row>
    <row r="3" spans="1:21" ht="30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5.05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hidden="1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customHeight="1" x14ac:dyDescent="0.45">
      <c r="A40" s="171" t="s">
        <v>11</v>
      </c>
      <c r="B40" s="172">
        <v>0.70833333333333304</v>
      </c>
      <c r="C40" s="173"/>
      <c r="D40" s="174"/>
      <c r="E40" s="197"/>
      <c r="F40" s="198"/>
      <c r="G40" s="199"/>
      <c r="H40" s="172">
        <f t="shared" si="0"/>
        <v>0</v>
      </c>
      <c r="I40" s="200"/>
      <c r="J40" s="201"/>
      <c r="K40" s="199"/>
      <c r="L40" s="172">
        <f t="shared" si="4"/>
        <v>0</v>
      </c>
      <c r="M40" s="200"/>
      <c r="N40" s="201"/>
      <c r="O40" s="199"/>
      <c r="P40" s="172">
        <f t="shared" si="5"/>
        <v>0</v>
      </c>
      <c r="Q40" s="200"/>
      <c r="R40" s="202"/>
      <c r="S40" s="199"/>
      <c r="T40" s="175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3" orientation="landscape" copies="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DE14-F74C-4077-A545-BC3D59E09E2F}">
  <sheetPr>
    <pageSetUpPr fitToPage="1"/>
  </sheetPr>
  <dimension ref="A2:U49"/>
  <sheetViews>
    <sheetView workbookViewId="0">
      <selection activeCell="B4" sqref="B4"/>
    </sheetView>
  </sheetViews>
  <sheetFormatPr baseColWidth="10" defaultColWidth="10.796875" defaultRowHeight="14.25" x14ac:dyDescent="0.45"/>
  <cols>
    <col min="1" max="1" width="11.796875" style="137" customWidth="1"/>
    <col min="2" max="6" width="10.796875" style="137"/>
    <col min="7" max="7" width="0" style="137" hidden="1" customWidth="1"/>
    <col min="8" max="8" width="10.796875" style="137" hidden="1" customWidth="1"/>
    <col min="9" max="10" width="10.796875" style="137"/>
    <col min="11" max="11" width="0" style="137" hidden="1" customWidth="1"/>
    <col min="12" max="12" width="10.796875" style="137" hidden="1" customWidth="1"/>
    <col min="13" max="14" width="10.796875" style="137"/>
    <col min="15" max="15" width="0" style="137" hidden="1" customWidth="1"/>
    <col min="16" max="16" width="10.796875" style="137" hidden="1" customWidth="1"/>
    <col min="17" max="18" width="0" style="137" hidden="1" customWidth="1"/>
    <col min="19" max="19" width="17.796875" style="137" customWidth="1"/>
    <col min="20" max="20" width="34.796875" style="137" customWidth="1"/>
    <col min="21" max="21" width="0" style="137" hidden="1" customWidth="1"/>
    <col min="22" max="16384" width="10.796875" style="137"/>
  </cols>
  <sheetData>
    <row r="2" spans="1:21" ht="15.75" x14ac:dyDescent="0.45">
      <c r="A2" s="137" t="s">
        <v>18</v>
      </c>
      <c r="B2" s="245" t="s">
        <v>31</v>
      </c>
    </row>
    <row r="3" spans="1:21" ht="25.05" customHeight="1" x14ac:dyDescent="0.45">
      <c r="A3" s="137" t="s">
        <v>14</v>
      </c>
      <c r="B3" s="460" t="str">
        <f>IF(ISBLANK(Feuil1!$B$3),"",Feuil1!$B$3)</f>
        <v/>
      </c>
      <c r="C3" s="461"/>
      <c r="D3" s="140"/>
    </row>
    <row r="4" spans="1:21" ht="24.5" customHeight="1" x14ac:dyDescent="0.45">
      <c r="A4" s="137" t="s">
        <v>13</v>
      </c>
      <c r="B4" s="209" t="e">
        <f>VLOOKUP(B2,'Liste chauffeur'!$B$5:$L$18,2,TRUE)&amp;" "&amp;VLOOKUP(B2,'Liste chauffeur'!$B$5:$L$18,3,TRUE)</f>
        <v>#N/A</v>
      </c>
      <c r="C4" s="139"/>
      <c r="D4" s="140"/>
    </row>
    <row r="6" spans="1:21" x14ac:dyDescent="0.45">
      <c r="A6" s="141"/>
      <c r="B6" s="142"/>
      <c r="C6" s="142"/>
      <c r="D6" s="143"/>
      <c r="E6" s="465" t="s">
        <v>2</v>
      </c>
      <c r="F6" s="466"/>
      <c r="G6" s="467"/>
      <c r="H6" s="226"/>
      <c r="I6" s="465" t="s">
        <v>6</v>
      </c>
      <c r="J6" s="466"/>
      <c r="K6" s="467"/>
      <c r="L6" s="226"/>
      <c r="M6" s="465" t="s">
        <v>7</v>
      </c>
      <c r="N6" s="466"/>
      <c r="O6" s="467"/>
      <c r="P6" s="178"/>
      <c r="R6" s="180"/>
      <c r="S6" s="235" t="s">
        <v>11</v>
      </c>
      <c r="T6" s="144"/>
      <c r="U6" s="143"/>
    </row>
    <row r="7" spans="1:21" ht="47.25" x14ac:dyDescent="0.45">
      <c r="A7" s="145"/>
      <c r="B7" s="236" t="s">
        <v>0</v>
      </c>
      <c r="C7" s="237" t="s">
        <v>1</v>
      </c>
      <c r="D7" s="234" t="s">
        <v>23</v>
      </c>
      <c r="E7" s="232" t="s">
        <v>130</v>
      </c>
      <c r="F7" s="233" t="s">
        <v>328</v>
      </c>
      <c r="G7" s="147" t="s">
        <v>5</v>
      </c>
      <c r="H7" s="146" t="s">
        <v>19</v>
      </c>
      <c r="I7" s="231" t="s">
        <v>130</v>
      </c>
      <c r="J7" s="233" t="s">
        <v>328</v>
      </c>
      <c r="K7" s="147" t="s">
        <v>9</v>
      </c>
      <c r="L7" s="146" t="s">
        <v>19</v>
      </c>
      <c r="M7" s="231" t="s">
        <v>130</v>
      </c>
      <c r="N7" s="233" t="s">
        <v>328</v>
      </c>
      <c r="O7" s="147" t="s">
        <v>10</v>
      </c>
      <c r="P7" s="146" t="s">
        <v>19</v>
      </c>
      <c r="Q7" s="181" t="s">
        <v>22</v>
      </c>
      <c r="R7" s="146"/>
      <c r="S7" s="234" t="s">
        <v>17</v>
      </c>
      <c r="T7" s="230" t="s">
        <v>12</v>
      </c>
      <c r="U7" s="168" t="s">
        <v>20</v>
      </c>
    </row>
    <row r="8" spans="1:21" ht="40.049999999999997" hidden="1" customHeight="1" x14ac:dyDescent="0.45">
      <c r="A8" s="153" t="s">
        <v>8</v>
      </c>
      <c r="B8" s="154">
        <v>0.20833333333333334</v>
      </c>
      <c r="C8" s="155"/>
      <c r="D8" s="156"/>
      <c r="E8" s="186"/>
      <c r="F8" s="187"/>
      <c r="G8" s="188"/>
      <c r="H8" s="154">
        <f>G8-C8</f>
        <v>0</v>
      </c>
      <c r="I8" s="186"/>
      <c r="J8" s="187"/>
      <c r="K8" s="188"/>
      <c r="L8" s="154">
        <f>K8-G8</f>
        <v>0</v>
      </c>
      <c r="M8" s="186"/>
      <c r="N8" s="187"/>
      <c r="O8" s="188"/>
      <c r="P8" s="154">
        <f>O8-K8</f>
        <v>0</v>
      </c>
      <c r="Q8" s="186"/>
      <c r="R8" s="189" t="str">
        <f>IF(D8+E8-F8+I8-J8+M8-N8=Q8,"OK",D8+E8-F8+I8-J8+M8-N8-Q8)</f>
        <v>OK</v>
      </c>
      <c r="S8" s="188"/>
      <c r="T8" s="157"/>
      <c r="U8" s="188">
        <f>S8-C8</f>
        <v>0</v>
      </c>
    </row>
    <row r="9" spans="1:21" ht="40.049999999999997" hidden="1" customHeight="1" x14ac:dyDescent="0.45">
      <c r="A9" s="153" t="s">
        <v>8</v>
      </c>
      <c r="B9" s="154">
        <v>0.21527777777777779</v>
      </c>
      <c r="C9" s="155"/>
      <c r="D9" s="156"/>
      <c r="E9" s="186"/>
      <c r="F9" s="187"/>
      <c r="G9" s="188"/>
      <c r="H9" s="154">
        <f t="shared" ref="H9:H46" si="0">G9-C9</f>
        <v>0</v>
      </c>
      <c r="I9" s="186"/>
      <c r="J9" s="187"/>
      <c r="K9" s="188"/>
      <c r="L9" s="154">
        <f t="shared" ref="L9:L26" si="1">K9-G9</f>
        <v>0</v>
      </c>
      <c r="M9" s="186"/>
      <c r="N9" s="187"/>
      <c r="O9" s="188"/>
      <c r="P9" s="154">
        <f t="shared" ref="P9:P26" si="2">O9-K9</f>
        <v>0</v>
      </c>
      <c r="Q9" s="186"/>
      <c r="R9" s="189"/>
      <c r="S9" s="188"/>
      <c r="T9" s="157"/>
      <c r="U9" s="188">
        <f t="shared" ref="U9:U46" si="3">S9-C9</f>
        <v>0</v>
      </c>
    </row>
    <row r="10" spans="1:21" ht="40.049999999999997" hidden="1" customHeight="1" x14ac:dyDescent="0.45">
      <c r="A10" s="153" t="s">
        <v>8</v>
      </c>
      <c r="B10" s="154">
        <v>0.22222222222222199</v>
      </c>
      <c r="C10" s="155"/>
      <c r="D10" s="156"/>
      <c r="E10" s="186"/>
      <c r="F10" s="187"/>
      <c r="G10" s="188"/>
      <c r="H10" s="154">
        <f t="shared" si="0"/>
        <v>0</v>
      </c>
      <c r="I10" s="186"/>
      <c r="J10" s="187"/>
      <c r="K10" s="188"/>
      <c r="L10" s="154">
        <f t="shared" si="1"/>
        <v>0</v>
      </c>
      <c r="M10" s="186"/>
      <c r="N10" s="187"/>
      <c r="O10" s="188"/>
      <c r="P10" s="154">
        <f t="shared" si="2"/>
        <v>0</v>
      </c>
      <c r="Q10" s="186"/>
      <c r="R10" s="189"/>
      <c r="S10" s="188"/>
      <c r="T10" s="157"/>
      <c r="U10" s="188">
        <f t="shared" si="3"/>
        <v>0</v>
      </c>
    </row>
    <row r="11" spans="1:21" ht="40.049999999999997" hidden="1" customHeight="1" x14ac:dyDescent="0.45">
      <c r="A11" s="153" t="s">
        <v>8</v>
      </c>
      <c r="B11" s="154">
        <v>0.22916666666666699</v>
      </c>
      <c r="C11" s="155"/>
      <c r="D11" s="156"/>
      <c r="E11" s="186"/>
      <c r="F11" s="187"/>
      <c r="G11" s="188"/>
      <c r="H11" s="154">
        <f t="shared" si="0"/>
        <v>0</v>
      </c>
      <c r="I11" s="186"/>
      <c r="J11" s="187"/>
      <c r="K11" s="188"/>
      <c r="L11" s="154">
        <f t="shared" si="1"/>
        <v>0</v>
      </c>
      <c r="M11" s="186"/>
      <c r="N11" s="187"/>
      <c r="O11" s="188"/>
      <c r="P11" s="154">
        <f t="shared" si="2"/>
        <v>0</v>
      </c>
      <c r="Q11" s="186"/>
      <c r="R11" s="189"/>
      <c r="S11" s="188"/>
      <c r="T11" s="157"/>
      <c r="U11" s="188">
        <f t="shared" si="3"/>
        <v>0</v>
      </c>
    </row>
    <row r="12" spans="1:21" ht="40.049999999999997" hidden="1" customHeight="1" x14ac:dyDescent="0.45">
      <c r="A12" s="153" t="s">
        <v>8</v>
      </c>
      <c r="B12" s="154">
        <v>0.23611111111111099</v>
      </c>
      <c r="C12" s="155"/>
      <c r="D12" s="156"/>
      <c r="E12" s="186"/>
      <c r="F12" s="187"/>
      <c r="G12" s="188"/>
      <c r="H12" s="154">
        <f t="shared" si="0"/>
        <v>0</v>
      </c>
      <c r="I12" s="186"/>
      <c r="J12" s="187"/>
      <c r="K12" s="188"/>
      <c r="L12" s="154">
        <f t="shared" si="1"/>
        <v>0</v>
      </c>
      <c r="M12" s="186"/>
      <c r="N12" s="187"/>
      <c r="O12" s="188"/>
      <c r="P12" s="154">
        <f t="shared" si="2"/>
        <v>0</v>
      </c>
      <c r="Q12" s="186"/>
      <c r="R12" s="189"/>
      <c r="S12" s="188"/>
      <c r="T12" s="157"/>
      <c r="U12" s="188">
        <f t="shared" si="3"/>
        <v>0</v>
      </c>
    </row>
    <row r="13" spans="1:21" ht="40.049999999999997" hidden="1" customHeight="1" x14ac:dyDescent="0.45">
      <c r="A13" s="153" t="s">
        <v>8</v>
      </c>
      <c r="B13" s="154">
        <v>0.243055555555556</v>
      </c>
      <c r="C13" s="155"/>
      <c r="D13" s="156"/>
      <c r="E13" s="186"/>
      <c r="F13" s="187"/>
      <c r="G13" s="188"/>
      <c r="H13" s="154">
        <f t="shared" si="0"/>
        <v>0</v>
      </c>
      <c r="I13" s="186"/>
      <c r="J13" s="187"/>
      <c r="K13" s="188"/>
      <c r="L13" s="154">
        <f t="shared" si="1"/>
        <v>0</v>
      </c>
      <c r="M13" s="186"/>
      <c r="N13" s="187"/>
      <c r="O13" s="188"/>
      <c r="P13" s="154">
        <f t="shared" si="2"/>
        <v>0</v>
      </c>
      <c r="Q13" s="186"/>
      <c r="R13" s="189"/>
      <c r="S13" s="188"/>
      <c r="T13" s="157"/>
      <c r="U13" s="188">
        <f t="shared" si="3"/>
        <v>0</v>
      </c>
    </row>
    <row r="14" spans="1:21" ht="40.049999999999997" hidden="1" customHeight="1" x14ac:dyDescent="0.45">
      <c r="A14" s="153" t="s">
        <v>8</v>
      </c>
      <c r="B14" s="154">
        <v>0.25</v>
      </c>
      <c r="C14" s="155"/>
      <c r="D14" s="156"/>
      <c r="E14" s="186"/>
      <c r="F14" s="187"/>
      <c r="G14" s="188"/>
      <c r="H14" s="154">
        <f t="shared" si="0"/>
        <v>0</v>
      </c>
      <c r="I14" s="186"/>
      <c r="J14" s="187"/>
      <c r="K14" s="188"/>
      <c r="L14" s="154">
        <f t="shared" si="1"/>
        <v>0</v>
      </c>
      <c r="M14" s="186"/>
      <c r="N14" s="187"/>
      <c r="O14" s="188"/>
      <c r="P14" s="154">
        <f t="shared" si="2"/>
        <v>0</v>
      </c>
      <c r="Q14" s="186"/>
      <c r="R14" s="189"/>
      <c r="S14" s="188"/>
      <c r="T14" s="157"/>
      <c r="U14" s="188">
        <f t="shared" si="3"/>
        <v>0</v>
      </c>
    </row>
    <row r="15" spans="1:21" ht="40.049999999999997" hidden="1" customHeight="1" x14ac:dyDescent="0.45">
      <c r="A15" s="153" t="s">
        <v>8</v>
      </c>
      <c r="B15" s="154">
        <v>0.25694444444444398</v>
      </c>
      <c r="C15" s="155"/>
      <c r="D15" s="156"/>
      <c r="E15" s="186"/>
      <c r="F15" s="187"/>
      <c r="G15" s="188"/>
      <c r="H15" s="154">
        <f t="shared" si="0"/>
        <v>0</v>
      </c>
      <c r="I15" s="186"/>
      <c r="J15" s="187"/>
      <c r="K15" s="188"/>
      <c r="L15" s="154">
        <f t="shared" si="1"/>
        <v>0</v>
      </c>
      <c r="M15" s="186"/>
      <c r="N15" s="187"/>
      <c r="O15" s="188"/>
      <c r="P15" s="154">
        <f t="shared" si="2"/>
        <v>0</v>
      </c>
      <c r="Q15" s="186"/>
      <c r="R15" s="189"/>
      <c r="S15" s="188"/>
      <c r="T15" s="157"/>
      <c r="U15" s="188">
        <f t="shared" si="3"/>
        <v>0</v>
      </c>
    </row>
    <row r="16" spans="1:21" ht="40.049999999999997" hidden="1" customHeight="1" x14ac:dyDescent="0.45">
      <c r="A16" s="153" t="s">
        <v>8</v>
      </c>
      <c r="B16" s="154">
        <v>0.26388888888888901</v>
      </c>
      <c r="C16" s="155"/>
      <c r="D16" s="156"/>
      <c r="E16" s="186"/>
      <c r="F16" s="187"/>
      <c r="G16" s="188"/>
      <c r="H16" s="154">
        <f t="shared" si="0"/>
        <v>0</v>
      </c>
      <c r="I16" s="186"/>
      <c r="J16" s="187"/>
      <c r="K16" s="188"/>
      <c r="L16" s="154">
        <f t="shared" si="1"/>
        <v>0</v>
      </c>
      <c r="M16" s="186"/>
      <c r="N16" s="187"/>
      <c r="O16" s="188"/>
      <c r="P16" s="154">
        <f t="shared" si="2"/>
        <v>0</v>
      </c>
      <c r="Q16" s="186"/>
      <c r="R16" s="189"/>
      <c r="S16" s="188"/>
      <c r="T16" s="157"/>
      <c r="U16" s="188">
        <f t="shared" si="3"/>
        <v>0</v>
      </c>
    </row>
    <row r="17" spans="1:21" ht="40.049999999999997" hidden="1" customHeight="1" x14ac:dyDescent="0.45">
      <c r="A17" s="153" t="s">
        <v>8</v>
      </c>
      <c r="B17" s="154">
        <v>0.27083333333333298</v>
      </c>
      <c r="C17" s="155"/>
      <c r="D17" s="156"/>
      <c r="E17" s="186"/>
      <c r="F17" s="187"/>
      <c r="G17" s="188"/>
      <c r="H17" s="154">
        <f t="shared" si="0"/>
        <v>0</v>
      </c>
      <c r="I17" s="186"/>
      <c r="J17" s="187"/>
      <c r="K17" s="188"/>
      <c r="L17" s="154">
        <f t="shared" si="1"/>
        <v>0</v>
      </c>
      <c r="M17" s="186"/>
      <c r="N17" s="187"/>
      <c r="O17" s="188"/>
      <c r="P17" s="154">
        <f t="shared" si="2"/>
        <v>0</v>
      </c>
      <c r="Q17" s="186"/>
      <c r="R17" s="189"/>
      <c r="S17" s="188"/>
      <c r="T17" s="157"/>
      <c r="U17" s="188">
        <f t="shared" si="3"/>
        <v>0</v>
      </c>
    </row>
    <row r="18" spans="1:21" ht="40.049999999999997" hidden="1" customHeight="1" x14ac:dyDescent="0.45">
      <c r="A18" s="153" t="s">
        <v>8</v>
      </c>
      <c r="B18" s="154">
        <v>0.27777777777777801</v>
      </c>
      <c r="C18" s="155"/>
      <c r="D18" s="156"/>
      <c r="E18" s="186"/>
      <c r="F18" s="187"/>
      <c r="G18" s="188"/>
      <c r="H18" s="154">
        <f t="shared" si="0"/>
        <v>0</v>
      </c>
      <c r="I18" s="186"/>
      <c r="J18" s="187"/>
      <c r="K18" s="188"/>
      <c r="L18" s="154">
        <f t="shared" si="1"/>
        <v>0</v>
      </c>
      <c r="M18" s="186"/>
      <c r="N18" s="187"/>
      <c r="O18" s="188"/>
      <c r="P18" s="154">
        <f t="shared" si="2"/>
        <v>0</v>
      </c>
      <c r="Q18" s="186"/>
      <c r="R18" s="189"/>
      <c r="S18" s="188"/>
      <c r="T18" s="157"/>
      <c r="U18" s="188">
        <f t="shared" si="3"/>
        <v>0</v>
      </c>
    </row>
    <row r="19" spans="1:21" ht="40.049999999999997" hidden="1" customHeight="1" x14ac:dyDescent="0.45">
      <c r="A19" s="153" t="s">
        <v>8</v>
      </c>
      <c r="B19" s="154">
        <v>0.28472222222222199</v>
      </c>
      <c r="C19" s="155"/>
      <c r="D19" s="156"/>
      <c r="E19" s="186"/>
      <c r="F19" s="187"/>
      <c r="G19" s="188"/>
      <c r="H19" s="154">
        <f t="shared" si="0"/>
        <v>0</v>
      </c>
      <c r="I19" s="186"/>
      <c r="J19" s="187"/>
      <c r="K19" s="188"/>
      <c r="L19" s="154">
        <f t="shared" si="1"/>
        <v>0</v>
      </c>
      <c r="M19" s="186"/>
      <c r="N19" s="187"/>
      <c r="O19" s="188"/>
      <c r="P19" s="154">
        <f t="shared" si="2"/>
        <v>0</v>
      </c>
      <c r="Q19" s="186"/>
      <c r="R19" s="189"/>
      <c r="S19" s="188"/>
      <c r="T19" s="157"/>
      <c r="U19" s="188">
        <f t="shared" si="3"/>
        <v>0</v>
      </c>
    </row>
    <row r="20" spans="1:21" ht="40.049999999999997" customHeight="1" x14ac:dyDescent="0.45">
      <c r="A20" s="153" t="s">
        <v>8</v>
      </c>
      <c r="B20" s="154">
        <v>0.29166666666666702</v>
      </c>
      <c r="C20" s="155"/>
      <c r="D20" s="156"/>
      <c r="E20" s="186"/>
      <c r="F20" s="187"/>
      <c r="G20" s="188"/>
      <c r="H20" s="154">
        <f t="shared" si="0"/>
        <v>0</v>
      </c>
      <c r="I20" s="186"/>
      <c r="J20" s="187"/>
      <c r="K20" s="188"/>
      <c r="L20" s="154">
        <f t="shared" si="1"/>
        <v>0</v>
      </c>
      <c r="M20" s="186"/>
      <c r="N20" s="187"/>
      <c r="O20" s="188"/>
      <c r="P20" s="154">
        <f t="shared" si="2"/>
        <v>0</v>
      </c>
      <c r="Q20" s="186"/>
      <c r="R20" s="189"/>
      <c r="S20" s="188"/>
      <c r="T20" s="157"/>
      <c r="U20" s="188">
        <f t="shared" si="3"/>
        <v>0</v>
      </c>
    </row>
    <row r="21" spans="1:21" ht="40.049999999999997" hidden="1" customHeight="1" x14ac:dyDescent="0.45">
      <c r="A21" s="153" t="s">
        <v>8</v>
      </c>
      <c r="B21" s="154">
        <v>0.29861111111111099</v>
      </c>
      <c r="C21" s="155"/>
      <c r="D21" s="156"/>
      <c r="E21" s="186"/>
      <c r="F21" s="187"/>
      <c r="G21" s="188"/>
      <c r="H21" s="154">
        <f t="shared" si="0"/>
        <v>0</v>
      </c>
      <c r="I21" s="186"/>
      <c r="J21" s="187"/>
      <c r="K21" s="188"/>
      <c r="L21" s="154">
        <f t="shared" si="1"/>
        <v>0</v>
      </c>
      <c r="M21" s="186"/>
      <c r="N21" s="187"/>
      <c r="O21" s="188"/>
      <c r="P21" s="154">
        <f t="shared" si="2"/>
        <v>0</v>
      </c>
      <c r="Q21" s="186"/>
      <c r="R21" s="189"/>
      <c r="S21" s="188"/>
      <c r="T21" s="157"/>
      <c r="U21" s="188">
        <f t="shared" si="3"/>
        <v>0</v>
      </c>
    </row>
    <row r="22" spans="1:21" ht="40.049999999999997" hidden="1" customHeight="1" x14ac:dyDescent="0.45">
      <c r="A22" s="153" t="s">
        <v>8</v>
      </c>
      <c r="B22" s="154">
        <v>0.30555555555555602</v>
      </c>
      <c r="C22" s="155"/>
      <c r="D22" s="156"/>
      <c r="E22" s="186"/>
      <c r="F22" s="187"/>
      <c r="G22" s="188"/>
      <c r="H22" s="154">
        <f t="shared" si="0"/>
        <v>0</v>
      </c>
      <c r="I22" s="186"/>
      <c r="J22" s="187"/>
      <c r="K22" s="188"/>
      <c r="L22" s="154">
        <f t="shared" si="1"/>
        <v>0</v>
      </c>
      <c r="M22" s="186"/>
      <c r="N22" s="187"/>
      <c r="O22" s="188"/>
      <c r="P22" s="154">
        <f t="shared" si="2"/>
        <v>0</v>
      </c>
      <c r="Q22" s="186"/>
      <c r="R22" s="189"/>
      <c r="S22" s="188"/>
      <c r="T22" s="157"/>
      <c r="U22" s="188">
        <f t="shared" si="3"/>
        <v>0</v>
      </c>
    </row>
    <row r="23" spans="1:21" ht="40.049999999999997" hidden="1" customHeight="1" x14ac:dyDescent="0.45">
      <c r="A23" s="153" t="s">
        <v>8</v>
      </c>
      <c r="B23" s="154">
        <v>0.3125</v>
      </c>
      <c r="C23" s="155"/>
      <c r="D23" s="156"/>
      <c r="E23" s="186"/>
      <c r="F23" s="187"/>
      <c r="G23" s="188"/>
      <c r="H23" s="154">
        <f t="shared" si="0"/>
        <v>0</v>
      </c>
      <c r="I23" s="186"/>
      <c r="J23" s="187"/>
      <c r="K23" s="188"/>
      <c r="L23" s="154">
        <f t="shared" si="1"/>
        <v>0</v>
      </c>
      <c r="M23" s="186"/>
      <c r="N23" s="187"/>
      <c r="O23" s="188"/>
      <c r="P23" s="154">
        <f t="shared" si="2"/>
        <v>0</v>
      </c>
      <c r="Q23" s="186"/>
      <c r="R23" s="189"/>
      <c r="S23" s="188"/>
      <c r="T23" s="157"/>
      <c r="U23" s="188">
        <f t="shared" si="3"/>
        <v>0</v>
      </c>
    </row>
    <row r="24" spans="1:21" ht="40.049999999999997" hidden="1" customHeight="1" x14ac:dyDescent="0.45">
      <c r="A24" s="153" t="s">
        <v>8</v>
      </c>
      <c r="B24" s="154">
        <v>0.31944444444444398</v>
      </c>
      <c r="C24" s="155"/>
      <c r="D24" s="156"/>
      <c r="E24" s="186"/>
      <c r="F24" s="187"/>
      <c r="G24" s="188"/>
      <c r="H24" s="154">
        <f t="shared" si="0"/>
        <v>0</v>
      </c>
      <c r="I24" s="186"/>
      <c r="J24" s="187"/>
      <c r="K24" s="188"/>
      <c r="L24" s="154">
        <f t="shared" si="1"/>
        <v>0</v>
      </c>
      <c r="M24" s="186"/>
      <c r="N24" s="187"/>
      <c r="O24" s="188"/>
      <c r="P24" s="154">
        <f t="shared" si="2"/>
        <v>0</v>
      </c>
      <c r="Q24" s="186"/>
      <c r="R24" s="189"/>
      <c r="S24" s="188"/>
      <c r="T24" s="157"/>
      <c r="U24" s="188">
        <f t="shared" si="3"/>
        <v>0</v>
      </c>
    </row>
    <row r="25" spans="1:21" ht="40.049999999999997" hidden="1" customHeight="1" x14ac:dyDescent="0.45">
      <c r="A25" s="153" t="s">
        <v>8</v>
      </c>
      <c r="B25" s="154">
        <v>0.32638888888888901</v>
      </c>
      <c r="C25" s="155"/>
      <c r="D25" s="156"/>
      <c r="E25" s="186"/>
      <c r="F25" s="187"/>
      <c r="G25" s="188"/>
      <c r="H25" s="154">
        <f t="shared" si="0"/>
        <v>0</v>
      </c>
      <c r="I25" s="186"/>
      <c r="J25" s="187"/>
      <c r="K25" s="188"/>
      <c r="L25" s="154">
        <f t="shared" si="1"/>
        <v>0</v>
      </c>
      <c r="M25" s="186"/>
      <c r="N25" s="187"/>
      <c r="O25" s="188"/>
      <c r="P25" s="154">
        <f t="shared" si="2"/>
        <v>0</v>
      </c>
      <c r="Q25" s="186"/>
      <c r="R25" s="189"/>
      <c r="S25" s="188"/>
      <c r="T25" s="157"/>
      <c r="U25" s="188">
        <f t="shared" si="3"/>
        <v>0</v>
      </c>
    </row>
    <row r="26" spans="1:21" ht="40.049999999999997" hidden="1" customHeight="1" x14ac:dyDescent="0.45">
      <c r="A26" s="153" t="s">
        <v>8</v>
      </c>
      <c r="B26" s="154">
        <v>0.33333333333333298</v>
      </c>
      <c r="C26" s="155"/>
      <c r="D26" s="156"/>
      <c r="E26" s="186"/>
      <c r="F26" s="187"/>
      <c r="G26" s="188"/>
      <c r="H26" s="154">
        <f t="shared" si="0"/>
        <v>0</v>
      </c>
      <c r="I26" s="186"/>
      <c r="J26" s="187"/>
      <c r="K26" s="188"/>
      <c r="L26" s="154">
        <f t="shared" si="1"/>
        <v>0</v>
      </c>
      <c r="M26" s="186"/>
      <c r="N26" s="187"/>
      <c r="O26" s="188"/>
      <c r="P26" s="154">
        <f t="shared" si="2"/>
        <v>0</v>
      </c>
      <c r="Q26" s="186"/>
      <c r="R26" s="189"/>
      <c r="S26" s="188"/>
      <c r="T26" s="157"/>
      <c r="U26" s="188">
        <f t="shared" si="3"/>
        <v>0</v>
      </c>
    </row>
    <row r="27" spans="1:21" ht="29.55" customHeight="1" x14ac:dyDescent="0.45">
      <c r="A27" s="158"/>
      <c r="B27" s="159"/>
      <c r="C27" s="160"/>
      <c r="D27" s="161"/>
      <c r="E27" s="158"/>
      <c r="F27" s="190"/>
      <c r="G27" s="191"/>
      <c r="H27" s="192"/>
      <c r="I27" s="193"/>
      <c r="J27" s="194"/>
      <c r="K27" s="191"/>
      <c r="L27" s="159"/>
      <c r="M27" s="193"/>
      <c r="N27" s="194"/>
      <c r="O27" s="191"/>
      <c r="P27" s="159"/>
      <c r="Q27" s="193" t="s">
        <v>8</v>
      </c>
      <c r="R27" s="195"/>
      <c r="S27" s="191"/>
      <c r="T27" s="162"/>
      <c r="U27" s="191">
        <f>SUM(U8:U26)</f>
        <v>0</v>
      </c>
    </row>
    <row r="28" spans="1:21" ht="39.5" hidden="1" customHeight="1" x14ac:dyDescent="0.45">
      <c r="A28" s="163" t="s">
        <v>11</v>
      </c>
      <c r="B28" s="154">
        <v>0.625</v>
      </c>
      <c r="C28" s="155"/>
      <c r="D28" s="164"/>
      <c r="E28" s="153"/>
      <c r="F28" s="196"/>
      <c r="G28" s="188"/>
      <c r="H28" s="154">
        <f t="shared" si="0"/>
        <v>0</v>
      </c>
      <c r="I28" s="186"/>
      <c r="J28" s="187"/>
      <c r="K28" s="188"/>
      <c r="L28" s="154">
        <f t="shared" ref="L28:L46" si="4">K28-G28</f>
        <v>0</v>
      </c>
      <c r="M28" s="186"/>
      <c r="N28" s="187"/>
      <c r="O28" s="188"/>
      <c r="P28" s="154">
        <f t="shared" ref="P28:P46" si="5">O28-K28</f>
        <v>0</v>
      </c>
      <c r="Q28" s="186"/>
      <c r="R28" s="189"/>
      <c r="S28" s="188"/>
      <c r="T28" s="157"/>
      <c r="U28" s="188">
        <f t="shared" si="3"/>
        <v>0</v>
      </c>
    </row>
    <row r="29" spans="1:21" ht="39.5" hidden="1" customHeight="1" x14ac:dyDescent="0.45">
      <c r="A29" s="163" t="s">
        <v>11</v>
      </c>
      <c r="B29" s="154">
        <v>0.63194444444444442</v>
      </c>
      <c r="C29" s="155"/>
      <c r="D29" s="164"/>
      <c r="E29" s="153"/>
      <c r="F29" s="196"/>
      <c r="G29" s="188"/>
      <c r="H29" s="154">
        <f t="shared" si="0"/>
        <v>0</v>
      </c>
      <c r="I29" s="186"/>
      <c r="J29" s="187"/>
      <c r="K29" s="188"/>
      <c r="L29" s="154">
        <f t="shared" si="4"/>
        <v>0</v>
      </c>
      <c r="M29" s="186"/>
      <c r="N29" s="187"/>
      <c r="O29" s="188"/>
      <c r="P29" s="154">
        <f t="shared" si="5"/>
        <v>0</v>
      </c>
      <c r="Q29" s="186"/>
      <c r="R29" s="189"/>
      <c r="S29" s="188"/>
      <c r="T29" s="157"/>
      <c r="U29" s="188">
        <f t="shared" si="3"/>
        <v>0</v>
      </c>
    </row>
    <row r="30" spans="1:21" ht="39.5" hidden="1" customHeight="1" x14ac:dyDescent="0.45">
      <c r="A30" s="163" t="s">
        <v>11</v>
      </c>
      <c r="B30" s="154">
        <v>0.63888888888888895</v>
      </c>
      <c r="C30" s="155"/>
      <c r="D30" s="164"/>
      <c r="E30" s="153"/>
      <c r="F30" s="196"/>
      <c r="G30" s="188"/>
      <c r="H30" s="154">
        <f t="shared" si="0"/>
        <v>0</v>
      </c>
      <c r="I30" s="186"/>
      <c r="J30" s="187"/>
      <c r="K30" s="188"/>
      <c r="L30" s="154">
        <f t="shared" si="4"/>
        <v>0</v>
      </c>
      <c r="M30" s="186"/>
      <c r="N30" s="187"/>
      <c r="O30" s="188"/>
      <c r="P30" s="154">
        <f t="shared" si="5"/>
        <v>0</v>
      </c>
      <c r="Q30" s="186"/>
      <c r="R30" s="189"/>
      <c r="S30" s="188"/>
      <c r="T30" s="157"/>
      <c r="U30" s="188">
        <f t="shared" si="3"/>
        <v>0</v>
      </c>
    </row>
    <row r="31" spans="1:21" ht="39.5" hidden="1" customHeight="1" x14ac:dyDescent="0.45">
      <c r="A31" s="163" t="s">
        <v>11</v>
      </c>
      <c r="B31" s="154">
        <v>0.64583333333333304</v>
      </c>
      <c r="C31" s="155"/>
      <c r="D31" s="164"/>
      <c r="E31" s="153"/>
      <c r="F31" s="196"/>
      <c r="G31" s="188"/>
      <c r="H31" s="154">
        <f t="shared" si="0"/>
        <v>0</v>
      </c>
      <c r="I31" s="186"/>
      <c r="J31" s="187"/>
      <c r="K31" s="188"/>
      <c r="L31" s="154">
        <f t="shared" si="4"/>
        <v>0</v>
      </c>
      <c r="M31" s="186"/>
      <c r="N31" s="187"/>
      <c r="O31" s="188"/>
      <c r="P31" s="154">
        <f t="shared" si="5"/>
        <v>0</v>
      </c>
      <c r="Q31" s="186"/>
      <c r="R31" s="189"/>
      <c r="S31" s="188"/>
      <c r="T31" s="157"/>
      <c r="U31" s="188">
        <f t="shared" si="3"/>
        <v>0</v>
      </c>
    </row>
    <row r="32" spans="1:21" ht="39.5" hidden="1" customHeight="1" x14ac:dyDescent="0.45">
      <c r="A32" s="163" t="s">
        <v>11</v>
      </c>
      <c r="B32" s="154">
        <v>0.65277777777777801</v>
      </c>
      <c r="C32" s="155"/>
      <c r="D32" s="164"/>
      <c r="E32" s="153"/>
      <c r="F32" s="196"/>
      <c r="G32" s="188"/>
      <c r="H32" s="154">
        <f t="shared" si="0"/>
        <v>0</v>
      </c>
      <c r="I32" s="186"/>
      <c r="J32" s="187"/>
      <c r="K32" s="188"/>
      <c r="L32" s="154">
        <f t="shared" si="4"/>
        <v>0</v>
      </c>
      <c r="M32" s="186"/>
      <c r="N32" s="187"/>
      <c r="O32" s="188"/>
      <c r="P32" s="154">
        <f t="shared" si="5"/>
        <v>0</v>
      </c>
      <c r="Q32" s="186"/>
      <c r="R32" s="189"/>
      <c r="S32" s="188"/>
      <c r="T32" s="157"/>
      <c r="U32" s="188">
        <f t="shared" si="3"/>
        <v>0</v>
      </c>
    </row>
    <row r="33" spans="1:21" ht="39.5" hidden="1" customHeight="1" x14ac:dyDescent="0.45">
      <c r="A33" s="163" t="s">
        <v>11</v>
      </c>
      <c r="B33" s="154">
        <v>0.65972222222222199</v>
      </c>
      <c r="C33" s="155"/>
      <c r="D33" s="164"/>
      <c r="E33" s="153"/>
      <c r="F33" s="196"/>
      <c r="G33" s="188"/>
      <c r="H33" s="154">
        <f t="shared" si="0"/>
        <v>0</v>
      </c>
      <c r="I33" s="186"/>
      <c r="J33" s="187"/>
      <c r="K33" s="188"/>
      <c r="L33" s="154">
        <f t="shared" si="4"/>
        <v>0</v>
      </c>
      <c r="M33" s="186"/>
      <c r="N33" s="187"/>
      <c r="O33" s="188"/>
      <c r="P33" s="154">
        <f t="shared" si="5"/>
        <v>0</v>
      </c>
      <c r="Q33" s="186"/>
      <c r="R33" s="189"/>
      <c r="S33" s="188"/>
      <c r="T33" s="157"/>
      <c r="U33" s="188">
        <f t="shared" si="3"/>
        <v>0</v>
      </c>
    </row>
    <row r="34" spans="1:21" ht="39.5" hidden="1" customHeight="1" x14ac:dyDescent="0.45">
      <c r="A34" s="163" t="s">
        <v>11</v>
      </c>
      <c r="B34" s="154">
        <v>0.66666666666666696</v>
      </c>
      <c r="C34" s="155"/>
      <c r="D34" s="164"/>
      <c r="E34" s="153"/>
      <c r="F34" s="196"/>
      <c r="G34" s="188"/>
      <c r="H34" s="154">
        <f t="shared" si="0"/>
        <v>0</v>
      </c>
      <c r="I34" s="186"/>
      <c r="J34" s="187"/>
      <c r="K34" s="188"/>
      <c r="L34" s="154">
        <f t="shared" si="4"/>
        <v>0</v>
      </c>
      <c r="M34" s="186"/>
      <c r="N34" s="187"/>
      <c r="O34" s="188"/>
      <c r="P34" s="154">
        <f t="shared" si="5"/>
        <v>0</v>
      </c>
      <c r="Q34" s="186"/>
      <c r="R34" s="189"/>
      <c r="S34" s="188"/>
      <c r="T34" s="157"/>
      <c r="U34" s="188">
        <f t="shared" si="3"/>
        <v>0</v>
      </c>
    </row>
    <row r="35" spans="1:21" ht="39.5" hidden="1" customHeight="1" x14ac:dyDescent="0.45">
      <c r="A35" s="163" t="s">
        <v>11</v>
      </c>
      <c r="B35" s="154">
        <v>0.67361111111111105</v>
      </c>
      <c r="C35" s="155"/>
      <c r="D35" s="164"/>
      <c r="E35" s="153"/>
      <c r="F35" s="196"/>
      <c r="G35" s="188"/>
      <c r="H35" s="154">
        <f t="shared" si="0"/>
        <v>0</v>
      </c>
      <c r="I35" s="186"/>
      <c r="J35" s="187"/>
      <c r="K35" s="188"/>
      <c r="L35" s="154">
        <f t="shared" si="4"/>
        <v>0</v>
      </c>
      <c r="M35" s="186"/>
      <c r="N35" s="187"/>
      <c r="O35" s="188"/>
      <c r="P35" s="154">
        <f t="shared" si="5"/>
        <v>0</v>
      </c>
      <c r="Q35" s="186"/>
      <c r="R35" s="189"/>
      <c r="S35" s="188"/>
      <c r="T35" s="157"/>
      <c r="U35" s="188">
        <f t="shared" si="3"/>
        <v>0</v>
      </c>
    </row>
    <row r="36" spans="1:21" ht="39.5" hidden="1" customHeight="1" x14ac:dyDescent="0.45">
      <c r="A36" s="163" t="s">
        <v>11</v>
      </c>
      <c r="B36" s="154">
        <v>0.68055555555555503</v>
      </c>
      <c r="C36" s="155"/>
      <c r="D36" s="164"/>
      <c r="E36" s="153"/>
      <c r="F36" s="196"/>
      <c r="G36" s="188"/>
      <c r="H36" s="154">
        <f t="shared" si="0"/>
        <v>0</v>
      </c>
      <c r="I36" s="186"/>
      <c r="J36" s="187"/>
      <c r="K36" s="188"/>
      <c r="L36" s="154">
        <f t="shared" si="4"/>
        <v>0</v>
      </c>
      <c r="M36" s="186"/>
      <c r="N36" s="187"/>
      <c r="O36" s="188"/>
      <c r="P36" s="154">
        <f t="shared" si="5"/>
        <v>0</v>
      </c>
      <c r="Q36" s="186"/>
      <c r="R36" s="189"/>
      <c r="S36" s="188"/>
      <c r="T36" s="157"/>
      <c r="U36" s="188">
        <f t="shared" si="3"/>
        <v>0</v>
      </c>
    </row>
    <row r="37" spans="1:21" ht="39.5" hidden="1" customHeight="1" x14ac:dyDescent="0.45">
      <c r="A37" s="163" t="s">
        <v>11</v>
      </c>
      <c r="B37" s="154">
        <v>0.6875</v>
      </c>
      <c r="C37" s="155"/>
      <c r="D37" s="164"/>
      <c r="E37" s="153"/>
      <c r="F37" s="196"/>
      <c r="G37" s="188"/>
      <c r="H37" s="154">
        <f t="shared" si="0"/>
        <v>0</v>
      </c>
      <c r="I37" s="186"/>
      <c r="J37" s="187"/>
      <c r="K37" s="188"/>
      <c r="L37" s="154">
        <f t="shared" si="4"/>
        <v>0</v>
      </c>
      <c r="M37" s="186"/>
      <c r="N37" s="187"/>
      <c r="O37" s="188"/>
      <c r="P37" s="154">
        <f t="shared" si="5"/>
        <v>0</v>
      </c>
      <c r="Q37" s="186"/>
      <c r="R37" s="189"/>
      <c r="S37" s="188"/>
      <c r="T37" s="157"/>
      <c r="U37" s="188">
        <f t="shared" si="3"/>
        <v>0</v>
      </c>
    </row>
    <row r="38" spans="1:21" ht="39.5" hidden="1" customHeight="1" x14ac:dyDescent="0.45">
      <c r="A38" s="163" t="s">
        <v>11</v>
      </c>
      <c r="B38" s="154">
        <v>0.69444444444444398</v>
      </c>
      <c r="C38" s="155"/>
      <c r="D38" s="164"/>
      <c r="E38" s="153"/>
      <c r="F38" s="196"/>
      <c r="G38" s="188"/>
      <c r="H38" s="154">
        <f t="shared" si="0"/>
        <v>0</v>
      </c>
      <c r="I38" s="186"/>
      <c r="J38" s="187"/>
      <c r="K38" s="188"/>
      <c r="L38" s="154">
        <f t="shared" si="4"/>
        <v>0</v>
      </c>
      <c r="M38" s="186"/>
      <c r="N38" s="187"/>
      <c r="O38" s="188"/>
      <c r="P38" s="154">
        <f t="shared" si="5"/>
        <v>0</v>
      </c>
      <c r="Q38" s="186"/>
      <c r="R38" s="189"/>
      <c r="S38" s="188"/>
      <c r="T38" s="157"/>
      <c r="U38" s="188">
        <f t="shared" si="3"/>
        <v>0</v>
      </c>
    </row>
    <row r="39" spans="1:21" ht="39.5" hidden="1" customHeight="1" x14ac:dyDescent="0.45">
      <c r="A39" s="163" t="s">
        <v>11</v>
      </c>
      <c r="B39" s="154">
        <v>0.70138888888888895</v>
      </c>
      <c r="C39" s="155"/>
      <c r="D39" s="164"/>
      <c r="E39" s="153"/>
      <c r="F39" s="196"/>
      <c r="G39" s="188"/>
      <c r="H39" s="154">
        <f t="shared" si="0"/>
        <v>0</v>
      </c>
      <c r="I39" s="186"/>
      <c r="J39" s="187"/>
      <c r="K39" s="188"/>
      <c r="L39" s="154">
        <f t="shared" si="4"/>
        <v>0</v>
      </c>
      <c r="M39" s="186"/>
      <c r="N39" s="187"/>
      <c r="O39" s="188"/>
      <c r="P39" s="154">
        <f t="shared" si="5"/>
        <v>0</v>
      </c>
      <c r="Q39" s="186"/>
      <c r="R39" s="189"/>
      <c r="S39" s="188"/>
      <c r="T39" s="157"/>
      <c r="U39" s="188">
        <f t="shared" si="3"/>
        <v>0</v>
      </c>
    </row>
    <row r="40" spans="1:21" ht="39.5" hidden="1" customHeight="1" x14ac:dyDescent="0.45">
      <c r="A40" s="163" t="s">
        <v>11</v>
      </c>
      <c r="B40" s="154">
        <v>0.70833333333333304</v>
      </c>
      <c r="C40" s="155"/>
      <c r="D40" s="164"/>
      <c r="E40" s="153"/>
      <c r="F40" s="196"/>
      <c r="G40" s="188"/>
      <c r="H40" s="154">
        <f t="shared" si="0"/>
        <v>0</v>
      </c>
      <c r="I40" s="186"/>
      <c r="J40" s="187"/>
      <c r="K40" s="188"/>
      <c r="L40" s="154">
        <f t="shared" si="4"/>
        <v>0</v>
      </c>
      <c r="M40" s="186"/>
      <c r="N40" s="187"/>
      <c r="O40" s="188"/>
      <c r="P40" s="154">
        <f t="shared" si="5"/>
        <v>0</v>
      </c>
      <c r="Q40" s="186"/>
      <c r="R40" s="189"/>
      <c r="S40" s="188"/>
      <c r="T40" s="157"/>
      <c r="U40" s="188">
        <f t="shared" si="3"/>
        <v>0</v>
      </c>
    </row>
    <row r="41" spans="1:21" ht="39.5" hidden="1" customHeight="1" x14ac:dyDescent="0.45">
      <c r="A41" s="163" t="s">
        <v>11</v>
      </c>
      <c r="B41" s="154">
        <v>0.71527777777777701</v>
      </c>
      <c r="C41" s="155"/>
      <c r="D41" s="164"/>
      <c r="E41" s="153"/>
      <c r="F41" s="196"/>
      <c r="G41" s="188"/>
      <c r="H41" s="154">
        <f t="shared" si="0"/>
        <v>0</v>
      </c>
      <c r="I41" s="186"/>
      <c r="J41" s="187"/>
      <c r="K41" s="188"/>
      <c r="L41" s="154">
        <f t="shared" si="4"/>
        <v>0</v>
      </c>
      <c r="M41" s="186"/>
      <c r="N41" s="187"/>
      <c r="O41" s="188"/>
      <c r="P41" s="154">
        <f t="shared" si="5"/>
        <v>0</v>
      </c>
      <c r="Q41" s="186"/>
      <c r="R41" s="189"/>
      <c r="S41" s="188"/>
      <c r="T41" s="157"/>
      <c r="U41" s="188">
        <f t="shared" si="3"/>
        <v>0</v>
      </c>
    </row>
    <row r="42" spans="1:21" ht="39.5" hidden="1" customHeight="1" x14ac:dyDescent="0.45">
      <c r="A42" s="163" t="s">
        <v>11</v>
      </c>
      <c r="B42" s="154">
        <v>0.72222222222222199</v>
      </c>
      <c r="C42" s="155"/>
      <c r="D42" s="164"/>
      <c r="E42" s="153"/>
      <c r="F42" s="196"/>
      <c r="G42" s="188"/>
      <c r="H42" s="154">
        <f t="shared" si="0"/>
        <v>0</v>
      </c>
      <c r="I42" s="186"/>
      <c r="J42" s="187"/>
      <c r="K42" s="188"/>
      <c r="L42" s="154">
        <f t="shared" si="4"/>
        <v>0</v>
      </c>
      <c r="M42" s="186"/>
      <c r="N42" s="187"/>
      <c r="O42" s="188"/>
      <c r="P42" s="154">
        <f t="shared" si="5"/>
        <v>0</v>
      </c>
      <c r="Q42" s="186"/>
      <c r="R42" s="189"/>
      <c r="S42" s="188"/>
      <c r="T42" s="157"/>
      <c r="U42" s="188">
        <f t="shared" si="3"/>
        <v>0</v>
      </c>
    </row>
    <row r="43" spans="1:21" ht="39.5" hidden="1" customHeight="1" x14ac:dyDescent="0.45">
      <c r="A43" s="163" t="s">
        <v>11</v>
      </c>
      <c r="B43" s="154">
        <v>0.72916666666666596</v>
      </c>
      <c r="C43" s="155"/>
      <c r="D43" s="164"/>
      <c r="E43" s="153"/>
      <c r="F43" s="196"/>
      <c r="G43" s="188"/>
      <c r="H43" s="154">
        <f t="shared" si="0"/>
        <v>0</v>
      </c>
      <c r="I43" s="186"/>
      <c r="J43" s="187"/>
      <c r="K43" s="188"/>
      <c r="L43" s="154">
        <f t="shared" si="4"/>
        <v>0</v>
      </c>
      <c r="M43" s="186"/>
      <c r="N43" s="187"/>
      <c r="O43" s="188"/>
      <c r="P43" s="154">
        <f t="shared" si="5"/>
        <v>0</v>
      </c>
      <c r="Q43" s="186"/>
      <c r="R43" s="189"/>
      <c r="S43" s="188"/>
      <c r="T43" s="157"/>
      <c r="U43" s="188">
        <f t="shared" si="3"/>
        <v>0</v>
      </c>
    </row>
    <row r="44" spans="1:21" ht="39.5" hidden="1" customHeight="1" x14ac:dyDescent="0.45">
      <c r="A44" s="163" t="s">
        <v>11</v>
      </c>
      <c r="B44" s="154">
        <v>0.73611111111111105</v>
      </c>
      <c r="C44" s="155"/>
      <c r="D44" s="164"/>
      <c r="E44" s="153"/>
      <c r="F44" s="196"/>
      <c r="G44" s="188"/>
      <c r="H44" s="154">
        <f t="shared" si="0"/>
        <v>0</v>
      </c>
      <c r="I44" s="186"/>
      <c r="J44" s="187"/>
      <c r="K44" s="188"/>
      <c r="L44" s="154">
        <f t="shared" si="4"/>
        <v>0</v>
      </c>
      <c r="M44" s="186"/>
      <c r="N44" s="187"/>
      <c r="O44" s="188"/>
      <c r="P44" s="154">
        <f t="shared" si="5"/>
        <v>0</v>
      </c>
      <c r="Q44" s="186"/>
      <c r="R44" s="189"/>
      <c r="S44" s="188"/>
      <c r="T44" s="157"/>
      <c r="U44" s="188">
        <f t="shared" si="3"/>
        <v>0</v>
      </c>
    </row>
    <row r="45" spans="1:21" ht="39.5" hidden="1" customHeight="1" x14ac:dyDescent="0.45">
      <c r="A45" s="163" t="s">
        <v>11</v>
      </c>
      <c r="B45" s="154">
        <v>0.74305555555555503</v>
      </c>
      <c r="C45" s="155"/>
      <c r="D45" s="164"/>
      <c r="E45" s="153"/>
      <c r="F45" s="196"/>
      <c r="G45" s="188"/>
      <c r="H45" s="154">
        <f t="shared" si="0"/>
        <v>0</v>
      </c>
      <c r="I45" s="186"/>
      <c r="J45" s="187"/>
      <c r="K45" s="188"/>
      <c r="L45" s="154">
        <f t="shared" si="4"/>
        <v>0</v>
      </c>
      <c r="M45" s="186"/>
      <c r="N45" s="187"/>
      <c r="O45" s="188"/>
      <c r="P45" s="154">
        <f t="shared" si="5"/>
        <v>0</v>
      </c>
      <c r="Q45" s="186"/>
      <c r="R45" s="189"/>
      <c r="S45" s="188"/>
      <c r="T45" s="157"/>
      <c r="U45" s="188">
        <f t="shared" si="3"/>
        <v>0</v>
      </c>
    </row>
    <row r="46" spans="1:21" ht="39.5" hidden="1" customHeight="1" x14ac:dyDescent="0.45">
      <c r="A46" s="165" t="s">
        <v>11</v>
      </c>
      <c r="B46" s="166">
        <v>0.75</v>
      </c>
      <c r="C46" s="167"/>
      <c r="D46" s="168"/>
      <c r="E46" s="145"/>
      <c r="F46" s="170"/>
      <c r="G46" s="203"/>
      <c r="H46" s="154">
        <f t="shared" si="0"/>
        <v>0</v>
      </c>
      <c r="I46" s="204"/>
      <c r="J46" s="205"/>
      <c r="K46" s="203"/>
      <c r="L46" s="154">
        <f t="shared" si="4"/>
        <v>0</v>
      </c>
      <c r="M46" s="204"/>
      <c r="N46" s="205"/>
      <c r="O46" s="203"/>
      <c r="P46" s="154">
        <f t="shared" si="5"/>
        <v>0</v>
      </c>
      <c r="Q46" s="204"/>
      <c r="R46" s="206"/>
      <c r="S46" s="203"/>
      <c r="T46" s="148"/>
      <c r="U46" s="188">
        <f t="shared" si="3"/>
        <v>0</v>
      </c>
    </row>
    <row r="47" spans="1:21" x14ac:dyDescent="0.45">
      <c r="A47" s="145"/>
      <c r="B47" s="169"/>
      <c r="C47" s="170"/>
      <c r="D47" s="168"/>
      <c r="E47" s="145"/>
      <c r="F47" s="170"/>
      <c r="G47" s="203"/>
      <c r="H47" s="207"/>
      <c r="I47" s="204"/>
      <c r="J47" s="205"/>
      <c r="K47" s="203"/>
      <c r="L47" s="207"/>
      <c r="M47" s="204"/>
      <c r="N47" s="205"/>
      <c r="O47" s="203"/>
      <c r="P47" s="207"/>
      <c r="Q47" s="204"/>
      <c r="R47" s="206"/>
      <c r="S47" s="203"/>
      <c r="T47" s="148"/>
      <c r="U47" s="208">
        <f>SUM(U28:U46)</f>
        <v>0</v>
      </c>
    </row>
    <row r="48" spans="1:21" x14ac:dyDescent="0.45">
      <c r="U48" s="154">
        <f>U47+U27</f>
        <v>0</v>
      </c>
    </row>
    <row r="49" spans="3:9" x14ac:dyDescent="0.45">
      <c r="C49" s="137" t="s">
        <v>15</v>
      </c>
      <c r="I49" s="137" t="s">
        <v>16</v>
      </c>
    </row>
  </sheetData>
  <mergeCells count="4">
    <mergeCell ref="E6:G6"/>
    <mergeCell ref="I6:K6"/>
    <mergeCell ref="M6:O6"/>
    <mergeCell ref="B3:C3"/>
  </mergeCells>
  <pageMargins left="0.23622047244094491" right="0.23622047244094491" top="0.74803149606299213" bottom="0.74803149606299213" header="0.31496062992125984" footer="0.31496062992125984"/>
  <pageSetup paperSize="9" scale="87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DB5-CBA2-4647-B72B-24E0C7D4BE87}">
  <sheetPr>
    <pageSetUpPr fitToPage="1"/>
  </sheetPr>
  <dimension ref="A2:W49"/>
  <sheetViews>
    <sheetView topLeftCell="A8" zoomScaleNormal="100" zoomScaleSheetLayoutView="68" workbookViewId="0">
      <selection activeCell="B4" sqref="B4"/>
    </sheetView>
  </sheetViews>
  <sheetFormatPr baseColWidth="10" defaultColWidth="10.796875" defaultRowHeight="14.25" x14ac:dyDescent="0.45"/>
  <cols>
    <col min="1" max="1" width="13.6640625" style="137" customWidth="1"/>
    <col min="2" max="2" width="23.46484375" style="137" customWidth="1"/>
    <col min="3" max="3" width="27" style="137" customWidth="1"/>
    <col min="4" max="8" width="10.796875" style="137"/>
    <col min="9" max="9" width="0" style="137" hidden="1" customWidth="1"/>
    <col min="10" max="10" width="10.796875" style="137" hidden="1" customWidth="1"/>
    <col min="11" max="12" width="10.796875" style="137"/>
    <col min="13" max="13" width="0" style="137" hidden="1" customWidth="1"/>
    <col min="14" max="14" width="10.796875" style="137" hidden="1" customWidth="1"/>
    <col min="15" max="16" width="10.796875" style="137"/>
    <col min="17" max="17" width="0" style="137" hidden="1" customWidth="1"/>
    <col min="18" max="18" width="10.796875" style="137" hidden="1" customWidth="1"/>
    <col min="19" max="20" width="0" style="137" hidden="1" customWidth="1"/>
    <col min="21" max="21" width="19.796875" style="137" customWidth="1"/>
    <col min="22" max="22" width="34.796875" style="137" customWidth="1"/>
    <col min="23" max="23" width="0" style="137" hidden="1" customWidth="1"/>
    <col min="24" max="16384" width="10.796875" style="137"/>
  </cols>
  <sheetData>
    <row r="2" spans="1:23" ht="28.5" x14ac:dyDescent="0.45">
      <c r="A2" s="215" t="s">
        <v>21</v>
      </c>
      <c r="B2" s="238" t="s">
        <v>47</v>
      </c>
      <c r="C2" s="216" t="s">
        <v>32</v>
      </c>
    </row>
    <row r="3" spans="1:23" ht="29" customHeight="1" x14ac:dyDescent="0.45">
      <c r="A3" s="137" t="s">
        <v>14</v>
      </c>
      <c r="B3" s="460" t="str">
        <f>IF(ISBLANK(Feuil1!$B$3),"",Feuil1!$B$3)</f>
        <v/>
      </c>
      <c r="C3" s="471"/>
    </row>
    <row r="4" spans="1:23" ht="24" customHeight="1" x14ac:dyDescent="0.45">
      <c r="A4" s="137" t="s">
        <v>13</v>
      </c>
      <c r="B4" s="242" t="e">
        <f>VLOOKUP(B2,'Liste chauffeur'!$B$5:$L$18,2,TRUE)&amp;" "&amp;VLOOKUP(B2,'Liste chauffeur'!$B$5:$L$18,3,TRUE)</f>
        <v>#N/A</v>
      </c>
      <c r="C4" s="243"/>
      <c r="D4" s="244"/>
    </row>
    <row r="6" spans="1:23" x14ac:dyDescent="0.45">
      <c r="A6" s="141"/>
      <c r="B6" s="142"/>
      <c r="C6" s="142"/>
      <c r="D6" s="142"/>
      <c r="E6" s="142"/>
      <c r="F6" s="143"/>
      <c r="G6" s="468" t="s">
        <v>2</v>
      </c>
      <c r="H6" s="469"/>
      <c r="I6" s="470"/>
      <c r="J6" s="178"/>
      <c r="K6" s="468" t="s">
        <v>6</v>
      </c>
      <c r="L6" s="469"/>
      <c r="M6" s="470"/>
      <c r="N6" s="178"/>
      <c r="O6" s="468" t="s">
        <v>7</v>
      </c>
      <c r="P6" s="469"/>
      <c r="Q6" s="470"/>
      <c r="R6" s="178"/>
      <c r="S6" s="179" t="s">
        <v>11</v>
      </c>
      <c r="T6" s="180"/>
      <c r="U6" s="143"/>
      <c r="V6" s="144"/>
      <c r="W6" s="143"/>
    </row>
    <row r="7" spans="1:23" ht="47.25" x14ac:dyDescent="0.45">
      <c r="A7" s="145" t="s">
        <v>28</v>
      </c>
      <c r="B7" s="228" t="s">
        <v>29</v>
      </c>
      <c r="C7" s="228" t="s">
        <v>30</v>
      </c>
      <c r="D7" s="227" t="s">
        <v>0</v>
      </c>
      <c r="E7" s="228" t="s">
        <v>1</v>
      </c>
      <c r="F7" s="229" t="s">
        <v>23</v>
      </c>
      <c r="G7" s="232" t="s">
        <v>130</v>
      </c>
      <c r="H7" s="233" t="s">
        <v>328</v>
      </c>
      <c r="I7" s="147" t="s">
        <v>5</v>
      </c>
      <c r="J7" s="146" t="s">
        <v>19</v>
      </c>
      <c r="K7" s="231" t="s">
        <v>130</v>
      </c>
      <c r="L7" s="233" t="s">
        <v>328</v>
      </c>
      <c r="M7" s="147" t="s">
        <v>9</v>
      </c>
      <c r="N7" s="146" t="s">
        <v>19</v>
      </c>
      <c r="O7" s="231" t="s">
        <v>130</v>
      </c>
      <c r="P7" s="233" t="s">
        <v>328</v>
      </c>
      <c r="Q7" s="229" t="s">
        <v>10</v>
      </c>
      <c r="R7" s="227" t="s">
        <v>19</v>
      </c>
      <c r="S7" s="246" t="s">
        <v>22</v>
      </c>
      <c r="T7" s="227"/>
      <c r="U7" s="229" t="s">
        <v>17</v>
      </c>
      <c r="V7" s="230" t="s">
        <v>12</v>
      </c>
      <c r="W7" s="168" t="s">
        <v>20</v>
      </c>
    </row>
    <row r="8" spans="1:23" ht="40.049999999999997" customHeight="1" x14ac:dyDescent="0.45">
      <c r="A8" s="214" t="s">
        <v>8</v>
      </c>
      <c r="B8" s="217"/>
      <c r="C8" s="217"/>
      <c r="D8" s="213"/>
      <c r="E8" s="155"/>
      <c r="F8" s="156"/>
      <c r="G8" s="186"/>
      <c r="H8" s="187"/>
      <c r="I8" s="188"/>
      <c r="J8" s="154">
        <f>I8-E8</f>
        <v>0</v>
      </c>
      <c r="K8" s="186"/>
      <c r="L8" s="187"/>
      <c r="M8" s="188"/>
      <c r="N8" s="154">
        <f>M8-I8</f>
        <v>0</v>
      </c>
      <c r="O8" s="186"/>
      <c r="P8" s="187"/>
      <c r="Q8" s="188"/>
      <c r="R8" s="154">
        <f>Q8-M8</f>
        <v>0</v>
      </c>
      <c r="S8" s="218"/>
      <c r="T8" s="189" t="str">
        <f>IF(F8+G8-H8+K8-L8+O8-P8=S8,"OK",F8+G8-H8+K8-L8+O8-P8-S8)</f>
        <v>OK</v>
      </c>
      <c r="U8" s="188"/>
      <c r="V8" s="157"/>
      <c r="W8" s="188">
        <f>U8-E8</f>
        <v>0</v>
      </c>
    </row>
    <row r="9" spans="1:23" ht="40.049999999999997" customHeight="1" x14ac:dyDescent="0.45">
      <c r="A9" s="214" t="s">
        <v>8</v>
      </c>
      <c r="B9" s="217"/>
      <c r="C9" s="217"/>
      <c r="D9" s="213"/>
      <c r="E9" s="155"/>
      <c r="F9" s="156"/>
      <c r="G9" s="186"/>
      <c r="H9" s="187"/>
      <c r="I9" s="188"/>
      <c r="J9" s="154">
        <f t="shared" ref="J9:J46" si="0">I9-E9</f>
        <v>0</v>
      </c>
      <c r="K9" s="186"/>
      <c r="L9" s="187"/>
      <c r="M9" s="188"/>
      <c r="N9" s="154">
        <f t="shared" ref="N9:N26" si="1">M9-I9</f>
        <v>0</v>
      </c>
      <c r="O9" s="186"/>
      <c r="P9" s="187"/>
      <c r="Q9" s="188"/>
      <c r="R9" s="154">
        <f t="shared" ref="R9:R26" si="2">Q9-M9</f>
        <v>0</v>
      </c>
      <c r="S9" s="218"/>
      <c r="T9" s="189"/>
      <c r="U9" s="188"/>
      <c r="V9" s="157"/>
      <c r="W9" s="188">
        <f t="shared" ref="W9:W46" si="3">U9-E9</f>
        <v>0</v>
      </c>
    </row>
    <row r="10" spans="1:23" ht="40.049999999999997" customHeight="1" x14ac:dyDescent="0.45">
      <c r="A10" s="214" t="s">
        <v>8</v>
      </c>
      <c r="B10" s="217"/>
      <c r="C10" s="217"/>
      <c r="D10" s="213"/>
      <c r="E10" s="155"/>
      <c r="F10" s="156"/>
      <c r="G10" s="186"/>
      <c r="H10" s="187"/>
      <c r="I10" s="188"/>
      <c r="J10" s="154">
        <f t="shared" si="0"/>
        <v>0</v>
      </c>
      <c r="K10" s="186"/>
      <c r="L10" s="187"/>
      <c r="M10" s="188"/>
      <c r="N10" s="154">
        <f t="shared" si="1"/>
        <v>0</v>
      </c>
      <c r="O10" s="186"/>
      <c r="P10" s="187"/>
      <c r="Q10" s="188"/>
      <c r="R10" s="154">
        <f t="shared" si="2"/>
        <v>0</v>
      </c>
      <c r="S10" s="218"/>
      <c r="T10" s="189"/>
      <c r="U10" s="188"/>
      <c r="V10" s="157"/>
      <c r="W10" s="188">
        <f t="shared" si="3"/>
        <v>0</v>
      </c>
    </row>
    <row r="11" spans="1:23" ht="40.049999999999997" customHeight="1" x14ac:dyDescent="0.45">
      <c r="A11" s="214" t="s">
        <v>8</v>
      </c>
      <c r="B11" s="217"/>
      <c r="C11" s="217"/>
      <c r="D11" s="213"/>
      <c r="E11" s="155"/>
      <c r="F11" s="156"/>
      <c r="G11" s="186"/>
      <c r="H11" s="187"/>
      <c r="I11" s="188"/>
      <c r="J11" s="154">
        <f t="shared" si="0"/>
        <v>0</v>
      </c>
      <c r="K11" s="186"/>
      <c r="L11" s="187"/>
      <c r="M11" s="188"/>
      <c r="N11" s="154">
        <f t="shared" si="1"/>
        <v>0</v>
      </c>
      <c r="O11" s="186"/>
      <c r="P11" s="187"/>
      <c r="Q11" s="188"/>
      <c r="R11" s="154">
        <f t="shared" si="2"/>
        <v>0</v>
      </c>
      <c r="S11" s="218"/>
      <c r="T11" s="189"/>
      <c r="U11" s="188"/>
      <c r="V11" s="157"/>
      <c r="W11" s="188">
        <f t="shared" si="3"/>
        <v>0</v>
      </c>
    </row>
    <row r="12" spans="1:23" ht="40.049999999999997" hidden="1" customHeight="1" x14ac:dyDescent="0.45">
      <c r="A12" s="214" t="s">
        <v>8</v>
      </c>
      <c r="B12" s="217"/>
      <c r="C12" s="217"/>
      <c r="D12" s="213"/>
      <c r="E12" s="155"/>
      <c r="F12" s="156"/>
      <c r="G12" s="186"/>
      <c r="H12" s="187"/>
      <c r="I12" s="188"/>
      <c r="J12" s="154">
        <f t="shared" si="0"/>
        <v>0</v>
      </c>
      <c r="K12" s="186"/>
      <c r="L12" s="187"/>
      <c r="M12" s="188"/>
      <c r="N12" s="154">
        <f t="shared" si="1"/>
        <v>0</v>
      </c>
      <c r="O12" s="186"/>
      <c r="P12" s="187"/>
      <c r="Q12" s="188"/>
      <c r="R12" s="154">
        <f t="shared" si="2"/>
        <v>0</v>
      </c>
      <c r="S12" s="218"/>
      <c r="T12" s="189"/>
      <c r="U12" s="188"/>
      <c r="V12" s="157"/>
      <c r="W12" s="188">
        <f t="shared" si="3"/>
        <v>0</v>
      </c>
    </row>
    <row r="13" spans="1:23" ht="40.049999999999997" hidden="1" customHeight="1" x14ac:dyDescent="0.45">
      <c r="A13" s="214" t="s">
        <v>8</v>
      </c>
      <c r="B13" s="217"/>
      <c r="C13" s="217"/>
      <c r="D13" s="213"/>
      <c r="E13" s="155"/>
      <c r="F13" s="156"/>
      <c r="G13" s="186"/>
      <c r="H13" s="187"/>
      <c r="I13" s="188"/>
      <c r="J13" s="154">
        <f t="shared" si="0"/>
        <v>0</v>
      </c>
      <c r="K13" s="186"/>
      <c r="L13" s="187"/>
      <c r="M13" s="188"/>
      <c r="N13" s="154">
        <f t="shared" si="1"/>
        <v>0</v>
      </c>
      <c r="O13" s="186"/>
      <c r="P13" s="187"/>
      <c r="Q13" s="188"/>
      <c r="R13" s="154">
        <f t="shared" si="2"/>
        <v>0</v>
      </c>
      <c r="S13" s="218"/>
      <c r="T13" s="189"/>
      <c r="U13" s="188"/>
      <c r="V13" s="157"/>
      <c r="W13" s="188">
        <f t="shared" si="3"/>
        <v>0</v>
      </c>
    </row>
    <row r="14" spans="1:23" ht="40.049999999999997" hidden="1" customHeight="1" x14ac:dyDescent="0.45">
      <c r="A14" s="214" t="s">
        <v>8</v>
      </c>
      <c r="B14" s="217"/>
      <c r="C14" s="217"/>
      <c r="D14" s="213"/>
      <c r="E14" s="155"/>
      <c r="F14" s="156"/>
      <c r="G14" s="186"/>
      <c r="H14" s="187"/>
      <c r="I14" s="188"/>
      <c r="J14" s="154">
        <f t="shared" si="0"/>
        <v>0</v>
      </c>
      <c r="K14" s="186"/>
      <c r="L14" s="187"/>
      <c r="M14" s="188"/>
      <c r="N14" s="154">
        <f t="shared" si="1"/>
        <v>0</v>
      </c>
      <c r="O14" s="186"/>
      <c r="P14" s="187"/>
      <c r="Q14" s="188"/>
      <c r="R14" s="154">
        <f t="shared" si="2"/>
        <v>0</v>
      </c>
      <c r="S14" s="218"/>
      <c r="T14" s="189"/>
      <c r="U14" s="188"/>
      <c r="V14" s="157"/>
      <c r="W14" s="188">
        <f t="shared" si="3"/>
        <v>0</v>
      </c>
    </row>
    <row r="15" spans="1:23" ht="40.049999999999997" hidden="1" customHeight="1" x14ac:dyDescent="0.45">
      <c r="A15" s="214" t="s">
        <v>8</v>
      </c>
      <c r="B15" s="217"/>
      <c r="C15" s="217"/>
      <c r="D15" s="213"/>
      <c r="E15" s="155"/>
      <c r="F15" s="156"/>
      <c r="G15" s="186"/>
      <c r="H15" s="187"/>
      <c r="I15" s="188"/>
      <c r="J15" s="154">
        <f t="shared" si="0"/>
        <v>0</v>
      </c>
      <c r="K15" s="186"/>
      <c r="L15" s="187"/>
      <c r="M15" s="188"/>
      <c r="N15" s="154">
        <f t="shared" si="1"/>
        <v>0</v>
      </c>
      <c r="O15" s="186"/>
      <c r="P15" s="187"/>
      <c r="Q15" s="188"/>
      <c r="R15" s="154">
        <f t="shared" si="2"/>
        <v>0</v>
      </c>
      <c r="S15" s="218"/>
      <c r="T15" s="189"/>
      <c r="U15" s="188"/>
      <c r="V15" s="157"/>
      <c r="W15" s="188">
        <f t="shared" si="3"/>
        <v>0</v>
      </c>
    </row>
    <row r="16" spans="1:23" ht="40.049999999999997" hidden="1" customHeight="1" x14ac:dyDescent="0.45">
      <c r="A16" s="214" t="s">
        <v>8</v>
      </c>
      <c r="B16" s="217"/>
      <c r="C16" s="217"/>
      <c r="D16" s="213"/>
      <c r="E16" s="155"/>
      <c r="F16" s="156"/>
      <c r="G16" s="186"/>
      <c r="H16" s="187"/>
      <c r="I16" s="188"/>
      <c r="J16" s="154">
        <f t="shared" si="0"/>
        <v>0</v>
      </c>
      <c r="K16" s="186"/>
      <c r="L16" s="187"/>
      <c r="M16" s="188"/>
      <c r="N16" s="154">
        <f t="shared" si="1"/>
        <v>0</v>
      </c>
      <c r="O16" s="186"/>
      <c r="P16" s="187"/>
      <c r="Q16" s="188"/>
      <c r="R16" s="154">
        <f t="shared" si="2"/>
        <v>0</v>
      </c>
      <c r="S16" s="218"/>
      <c r="T16" s="189"/>
      <c r="U16" s="188"/>
      <c r="V16" s="157"/>
      <c r="W16" s="188">
        <f t="shared" si="3"/>
        <v>0</v>
      </c>
    </row>
    <row r="17" spans="1:23" ht="40.049999999999997" hidden="1" customHeight="1" x14ac:dyDescent="0.45">
      <c r="A17" s="214" t="s">
        <v>8</v>
      </c>
      <c r="B17" s="217"/>
      <c r="C17" s="217"/>
      <c r="D17" s="213"/>
      <c r="E17" s="155"/>
      <c r="F17" s="156"/>
      <c r="G17" s="186"/>
      <c r="H17" s="187"/>
      <c r="I17" s="188"/>
      <c r="J17" s="154">
        <f t="shared" si="0"/>
        <v>0</v>
      </c>
      <c r="K17" s="186"/>
      <c r="L17" s="187"/>
      <c r="M17" s="188"/>
      <c r="N17" s="154">
        <f t="shared" si="1"/>
        <v>0</v>
      </c>
      <c r="O17" s="186"/>
      <c r="P17" s="187"/>
      <c r="Q17" s="188"/>
      <c r="R17" s="154">
        <f t="shared" si="2"/>
        <v>0</v>
      </c>
      <c r="S17" s="218"/>
      <c r="T17" s="189"/>
      <c r="U17" s="188"/>
      <c r="V17" s="157"/>
      <c r="W17" s="188">
        <f t="shared" si="3"/>
        <v>0</v>
      </c>
    </row>
    <row r="18" spans="1:23" ht="40.049999999999997" hidden="1" customHeight="1" x14ac:dyDescent="0.45">
      <c r="A18" s="214" t="s">
        <v>8</v>
      </c>
      <c r="B18" s="217"/>
      <c r="C18" s="217"/>
      <c r="D18" s="213"/>
      <c r="E18" s="155"/>
      <c r="F18" s="156"/>
      <c r="G18" s="186"/>
      <c r="H18" s="187"/>
      <c r="I18" s="188"/>
      <c r="J18" s="154">
        <f t="shared" si="0"/>
        <v>0</v>
      </c>
      <c r="K18" s="186"/>
      <c r="L18" s="187"/>
      <c r="M18" s="188"/>
      <c r="N18" s="154">
        <f t="shared" si="1"/>
        <v>0</v>
      </c>
      <c r="O18" s="186"/>
      <c r="P18" s="187"/>
      <c r="Q18" s="188"/>
      <c r="R18" s="154">
        <f t="shared" si="2"/>
        <v>0</v>
      </c>
      <c r="S18" s="218"/>
      <c r="T18" s="189"/>
      <c r="U18" s="188"/>
      <c r="V18" s="157"/>
      <c r="W18" s="188">
        <f t="shared" si="3"/>
        <v>0</v>
      </c>
    </row>
    <row r="19" spans="1:23" ht="40.049999999999997" hidden="1" customHeight="1" x14ac:dyDescent="0.45">
      <c r="A19" s="214" t="s">
        <v>8</v>
      </c>
      <c r="B19" s="217"/>
      <c r="C19" s="217"/>
      <c r="D19" s="213"/>
      <c r="E19" s="155"/>
      <c r="F19" s="156"/>
      <c r="G19" s="186"/>
      <c r="H19" s="187"/>
      <c r="I19" s="188"/>
      <c r="J19" s="154">
        <f t="shared" si="0"/>
        <v>0</v>
      </c>
      <c r="K19" s="186"/>
      <c r="L19" s="187"/>
      <c r="M19" s="188"/>
      <c r="N19" s="154">
        <f t="shared" si="1"/>
        <v>0</v>
      </c>
      <c r="O19" s="186"/>
      <c r="P19" s="187"/>
      <c r="Q19" s="188"/>
      <c r="R19" s="154">
        <f t="shared" si="2"/>
        <v>0</v>
      </c>
      <c r="S19" s="218"/>
      <c r="T19" s="189"/>
      <c r="U19" s="188"/>
      <c r="V19" s="157"/>
      <c r="W19" s="188">
        <f t="shared" si="3"/>
        <v>0</v>
      </c>
    </row>
    <row r="20" spans="1:23" ht="40.049999999999997" hidden="1" customHeight="1" x14ac:dyDescent="0.45">
      <c r="A20" s="214" t="s">
        <v>8</v>
      </c>
      <c r="B20" s="217"/>
      <c r="C20" s="217"/>
      <c r="D20" s="213"/>
      <c r="E20" s="155"/>
      <c r="F20" s="156"/>
      <c r="G20" s="186"/>
      <c r="H20" s="187"/>
      <c r="I20" s="188"/>
      <c r="J20" s="154">
        <f t="shared" si="0"/>
        <v>0</v>
      </c>
      <c r="K20" s="186"/>
      <c r="L20" s="187"/>
      <c r="M20" s="188"/>
      <c r="N20" s="154">
        <f t="shared" si="1"/>
        <v>0</v>
      </c>
      <c r="O20" s="186"/>
      <c r="P20" s="187"/>
      <c r="Q20" s="188"/>
      <c r="R20" s="154">
        <f t="shared" si="2"/>
        <v>0</v>
      </c>
      <c r="S20" s="218"/>
      <c r="T20" s="189"/>
      <c r="U20" s="188"/>
      <c r="V20" s="157"/>
      <c r="W20" s="188">
        <f t="shared" si="3"/>
        <v>0</v>
      </c>
    </row>
    <row r="21" spans="1:23" ht="40.049999999999997" hidden="1" customHeight="1" x14ac:dyDescent="0.45">
      <c r="A21" s="214" t="s">
        <v>8</v>
      </c>
      <c r="B21" s="217"/>
      <c r="C21" s="217"/>
      <c r="D21" s="213"/>
      <c r="E21" s="155"/>
      <c r="F21" s="156"/>
      <c r="G21" s="186"/>
      <c r="H21" s="187"/>
      <c r="I21" s="188"/>
      <c r="J21" s="154">
        <f t="shared" si="0"/>
        <v>0</v>
      </c>
      <c r="K21" s="186"/>
      <c r="L21" s="187"/>
      <c r="M21" s="188"/>
      <c r="N21" s="154">
        <f t="shared" si="1"/>
        <v>0</v>
      </c>
      <c r="O21" s="186"/>
      <c r="P21" s="187"/>
      <c r="Q21" s="188"/>
      <c r="R21" s="154">
        <f t="shared" si="2"/>
        <v>0</v>
      </c>
      <c r="S21" s="218"/>
      <c r="T21" s="189"/>
      <c r="U21" s="188"/>
      <c r="V21" s="157"/>
      <c r="W21" s="188">
        <f t="shared" si="3"/>
        <v>0</v>
      </c>
    </row>
    <row r="22" spans="1:23" ht="40.049999999999997" hidden="1" customHeight="1" x14ac:dyDescent="0.45">
      <c r="A22" s="214" t="s">
        <v>8</v>
      </c>
      <c r="B22" s="217"/>
      <c r="C22" s="217"/>
      <c r="D22" s="213"/>
      <c r="E22" s="155"/>
      <c r="F22" s="156"/>
      <c r="G22" s="186"/>
      <c r="H22" s="187"/>
      <c r="I22" s="188"/>
      <c r="J22" s="154">
        <f t="shared" si="0"/>
        <v>0</v>
      </c>
      <c r="K22" s="186"/>
      <c r="L22" s="187"/>
      <c r="M22" s="188"/>
      <c r="N22" s="154">
        <f t="shared" si="1"/>
        <v>0</v>
      </c>
      <c r="O22" s="186"/>
      <c r="P22" s="187"/>
      <c r="Q22" s="188"/>
      <c r="R22" s="154">
        <f t="shared" si="2"/>
        <v>0</v>
      </c>
      <c r="S22" s="218"/>
      <c r="T22" s="189"/>
      <c r="U22" s="188"/>
      <c r="V22" s="157"/>
      <c r="W22" s="188">
        <f t="shared" si="3"/>
        <v>0</v>
      </c>
    </row>
    <row r="23" spans="1:23" ht="40.049999999999997" hidden="1" customHeight="1" x14ac:dyDescent="0.45">
      <c r="A23" s="214" t="s">
        <v>8</v>
      </c>
      <c r="B23" s="217"/>
      <c r="C23" s="217"/>
      <c r="D23" s="213"/>
      <c r="E23" s="155"/>
      <c r="F23" s="156"/>
      <c r="G23" s="186"/>
      <c r="H23" s="187"/>
      <c r="I23" s="188"/>
      <c r="J23" s="154">
        <f t="shared" si="0"/>
        <v>0</v>
      </c>
      <c r="K23" s="186"/>
      <c r="L23" s="187"/>
      <c r="M23" s="188"/>
      <c r="N23" s="154">
        <f t="shared" si="1"/>
        <v>0</v>
      </c>
      <c r="O23" s="186"/>
      <c r="P23" s="187"/>
      <c r="Q23" s="188"/>
      <c r="R23" s="154">
        <f t="shared" si="2"/>
        <v>0</v>
      </c>
      <c r="S23" s="218"/>
      <c r="T23" s="189"/>
      <c r="U23" s="188"/>
      <c r="V23" s="157"/>
      <c r="W23" s="188">
        <f t="shared" si="3"/>
        <v>0</v>
      </c>
    </row>
    <row r="24" spans="1:23" ht="40.049999999999997" hidden="1" customHeight="1" x14ac:dyDescent="0.45">
      <c r="A24" s="214" t="s">
        <v>8</v>
      </c>
      <c r="B24" s="217"/>
      <c r="C24" s="217"/>
      <c r="D24" s="213"/>
      <c r="E24" s="155"/>
      <c r="F24" s="156"/>
      <c r="G24" s="186"/>
      <c r="H24" s="187"/>
      <c r="I24" s="188"/>
      <c r="J24" s="154">
        <f t="shared" si="0"/>
        <v>0</v>
      </c>
      <c r="K24" s="186"/>
      <c r="L24" s="187"/>
      <c r="M24" s="188"/>
      <c r="N24" s="154">
        <f t="shared" si="1"/>
        <v>0</v>
      </c>
      <c r="O24" s="186"/>
      <c r="P24" s="187"/>
      <c r="Q24" s="188"/>
      <c r="R24" s="154">
        <f t="shared" si="2"/>
        <v>0</v>
      </c>
      <c r="S24" s="218"/>
      <c r="T24" s="189"/>
      <c r="U24" s="188"/>
      <c r="V24" s="157"/>
      <c r="W24" s="188">
        <f t="shared" si="3"/>
        <v>0</v>
      </c>
    </row>
    <row r="25" spans="1:23" ht="40.049999999999997" hidden="1" customHeight="1" x14ac:dyDescent="0.45">
      <c r="A25" s="214" t="s">
        <v>8</v>
      </c>
      <c r="B25" s="217"/>
      <c r="C25" s="217"/>
      <c r="D25" s="213"/>
      <c r="E25" s="155"/>
      <c r="F25" s="156"/>
      <c r="G25" s="186"/>
      <c r="H25" s="187"/>
      <c r="I25" s="188"/>
      <c r="J25" s="154">
        <f t="shared" si="0"/>
        <v>0</v>
      </c>
      <c r="K25" s="186"/>
      <c r="L25" s="187"/>
      <c r="M25" s="188"/>
      <c r="N25" s="154">
        <f t="shared" si="1"/>
        <v>0</v>
      </c>
      <c r="O25" s="186"/>
      <c r="P25" s="187"/>
      <c r="Q25" s="188"/>
      <c r="R25" s="154">
        <f t="shared" si="2"/>
        <v>0</v>
      </c>
      <c r="S25" s="218"/>
      <c r="T25" s="189"/>
      <c r="U25" s="188"/>
      <c r="V25" s="157"/>
      <c r="W25" s="188">
        <f t="shared" si="3"/>
        <v>0</v>
      </c>
    </row>
    <row r="26" spans="1:23" ht="40.049999999999997" hidden="1" customHeight="1" x14ac:dyDescent="0.45">
      <c r="A26" s="214" t="s">
        <v>8</v>
      </c>
      <c r="B26" s="217"/>
      <c r="C26" s="217"/>
      <c r="D26" s="213"/>
      <c r="E26" s="155"/>
      <c r="F26" s="156"/>
      <c r="G26" s="186"/>
      <c r="H26" s="187"/>
      <c r="I26" s="188"/>
      <c r="J26" s="154">
        <f t="shared" si="0"/>
        <v>0</v>
      </c>
      <c r="K26" s="186"/>
      <c r="L26" s="187"/>
      <c r="M26" s="188"/>
      <c r="N26" s="154">
        <f t="shared" si="1"/>
        <v>0</v>
      </c>
      <c r="O26" s="186"/>
      <c r="P26" s="187"/>
      <c r="Q26" s="188"/>
      <c r="R26" s="154">
        <f t="shared" si="2"/>
        <v>0</v>
      </c>
      <c r="S26" s="218"/>
      <c r="T26" s="189"/>
      <c r="U26" s="188"/>
      <c r="V26" s="157"/>
      <c r="W26" s="188">
        <f t="shared" si="3"/>
        <v>0</v>
      </c>
    </row>
    <row r="27" spans="1:23" ht="29.55" customHeight="1" x14ac:dyDescent="0.45">
      <c r="A27" s="158"/>
      <c r="B27" s="190"/>
      <c r="C27" s="190"/>
      <c r="D27" s="159"/>
      <c r="E27" s="160"/>
      <c r="F27" s="161"/>
      <c r="G27" s="158"/>
      <c r="H27" s="190"/>
      <c r="I27" s="191"/>
      <c r="J27" s="192"/>
      <c r="K27" s="193"/>
      <c r="L27" s="194"/>
      <c r="M27" s="191"/>
      <c r="N27" s="159"/>
      <c r="O27" s="193"/>
      <c r="P27" s="194"/>
      <c r="Q27" s="191"/>
      <c r="R27" s="159"/>
      <c r="S27" s="219" t="s">
        <v>8</v>
      </c>
      <c r="T27" s="195"/>
      <c r="U27" s="191"/>
      <c r="V27" s="162"/>
      <c r="W27" s="191">
        <f>SUM(W8:W26)</f>
        <v>0</v>
      </c>
    </row>
    <row r="28" spans="1:23" ht="39.5" customHeight="1" x14ac:dyDescent="0.45">
      <c r="A28" s="212" t="s">
        <v>11</v>
      </c>
      <c r="B28" s="220"/>
      <c r="C28" s="220"/>
      <c r="D28" s="213"/>
      <c r="E28" s="155"/>
      <c r="F28" s="164"/>
      <c r="G28" s="153"/>
      <c r="H28" s="196"/>
      <c r="I28" s="188"/>
      <c r="J28" s="154">
        <f t="shared" si="0"/>
        <v>0</v>
      </c>
      <c r="K28" s="186"/>
      <c r="L28" s="187"/>
      <c r="M28" s="188"/>
      <c r="N28" s="154">
        <f t="shared" ref="N28:N46" si="4">M28-I28</f>
        <v>0</v>
      </c>
      <c r="O28" s="186"/>
      <c r="P28" s="187"/>
      <c r="Q28" s="188"/>
      <c r="R28" s="154">
        <f t="shared" ref="R28:R46" si="5">Q28-M28</f>
        <v>0</v>
      </c>
      <c r="S28" s="218"/>
      <c r="T28" s="189"/>
      <c r="U28" s="188"/>
      <c r="V28" s="157"/>
      <c r="W28" s="188">
        <f t="shared" si="3"/>
        <v>0</v>
      </c>
    </row>
    <row r="29" spans="1:23" ht="39.5" customHeight="1" x14ac:dyDescent="0.45">
      <c r="A29" s="212" t="s">
        <v>11</v>
      </c>
      <c r="B29" s="220"/>
      <c r="C29" s="220"/>
      <c r="D29" s="213"/>
      <c r="E29" s="155"/>
      <c r="F29" s="164"/>
      <c r="G29" s="153"/>
      <c r="H29" s="196"/>
      <c r="I29" s="188"/>
      <c r="J29" s="154">
        <f t="shared" si="0"/>
        <v>0</v>
      </c>
      <c r="K29" s="186"/>
      <c r="L29" s="187"/>
      <c r="M29" s="188"/>
      <c r="N29" s="154">
        <f t="shared" si="4"/>
        <v>0</v>
      </c>
      <c r="O29" s="186"/>
      <c r="P29" s="187"/>
      <c r="Q29" s="188"/>
      <c r="R29" s="154">
        <f t="shared" si="5"/>
        <v>0</v>
      </c>
      <c r="S29" s="218"/>
      <c r="T29" s="189"/>
      <c r="U29" s="188"/>
      <c r="V29" s="157"/>
      <c r="W29" s="188">
        <f t="shared" si="3"/>
        <v>0</v>
      </c>
    </row>
    <row r="30" spans="1:23" ht="39.5" customHeight="1" x14ac:dyDescent="0.45">
      <c r="A30" s="212" t="s">
        <v>11</v>
      </c>
      <c r="B30" s="220"/>
      <c r="C30" s="220"/>
      <c r="D30" s="213"/>
      <c r="E30" s="155"/>
      <c r="F30" s="164"/>
      <c r="G30" s="153"/>
      <c r="H30" s="196"/>
      <c r="I30" s="188"/>
      <c r="J30" s="154">
        <f t="shared" si="0"/>
        <v>0</v>
      </c>
      <c r="K30" s="186"/>
      <c r="L30" s="187"/>
      <c r="M30" s="188"/>
      <c r="N30" s="154">
        <f t="shared" si="4"/>
        <v>0</v>
      </c>
      <c r="O30" s="186"/>
      <c r="P30" s="187"/>
      <c r="Q30" s="188"/>
      <c r="R30" s="154">
        <f t="shared" si="5"/>
        <v>0</v>
      </c>
      <c r="S30" s="218"/>
      <c r="T30" s="189"/>
      <c r="U30" s="188"/>
      <c r="V30" s="157"/>
      <c r="W30" s="188">
        <f t="shared" si="3"/>
        <v>0</v>
      </c>
    </row>
    <row r="31" spans="1:23" ht="39.5" customHeight="1" x14ac:dyDescent="0.45">
      <c r="A31" s="212" t="s">
        <v>11</v>
      </c>
      <c r="B31" s="220"/>
      <c r="C31" s="220"/>
      <c r="D31" s="213"/>
      <c r="E31" s="155"/>
      <c r="F31" s="164"/>
      <c r="G31" s="153"/>
      <c r="H31" s="196"/>
      <c r="I31" s="188"/>
      <c r="J31" s="154">
        <f t="shared" si="0"/>
        <v>0</v>
      </c>
      <c r="K31" s="186"/>
      <c r="L31" s="187"/>
      <c r="M31" s="188"/>
      <c r="N31" s="154">
        <f t="shared" si="4"/>
        <v>0</v>
      </c>
      <c r="O31" s="186"/>
      <c r="P31" s="187"/>
      <c r="Q31" s="188"/>
      <c r="R31" s="154">
        <f t="shared" si="5"/>
        <v>0</v>
      </c>
      <c r="S31" s="218"/>
      <c r="T31" s="189"/>
      <c r="U31" s="188"/>
      <c r="V31" s="157"/>
      <c r="W31" s="188">
        <f t="shared" si="3"/>
        <v>0</v>
      </c>
    </row>
    <row r="32" spans="1:23" ht="39.5" customHeight="1" x14ac:dyDescent="0.45">
      <c r="A32" s="212" t="s">
        <v>11</v>
      </c>
      <c r="B32" s="220"/>
      <c r="C32" s="220"/>
      <c r="D32" s="213"/>
      <c r="E32" s="155"/>
      <c r="F32" s="164"/>
      <c r="G32" s="153"/>
      <c r="H32" s="196"/>
      <c r="I32" s="188"/>
      <c r="J32" s="154">
        <f t="shared" si="0"/>
        <v>0</v>
      </c>
      <c r="K32" s="186"/>
      <c r="L32" s="187"/>
      <c r="M32" s="188"/>
      <c r="N32" s="154">
        <f t="shared" si="4"/>
        <v>0</v>
      </c>
      <c r="O32" s="186"/>
      <c r="P32" s="187"/>
      <c r="Q32" s="188"/>
      <c r="R32" s="154">
        <f t="shared" si="5"/>
        <v>0</v>
      </c>
      <c r="S32" s="218"/>
      <c r="T32" s="189"/>
      <c r="U32" s="188"/>
      <c r="V32" s="157"/>
      <c r="W32" s="188">
        <f t="shared" si="3"/>
        <v>0</v>
      </c>
    </row>
    <row r="33" spans="1:23" ht="39.5" hidden="1" customHeight="1" x14ac:dyDescent="0.45">
      <c r="A33" s="212" t="s">
        <v>11</v>
      </c>
      <c r="B33" s="220"/>
      <c r="C33" s="220"/>
      <c r="D33" s="213"/>
      <c r="E33" s="155"/>
      <c r="F33" s="164"/>
      <c r="G33" s="153"/>
      <c r="H33" s="196"/>
      <c r="I33" s="188"/>
      <c r="J33" s="154">
        <f t="shared" si="0"/>
        <v>0</v>
      </c>
      <c r="K33" s="186"/>
      <c r="L33" s="187"/>
      <c r="M33" s="188"/>
      <c r="N33" s="154">
        <f t="shared" si="4"/>
        <v>0</v>
      </c>
      <c r="O33" s="186"/>
      <c r="P33" s="187"/>
      <c r="Q33" s="188"/>
      <c r="R33" s="154">
        <f t="shared" si="5"/>
        <v>0</v>
      </c>
      <c r="S33" s="218"/>
      <c r="T33" s="189"/>
      <c r="U33" s="188"/>
      <c r="V33" s="157"/>
      <c r="W33" s="188">
        <f t="shared" si="3"/>
        <v>0</v>
      </c>
    </row>
    <row r="34" spans="1:23" ht="39.5" hidden="1" customHeight="1" x14ac:dyDescent="0.45">
      <c r="A34" s="212" t="s">
        <v>11</v>
      </c>
      <c r="B34" s="220"/>
      <c r="C34" s="220"/>
      <c r="D34" s="213"/>
      <c r="E34" s="155"/>
      <c r="F34" s="164"/>
      <c r="G34" s="153"/>
      <c r="H34" s="196"/>
      <c r="I34" s="188"/>
      <c r="J34" s="154">
        <f t="shared" si="0"/>
        <v>0</v>
      </c>
      <c r="K34" s="186"/>
      <c r="L34" s="187"/>
      <c r="M34" s="188"/>
      <c r="N34" s="154">
        <f t="shared" si="4"/>
        <v>0</v>
      </c>
      <c r="O34" s="186"/>
      <c r="P34" s="187"/>
      <c r="Q34" s="188"/>
      <c r="R34" s="154">
        <f t="shared" si="5"/>
        <v>0</v>
      </c>
      <c r="S34" s="218"/>
      <c r="T34" s="189"/>
      <c r="U34" s="188"/>
      <c r="V34" s="157"/>
      <c r="W34" s="188">
        <f t="shared" si="3"/>
        <v>0</v>
      </c>
    </row>
    <row r="35" spans="1:23" ht="39.5" hidden="1" customHeight="1" x14ac:dyDescent="0.45">
      <c r="A35" s="212" t="s">
        <v>11</v>
      </c>
      <c r="B35" s="220"/>
      <c r="C35" s="220"/>
      <c r="D35" s="213"/>
      <c r="E35" s="155"/>
      <c r="F35" s="164"/>
      <c r="G35" s="153"/>
      <c r="H35" s="196"/>
      <c r="I35" s="188"/>
      <c r="J35" s="154">
        <f t="shared" si="0"/>
        <v>0</v>
      </c>
      <c r="K35" s="186"/>
      <c r="L35" s="187"/>
      <c r="M35" s="188"/>
      <c r="N35" s="154">
        <f t="shared" si="4"/>
        <v>0</v>
      </c>
      <c r="O35" s="186"/>
      <c r="P35" s="187"/>
      <c r="Q35" s="188"/>
      <c r="R35" s="154">
        <f t="shared" si="5"/>
        <v>0</v>
      </c>
      <c r="S35" s="218"/>
      <c r="T35" s="189"/>
      <c r="U35" s="188"/>
      <c r="V35" s="157"/>
      <c r="W35" s="188">
        <f t="shared" si="3"/>
        <v>0</v>
      </c>
    </row>
    <row r="36" spans="1:23" ht="39.5" hidden="1" customHeight="1" x14ac:dyDescent="0.45">
      <c r="A36" s="212" t="s">
        <v>11</v>
      </c>
      <c r="B36" s="220"/>
      <c r="C36" s="220"/>
      <c r="D36" s="213"/>
      <c r="E36" s="155"/>
      <c r="F36" s="164"/>
      <c r="G36" s="153"/>
      <c r="H36" s="196"/>
      <c r="I36" s="188"/>
      <c r="J36" s="154">
        <f t="shared" si="0"/>
        <v>0</v>
      </c>
      <c r="K36" s="186"/>
      <c r="L36" s="187"/>
      <c r="M36" s="188"/>
      <c r="N36" s="154">
        <f t="shared" si="4"/>
        <v>0</v>
      </c>
      <c r="O36" s="186"/>
      <c r="P36" s="187"/>
      <c r="Q36" s="188"/>
      <c r="R36" s="154">
        <f t="shared" si="5"/>
        <v>0</v>
      </c>
      <c r="S36" s="218"/>
      <c r="T36" s="189"/>
      <c r="U36" s="188"/>
      <c r="V36" s="157"/>
      <c r="W36" s="188">
        <f t="shared" si="3"/>
        <v>0</v>
      </c>
    </row>
    <row r="37" spans="1:23" ht="39.5" hidden="1" customHeight="1" x14ac:dyDescent="0.45">
      <c r="A37" s="212" t="s">
        <v>11</v>
      </c>
      <c r="B37" s="220"/>
      <c r="C37" s="220"/>
      <c r="D37" s="213"/>
      <c r="E37" s="155"/>
      <c r="F37" s="164"/>
      <c r="G37" s="153"/>
      <c r="H37" s="196"/>
      <c r="I37" s="188"/>
      <c r="J37" s="154">
        <f t="shared" si="0"/>
        <v>0</v>
      </c>
      <c r="K37" s="186"/>
      <c r="L37" s="187"/>
      <c r="M37" s="188"/>
      <c r="N37" s="154">
        <f t="shared" si="4"/>
        <v>0</v>
      </c>
      <c r="O37" s="186"/>
      <c r="P37" s="187"/>
      <c r="Q37" s="188"/>
      <c r="R37" s="154">
        <f t="shared" si="5"/>
        <v>0</v>
      </c>
      <c r="S37" s="218"/>
      <c r="T37" s="189"/>
      <c r="U37" s="188"/>
      <c r="V37" s="157"/>
      <c r="W37" s="188">
        <f t="shared" si="3"/>
        <v>0</v>
      </c>
    </row>
    <row r="38" spans="1:23" ht="39.5" hidden="1" customHeight="1" x14ac:dyDescent="0.45">
      <c r="A38" s="212" t="s">
        <v>11</v>
      </c>
      <c r="B38" s="220"/>
      <c r="C38" s="220"/>
      <c r="D38" s="213"/>
      <c r="E38" s="155"/>
      <c r="F38" s="164"/>
      <c r="G38" s="153"/>
      <c r="H38" s="196"/>
      <c r="I38" s="188"/>
      <c r="J38" s="154">
        <f t="shared" si="0"/>
        <v>0</v>
      </c>
      <c r="K38" s="186"/>
      <c r="L38" s="187"/>
      <c r="M38" s="188"/>
      <c r="N38" s="154">
        <f t="shared" si="4"/>
        <v>0</v>
      </c>
      <c r="O38" s="186"/>
      <c r="P38" s="187"/>
      <c r="Q38" s="188"/>
      <c r="R38" s="154">
        <f t="shared" si="5"/>
        <v>0</v>
      </c>
      <c r="S38" s="218"/>
      <c r="T38" s="189"/>
      <c r="U38" s="188"/>
      <c r="V38" s="157"/>
      <c r="W38" s="188">
        <f t="shared" si="3"/>
        <v>0</v>
      </c>
    </row>
    <row r="39" spans="1:23" ht="39.5" hidden="1" customHeight="1" x14ac:dyDescent="0.45">
      <c r="A39" s="212" t="s">
        <v>11</v>
      </c>
      <c r="B39" s="220"/>
      <c r="C39" s="220"/>
      <c r="D39" s="213"/>
      <c r="E39" s="155"/>
      <c r="F39" s="164"/>
      <c r="G39" s="153"/>
      <c r="H39" s="196"/>
      <c r="I39" s="188"/>
      <c r="J39" s="154">
        <f t="shared" si="0"/>
        <v>0</v>
      </c>
      <c r="K39" s="186"/>
      <c r="L39" s="187"/>
      <c r="M39" s="188"/>
      <c r="N39" s="154">
        <f t="shared" si="4"/>
        <v>0</v>
      </c>
      <c r="O39" s="186"/>
      <c r="P39" s="187"/>
      <c r="Q39" s="188"/>
      <c r="R39" s="154">
        <f t="shared" si="5"/>
        <v>0</v>
      </c>
      <c r="S39" s="218"/>
      <c r="T39" s="189"/>
      <c r="U39" s="188"/>
      <c r="V39" s="157"/>
      <c r="W39" s="188">
        <f t="shared" si="3"/>
        <v>0</v>
      </c>
    </row>
    <row r="40" spans="1:23" ht="39.5" hidden="1" customHeight="1" x14ac:dyDescent="0.45">
      <c r="A40" s="212" t="s">
        <v>11</v>
      </c>
      <c r="B40" s="220"/>
      <c r="C40" s="220"/>
      <c r="D40" s="213"/>
      <c r="E40" s="155"/>
      <c r="F40" s="164"/>
      <c r="G40" s="153"/>
      <c r="H40" s="196"/>
      <c r="I40" s="188"/>
      <c r="J40" s="154">
        <f t="shared" si="0"/>
        <v>0</v>
      </c>
      <c r="K40" s="186"/>
      <c r="L40" s="187"/>
      <c r="M40" s="188"/>
      <c r="N40" s="154">
        <f t="shared" si="4"/>
        <v>0</v>
      </c>
      <c r="O40" s="186"/>
      <c r="P40" s="187"/>
      <c r="Q40" s="188"/>
      <c r="R40" s="154">
        <f t="shared" si="5"/>
        <v>0</v>
      </c>
      <c r="S40" s="218"/>
      <c r="T40" s="189"/>
      <c r="U40" s="188"/>
      <c r="V40" s="157"/>
      <c r="W40" s="188">
        <f t="shared" si="3"/>
        <v>0</v>
      </c>
    </row>
    <row r="41" spans="1:23" ht="39.5" hidden="1" customHeight="1" x14ac:dyDescent="0.45">
      <c r="A41" s="212" t="s">
        <v>11</v>
      </c>
      <c r="B41" s="220"/>
      <c r="C41" s="220"/>
      <c r="D41" s="213"/>
      <c r="E41" s="155"/>
      <c r="F41" s="164"/>
      <c r="G41" s="153"/>
      <c r="H41" s="196"/>
      <c r="I41" s="188"/>
      <c r="J41" s="154">
        <f t="shared" si="0"/>
        <v>0</v>
      </c>
      <c r="K41" s="186"/>
      <c r="L41" s="187"/>
      <c r="M41" s="188"/>
      <c r="N41" s="154">
        <f t="shared" si="4"/>
        <v>0</v>
      </c>
      <c r="O41" s="186"/>
      <c r="P41" s="187"/>
      <c r="Q41" s="188"/>
      <c r="R41" s="154">
        <f t="shared" si="5"/>
        <v>0</v>
      </c>
      <c r="S41" s="218"/>
      <c r="T41" s="189"/>
      <c r="U41" s="188"/>
      <c r="V41" s="157"/>
      <c r="W41" s="188">
        <f t="shared" si="3"/>
        <v>0</v>
      </c>
    </row>
    <row r="42" spans="1:23" ht="39.5" hidden="1" customHeight="1" x14ac:dyDescent="0.45">
      <c r="A42" s="212" t="s">
        <v>11</v>
      </c>
      <c r="B42" s="220"/>
      <c r="C42" s="220"/>
      <c r="D42" s="213"/>
      <c r="E42" s="155"/>
      <c r="F42" s="164"/>
      <c r="G42" s="153"/>
      <c r="H42" s="196"/>
      <c r="I42" s="188"/>
      <c r="J42" s="154">
        <f t="shared" si="0"/>
        <v>0</v>
      </c>
      <c r="K42" s="186"/>
      <c r="L42" s="187"/>
      <c r="M42" s="188"/>
      <c r="N42" s="154">
        <f t="shared" si="4"/>
        <v>0</v>
      </c>
      <c r="O42" s="186"/>
      <c r="P42" s="187"/>
      <c r="Q42" s="188"/>
      <c r="R42" s="154">
        <f t="shared" si="5"/>
        <v>0</v>
      </c>
      <c r="S42" s="218"/>
      <c r="T42" s="189"/>
      <c r="U42" s="188"/>
      <c r="V42" s="157"/>
      <c r="W42" s="188">
        <f t="shared" si="3"/>
        <v>0</v>
      </c>
    </row>
    <row r="43" spans="1:23" ht="39.5" hidden="1" customHeight="1" x14ac:dyDescent="0.45">
      <c r="A43" s="212" t="s">
        <v>11</v>
      </c>
      <c r="B43" s="220"/>
      <c r="C43" s="220"/>
      <c r="D43" s="213"/>
      <c r="E43" s="155"/>
      <c r="F43" s="164"/>
      <c r="G43" s="153"/>
      <c r="H43" s="196"/>
      <c r="I43" s="188"/>
      <c r="J43" s="154">
        <f t="shared" si="0"/>
        <v>0</v>
      </c>
      <c r="K43" s="186"/>
      <c r="L43" s="187"/>
      <c r="M43" s="188"/>
      <c r="N43" s="154">
        <f t="shared" si="4"/>
        <v>0</v>
      </c>
      <c r="O43" s="186"/>
      <c r="P43" s="187"/>
      <c r="Q43" s="188"/>
      <c r="R43" s="154">
        <f t="shared" si="5"/>
        <v>0</v>
      </c>
      <c r="S43" s="218"/>
      <c r="T43" s="189"/>
      <c r="U43" s="188"/>
      <c r="V43" s="157"/>
      <c r="W43" s="188">
        <f t="shared" si="3"/>
        <v>0</v>
      </c>
    </row>
    <row r="44" spans="1:23" ht="39.5" hidden="1" customHeight="1" x14ac:dyDescent="0.45">
      <c r="A44" s="212" t="s">
        <v>11</v>
      </c>
      <c r="B44" s="220"/>
      <c r="C44" s="220"/>
      <c r="D44" s="213"/>
      <c r="E44" s="155"/>
      <c r="F44" s="164"/>
      <c r="G44" s="153"/>
      <c r="H44" s="196"/>
      <c r="I44" s="188"/>
      <c r="J44" s="154">
        <f t="shared" si="0"/>
        <v>0</v>
      </c>
      <c r="K44" s="186"/>
      <c r="L44" s="187"/>
      <c r="M44" s="188"/>
      <c r="N44" s="154">
        <f t="shared" si="4"/>
        <v>0</v>
      </c>
      <c r="O44" s="186"/>
      <c r="P44" s="187"/>
      <c r="Q44" s="188"/>
      <c r="R44" s="154">
        <f t="shared" si="5"/>
        <v>0</v>
      </c>
      <c r="S44" s="218"/>
      <c r="T44" s="189"/>
      <c r="U44" s="188"/>
      <c r="V44" s="157"/>
      <c r="W44" s="188">
        <f t="shared" si="3"/>
        <v>0</v>
      </c>
    </row>
    <row r="45" spans="1:23" ht="39.5" hidden="1" customHeight="1" x14ac:dyDescent="0.45">
      <c r="A45" s="212" t="s">
        <v>11</v>
      </c>
      <c r="B45" s="220"/>
      <c r="C45" s="220"/>
      <c r="D45" s="213"/>
      <c r="E45" s="155"/>
      <c r="F45" s="164"/>
      <c r="G45" s="153"/>
      <c r="H45" s="196"/>
      <c r="I45" s="188"/>
      <c r="J45" s="154">
        <f t="shared" si="0"/>
        <v>0</v>
      </c>
      <c r="K45" s="186"/>
      <c r="L45" s="187"/>
      <c r="M45" s="188"/>
      <c r="N45" s="154">
        <f t="shared" si="4"/>
        <v>0</v>
      </c>
      <c r="O45" s="186"/>
      <c r="P45" s="187"/>
      <c r="Q45" s="188"/>
      <c r="R45" s="154">
        <f t="shared" si="5"/>
        <v>0</v>
      </c>
      <c r="S45" s="218"/>
      <c r="T45" s="189"/>
      <c r="U45" s="188"/>
      <c r="V45" s="157"/>
      <c r="W45" s="188">
        <f t="shared" si="3"/>
        <v>0</v>
      </c>
    </row>
    <row r="46" spans="1:23" ht="39.5" hidden="1" customHeight="1" x14ac:dyDescent="0.45">
      <c r="A46" s="221" t="s">
        <v>11</v>
      </c>
      <c r="B46" s="222"/>
      <c r="C46" s="222"/>
      <c r="D46" s="223"/>
      <c r="E46" s="167"/>
      <c r="F46" s="168"/>
      <c r="G46" s="145"/>
      <c r="H46" s="170"/>
      <c r="I46" s="203"/>
      <c r="J46" s="154">
        <f t="shared" si="0"/>
        <v>0</v>
      </c>
      <c r="K46" s="204"/>
      <c r="L46" s="205"/>
      <c r="M46" s="203"/>
      <c r="N46" s="154">
        <f t="shared" si="4"/>
        <v>0</v>
      </c>
      <c r="O46" s="204"/>
      <c r="P46" s="205"/>
      <c r="Q46" s="203"/>
      <c r="R46" s="154">
        <f t="shared" si="5"/>
        <v>0</v>
      </c>
      <c r="S46" s="224"/>
      <c r="T46" s="206"/>
      <c r="U46" s="203"/>
      <c r="V46" s="148"/>
      <c r="W46" s="188">
        <f t="shared" si="3"/>
        <v>0</v>
      </c>
    </row>
    <row r="47" spans="1:23" x14ac:dyDescent="0.45">
      <c r="A47" s="145"/>
      <c r="B47" s="170"/>
      <c r="C47" s="170"/>
      <c r="D47" s="169"/>
      <c r="E47" s="170"/>
      <c r="F47" s="168"/>
      <c r="G47" s="145"/>
      <c r="H47" s="170"/>
      <c r="I47" s="203"/>
      <c r="J47" s="207"/>
      <c r="K47" s="204"/>
      <c r="L47" s="205"/>
      <c r="M47" s="203"/>
      <c r="N47" s="207"/>
      <c r="O47" s="204"/>
      <c r="P47" s="205"/>
      <c r="Q47" s="203"/>
      <c r="R47" s="207"/>
      <c r="S47" s="224"/>
      <c r="T47" s="206"/>
      <c r="U47" s="203"/>
      <c r="V47" s="148"/>
      <c r="W47" s="208">
        <f>SUM(W28:W46)</f>
        <v>0</v>
      </c>
    </row>
    <row r="48" spans="1:23" x14ac:dyDescent="0.45">
      <c r="W48" s="154">
        <f>W47+W27</f>
        <v>0</v>
      </c>
    </row>
    <row r="49" spans="5:11" x14ac:dyDescent="0.45">
      <c r="E49" s="137" t="s">
        <v>15</v>
      </c>
      <c r="K49" s="137" t="s">
        <v>16</v>
      </c>
    </row>
  </sheetData>
  <mergeCells count="4">
    <mergeCell ref="G6:I6"/>
    <mergeCell ref="K6:M6"/>
    <mergeCell ref="O6:Q6"/>
    <mergeCell ref="B3:C3"/>
  </mergeCells>
  <pageMargins left="0.23622047244094491" right="0.23622047244094491" top="0.74803149606299213" bottom="0.74803149606299213" header="0.31496062992125984" footer="0.31496062992125984"/>
  <pageSetup paperSize="9" scale="60" orientation="landscape" copies="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56CE-45D5-4D88-B683-A2EF658C1A99}">
  <sheetPr>
    <pageSetUpPr fitToPage="1"/>
  </sheetPr>
  <dimension ref="A2:W49"/>
  <sheetViews>
    <sheetView workbookViewId="0">
      <selection activeCell="B4" sqref="B4"/>
    </sheetView>
  </sheetViews>
  <sheetFormatPr baseColWidth="10" defaultRowHeight="14.25" x14ac:dyDescent="0.45"/>
  <cols>
    <col min="1" max="2" width="11.796875" customWidth="1"/>
    <col min="3" max="3" width="27" customWidth="1"/>
    <col min="10" max="10" width="10.796875" hidden="1" customWidth="1"/>
    <col min="14" max="14" width="10.796875" hidden="1" customWidth="1"/>
    <col min="18" max="18" width="10.796875" hidden="1" customWidth="1"/>
    <col min="20" max="20" width="0" hidden="1" customWidth="1"/>
    <col min="22" max="22" width="34.796875" customWidth="1"/>
  </cols>
  <sheetData>
    <row r="2" spans="1:23" ht="28.5" x14ac:dyDescent="0.45">
      <c r="A2" s="51" t="s">
        <v>21</v>
      </c>
      <c r="B2" t="s">
        <v>31</v>
      </c>
    </row>
    <row r="3" spans="1:23" x14ac:dyDescent="0.45">
      <c r="A3" t="s">
        <v>14</v>
      </c>
      <c r="D3" s="21"/>
      <c r="E3" s="20"/>
    </row>
    <row r="4" spans="1:23" x14ac:dyDescent="0.45">
      <c r="A4" t="s">
        <v>13</v>
      </c>
      <c r="D4" s="21"/>
      <c r="E4" s="20"/>
    </row>
    <row r="6" spans="1:23" x14ac:dyDescent="0.45">
      <c r="A6" s="7"/>
      <c r="B6" s="9"/>
      <c r="C6" s="9"/>
      <c r="D6" s="9"/>
      <c r="E6" s="9"/>
      <c r="F6" s="10"/>
      <c r="G6" s="456" t="s">
        <v>2</v>
      </c>
      <c r="H6" s="457"/>
      <c r="I6" s="458"/>
      <c r="J6" s="1"/>
      <c r="K6" s="456" t="s">
        <v>6</v>
      </c>
      <c r="L6" s="457"/>
      <c r="M6" s="458"/>
      <c r="N6" s="1"/>
      <c r="O6" s="456" t="s">
        <v>7</v>
      </c>
      <c r="P6" s="457"/>
      <c r="Q6" s="458"/>
      <c r="R6" s="1"/>
      <c r="S6" s="13" t="s">
        <v>11</v>
      </c>
      <c r="T6" s="12"/>
      <c r="U6" s="10"/>
      <c r="V6" s="7"/>
      <c r="W6" s="5"/>
    </row>
    <row r="7" spans="1:23" ht="42.75" x14ac:dyDescent="0.45">
      <c r="A7" s="8" t="s">
        <v>28</v>
      </c>
      <c r="B7" s="3" t="s">
        <v>29</v>
      </c>
      <c r="C7" s="3" t="s">
        <v>30</v>
      </c>
      <c r="D7" s="3" t="s">
        <v>0</v>
      </c>
      <c r="E7" s="18" t="s">
        <v>1</v>
      </c>
      <c r="F7" s="4" t="s">
        <v>3</v>
      </c>
      <c r="G7" s="2" t="s">
        <v>3</v>
      </c>
      <c r="H7" s="18" t="s">
        <v>4</v>
      </c>
      <c r="I7" s="4" t="s">
        <v>5</v>
      </c>
      <c r="J7" s="3" t="s">
        <v>19</v>
      </c>
      <c r="K7" s="2" t="s">
        <v>3</v>
      </c>
      <c r="L7" s="18" t="s">
        <v>4</v>
      </c>
      <c r="M7" s="4" t="s">
        <v>9</v>
      </c>
      <c r="N7" s="3" t="s">
        <v>19</v>
      </c>
      <c r="O7" s="2" t="s">
        <v>3</v>
      </c>
      <c r="P7" s="18" t="s">
        <v>4</v>
      </c>
      <c r="Q7" s="4" t="s">
        <v>10</v>
      </c>
      <c r="R7" s="3" t="s">
        <v>19</v>
      </c>
      <c r="S7" s="2" t="s">
        <v>4</v>
      </c>
      <c r="T7" s="3"/>
      <c r="U7" s="4" t="s">
        <v>17</v>
      </c>
      <c r="V7" s="8" t="s">
        <v>12</v>
      </c>
      <c r="W7" s="6" t="s">
        <v>20</v>
      </c>
    </row>
    <row r="8" spans="1:23" ht="40.049999999999997" customHeight="1" x14ac:dyDescent="0.45">
      <c r="A8" s="14" t="s">
        <v>8</v>
      </c>
      <c r="D8" s="35"/>
      <c r="E8" s="36"/>
      <c r="F8" s="40"/>
      <c r="G8" s="26"/>
      <c r="H8" s="27"/>
      <c r="I8" s="44"/>
      <c r="J8" s="35">
        <f>I8-E8</f>
        <v>0</v>
      </c>
      <c r="K8" s="26"/>
      <c r="L8" s="27"/>
      <c r="M8" s="44"/>
      <c r="N8" s="35">
        <f>M8-I8</f>
        <v>0</v>
      </c>
      <c r="O8" s="26"/>
      <c r="P8" s="27"/>
      <c r="Q8" s="44"/>
      <c r="R8" s="35">
        <f>Q8-M8</f>
        <v>0</v>
      </c>
      <c r="S8" s="26"/>
      <c r="T8" s="32" t="str">
        <f>IF(F8+G8-H8+K8-L8+O8-P8=S8,"OK",F8+G8-H8+K8-L8+O8-P8-S8)</f>
        <v>OK</v>
      </c>
      <c r="U8" s="44"/>
      <c r="V8" s="14"/>
      <c r="W8" s="44">
        <f>U8-E8</f>
        <v>0</v>
      </c>
    </row>
    <row r="9" spans="1:23" ht="40.049999999999997" customHeight="1" x14ac:dyDescent="0.45">
      <c r="A9" s="14" t="s">
        <v>8</v>
      </c>
      <c r="D9" s="35"/>
      <c r="E9" s="36"/>
      <c r="F9" s="40"/>
      <c r="G9" s="26"/>
      <c r="H9" s="27"/>
      <c r="I9" s="44"/>
      <c r="J9" s="35">
        <f t="shared" ref="J9:J46" si="0">I9-E9</f>
        <v>0</v>
      </c>
      <c r="K9" s="26"/>
      <c r="L9" s="27"/>
      <c r="M9" s="44"/>
      <c r="N9" s="35">
        <f t="shared" ref="N9:N26" si="1">M9-I9</f>
        <v>0</v>
      </c>
      <c r="O9" s="26"/>
      <c r="P9" s="27"/>
      <c r="Q9" s="44"/>
      <c r="R9" s="35">
        <f t="shared" ref="R9:R26" si="2">Q9-M9</f>
        <v>0</v>
      </c>
      <c r="S9" s="26"/>
      <c r="T9" s="32"/>
      <c r="U9" s="44"/>
      <c r="V9" s="14"/>
      <c r="W9" s="44">
        <f t="shared" ref="W9:W46" si="3">U9-E9</f>
        <v>0</v>
      </c>
    </row>
    <row r="10" spans="1:23" ht="40.049999999999997" customHeight="1" x14ac:dyDescent="0.45">
      <c r="A10" s="14" t="s">
        <v>8</v>
      </c>
      <c r="D10" s="35"/>
      <c r="E10" s="36"/>
      <c r="F10" s="40"/>
      <c r="G10" s="26"/>
      <c r="H10" s="27"/>
      <c r="I10" s="44"/>
      <c r="J10" s="35">
        <f t="shared" si="0"/>
        <v>0</v>
      </c>
      <c r="K10" s="26"/>
      <c r="L10" s="27"/>
      <c r="M10" s="44"/>
      <c r="N10" s="35">
        <f t="shared" si="1"/>
        <v>0</v>
      </c>
      <c r="O10" s="26"/>
      <c r="P10" s="27"/>
      <c r="Q10" s="44"/>
      <c r="R10" s="35">
        <f t="shared" si="2"/>
        <v>0</v>
      </c>
      <c r="S10" s="26"/>
      <c r="T10" s="32"/>
      <c r="U10" s="44"/>
      <c r="V10" s="14"/>
      <c r="W10" s="44">
        <f t="shared" si="3"/>
        <v>0</v>
      </c>
    </row>
    <row r="11" spans="1:23" ht="40.049999999999997" customHeight="1" x14ac:dyDescent="0.45">
      <c r="A11" s="14" t="s">
        <v>8</v>
      </c>
      <c r="D11" s="35"/>
      <c r="E11" s="36"/>
      <c r="F11" s="40"/>
      <c r="G11" s="26"/>
      <c r="H11" s="27"/>
      <c r="I11" s="44"/>
      <c r="J11" s="35">
        <f t="shared" si="0"/>
        <v>0</v>
      </c>
      <c r="K11" s="26"/>
      <c r="L11" s="27"/>
      <c r="M11" s="44"/>
      <c r="N11" s="35">
        <f t="shared" si="1"/>
        <v>0</v>
      </c>
      <c r="O11" s="26"/>
      <c r="P11" s="27"/>
      <c r="Q11" s="44"/>
      <c r="R11" s="35">
        <f t="shared" si="2"/>
        <v>0</v>
      </c>
      <c r="S11" s="26"/>
      <c r="T11" s="32"/>
      <c r="U11" s="44"/>
      <c r="V11" s="14"/>
      <c r="W11" s="44">
        <f t="shared" si="3"/>
        <v>0</v>
      </c>
    </row>
    <row r="12" spans="1:23" ht="40.049999999999997" customHeight="1" x14ac:dyDescent="0.45">
      <c r="A12" s="14" t="s">
        <v>8</v>
      </c>
      <c r="D12" s="35"/>
      <c r="E12" s="36"/>
      <c r="F12" s="40"/>
      <c r="G12" s="26"/>
      <c r="H12" s="27"/>
      <c r="I12" s="44"/>
      <c r="J12" s="35">
        <f t="shared" si="0"/>
        <v>0</v>
      </c>
      <c r="K12" s="26"/>
      <c r="L12" s="27"/>
      <c r="M12" s="44"/>
      <c r="N12" s="35">
        <f t="shared" si="1"/>
        <v>0</v>
      </c>
      <c r="O12" s="26"/>
      <c r="P12" s="27"/>
      <c r="Q12" s="44"/>
      <c r="R12" s="35">
        <f t="shared" si="2"/>
        <v>0</v>
      </c>
      <c r="S12" s="26"/>
      <c r="T12" s="32"/>
      <c r="U12" s="44"/>
      <c r="V12" s="14"/>
      <c r="W12" s="44">
        <f t="shared" si="3"/>
        <v>0</v>
      </c>
    </row>
    <row r="13" spans="1:23" ht="40.049999999999997" customHeight="1" x14ac:dyDescent="0.45">
      <c r="A13" s="14" t="s">
        <v>8</v>
      </c>
      <c r="D13" s="35"/>
      <c r="E13" s="36"/>
      <c r="F13" s="40"/>
      <c r="G13" s="26"/>
      <c r="H13" s="27"/>
      <c r="I13" s="44"/>
      <c r="J13" s="35">
        <f t="shared" si="0"/>
        <v>0</v>
      </c>
      <c r="K13" s="26"/>
      <c r="L13" s="27"/>
      <c r="M13" s="44"/>
      <c r="N13" s="35">
        <f t="shared" si="1"/>
        <v>0</v>
      </c>
      <c r="O13" s="26"/>
      <c r="P13" s="27"/>
      <c r="Q13" s="44"/>
      <c r="R13" s="35">
        <f t="shared" si="2"/>
        <v>0</v>
      </c>
      <c r="S13" s="26"/>
      <c r="T13" s="32"/>
      <c r="U13" s="44"/>
      <c r="V13" s="14"/>
      <c r="W13" s="44">
        <f t="shared" si="3"/>
        <v>0</v>
      </c>
    </row>
    <row r="14" spans="1:23" ht="40.049999999999997" customHeight="1" x14ac:dyDescent="0.45">
      <c r="A14" s="14" t="s">
        <v>8</v>
      </c>
      <c r="D14" s="35"/>
      <c r="E14" s="36"/>
      <c r="F14" s="40"/>
      <c r="G14" s="26"/>
      <c r="H14" s="27"/>
      <c r="I14" s="44"/>
      <c r="J14" s="35">
        <f t="shared" si="0"/>
        <v>0</v>
      </c>
      <c r="K14" s="26"/>
      <c r="L14" s="27"/>
      <c r="M14" s="44"/>
      <c r="N14" s="35">
        <f t="shared" si="1"/>
        <v>0</v>
      </c>
      <c r="O14" s="26"/>
      <c r="P14" s="27"/>
      <c r="Q14" s="44"/>
      <c r="R14" s="35">
        <f t="shared" si="2"/>
        <v>0</v>
      </c>
      <c r="S14" s="26"/>
      <c r="T14" s="32"/>
      <c r="U14" s="44"/>
      <c r="V14" s="14"/>
      <c r="W14" s="44">
        <f t="shared" si="3"/>
        <v>0</v>
      </c>
    </row>
    <row r="15" spans="1:23" ht="40.049999999999997" customHeight="1" x14ac:dyDescent="0.45">
      <c r="A15" s="14" t="s">
        <v>8</v>
      </c>
      <c r="D15" s="35"/>
      <c r="E15" s="36"/>
      <c r="F15" s="40"/>
      <c r="G15" s="26"/>
      <c r="H15" s="27"/>
      <c r="I15" s="44"/>
      <c r="J15" s="35">
        <f t="shared" si="0"/>
        <v>0</v>
      </c>
      <c r="K15" s="26"/>
      <c r="L15" s="27"/>
      <c r="M15" s="44"/>
      <c r="N15" s="35">
        <f t="shared" si="1"/>
        <v>0</v>
      </c>
      <c r="O15" s="26"/>
      <c r="P15" s="27"/>
      <c r="Q15" s="44"/>
      <c r="R15" s="35">
        <f t="shared" si="2"/>
        <v>0</v>
      </c>
      <c r="S15" s="26"/>
      <c r="T15" s="32"/>
      <c r="U15" s="44"/>
      <c r="V15" s="14"/>
      <c r="W15" s="44">
        <f t="shared" si="3"/>
        <v>0</v>
      </c>
    </row>
    <row r="16" spans="1:23" ht="40.049999999999997" customHeight="1" x14ac:dyDescent="0.45">
      <c r="A16" s="14" t="s">
        <v>8</v>
      </c>
      <c r="D16" s="35"/>
      <c r="E16" s="36"/>
      <c r="F16" s="40"/>
      <c r="G16" s="26"/>
      <c r="H16" s="27"/>
      <c r="I16" s="44"/>
      <c r="J16" s="35">
        <f t="shared" si="0"/>
        <v>0</v>
      </c>
      <c r="K16" s="26"/>
      <c r="L16" s="27"/>
      <c r="M16" s="44"/>
      <c r="N16" s="35">
        <f t="shared" si="1"/>
        <v>0</v>
      </c>
      <c r="O16" s="26"/>
      <c r="P16" s="27"/>
      <c r="Q16" s="44"/>
      <c r="R16" s="35">
        <f t="shared" si="2"/>
        <v>0</v>
      </c>
      <c r="S16" s="26"/>
      <c r="T16" s="32"/>
      <c r="U16" s="44"/>
      <c r="V16" s="14"/>
      <c r="W16" s="44">
        <f t="shared" si="3"/>
        <v>0</v>
      </c>
    </row>
    <row r="17" spans="1:23" ht="40.049999999999997" customHeight="1" x14ac:dyDescent="0.45">
      <c r="A17" s="14" t="s">
        <v>8</v>
      </c>
      <c r="D17" s="35"/>
      <c r="E17" s="36"/>
      <c r="F17" s="40"/>
      <c r="G17" s="26"/>
      <c r="H17" s="27"/>
      <c r="I17" s="44"/>
      <c r="J17" s="35">
        <f t="shared" si="0"/>
        <v>0</v>
      </c>
      <c r="K17" s="26"/>
      <c r="L17" s="27"/>
      <c r="M17" s="44"/>
      <c r="N17" s="35">
        <f t="shared" si="1"/>
        <v>0</v>
      </c>
      <c r="O17" s="26"/>
      <c r="P17" s="27"/>
      <c r="Q17" s="44"/>
      <c r="R17" s="35">
        <f t="shared" si="2"/>
        <v>0</v>
      </c>
      <c r="S17" s="26"/>
      <c r="T17" s="32"/>
      <c r="U17" s="44"/>
      <c r="V17" s="14"/>
      <c r="W17" s="44">
        <f t="shared" si="3"/>
        <v>0</v>
      </c>
    </row>
    <row r="18" spans="1:23" ht="40.049999999999997" customHeight="1" x14ac:dyDescent="0.45">
      <c r="A18" s="14" t="s">
        <v>8</v>
      </c>
      <c r="D18" s="35"/>
      <c r="E18" s="36"/>
      <c r="F18" s="40"/>
      <c r="G18" s="26"/>
      <c r="H18" s="27"/>
      <c r="I18" s="44"/>
      <c r="J18" s="35">
        <f t="shared" si="0"/>
        <v>0</v>
      </c>
      <c r="K18" s="26"/>
      <c r="L18" s="27"/>
      <c r="M18" s="44"/>
      <c r="N18" s="35">
        <f t="shared" si="1"/>
        <v>0</v>
      </c>
      <c r="O18" s="26"/>
      <c r="P18" s="27"/>
      <c r="Q18" s="44"/>
      <c r="R18" s="35">
        <f t="shared" si="2"/>
        <v>0</v>
      </c>
      <c r="S18" s="26"/>
      <c r="T18" s="32"/>
      <c r="U18" s="44"/>
      <c r="V18" s="14"/>
      <c r="W18" s="44">
        <f t="shared" si="3"/>
        <v>0</v>
      </c>
    </row>
    <row r="19" spans="1:23" ht="40.049999999999997" customHeight="1" x14ac:dyDescent="0.45">
      <c r="A19" s="14" t="s">
        <v>8</v>
      </c>
      <c r="D19" s="35"/>
      <c r="E19" s="36"/>
      <c r="F19" s="40"/>
      <c r="G19" s="26"/>
      <c r="H19" s="27"/>
      <c r="I19" s="44"/>
      <c r="J19" s="35">
        <f t="shared" si="0"/>
        <v>0</v>
      </c>
      <c r="K19" s="26"/>
      <c r="L19" s="27"/>
      <c r="M19" s="44"/>
      <c r="N19" s="35">
        <f t="shared" si="1"/>
        <v>0</v>
      </c>
      <c r="O19" s="26"/>
      <c r="P19" s="27"/>
      <c r="Q19" s="44"/>
      <c r="R19" s="35">
        <f t="shared" si="2"/>
        <v>0</v>
      </c>
      <c r="S19" s="26"/>
      <c r="T19" s="32"/>
      <c r="U19" s="44"/>
      <c r="V19" s="14"/>
      <c r="W19" s="44">
        <f t="shared" si="3"/>
        <v>0</v>
      </c>
    </row>
    <row r="20" spans="1:23" ht="40.049999999999997" customHeight="1" x14ac:dyDescent="0.45">
      <c r="A20" s="14" t="s">
        <v>8</v>
      </c>
      <c r="D20" s="35"/>
      <c r="E20" s="36"/>
      <c r="F20" s="40"/>
      <c r="G20" s="26"/>
      <c r="H20" s="27"/>
      <c r="I20" s="44"/>
      <c r="J20" s="35">
        <f t="shared" si="0"/>
        <v>0</v>
      </c>
      <c r="K20" s="26"/>
      <c r="L20" s="27"/>
      <c r="M20" s="44"/>
      <c r="N20" s="35">
        <f t="shared" si="1"/>
        <v>0</v>
      </c>
      <c r="O20" s="26"/>
      <c r="P20" s="27"/>
      <c r="Q20" s="44"/>
      <c r="R20" s="35">
        <f t="shared" si="2"/>
        <v>0</v>
      </c>
      <c r="S20" s="26"/>
      <c r="T20" s="32"/>
      <c r="U20" s="44"/>
      <c r="V20" s="14"/>
      <c r="W20" s="44">
        <f t="shared" si="3"/>
        <v>0</v>
      </c>
    </row>
    <row r="21" spans="1:23" ht="40.049999999999997" customHeight="1" x14ac:dyDescent="0.45">
      <c r="A21" s="14" t="s">
        <v>8</v>
      </c>
      <c r="D21" s="35"/>
      <c r="E21" s="36"/>
      <c r="F21" s="40"/>
      <c r="G21" s="26"/>
      <c r="H21" s="27"/>
      <c r="I21" s="44"/>
      <c r="J21" s="35">
        <f t="shared" si="0"/>
        <v>0</v>
      </c>
      <c r="K21" s="26"/>
      <c r="L21" s="27"/>
      <c r="M21" s="44"/>
      <c r="N21" s="35">
        <f t="shared" si="1"/>
        <v>0</v>
      </c>
      <c r="O21" s="26"/>
      <c r="P21" s="27"/>
      <c r="Q21" s="44"/>
      <c r="R21" s="35">
        <f t="shared" si="2"/>
        <v>0</v>
      </c>
      <c r="S21" s="26"/>
      <c r="T21" s="32"/>
      <c r="U21" s="44"/>
      <c r="V21" s="14"/>
      <c r="W21" s="44">
        <f t="shared" si="3"/>
        <v>0</v>
      </c>
    </row>
    <row r="22" spans="1:23" ht="40.049999999999997" customHeight="1" x14ac:dyDescent="0.45">
      <c r="A22" s="14" t="s">
        <v>8</v>
      </c>
      <c r="D22" s="35"/>
      <c r="E22" s="36"/>
      <c r="F22" s="40"/>
      <c r="G22" s="26"/>
      <c r="H22" s="27"/>
      <c r="I22" s="44"/>
      <c r="J22" s="35">
        <f t="shared" si="0"/>
        <v>0</v>
      </c>
      <c r="K22" s="26"/>
      <c r="L22" s="27"/>
      <c r="M22" s="44"/>
      <c r="N22" s="35">
        <f t="shared" si="1"/>
        <v>0</v>
      </c>
      <c r="O22" s="26"/>
      <c r="P22" s="27"/>
      <c r="Q22" s="44"/>
      <c r="R22" s="35">
        <f t="shared" si="2"/>
        <v>0</v>
      </c>
      <c r="S22" s="26"/>
      <c r="T22" s="32"/>
      <c r="U22" s="44"/>
      <c r="V22" s="14"/>
      <c r="W22" s="44">
        <f t="shared" si="3"/>
        <v>0</v>
      </c>
    </row>
    <row r="23" spans="1:23" ht="40.049999999999997" customHeight="1" x14ac:dyDescent="0.45">
      <c r="A23" s="14" t="s">
        <v>8</v>
      </c>
      <c r="D23" s="35"/>
      <c r="E23" s="36"/>
      <c r="F23" s="40"/>
      <c r="G23" s="26"/>
      <c r="H23" s="27"/>
      <c r="I23" s="44"/>
      <c r="J23" s="35">
        <f t="shared" si="0"/>
        <v>0</v>
      </c>
      <c r="K23" s="26"/>
      <c r="L23" s="27"/>
      <c r="M23" s="44"/>
      <c r="N23" s="35">
        <f t="shared" si="1"/>
        <v>0</v>
      </c>
      <c r="O23" s="26"/>
      <c r="P23" s="27"/>
      <c r="Q23" s="44"/>
      <c r="R23" s="35">
        <f t="shared" si="2"/>
        <v>0</v>
      </c>
      <c r="S23" s="26"/>
      <c r="T23" s="32"/>
      <c r="U23" s="44"/>
      <c r="V23" s="14"/>
      <c r="W23" s="44">
        <f t="shared" si="3"/>
        <v>0</v>
      </c>
    </row>
    <row r="24" spans="1:23" ht="40.049999999999997" customHeight="1" x14ac:dyDescent="0.45">
      <c r="A24" s="14" t="s">
        <v>8</v>
      </c>
      <c r="D24" s="35"/>
      <c r="E24" s="36"/>
      <c r="F24" s="40"/>
      <c r="G24" s="26"/>
      <c r="H24" s="27"/>
      <c r="I24" s="44"/>
      <c r="J24" s="35">
        <f t="shared" si="0"/>
        <v>0</v>
      </c>
      <c r="K24" s="26"/>
      <c r="L24" s="27"/>
      <c r="M24" s="44"/>
      <c r="N24" s="35">
        <f t="shared" si="1"/>
        <v>0</v>
      </c>
      <c r="O24" s="26"/>
      <c r="P24" s="27"/>
      <c r="Q24" s="44"/>
      <c r="R24" s="35">
        <f t="shared" si="2"/>
        <v>0</v>
      </c>
      <c r="S24" s="26"/>
      <c r="T24" s="32"/>
      <c r="U24" s="44"/>
      <c r="V24" s="14"/>
      <c r="W24" s="44">
        <f t="shared" si="3"/>
        <v>0</v>
      </c>
    </row>
    <row r="25" spans="1:23" ht="40.049999999999997" customHeight="1" x14ac:dyDescent="0.45">
      <c r="A25" s="14" t="s">
        <v>8</v>
      </c>
      <c r="D25" s="35"/>
      <c r="E25" s="36"/>
      <c r="F25" s="40"/>
      <c r="G25" s="26"/>
      <c r="H25" s="27"/>
      <c r="I25" s="44"/>
      <c r="J25" s="35">
        <f t="shared" si="0"/>
        <v>0</v>
      </c>
      <c r="K25" s="26"/>
      <c r="L25" s="27"/>
      <c r="M25" s="44"/>
      <c r="N25" s="35">
        <f t="shared" si="1"/>
        <v>0</v>
      </c>
      <c r="O25" s="26"/>
      <c r="P25" s="27"/>
      <c r="Q25" s="44"/>
      <c r="R25" s="35">
        <f t="shared" si="2"/>
        <v>0</v>
      </c>
      <c r="S25" s="26"/>
      <c r="T25" s="32"/>
      <c r="U25" s="44"/>
      <c r="V25" s="14"/>
      <c r="W25" s="44">
        <f t="shared" si="3"/>
        <v>0</v>
      </c>
    </row>
    <row r="26" spans="1:23" ht="40.049999999999997" customHeight="1" x14ac:dyDescent="0.45">
      <c r="A26" s="14" t="s">
        <v>8</v>
      </c>
      <c r="D26" s="35"/>
      <c r="E26" s="36"/>
      <c r="F26" s="40"/>
      <c r="G26" s="26"/>
      <c r="H26" s="27"/>
      <c r="I26" s="44"/>
      <c r="J26" s="35">
        <f t="shared" si="0"/>
        <v>0</v>
      </c>
      <c r="K26" s="26"/>
      <c r="L26" s="27"/>
      <c r="M26" s="44"/>
      <c r="N26" s="35">
        <f t="shared" si="1"/>
        <v>0</v>
      </c>
      <c r="O26" s="26"/>
      <c r="P26" s="27"/>
      <c r="Q26" s="44"/>
      <c r="R26" s="35">
        <f t="shared" si="2"/>
        <v>0</v>
      </c>
      <c r="S26" s="26"/>
      <c r="T26" s="32"/>
      <c r="U26" s="44"/>
      <c r="V26" s="14"/>
      <c r="W26" s="44">
        <f t="shared" si="3"/>
        <v>0</v>
      </c>
    </row>
    <row r="27" spans="1:23" ht="29.55" customHeight="1" x14ac:dyDescent="0.45">
      <c r="A27" s="16"/>
      <c r="B27" s="17"/>
      <c r="C27" s="17"/>
      <c r="D27" s="17"/>
      <c r="E27" s="39"/>
      <c r="F27" s="41"/>
      <c r="G27" s="16"/>
      <c r="H27" s="43"/>
      <c r="I27" s="45"/>
      <c r="J27" s="48"/>
      <c r="K27" s="28"/>
      <c r="L27" s="29"/>
      <c r="M27" s="45"/>
      <c r="N27" s="17"/>
      <c r="O27" s="28"/>
      <c r="P27" s="29"/>
      <c r="Q27" s="45"/>
      <c r="R27" s="17"/>
      <c r="S27" s="28" t="s">
        <v>8</v>
      </c>
      <c r="T27" s="33"/>
      <c r="U27" s="45"/>
      <c r="V27" s="16"/>
      <c r="W27" s="45">
        <f>SUM(W8:W26)</f>
        <v>0</v>
      </c>
    </row>
    <row r="28" spans="1:23" ht="39.5" customHeight="1" x14ac:dyDescent="0.45">
      <c r="A28" s="22" t="s">
        <v>11</v>
      </c>
      <c r="B28" s="49"/>
      <c r="C28" s="49"/>
      <c r="D28" s="35">
        <v>0.625</v>
      </c>
      <c r="E28" s="36"/>
      <c r="F28" s="24"/>
      <c r="G28" s="14"/>
      <c r="H28" s="25"/>
      <c r="I28" s="44"/>
      <c r="J28" s="35">
        <f t="shared" si="0"/>
        <v>0</v>
      </c>
      <c r="K28" s="26"/>
      <c r="L28" s="27"/>
      <c r="M28" s="44"/>
      <c r="N28" s="35">
        <f t="shared" ref="N28:N46" si="4">M28-I28</f>
        <v>0</v>
      </c>
      <c r="O28" s="26"/>
      <c r="P28" s="27"/>
      <c r="Q28" s="44"/>
      <c r="R28" s="35">
        <f t="shared" ref="R28:R46" si="5">Q28-M28</f>
        <v>0</v>
      </c>
      <c r="S28" s="26"/>
      <c r="T28" s="32"/>
      <c r="U28" s="44"/>
      <c r="V28" s="14"/>
      <c r="W28" s="44">
        <f t="shared" si="3"/>
        <v>0</v>
      </c>
    </row>
    <row r="29" spans="1:23" ht="39.5" customHeight="1" x14ac:dyDescent="0.45">
      <c r="A29" s="22" t="s">
        <v>11</v>
      </c>
      <c r="B29" s="49"/>
      <c r="C29" s="49"/>
      <c r="D29" s="35">
        <v>0.63194444444444442</v>
      </c>
      <c r="E29" s="36"/>
      <c r="F29" s="24"/>
      <c r="G29" s="14"/>
      <c r="H29" s="25"/>
      <c r="I29" s="44"/>
      <c r="J29" s="35">
        <f t="shared" si="0"/>
        <v>0</v>
      </c>
      <c r="K29" s="26"/>
      <c r="L29" s="27"/>
      <c r="M29" s="44"/>
      <c r="N29" s="35">
        <f t="shared" si="4"/>
        <v>0</v>
      </c>
      <c r="O29" s="26"/>
      <c r="P29" s="27"/>
      <c r="Q29" s="44"/>
      <c r="R29" s="35">
        <f t="shared" si="5"/>
        <v>0</v>
      </c>
      <c r="S29" s="26"/>
      <c r="T29" s="32"/>
      <c r="U29" s="44"/>
      <c r="V29" s="14"/>
      <c r="W29" s="44">
        <f t="shared" si="3"/>
        <v>0</v>
      </c>
    </row>
    <row r="30" spans="1:23" ht="39.5" customHeight="1" x14ac:dyDescent="0.45">
      <c r="A30" s="22" t="s">
        <v>11</v>
      </c>
      <c r="B30" s="49"/>
      <c r="C30" s="49"/>
      <c r="D30" s="35">
        <v>0.63888888888888895</v>
      </c>
      <c r="E30" s="36"/>
      <c r="F30" s="24"/>
      <c r="G30" s="14"/>
      <c r="H30" s="25"/>
      <c r="I30" s="44"/>
      <c r="J30" s="35">
        <f t="shared" si="0"/>
        <v>0</v>
      </c>
      <c r="K30" s="26"/>
      <c r="L30" s="27"/>
      <c r="M30" s="44"/>
      <c r="N30" s="35">
        <f t="shared" si="4"/>
        <v>0</v>
      </c>
      <c r="O30" s="26"/>
      <c r="P30" s="27"/>
      <c r="Q30" s="44"/>
      <c r="R30" s="35">
        <f t="shared" si="5"/>
        <v>0</v>
      </c>
      <c r="S30" s="26"/>
      <c r="T30" s="32"/>
      <c r="U30" s="44"/>
      <c r="V30" s="14"/>
      <c r="W30" s="44">
        <f t="shared" si="3"/>
        <v>0</v>
      </c>
    </row>
    <row r="31" spans="1:23" ht="39.5" customHeight="1" x14ac:dyDescent="0.45">
      <c r="A31" s="22" t="s">
        <v>11</v>
      </c>
      <c r="B31" s="49"/>
      <c r="C31" s="49"/>
      <c r="D31" s="35">
        <v>0.64583333333333304</v>
      </c>
      <c r="E31" s="36"/>
      <c r="F31" s="24"/>
      <c r="G31" s="14"/>
      <c r="H31" s="25"/>
      <c r="I31" s="44"/>
      <c r="J31" s="35">
        <f t="shared" si="0"/>
        <v>0</v>
      </c>
      <c r="K31" s="26"/>
      <c r="L31" s="27"/>
      <c r="M31" s="44"/>
      <c r="N31" s="35">
        <f t="shared" si="4"/>
        <v>0</v>
      </c>
      <c r="O31" s="26"/>
      <c r="P31" s="27"/>
      <c r="Q31" s="44"/>
      <c r="R31" s="35">
        <f t="shared" si="5"/>
        <v>0</v>
      </c>
      <c r="S31" s="26"/>
      <c r="T31" s="32"/>
      <c r="U31" s="44"/>
      <c r="V31" s="14"/>
      <c r="W31" s="44">
        <f t="shared" si="3"/>
        <v>0</v>
      </c>
    </row>
    <row r="32" spans="1:23" ht="39.5" customHeight="1" x14ac:dyDescent="0.45">
      <c r="A32" s="22" t="s">
        <v>11</v>
      </c>
      <c r="B32" s="49"/>
      <c r="C32" s="49"/>
      <c r="D32" s="35">
        <v>0.65277777777777801</v>
      </c>
      <c r="E32" s="36"/>
      <c r="F32" s="24"/>
      <c r="G32" s="14"/>
      <c r="H32" s="25"/>
      <c r="I32" s="44"/>
      <c r="J32" s="35">
        <f t="shared" si="0"/>
        <v>0</v>
      </c>
      <c r="K32" s="26"/>
      <c r="L32" s="27"/>
      <c r="M32" s="44"/>
      <c r="N32" s="35">
        <f t="shared" si="4"/>
        <v>0</v>
      </c>
      <c r="O32" s="26"/>
      <c r="P32" s="27"/>
      <c r="Q32" s="44"/>
      <c r="R32" s="35">
        <f t="shared" si="5"/>
        <v>0</v>
      </c>
      <c r="S32" s="26"/>
      <c r="T32" s="32"/>
      <c r="U32" s="44"/>
      <c r="V32" s="14"/>
      <c r="W32" s="44">
        <f t="shared" si="3"/>
        <v>0</v>
      </c>
    </row>
    <row r="33" spans="1:23" ht="39.5" customHeight="1" x14ac:dyDescent="0.45">
      <c r="A33" s="22" t="s">
        <v>11</v>
      </c>
      <c r="B33" s="49"/>
      <c r="C33" s="49"/>
      <c r="D33" s="35">
        <v>0.65972222222222199</v>
      </c>
      <c r="E33" s="36"/>
      <c r="F33" s="24"/>
      <c r="G33" s="14"/>
      <c r="H33" s="25"/>
      <c r="I33" s="44"/>
      <c r="J33" s="35">
        <f t="shared" si="0"/>
        <v>0</v>
      </c>
      <c r="K33" s="26"/>
      <c r="L33" s="27"/>
      <c r="M33" s="44"/>
      <c r="N33" s="35">
        <f t="shared" si="4"/>
        <v>0</v>
      </c>
      <c r="O33" s="26"/>
      <c r="P33" s="27"/>
      <c r="Q33" s="44"/>
      <c r="R33" s="35">
        <f t="shared" si="5"/>
        <v>0</v>
      </c>
      <c r="S33" s="26"/>
      <c r="T33" s="32"/>
      <c r="U33" s="44"/>
      <c r="V33" s="14"/>
      <c r="W33" s="44">
        <f t="shared" si="3"/>
        <v>0</v>
      </c>
    </row>
    <row r="34" spans="1:23" ht="39.5" customHeight="1" x14ac:dyDescent="0.45">
      <c r="A34" s="22" t="s">
        <v>11</v>
      </c>
      <c r="B34" s="49"/>
      <c r="C34" s="49"/>
      <c r="D34" s="35">
        <v>0.66666666666666696</v>
      </c>
      <c r="E34" s="36"/>
      <c r="F34" s="24"/>
      <c r="G34" s="14"/>
      <c r="H34" s="25"/>
      <c r="I34" s="44"/>
      <c r="J34" s="35">
        <f t="shared" si="0"/>
        <v>0</v>
      </c>
      <c r="K34" s="26"/>
      <c r="L34" s="27"/>
      <c r="M34" s="44"/>
      <c r="N34" s="35">
        <f t="shared" si="4"/>
        <v>0</v>
      </c>
      <c r="O34" s="26"/>
      <c r="P34" s="27"/>
      <c r="Q34" s="44"/>
      <c r="R34" s="35">
        <f t="shared" si="5"/>
        <v>0</v>
      </c>
      <c r="S34" s="26"/>
      <c r="T34" s="32"/>
      <c r="U34" s="44"/>
      <c r="V34" s="14"/>
      <c r="W34" s="44">
        <f t="shared" si="3"/>
        <v>0</v>
      </c>
    </row>
    <row r="35" spans="1:23" ht="39.5" customHeight="1" x14ac:dyDescent="0.45">
      <c r="A35" s="22" t="s">
        <v>11</v>
      </c>
      <c r="B35" s="49"/>
      <c r="C35" s="49"/>
      <c r="D35" s="35">
        <v>0.67361111111111105</v>
      </c>
      <c r="E35" s="36"/>
      <c r="F35" s="24"/>
      <c r="G35" s="14"/>
      <c r="H35" s="25"/>
      <c r="I35" s="44"/>
      <c r="J35" s="35">
        <f t="shared" si="0"/>
        <v>0</v>
      </c>
      <c r="K35" s="26"/>
      <c r="L35" s="27"/>
      <c r="M35" s="44"/>
      <c r="N35" s="35">
        <f t="shared" si="4"/>
        <v>0</v>
      </c>
      <c r="O35" s="26"/>
      <c r="P35" s="27"/>
      <c r="Q35" s="44"/>
      <c r="R35" s="35">
        <f t="shared" si="5"/>
        <v>0</v>
      </c>
      <c r="S35" s="26"/>
      <c r="T35" s="32"/>
      <c r="U35" s="44"/>
      <c r="V35" s="14"/>
      <c r="W35" s="44">
        <f t="shared" si="3"/>
        <v>0</v>
      </c>
    </row>
    <row r="36" spans="1:23" ht="39.5" customHeight="1" x14ac:dyDescent="0.45">
      <c r="A36" s="22" t="s">
        <v>11</v>
      </c>
      <c r="B36" s="49"/>
      <c r="C36" s="49"/>
      <c r="D36" s="35">
        <v>0.68055555555555503</v>
      </c>
      <c r="E36" s="36"/>
      <c r="F36" s="24"/>
      <c r="G36" s="14"/>
      <c r="H36" s="25"/>
      <c r="I36" s="44"/>
      <c r="J36" s="35">
        <f t="shared" si="0"/>
        <v>0</v>
      </c>
      <c r="K36" s="26"/>
      <c r="L36" s="27"/>
      <c r="M36" s="44"/>
      <c r="N36" s="35">
        <f t="shared" si="4"/>
        <v>0</v>
      </c>
      <c r="O36" s="26"/>
      <c r="P36" s="27"/>
      <c r="Q36" s="44"/>
      <c r="R36" s="35">
        <f t="shared" si="5"/>
        <v>0</v>
      </c>
      <c r="S36" s="26"/>
      <c r="T36" s="32"/>
      <c r="U36" s="44"/>
      <c r="V36" s="14"/>
      <c r="W36" s="44">
        <f t="shared" si="3"/>
        <v>0</v>
      </c>
    </row>
    <row r="37" spans="1:23" ht="39.5" customHeight="1" x14ac:dyDescent="0.45">
      <c r="A37" s="22" t="s">
        <v>11</v>
      </c>
      <c r="B37" s="49"/>
      <c r="C37" s="49"/>
      <c r="D37" s="35">
        <v>0.6875</v>
      </c>
      <c r="E37" s="36"/>
      <c r="F37" s="24"/>
      <c r="G37" s="14"/>
      <c r="H37" s="25"/>
      <c r="I37" s="44"/>
      <c r="J37" s="35">
        <f t="shared" si="0"/>
        <v>0</v>
      </c>
      <c r="K37" s="26"/>
      <c r="L37" s="27"/>
      <c r="M37" s="44"/>
      <c r="N37" s="35">
        <f t="shared" si="4"/>
        <v>0</v>
      </c>
      <c r="O37" s="26"/>
      <c r="P37" s="27"/>
      <c r="Q37" s="44"/>
      <c r="R37" s="35">
        <f t="shared" si="5"/>
        <v>0</v>
      </c>
      <c r="S37" s="26"/>
      <c r="T37" s="32"/>
      <c r="U37" s="44"/>
      <c r="V37" s="14"/>
      <c r="W37" s="44">
        <f t="shared" si="3"/>
        <v>0</v>
      </c>
    </row>
    <row r="38" spans="1:23" ht="39.5" customHeight="1" x14ac:dyDescent="0.45">
      <c r="A38" s="22" t="s">
        <v>11</v>
      </c>
      <c r="B38" s="49"/>
      <c r="C38" s="49"/>
      <c r="D38" s="35">
        <v>0.69444444444444398</v>
      </c>
      <c r="E38" s="36"/>
      <c r="F38" s="24"/>
      <c r="G38" s="14"/>
      <c r="H38" s="25"/>
      <c r="I38" s="44"/>
      <c r="J38" s="35">
        <f t="shared" si="0"/>
        <v>0</v>
      </c>
      <c r="K38" s="26"/>
      <c r="L38" s="27"/>
      <c r="M38" s="44"/>
      <c r="N38" s="35">
        <f t="shared" si="4"/>
        <v>0</v>
      </c>
      <c r="O38" s="26"/>
      <c r="P38" s="27"/>
      <c r="Q38" s="44"/>
      <c r="R38" s="35">
        <f t="shared" si="5"/>
        <v>0</v>
      </c>
      <c r="S38" s="26"/>
      <c r="T38" s="32"/>
      <c r="U38" s="44"/>
      <c r="V38" s="14"/>
      <c r="W38" s="44">
        <f t="shared" si="3"/>
        <v>0</v>
      </c>
    </row>
    <row r="39" spans="1:23" ht="39.5" customHeight="1" x14ac:dyDescent="0.45">
      <c r="A39" s="22" t="s">
        <v>11</v>
      </c>
      <c r="B39" s="49"/>
      <c r="C39" s="49"/>
      <c r="D39" s="35">
        <v>0.70138888888888895</v>
      </c>
      <c r="E39" s="36"/>
      <c r="F39" s="24"/>
      <c r="G39" s="14"/>
      <c r="H39" s="25"/>
      <c r="I39" s="44"/>
      <c r="J39" s="35">
        <f t="shared" si="0"/>
        <v>0</v>
      </c>
      <c r="K39" s="26"/>
      <c r="L39" s="27"/>
      <c r="M39" s="44"/>
      <c r="N39" s="35">
        <f t="shared" si="4"/>
        <v>0</v>
      </c>
      <c r="O39" s="26"/>
      <c r="P39" s="27"/>
      <c r="Q39" s="44"/>
      <c r="R39" s="35">
        <f t="shared" si="5"/>
        <v>0</v>
      </c>
      <c r="S39" s="26"/>
      <c r="T39" s="32"/>
      <c r="U39" s="44"/>
      <c r="V39" s="14"/>
      <c r="W39" s="44">
        <f t="shared" si="3"/>
        <v>0</v>
      </c>
    </row>
    <row r="40" spans="1:23" ht="39.5" customHeight="1" x14ac:dyDescent="0.45">
      <c r="A40" s="22" t="s">
        <v>11</v>
      </c>
      <c r="B40" s="49"/>
      <c r="C40" s="49"/>
      <c r="D40" s="35">
        <v>0.70833333333333304</v>
      </c>
      <c r="E40" s="36"/>
      <c r="F40" s="24"/>
      <c r="G40" s="14"/>
      <c r="H40" s="25"/>
      <c r="I40" s="44"/>
      <c r="J40" s="35">
        <f t="shared" si="0"/>
        <v>0</v>
      </c>
      <c r="K40" s="26"/>
      <c r="L40" s="27"/>
      <c r="M40" s="44"/>
      <c r="N40" s="35">
        <f t="shared" si="4"/>
        <v>0</v>
      </c>
      <c r="O40" s="26"/>
      <c r="P40" s="27"/>
      <c r="Q40" s="44"/>
      <c r="R40" s="35">
        <f t="shared" si="5"/>
        <v>0</v>
      </c>
      <c r="S40" s="26"/>
      <c r="T40" s="32"/>
      <c r="U40" s="44"/>
      <c r="V40" s="14"/>
      <c r="W40" s="44">
        <f t="shared" si="3"/>
        <v>0</v>
      </c>
    </row>
    <row r="41" spans="1:23" ht="39.5" customHeight="1" x14ac:dyDescent="0.45">
      <c r="A41" s="22" t="s">
        <v>11</v>
      </c>
      <c r="B41" s="49"/>
      <c r="C41" s="49"/>
      <c r="D41" s="35">
        <v>0.71527777777777701</v>
      </c>
      <c r="E41" s="36"/>
      <c r="F41" s="24"/>
      <c r="G41" s="14"/>
      <c r="H41" s="25"/>
      <c r="I41" s="44"/>
      <c r="J41" s="35">
        <f t="shared" si="0"/>
        <v>0</v>
      </c>
      <c r="K41" s="26"/>
      <c r="L41" s="27"/>
      <c r="M41" s="44"/>
      <c r="N41" s="35">
        <f t="shared" si="4"/>
        <v>0</v>
      </c>
      <c r="O41" s="26"/>
      <c r="P41" s="27"/>
      <c r="Q41" s="44"/>
      <c r="R41" s="35">
        <f t="shared" si="5"/>
        <v>0</v>
      </c>
      <c r="S41" s="26"/>
      <c r="T41" s="32"/>
      <c r="U41" s="44"/>
      <c r="V41" s="14"/>
      <c r="W41" s="44">
        <f t="shared" si="3"/>
        <v>0</v>
      </c>
    </row>
    <row r="42" spans="1:23" ht="39.5" customHeight="1" x14ac:dyDescent="0.45">
      <c r="A42" s="22" t="s">
        <v>11</v>
      </c>
      <c r="B42" s="49"/>
      <c r="C42" s="49"/>
      <c r="D42" s="35">
        <v>0.72222222222222199</v>
      </c>
      <c r="E42" s="36"/>
      <c r="F42" s="24"/>
      <c r="G42" s="14"/>
      <c r="H42" s="25"/>
      <c r="I42" s="44"/>
      <c r="J42" s="35">
        <f t="shared" si="0"/>
        <v>0</v>
      </c>
      <c r="K42" s="26"/>
      <c r="L42" s="27"/>
      <c r="M42" s="44"/>
      <c r="N42" s="35">
        <f t="shared" si="4"/>
        <v>0</v>
      </c>
      <c r="O42" s="26"/>
      <c r="P42" s="27"/>
      <c r="Q42" s="44"/>
      <c r="R42" s="35">
        <f t="shared" si="5"/>
        <v>0</v>
      </c>
      <c r="S42" s="26"/>
      <c r="T42" s="32"/>
      <c r="U42" s="44"/>
      <c r="V42" s="14"/>
      <c r="W42" s="44">
        <f t="shared" si="3"/>
        <v>0</v>
      </c>
    </row>
    <row r="43" spans="1:23" ht="39.5" customHeight="1" x14ac:dyDescent="0.45">
      <c r="A43" s="22" t="s">
        <v>11</v>
      </c>
      <c r="B43" s="49"/>
      <c r="C43" s="49"/>
      <c r="D43" s="35">
        <v>0.72916666666666596</v>
      </c>
      <c r="E43" s="36"/>
      <c r="F43" s="24"/>
      <c r="G43" s="14"/>
      <c r="H43" s="25"/>
      <c r="I43" s="44"/>
      <c r="J43" s="35">
        <f t="shared" si="0"/>
        <v>0</v>
      </c>
      <c r="K43" s="26"/>
      <c r="L43" s="27"/>
      <c r="M43" s="44"/>
      <c r="N43" s="35">
        <f t="shared" si="4"/>
        <v>0</v>
      </c>
      <c r="O43" s="26"/>
      <c r="P43" s="27"/>
      <c r="Q43" s="44"/>
      <c r="R43" s="35">
        <f t="shared" si="5"/>
        <v>0</v>
      </c>
      <c r="S43" s="26"/>
      <c r="T43" s="32"/>
      <c r="U43" s="44"/>
      <c r="V43" s="14"/>
      <c r="W43" s="44">
        <f t="shared" si="3"/>
        <v>0</v>
      </c>
    </row>
    <row r="44" spans="1:23" ht="39.5" customHeight="1" x14ac:dyDescent="0.45">
      <c r="A44" s="22" t="s">
        <v>11</v>
      </c>
      <c r="B44" s="49"/>
      <c r="C44" s="49"/>
      <c r="D44" s="35">
        <v>0.73611111111111105</v>
      </c>
      <c r="E44" s="36"/>
      <c r="F44" s="24"/>
      <c r="G44" s="14"/>
      <c r="H44" s="25"/>
      <c r="I44" s="44"/>
      <c r="J44" s="35">
        <f t="shared" si="0"/>
        <v>0</v>
      </c>
      <c r="K44" s="26"/>
      <c r="L44" s="27"/>
      <c r="M44" s="44"/>
      <c r="N44" s="35">
        <f t="shared" si="4"/>
        <v>0</v>
      </c>
      <c r="O44" s="26"/>
      <c r="P44" s="27"/>
      <c r="Q44" s="44"/>
      <c r="R44" s="35">
        <f t="shared" si="5"/>
        <v>0</v>
      </c>
      <c r="S44" s="26"/>
      <c r="T44" s="32"/>
      <c r="U44" s="44"/>
      <c r="V44" s="14"/>
      <c r="W44" s="44">
        <f t="shared" si="3"/>
        <v>0</v>
      </c>
    </row>
    <row r="45" spans="1:23" ht="39.5" customHeight="1" x14ac:dyDescent="0.45">
      <c r="A45" s="22" t="s">
        <v>11</v>
      </c>
      <c r="B45" s="49"/>
      <c r="C45" s="49"/>
      <c r="D45" s="35">
        <v>0.74305555555555503</v>
      </c>
      <c r="E45" s="36"/>
      <c r="F45" s="24"/>
      <c r="G45" s="14"/>
      <c r="H45" s="25"/>
      <c r="I45" s="44"/>
      <c r="J45" s="35">
        <f t="shared" si="0"/>
        <v>0</v>
      </c>
      <c r="K45" s="26"/>
      <c r="L45" s="27"/>
      <c r="M45" s="44"/>
      <c r="N45" s="35">
        <f t="shared" si="4"/>
        <v>0</v>
      </c>
      <c r="O45" s="26"/>
      <c r="P45" s="27"/>
      <c r="Q45" s="44"/>
      <c r="R45" s="35">
        <f t="shared" si="5"/>
        <v>0</v>
      </c>
      <c r="S45" s="26"/>
      <c r="T45" s="32"/>
      <c r="U45" s="44"/>
      <c r="V45" s="14"/>
      <c r="W45" s="44">
        <f t="shared" si="3"/>
        <v>0</v>
      </c>
    </row>
    <row r="46" spans="1:23" ht="39.5" customHeight="1" x14ac:dyDescent="0.45">
      <c r="A46" s="23" t="s">
        <v>11</v>
      </c>
      <c r="B46" s="50"/>
      <c r="C46" s="50"/>
      <c r="D46" s="37">
        <v>0.75</v>
      </c>
      <c r="E46" s="38"/>
      <c r="F46" s="42"/>
      <c r="G46" s="8"/>
      <c r="H46" s="19"/>
      <c r="I46" s="46"/>
      <c r="J46" s="35">
        <f t="shared" si="0"/>
        <v>0</v>
      </c>
      <c r="K46" s="30"/>
      <c r="L46" s="31"/>
      <c r="M46" s="46"/>
      <c r="N46" s="35">
        <f t="shared" si="4"/>
        <v>0</v>
      </c>
      <c r="O46" s="30"/>
      <c r="P46" s="31"/>
      <c r="Q46" s="46"/>
      <c r="R46" s="35">
        <f t="shared" si="5"/>
        <v>0</v>
      </c>
      <c r="S46" s="30"/>
      <c r="T46" s="34"/>
      <c r="U46" s="46"/>
      <c r="V46" s="8"/>
      <c r="W46" s="44">
        <f t="shared" si="3"/>
        <v>0</v>
      </c>
    </row>
    <row r="47" spans="1:23" x14ac:dyDescent="0.45">
      <c r="A47" s="8"/>
      <c r="B47" s="11"/>
      <c r="C47" s="11"/>
      <c r="D47" s="15"/>
      <c r="E47" s="19"/>
      <c r="F47" s="42"/>
      <c r="G47" s="8"/>
      <c r="H47" s="19"/>
      <c r="I47" s="46"/>
      <c r="J47" s="11"/>
      <c r="K47" s="30"/>
      <c r="L47" s="31"/>
      <c r="M47" s="46"/>
      <c r="N47" s="11"/>
      <c r="O47" s="30"/>
      <c r="P47" s="31"/>
      <c r="Q47" s="46"/>
      <c r="R47" s="11"/>
      <c r="S47" s="30"/>
      <c r="T47" s="34"/>
      <c r="U47" s="46"/>
      <c r="V47" s="8"/>
      <c r="W47" s="47">
        <f>SUM(W28:W46)</f>
        <v>0</v>
      </c>
    </row>
    <row r="48" spans="1:23" x14ac:dyDescent="0.45">
      <c r="W48" s="35">
        <f>W47+W27</f>
        <v>0</v>
      </c>
    </row>
    <row r="49" spans="5:11" x14ac:dyDescent="0.45">
      <c r="E49" t="s">
        <v>15</v>
      </c>
      <c r="K49" t="s">
        <v>16</v>
      </c>
    </row>
  </sheetData>
  <mergeCells count="3">
    <mergeCell ref="G6:I6"/>
    <mergeCell ref="K6:M6"/>
    <mergeCell ref="O6:Q6"/>
  </mergeCells>
  <pageMargins left="0.25" right="0.25" top="0.75" bottom="0.75" header="0.3" footer="0.3"/>
  <pageSetup paperSize="9" scale="26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A6D3-E9C7-43A6-A90D-599F5B4F2BD2}">
  <sheetPr>
    <pageSetUpPr fitToPage="1"/>
  </sheetPr>
  <dimension ref="A3:AA48"/>
  <sheetViews>
    <sheetView workbookViewId="0">
      <selection activeCell="Y7" sqref="Y7:AA7"/>
    </sheetView>
  </sheetViews>
  <sheetFormatPr baseColWidth="10" defaultRowHeight="14.25" x14ac:dyDescent="0.45"/>
  <cols>
    <col min="4" max="4" width="11.796875" customWidth="1"/>
    <col min="10" max="11" width="0" hidden="1" customWidth="1"/>
    <col min="14" max="15" width="0" hidden="1" customWidth="1"/>
    <col min="18" max="19" width="0" hidden="1" customWidth="1"/>
    <col min="21" max="21" width="10.796875" customWidth="1"/>
    <col min="23" max="23" width="34.796875" customWidth="1"/>
  </cols>
  <sheetData>
    <row r="3" spans="1:27" x14ac:dyDescent="0.45">
      <c r="D3" t="s">
        <v>14</v>
      </c>
    </row>
    <row r="4" spans="1:27" x14ac:dyDescent="0.45">
      <c r="D4" t="s">
        <v>13</v>
      </c>
    </row>
    <row r="6" spans="1:27" x14ac:dyDescent="0.45">
      <c r="D6" s="7"/>
      <c r="E6" s="9"/>
      <c r="F6" s="9"/>
      <c r="G6" s="10"/>
      <c r="H6" s="456" t="s">
        <v>2</v>
      </c>
      <c r="I6" s="457"/>
      <c r="J6" s="458"/>
      <c r="K6" s="1"/>
      <c r="L6" s="456" t="s">
        <v>6</v>
      </c>
      <c r="M6" s="457"/>
      <c r="N6" s="458"/>
      <c r="O6" s="1"/>
      <c r="P6" s="456" t="s">
        <v>7</v>
      </c>
      <c r="Q6" s="457"/>
      <c r="R6" s="458"/>
      <c r="S6" s="1"/>
      <c r="T6" s="13" t="s">
        <v>11</v>
      </c>
      <c r="U6" s="12"/>
      <c r="V6" s="10"/>
      <c r="W6" s="7"/>
      <c r="X6" s="5"/>
    </row>
    <row r="7" spans="1:27" ht="42.75" x14ac:dyDescent="0.45">
      <c r="A7" t="s">
        <v>14</v>
      </c>
      <c r="B7" t="s">
        <v>21</v>
      </c>
      <c r="C7" t="s">
        <v>13</v>
      </c>
      <c r="D7" s="8"/>
      <c r="E7" s="3" t="s">
        <v>0</v>
      </c>
      <c r="F7" s="18" t="s">
        <v>1</v>
      </c>
      <c r="G7" s="4" t="s">
        <v>23</v>
      </c>
      <c r="H7" s="2" t="s">
        <v>22</v>
      </c>
      <c r="I7" s="18" t="s">
        <v>23</v>
      </c>
      <c r="J7" s="4" t="s">
        <v>5</v>
      </c>
      <c r="K7" s="3" t="s">
        <v>19</v>
      </c>
      <c r="L7" s="2" t="s">
        <v>22</v>
      </c>
      <c r="M7" s="18" t="s">
        <v>23</v>
      </c>
      <c r="N7" s="4" t="s">
        <v>9</v>
      </c>
      <c r="O7" s="3" t="s">
        <v>19</v>
      </c>
      <c r="P7" s="2" t="s">
        <v>22</v>
      </c>
      <c r="Q7" s="18" t="s">
        <v>23</v>
      </c>
      <c r="R7" s="4" t="s">
        <v>10</v>
      </c>
      <c r="S7" s="3" t="s">
        <v>19</v>
      </c>
      <c r="T7" s="2" t="s">
        <v>22</v>
      </c>
      <c r="U7" s="3"/>
      <c r="V7" s="4" t="s">
        <v>17</v>
      </c>
      <c r="W7" s="8" t="s">
        <v>12</v>
      </c>
      <c r="X7" s="6" t="s">
        <v>20</v>
      </c>
      <c r="Y7" s="51" t="s">
        <v>38</v>
      </c>
      <c r="Z7" s="51" t="s">
        <v>39</v>
      </c>
      <c r="AA7" s="51" t="s">
        <v>40</v>
      </c>
    </row>
    <row r="8" spans="1:27" ht="29.55" customHeight="1" x14ac:dyDescent="0.45">
      <c r="D8" s="14" t="s">
        <v>8</v>
      </c>
      <c r="E8" s="35">
        <v>0.20833333333333334</v>
      </c>
      <c r="F8" s="54" t="e">
        <f>AVERAGE('Feuille saisie'!E12,'C2'!C8,'C3'!C8,'C4'!C8,'C5'!C8,'C6'!C8,'C7'!C8,'C8'!C8,'C9'!C8,'C10'!C8,'C11'!C8,'C12'!C8,'C13'!C8,'C14'!C8,'C15'!C8,'C16'!C8)</f>
        <v>#DIV/0!</v>
      </c>
      <c r="G8" s="55">
        <f>'Feuille saisie'!H12+'C2'!D8+'C3'!D8+'C4'!D8+'C5'!D8+'C6'!D8+'C7'!D8+'C8'!D8+'C9'!D8+'C10'!D8+'C11'!D8+'C12'!D8+'C13'!D8+'C14'!D8+'C15'!D8+'C16'!D8</f>
        <v>0</v>
      </c>
      <c r="H8" s="56">
        <f>'Feuille saisie'!I12+'C2'!E8+'C3'!E8+'C4'!E8+'C5'!E8+'C6'!E8+'C7'!E8+'C8'!E8+'C9'!E8+'C10'!E8+'C11'!E8+'C12'!E8+'C13'!E8+'C14'!E8+'C15'!E8+'C16'!E8</f>
        <v>0</v>
      </c>
      <c r="I8" s="55">
        <f>'Feuille saisie'!J12+'C2'!F8+'C3'!F8+'C4'!F8+'C5'!F8+'C6'!F8+'C7'!F8+'C8'!F8+'C9'!F8+'C10'!F8+'C11'!F8+'C12'!F8+'C13'!F8+'C14'!F8+'C15'!F8+'C16'!F8</f>
        <v>0</v>
      </c>
      <c r="J8" s="57">
        <v>0.21458333333333332</v>
      </c>
      <c r="K8" s="58" t="e">
        <f>J8-F8</f>
        <v>#DIV/0!</v>
      </c>
      <c r="L8" s="56">
        <f>'Feuille saisie'!M12+'C2'!I8+'C3'!I8+'C4'!I8+'C5'!I8+'C6'!I8+'C7'!I8+'C8'!I8+'C9'!I8+'C10'!I8+'C11'!I8+'C12'!I8+'C13'!I8+'C14'!I8+'C15'!I8+'C16'!I8</f>
        <v>0</v>
      </c>
      <c r="M8" s="55">
        <f>'Feuille saisie'!N12+'C2'!J8+'C3'!J8+'C4'!J8+'C5'!J8+'C6'!J8+'C7'!J8+'C8'!J8+'C9'!J8+'C10'!J8+'C11'!J8+'C12'!J8+'C13'!J8+'C14'!J8+'C15'!J8+'C16'!J8</f>
        <v>0</v>
      </c>
      <c r="N8" s="57">
        <v>0.21805555555555556</v>
      </c>
      <c r="O8" s="58">
        <f>N8-J8</f>
        <v>3.4722222222222376E-3</v>
      </c>
      <c r="P8" s="56">
        <f>'Feuille saisie'!Q12+'C2'!M8+'C3'!M8+'C4'!M8+'C5'!M8+'C6'!M8+'C7'!M8+'C8'!M8+'C9'!M8+'C10'!M8+'C11'!M8+'C12'!M8+'C13'!M8+'C14'!M8+'C15'!M8+'C16'!M8</f>
        <v>0</v>
      </c>
      <c r="Q8" s="55">
        <f>'Feuille saisie'!R12+'C2'!N8+'C3'!N8+'C4'!N8+'C5'!N8+'C6'!N8+'C7'!N8+'C8'!N8+'C9'!N8+'C10'!N8+'C11'!N8+'C12'!N8+'C13'!N8+'C14'!N8+'C15'!N8+'C16'!N8</f>
        <v>0</v>
      </c>
      <c r="R8" s="57">
        <v>0.22013888888888888</v>
      </c>
      <c r="S8" s="58">
        <f>R8-N8</f>
        <v>2.0833333333333259E-3</v>
      </c>
      <c r="T8" s="59">
        <f>'Feuille saisie'!U12+'C2'!Q8+'C3'!Q8+'C4'!Q8+'C5'!Q8+'C6'!Q8+'C7'!Q8+'C8'!Q8+'C9'!Q8+'C10'!Q8+'C11'!Q8+'C12'!Q8+'C13'!Q8+'C14'!Q8+'C15'!Q8+'C16'!Q8</f>
        <v>0</v>
      </c>
      <c r="U8" s="60" t="str">
        <f>IF(G8+H8-I8+L8-M8+P8-Q8=T8,"OK",G8+H8-I8+L8-M8+P8-Q8-T8)</f>
        <v>OK</v>
      </c>
      <c r="V8" s="52" t="e">
        <f>AVERAGE('Feuille saisie'!W12,'C2'!S8,'C3'!S8,'C4'!S8,'C5'!S8,'C6'!S8,'C7'!S8,'C8'!S8,'C9'!S8,'C10'!S8,'C11'!S8,'C12'!S8,'C13'!S8,'C14'!S8,'C17'!S8)</f>
        <v>#DIV/0!</v>
      </c>
      <c r="W8" s="14"/>
      <c r="X8" s="44" t="e">
        <f>V8-F8</f>
        <v>#DIV/0!</v>
      </c>
      <c r="Y8" s="53">
        <f>AVERAGE(G8,G8-H8+I8,G8-H8+I8-L8+M8,G8-H8+I8-L8+M8-P8+Q8)</f>
        <v>0</v>
      </c>
    </row>
    <row r="9" spans="1:27" ht="29.55" customHeight="1" x14ac:dyDescent="0.45">
      <c r="D9" s="14" t="s">
        <v>8</v>
      </c>
      <c r="E9" s="35">
        <v>0.21527777777777779</v>
      </c>
      <c r="F9" s="36"/>
      <c r="G9" s="40"/>
      <c r="H9" s="26"/>
      <c r="I9" s="27"/>
      <c r="J9" s="44"/>
      <c r="L9" s="26"/>
      <c r="M9" s="27"/>
      <c r="N9" s="44"/>
      <c r="P9" s="26"/>
      <c r="Q9" s="27"/>
      <c r="R9" s="44"/>
      <c r="T9" s="26"/>
      <c r="U9" s="32"/>
      <c r="V9" s="44"/>
      <c r="W9" s="14"/>
      <c r="X9" s="44">
        <f t="shared" ref="X9:X46" si="0">V9-F9</f>
        <v>0</v>
      </c>
    </row>
    <row r="10" spans="1:27" ht="29.55" customHeight="1" x14ac:dyDescent="0.45">
      <c r="D10" s="14" t="s">
        <v>8</v>
      </c>
      <c r="E10" s="35">
        <v>0.22222222222222199</v>
      </c>
      <c r="F10" s="36"/>
      <c r="G10" s="40"/>
      <c r="H10" s="26"/>
      <c r="I10" s="27"/>
      <c r="J10" s="44"/>
      <c r="L10" s="26"/>
      <c r="M10" s="27"/>
      <c r="N10" s="44"/>
      <c r="P10" s="26"/>
      <c r="Q10" s="27"/>
      <c r="R10" s="44"/>
      <c r="T10" s="26"/>
      <c r="U10" s="32"/>
      <c r="V10" s="44"/>
      <c r="W10" s="14"/>
      <c r="X10" s="44">
        <f t="shared" si="0"/>
        <v>0</v>
      </c>
    </row>
    <row r="11" spans="1:27" ht="29.55" customHeight="1" x14ac:dyDescent="0.45">
      <c r="D11" s="14" t="s">
        <v>8</v>
      </c>
      <c r="E11" s="35">
        <v>0.22916666666666699</v>
      </c>
      <c r="F11" s="36"/>
      <c r="G11" s="40"/>
      <c r="H11" s="26"/>
      <c r="I11" s="27"/>
      <c r="J11" s="44"/>
      <c r="L11" s="26"/>
      <c r="M11" s="27"/>
      <c r="N11" s="44"/>
      <c r="P11" s="26"/>
      <c r="Q11" s="27"/>
      <c r="R11" s="44"/>
      <c r="T11" s="26"/>
      <c r="U11" s="32"/>
      <c r="V11" s="44"/>
      <c r="W11" s="14"/>
      <c r="X11" s="44">
        <f t="shared" si="0"/>
        <v>0</v>
      </c>
    </row>
    <row r="12" spans="1:27" ht="29.55" customHeight="1" x14ac:dyDescent="0.45">
      <c r="D12" s="14" t="s">
        <v>8</v>
      </c>
      <c r="E12" s="35">
        <v>0.23611111111111099</v>
      </c>
      <c r="F12" s="36"/>
      <c r="G12" s="40"/>
      <c r="H12" s="26"/>
      <c r="I12" s="27"/>
      <c r="J12" s="44"/>
      <c r="L12" s="26"/>
      <c r="M12" s="27"/>
      <c r="N12" s="44"/>
      <c r="P12" s="26"/>
      <c r="Q12" s="27"/>
      <c r="R12" s="44"/>
      <c r="T12" s="26"/>
      <c r="U12" s="32"/>
      <c r="V12" s="44"/>
      <c r="W12" s="14"/>
      <c r="X12" s="44">
        <f t="shared" si="0"/>
        <v>0</v>
      </c>
    </row>
    <row r="13" spans="1:27" ht="29.55" customHeight="1" x14ac:dyDescent="0.45">
      <c r="D13" s="14" t="s">
        <v>8</v>
      </c>
      <c r="E13" s="35">
        <v>0.243055555555556</v>
      </c>
      <c r="F13" s="36"/>
      <c r="G13" s="40"/>
      <c r="H13" s="26"/>
      <c r="I13" s="27"/>
      <c r="J13" s="44"/>
      <c r="L13" s="26"/>
      <c r="M13" s="27"/>
      <c r="N13" s="44"/>
      <c r="P13" s="26"/>
      <c r="Q13" s="27"/>
      <c r="R13" s="44"/>
      <c r="T13" s="26"/>
      <c r="U13" s="32"/>
      <c r="V13" s="44"/>
      <c r="W13" s="14"/>
      <c r="X13" s="44">
        <f t="shared" si="0"/>
        <v>0</v>
      </c>
    </row>
    <row r="14" spans="1:27" ht="29.55" customHeight="1" x14ac:dyDescent="0.45">
      <c r="D14" s="14" t="s">
        <v>8</v>
      </c>
      <c r="E14" s="35">
        <v>0.25</v>
      </c>
      <c r="F14" s="36"/>
      <c r="G14" s="40"/>
      <c r="H14" s="26"/>
      <c r="I14" s="27"/>
      <c r="J14" s="44"/>
      <c r="L14" s="26"/>
      <c r="M14" s="27"/>
      <c r="N14" s="44"/>
      <c r="P14" s="26"/>
      <c r="Q14" s="27"/>
      <c r="R14" s="44"/>
      <c r="T14" s="26"/>
      <c r="U14" s="32"/>
      <c r="V14" s="44"/>
      <c r="W14" s="14"/>
      <c r="X14" s="44">
        <f t="shared" si="0"/>
        <v>0</v>
      </c>
    </row>
    <row r="15" spans="1:27" ht="29.55" customHeight="1" x14ac:dyDescent="0.45">
      <c r="D15" s="14" t="s">
        <v>8</v>
      </c>
      <c r="E15" s="35">
        <v>0.25694444444444398</v>
      </c>
      <c r="F15" s="36"/>
      <c r="G15" s="40"/>
      <c r="H15" s="26"/>
      <c r="I15" s="27"/>
      <c r="J15" s="44"/>
      <c r="L15" s="26"/>
      <c r="M15" s="27"/>
      <c r="N15" s="44"/>
      <c r="P15" s="26"/>
      <c r="Q15" s="27"/>
      <c r="R15" s="44"/>
      <c r="T15" s="26"/>
      <c r="U15" s="32"/>
      <c r="V15" s="44"/>
      <c r="W15" s="14"/>
      <c r="X15" s="44">
        <f t="shared" si="0"/>
        <v>0</v>
      </c>
    </row>
    <row r="16" spans="1:27" ht="29.55" customHeight="1" x14ac:dyDescent="0.45">
      <c r="D16" s="14" t="s">
        <v>8</v>
      </c>
      <c r="E16" s="35">
        <v>0.26388888888888901</v>
      </c>
      <c r="F16" s="36"/>
      <c r="G16" s="40"/>
      <c r="H16" s="26"/>
      <c r="I16" s="27"/>
      <c r="J16" s="44"/>
      <c r="L16" s="26"/>
      <c r="M16" s="27"/>
      <c r="N16" s="44"/>
      <c r="P16" s="26"/>
      <c r="Q16" s="27"/>
      <c r="R16" s="44"/>
      <c r="T16" s="26"/>
      <c r="U16" s="32"/>
      <c r="V16" s="44"/>
      <c r="W16" s="14"/>
      <c r="X16" s="44">
        <f t="shared" si="0"/>
        <v>0</v>
      </c>
    </row>
    <row r="17" spans="4:24" ht="29.55" customHeight="1" x14ac:dyDescent="0.45">
      <c r="D17" s="14" t="s">
        <v>8</v>
      </c>
      <c r="E17" s="35">
        <v>0.27083333333333298</v>
      </c>
      <c r="F17" s="36"/>
      <c r="G17" s="40"/>
      <c r="H17" s="26"/>
      <c r="I17" s="27"/>
      <c r="J17" s="44"/>
      <c r="L17" s="26"/>
      <c r="M17" s="27"/>
      <c r="N17" s="44"/>
      <c r="P17" s="26"/>
      <c r="Q17" s="27"/>
      <c r="R17" s="44"/>
      <c r="T17" s="26"/>
      <c r="U17" s="32"/>
      <c r="V17" s="44"/>
      <c r="W17" s="14"/>
      <c r="X17" s="44">
        <f t="shared" si="0"/>
        <v>0</v>
      </c>
    </row>
    <row r="18" spans="4:24" ht="29.55" customHeight="1" x14ac:dyDescent="0.45">
      <c r="D18" s="14" t="s">
        <v>8</v>
      </c>
      <c r="E18" s="35">
        <v>0.27777777777777801</v>
      </c>
      <c r="F18" s="36"/>
      <c r="G18" s="40"/>
      <c r="H18" s="26"/>
      <c r="I18" s="27"/>
      <c r="J18" s="44"/>
      <c r="L18" s="26"/>
      <c r="M18" s="27"/>
      <c r="N18" s="44"/>
      <c r="P18" s="26"/>
      <c r="Q18" s="27"/>
      <c r="R18" s="44"/>
      <c r="T18" s="26"/>
      <c r="U18" s="32"/>
      <c r="V18" s="44"/>
      <c r="W18" s="14"/>
      <c r="X18" s="44">
        <f t="shared" si="0"/>
        <v>0</v>
      </c>
    </row>
    <row r="19" spans="4:24" ht="29.55" customHeight="1" x14ac:dyDescent="0.45">
      <c r="D19" s="14" t="s">
        <v>8</v>
      </c>
      <c r="E19" s="35">
        <v>0.28472222222222199</v>
      </c>
      <c r="F19" s="36"/>
      <c r="G19" s="40"/>
      <c r="H19" s="26"/>
      <c r="I19" s="27"/>
      <c r="J19" s="44"/>
      <c r="L19" s="26"/>
      <c r="M19" s="27"/>
      <c r="N19" s="44"/>
      <c r="P19" s="26"/>
      <c r="Q19" s="27"/>
      <c r="R19" s="44"/>
      <c r="T19" s="26"/>
      <c r="U19" s="32"/>
      <c r="V19" s="44"/>
      <c r="W19" s="14"/>
      <c r="X19" s="44">
        <f t="shared" si="0"/>
        <v>0</v>
      </c>
    </row>
    <row r="20" spans="4:24" ht="29.55" customHeight="1" x14ac:dyDescent="0.45">
      <c r="D20" s="14" t="s">
        <v>8</v>
      </c>
      <c r="E20" s="35">
        <v>0.29166666666666702</v>
      </c>
      <c r="F20" s="36"/>
      <c r="G20" s="40"/>
      <c r="H20" s="26"/>
      <c r="I20" s="27"/>
      <c r="J20" s="44"/>
      <c r="L20" s="26"/>
      <c r="M20" s="27"/>
      <c r="N20" s="44"/>
      <c r="P20" s="26"/>
      <c r="Q20" s="27"/>
      <c r="R20" s="44"/>
      <c r="T20" s="26"/>
      <c r="U20" s="32"/>
      <c r="V20" s="44"/>
      <c r="W20" s="14"/>
      <c r="X20" s="44">
        <f t="shared" si="0"/>
        <v>0</v>
      </c>
    </row>
    <row r="21" spans="4:24" ht="29.55" customHeight="1" x14ac:dyDescent="0.45">
      <c r="D21" s="14" t="s">
        <v>8</v>
      </c>
      <c r="E21" s="35">
        <v>0.29861111111111099</v>
      </c>
      <c r="F21" s="36"/>
      <c r="G21" s="40"/>
      <c r="H21" s="26"/>
      <c r="I21" s="27"/>
      <c r="J21" s="44"/>
      <c r="L21" s="26"/>
      <c r="M21" s="27"/>
      <c r="N21" s="44"/>
      <c r="P21" s="26"/>
      <c r="Q21" s="27"/>
      <c r="R21" s="44"/>
      <c r="T21" s="26"/>
      <c r="U21" s="32"/>
      <c r="V21" s="44"/>
      <c r="W21" s="14"/>
      <c r="X21" s="44">
        <f t="shared" si="0"/>
        <v>0</v>
      </c>
    </row>
    <row r="22" spans="4:24" ht="29.55" customHeight="1" x14ac:dyDescent="0.45">
      <c r="D22" s="14" t="s">
        <v>8</v>
      </c>
      <c r="E22" s="35">
        <v>0.30555555555555602</v>
      </c>
      <c r="F22" s="36"/>
      <c r="G22" s="40"/>
      <c r="H22" s="26"/>
      <c r="I22" s="27"/>
      <c r="J22" s="44"/>
      <c r="L22" s="26"/>
      <c r="M22" s="27"/>
      <c r="N22" s="44"/>
      <c r="P22" s="26"/>
      <c r="Q22" s="27"/>
      <c r="R22" s="44"/>
      <c r="T22" s="26"/>
      <c r="U22" s="32"/>
      <c r="V22" s="44"/>
      <c r="W22" s="14"/>
      <c r="X22" s="44">
        <f t="shared" si="0"/>
        <v>0</v>
      </c>
    </row>
    <row r="23" spans="4:24" ht="29.55" customHeight="1" x14ac:dyDescent="0.45">
      <c r="D23" s="14" t="s">
        <v>8</v>
      </c>
      <c r="E23" s="35">
        <v>0.3125</v>
      </c>
      <c r="F23" s="36"/>
      <c r="G23" s="40"/>
      <c r="H23" s="26"/>
      <c r="I23" s="27"/>
      <c r="J23" s="44"/>
      <c r="L23" s="26"/>
      <c r="M23" s="27"/>
      <c r="N23" s="44"/>
      <c r="P23" s="26"/>
      <c r="Q23" s="27"/>
      <c r="R23" s="44"/>
      <c r="T23" s="26"/>
      <c r="U23" s="32"/>
      <c r="V23" s="44"/>
      <c r="W23" s="14"/>
      <c r="X23" s="44">
        <f t="shared" si="0"/>
        <v>0</v>
      </c>
    </row>
    <row r="24" spans="4:24" ht="29.55" customHeight="1" x14ac:dyDescent="0.45">
      <c r="D24" s="14" t="s">
        <v>8</v>
      </c>
      <c r="E24" s="35">
        <v>0.31944444444444398</v>
      </c>
      <c r="F24" s="36"/>
      <c r="G24" s="40"/>
      <c r="H24" s="26"/>
      <c r="I24" s="27"/>
      <c r="J24" s="44"/>
      <c r="L24" s="26"/>
      <c r="M24" s="27"/>
      <c r="N24" s="44"/>
      <c r="P24" s="26"/>
      <c r="Q24" s="27"/>
      <c r="R24" s="44"/>
      <c r="T24" s="26"/>
      <c r="U24" s="32"/>
      <c r="V24" s="44"/>
      <c r="W24" s="14"/>
      <c r="X24" s="44">
        <f t="shared" si="0"/>
        <v>0</v>
      </c>
    </row>
    <row r="25" spans="4:24" ht="29.55" customHeight="1" x14ac:dyDescent="0.45">
      <c r="D25" s="14" t="s">
        <v>8</v>
      </c>
      <c r="E25" s="35">
        <v>0.32638888888888901</v>
      </c>
      <c r="F25" s="36"/>
      <c r="G25" s="40"/>
      <c r="H25" s="26"/>
      <c r="I25" s="27"/>
      <c r="J25" s="44"/>
      <c r="L25" s="26"/>
      <c r="M25" s="27"/>
      <c r="N25" s="44"/>
      <c r="P25" s="26"/>
      <c r="Q25" s="27"/>
      <c r="R25" s="44"/>
      <c r="T25" s="26"/>
      <c r="U25" s="32"/>
      <c r="V25" s="44"/>
      <c r="W25" s="14"/>
      <c r="X25" s="44">
        <f t="shared" si="0"/>
        <v>0</v>
      </c>
    </row>
    <row r="26" spans="4:24" ht="29.55" customHeight="1" x14ac:dyDescent="0.45">
      <c r="D26" s="14" t="s">
        <v>8</v>
      </c>
      <c r="E26" s="35">
        <v>0.33333333333333298</v>
      </c>
      <c r="F26" s="36"/>
      <c r="G26" s="40"/>
      <c r="H26" s="26"/>
      <c r="I26" s="27"/>
      <c r="J26" s="44"/>
      <c r="L26" s="26"/>
      <c r="M26" s="27"/>
      <c r="N26" s="44"/>
      <c r="P26" s="26"/>
      <c r="Q26" s="27"/>
      <c r="R26" s="44"/>
      <c r="T26" s="26"/>
      <c r="U26" s="32"/>
      <c r="V26" s="44"/>
      <c r="W26" s="14"/>
      <c r="X26" s="44">
        <f t="shared" si="0"/>
        <v>0</v>
      </c>
    </row>
    <row r="27" spans="4:24" ht="29.55" customHeight="1" x14ac:dyDescent="0.45">
      <c r="D27" s="16"/>
      <c r="E27" s="17"/>
      <c r="F27" s="39"/>
      <c r="G27" s="41"/>
      <c r="H27" s="16"/>
      <c r="I27" s="43"/>
      <c r="J27" s="45"/>
      <c r="K27" s="17"/>
      <c r="L27" s="28"/>
      <c r="M27" s="29"/>
      <c r="N27" s="45"/>
      <c r="O27" s="17"/>
      <c r="P27" s="28"/>
      <c r="Q27" s="29"/>
      <c r="R27" s="45"/>
      <c r="S27" s="17"/>
      <c r="T27" s="28" t="s">
        <v>8</v>
      </c>
      <c r="U27" s="33"/>
      <c r="V27" s="45"/>
      <c r="W27" s="16"/>
      <c r="X27" s="45" t="e">
        <f>SUM(X8:X26)</f>
        <v>#DIV/0!</v>
      </c>
    </row>
    <row r="28" spans="4:24" ht="29.55" customHeight="1" x14ac:dyDescent="0.45">
      <c r="D28" s="22" t="s">
        <v>11</v>
      </c>
      <c r="E28" s="35">
        <v>0.625</v>
      </c>
      <c r="F28" s="36"/>
      <c r="G28" s="24"/>
      <c r="H28" s="14"/>
      <c r="I28" s="25"/>
      <c r="J28" s="44"/>
      <c r="L28" s="26"/>
      <c r="M28" s="27"/>
      <c r="N28" s="44"/>
      <c r="P28" s="26"/>
      <c r="Q28" s="27"/>
      <c r="R28" s="44"/>
      <c r="T28" s="26"/>
      <c r="U28" s="32"/>
      <c r="V28" s="44"/>
      <c r="W28" s="14"/>
      <c r="X28" s="44">
        <f t="shared" si="0"/>
        <v>0</v>
      </c>
    </row>
    <row r="29" spans="4:24" ht="29.55" customHeight="1" x14ac:dyDescent="0.45">
      <c r="D29" s="22" t="s">
        <v>11</v>
      </c>
      <c r="E29" s="35">
        <v>0.63194444444444442</v>
      </c>
      <c r="F29" s="36"/>
      <c r="G29" s="24"/>
      <c r="H29" s="14"/>
      <c r="I29" s="25"/>
      <c r="J29" s="44"/>
      <c r="L29" s="26"/>
      <c r="M29" s="27"/>
      <c r="N29" s="44"/>
      <c r="P29" s="26"/>
      <c r="Q29" s="27"/>
      <c r="R29" s="44"/>
      <c r="T29" s="26"/>
      <c r="U29" s="32"/>
      <c r="V29" s="44"/>
      <c r="W29" s="14"/>
      <c r="X29" s="44">
        <f t="shared" si="0"/>
        <v>0</v>
      </c>
    </row>
    <row r="30" spans="4:24" ht="29.55" customHeight="1" x14ac:dyDescent="0.45">
      <c r="D30" s="22" t="s">
        <v>11</v>
      </c>
      <c r="E30" s="35">
        <v>0.63888888888888895</v>
      </c>
      <c r="F30" s="36"/>
      <c r="G30" s="24"/>
      <c r="H30" s="14"/>
      <c r="I30" s="25"/>
      <c r="J30" s="44"/>
      <c r="L30" s="26"/>
      <c r="M30" s="27"/>
      <c r="N30" s="44"/>
      <c r="P30" s="26"/>
      <c r="Q30" s="27"/>
      <c r="R30" s="44"/>
      <c r="T30" s="26"/>
      <c r="U30" s="32"/>
      <c r="V30" s="44"/>
      <c r="W30" s="14"/>
      <c r="X30" s="44">
        <f t="shared" si="0"/>
        <v>0</v>
      </c>
    </row>
    <row r="31" spans="4:24" ht="29.55" customHeight="1" x14ac:dyDescent="0.45">
      <c r="D31" s="22" t="s">
        <v>11</v>
      </c>
      <c r="E31" s="35">
        <v>0.64583333333333304</v>
      </c>
      <c r="F31" s="36"/>
      <c r="G31" s="24"/>
      <c r="H31" s="14"/>
      <c r="I31" s="25"/>
      <c r="J31" s="44"/>
      <c r="L31" s="26"/>
      <c r="M31" s="27"/>
      <c r="N31" s="44"/>
      <c r="P31" s="26"/>
      <c r="Q31" s="27"/>
      <c r="R31" s="44"/>
      <c r="T31" s="26"/>
      <c r="U31" s="32"/>
      <c r="V31" s="44"/>
      <c r="W31" s="14"/>
      <c r="X31" s="44">
        <f t="shared" si="0"/>
        <v>0</v>
      </c>
    </row>
    <row r="32" spans="4:24" ht="29.55" customHeight="1" x14ac:dyDescent="0.45">
      <c r="D32" s="22" t="s">
        <v>11</v>
      </c>
      <c r="E32" s="35">
        <v>0.65277777777777801</v>
      </c>
      <c r="F32" s="36"/>
      <c r="G32" s="24"/>
      <c r="H32" s="14"/>
      <c r="I32" s="25"/>
      <c r="J32" s="44"/>
      <c r="L32" s="26"/>
      <c r="M32" s="27"/>
      <c r="N32" s="44"/>
      <c r="P32" s="26"/>
      <c r="Q32" s="27"/>
      <c r="R32" s="44"/>
      <c r="T32" s="26"/>
      <c r="U32" s="32"/>
      <c r="V32" s="44"/>
      <c r="W32" s="14"/>
      <c r="X32" s="44">
        <f t="shared" si="0"/>
        <v>0</v>
      </c>
    </row>
    <row r="33" spans="4:24" ht="29.55" customHeight="1" x14ac:dyDescent="0.45">
      <c r="D33" s="22" t="s">
        <v>11</v>
      </c>
      <c r="E33" s="35">
        <v>0.65972222222222199</v>
      </c>
      <c r="F33" s="36"/>
      <c r="G33" s="24"/>
      <c r="H33" s="14"/>
      <c r="I33" s="25"/>
      <c r="J33" s="44"/>
      <c r="L33" s="26"/>
      <c r="M33" s="27"/>
      <c r="N33" s="44"/>
      <c r="P33" s="26"/>
      <c r="Q33" s="27"/>
      <c r="R33" s="44"/>
      <c r="T33" s="26"/>
      <c r="U33" s="32"/>
      <c r="V33" s="44"/>
      <c r="W33" s="14"/>
      <c r="X33" s="44">
        <f t="shared" si="0"/>
        <v>0</v>
      </c>
    </row>
    <row r="34" spans="4:24" ht="29.55" customHeight="1" x14ac:dyDescent="0.45">
      <c r="D34" s="22" t="s">
        <v>11</v>
      </c>
      <c r="E34" s="35">
        <v>0.66666666666666696</v>
      </c>
      <c r="F34" s="36"/>
      <c r="G34" s="24"/>
      <c r="H34" s="14"/>
      <c r="I34" s="25"/>
      <c r="J34" s="44"/>
      <c r="L34" s="26"/>
      <c r="M34" s="27"/>
      <c r="N34" s="44"/>
      <c r="P34" s="26"/>
      <c r="Q34" s="27"/>
      <c r="R34" s="44"/>
      <c r="T34" s="26"/>
      <c r="U34" s="32"/>
      <c r="V34" s="44"/>
      <c r="W34" s="14"/>
      <c r="X34" s="44">
        <f t="shared" si="0"/>
        <v>0</v>
      </c>
    </row>
    <row r="35" spans="4:24" ht="29.55" customHeight="1" x14ac:dyDescent="0.45">
      <c r="D35" s="22" t="s">
        <v>11</v>
      </c>
      <c r="E35" s="35">
        <v>0.67361111111111105</v>
      </c>
      <c r="F35" s="36"/>
      <c r="G35" s="24"/>
      <c r="H35" s="14"/>
      <c r="I35" s="25"/>
      <c r="J35" s="44"/>
      <c r="L35" s="26"/>
      <c r="M35" s="27"/>
      <c r="N35" s="44"/>
      <c r="P35" s="26"/>
      <c r="Q35" s="27"/>
      <c r="R35" s="44"/>
      <c r="T35" s="26"/>
      <c r="U35" s="32"/>
      <c r="V35" s="44"/>
      <c r="W35" s="14"/>
      <c r="X35" s="44">
        <f t="shared" si="0"/>
        <v>0</v>
      </c>
    </row>
    <row r="36" spans="4:24" ht="29.55" customHeight="1" x14ac:dyDescent="0.45">
      <c r="D36" s="22" t="s">
        <v>11</v>
      </c>
      <c r="E36" s="35">
        <v>0.68055555555555503</v>
      </c>
      <c r="F36" s="36"/>
      <c r="G36" s="24"/>
      <c r="H36" s="14"/>
      <c r="I36" s="25"/>
      <c r="J36" s="44"/>
      <c r="L36" s="26"/>
      <c r="M36" s="27"/>
      <c r="N36" s="44"/>
      <c r="P36" s="26"/>
      <c r="Q36" s="27"/>
      <c r="R36" s="44"/>
      <c r="T36" s="26"/>
      <c r="U36" s="32"/>
      <c r="V36" s="44"/>
      <c r="W36" s="14"/>
      <c r="X36" s="44">
        <f t="shared" si="0"/>
        <v>0</v>
      </c>
    </row>
    <row r="37" spans="4:24" ht="29.55" customHeight="1" x14ac:dyDescent="0.45">
      <c r="D37" s="22" t="s">
        <v>11</v>
      </c>
      <c r="E37" s="35">
        <v>0.6875</v>
      </c>
      <c r="F37" s="36"/>
      <c r="G37" s="24"/>
      <c r="H37" s="14"/>
      <c r="I37" s="25"/>
      <c r="J37" s="44"/>
      <c r="L37" s="26"/>
      <c r="M37" s="27"/>
      <c r="N37" s="44"/>
      <c r="P37" s="26"/>
      <c r="Q37" s="27"/>
      <c r="R37" s="44"/>
      <c r="T37" s="26"/>
      <c r="U37" s="32"/>
      <c r="V37" s="44"/>
      <c r="W37" s="14"/>
      <c r="X37" s="44">
        <f t="shared" si="0"/>
        <v>0</v>
      </c>
    </row>
    <row r="38" spans="4:24" ht="29.55" customHeight="1" x14ac:dyDescent="0.45">
      <c r="D38" s="22" t="s">
        <v>11</v>
      </c>
      <c r="E38" s="35">
        <v>0.69444444444444398</v>
      </c>
      <c r="F38" s="36"/>
      <c r="G38" s="24"/>
      <c r="H38" s="14"/>
      <c r="I38" s="25"/>
      <c r="J38" s="44"/>
      <c r="L38" s="26"/>
      <c r="M38" s="27"/>
      <c r="N38" s="44"/>
      <c r="P38" s="26"/>
      <c r="Q38" s="27"/>
      <c r="R38" s="44"/>
      <c r="T38" s="26"/>
      <c r="U38" s="32"/>
      <c r="V38" s="44"/>
      <c r="W38" s="14"/>
      <c r="X38" s="44">
        <f t="shared" si="0"/>
        <v>0</v>
      </c>
    </row>
    <row r="39" spans="4:24" ht="29.55" customHeight="1" x14ac:dyDescent="0.45">
      <c r="D39" s="22" t="s">
        <v>11</v>
      </c>
      <c r="E39" s="35">
        <v>0.70138888888888895</v>
      </c>
      <c r="F39" s="36"/>
      <c r="G39" s="24"/>
      <c r="H39" s="14"/>
      <c r="I39" s="25"/>
      <c r="J39" s="44"/>
      <c r="L39" s="26"/>
      <c r="M39" s="27"/>
      <c r="N39" s="44"/>
      <c r="P39" s="26"/>
      <c r="Q39" s="27"/>
      <c r="R39" s="44"/>
      <c r="T39" s="26"/>
      <c r="U39" s="32"/>
      <c r="V39" s="44"/>
      <c r="W39" s="14"/>
      <c r="X39" s="44">
        <f t="shared" si="0"/>
        <v>0</v>
      </c>
    </row>
    <row r="40" spans="4:24" ht="29.55" customHeight="1" x14ac:dyDescent="0.45">
      <c r="D40" s="22" t="s">
        <v>11</v>
      </c>
      <c r="E40" s="35">
        <v>0.70833333333333304</v>
      </c>
      <c r="F40" s="36"/>
      <c r="G40" s="24"/>
      <c r="H40" s="14"/>
      <c r="I40" s="25"/>
      <c r="J40" s="44"/>
      <c r="L40" s="26"/>
      <c r="M40" s="27"/>
      <c r="N40" s="44"/>
      <c r="P40" s="26"/>
      <c r="Q40" s="27"/>
      <c r="R40" s="44"/>
      <c r="T40" s="26"/>
      <c r="U40" s="32"/>
      <c r="V40" s="44"/>
      <c r="W40" s="14"/>
      <c r="X40" s="44">
        <f t="shared" si="0"/>
        <v>0</v>
      </c>
    </row>
    <row r="41" spans="4:24" ht="29.55" customHeight="1" x14ac:dyDescent="0.45">
      <c r="D41" s="22" t="s">
        <v>11</v>
      </c>
      <c r="E41" s="35">
        <v>0.71527777777777701</v>
      </c>
      <c r="F41" s="36"/>
      <c r="G41" s="24"/>
      <c r="H41" s="14"/>
      <c r="I41" s="25"/>
      <c r="J41" s="44"/>
      <c r="L41" s="26"/>
      <c r="M41" s="27"/>
      <c r="N41" s="44"/>
      <c r="P41" s="26"/>
      <c r="Q41" s="27"/>
      <c r="R41" s="44"/>
      <c r="T41" s="26"/>
      <c r="U41" s="32"/>
      <c r="V41" s="44"/>
      <c r="W41" s="14"/>
      <c r="X41" s="44">
        <f t="shared" si="0"/>
        <v>0</v>
      </c>
    </row>
    <row r="42" spans="4:24" ht="29.55" customHeight="1" x14ac:dyDescent="0.45">
      <c r="D42" s="22" t="s">
        <v>11</v>
      </c>
      <c r="E42" s="35">
        <v>0.72222222222222199</v>
      </c>
      <c r="F42" s="36"/>
      <c r="G42" s="24"/>
      <c r="H42" s="14"/>
      <c r="I42" s="25"/>
      <c r="J42" s="44"/>
      <c r="L42" s="26"/>
      <c r="M42" s="27"/>
      <c r="N42" s="44"/>
      <c r="P42" s="26"/>
      <c r="Q42" s="27"/>
      <c r="R42" s="44"/>
      <c r="T42" s="26"/>
      <c r="U42" s="32"/>
      <c r="V42" s="44"/>
      <c r="W42" s="14"/>
      <c r="X42" s="44">
        <f t="shared" si="0"/>
        <v>0</v>
      </c>
    </row>
    <row r="43" spans="4:24" ht="29.55" customHeight="1" x14ac:dyDescent="0.45">
      <c r="D43" s="22" t="s">
        <v>11</v>
      </c>
      <c r="E43" s="35">
        <v>0.72916666666666596</v>
      </c>
      <c r="F43" s="36"/>
      <c r="G43" s="24"/>
      <c r="H43" s="14"/>
      <c r="I43" s="25"/>
      <c r="J43" s="44"/>
      <c r="L43" s="26"/>
      <c r="M43" s="27"/>
      <c r="N43" s="44"/>
      <c r="P43" s="26"/>
      <c r="Q43" s="27"/>
      <c r="R43" s="44"/>
      <c r="T43" s="26"/>
      <c r="U43" s="32"/>
      <c r="V43" s="44"/>
      <c r="W43" s="14"/>
      <c r="X43" s="44">
        <f t="shared" si="0"/>
        <v>0</v>
      </c>
    </row>
    <row r="44" spans="4:24" ht="29.55" customHeight="1" x14ac:dyDescent="0.45">
      <c r="D44" s="22" t="s">
        <v>11</v>
      </c>
      <c r="E44" s="35">
        <v>0.73611111111111105</v>
      </c>
      <c r="F44" s="36"/>
      <c r="G44" s="24"/>
      <c r="H44" s="14"/>
      <c r="I44" s="25"/>
      <c r="J44" s="44"/>
      <c r="L44" s="26"/>
      <c r="M44" s="27"/>
      <c r="N44" s="44"/>
      <c r="P44" s="26"/>
      <c r="Q44" s="27"/>
      <c r="R44" s="44"/>
      <c r="T44" s="26"/>
      <c r="U44" s="32"/>
      <c r="V44" s="44"/>
      <c r="W44" s="14"/>
      <c r="X44" s="44">
        <f t="shared" si="0"/>
        <v>0</v>
      </c>
    </row>
    <row r="45" spans="4:24" ht="29.55" customHeight="1" x14ac:dyDescent="0.45">
      <c r="D45" s="22" t="s">
        <v>11</v>
      </c>
      <c r="E45" s="35">
        <v>0.74305555555555503</v>
      </c>
      <c r="F45" s="36"/>
      <c r="G45" s="24"/>
      <c r="H45" s="14"/>
      <c r="I45" s="25"/>
      <c r="J45" s="44"/>
      <c r="L45" s="26"/>
      <c r="M45" s="27"/>
      <c r="N45" s="44"/>
      <c r="P45" s="26"/>
      <c r="Q45" s="27"/>
      <c r="R45" s="44"/>
      <c r="T45" s="26"/>
      <c r="U45" s="32"/>
      <c r="V45" s="44"/>
      <c r="W45" s="14"/>
      <c r="X45" s="44">
        <f t="shared" si="0"/>
        <v>0</v>
      </c>
    </row>
    <row r="46" spans="4:24" ht="29.55" customHeight="1" x14ac:dyDescent="0.45">
      <c r="D46" s="23" t="s">
        <v>11</v>
      </c>
      <c r="E46" s="37">
        <v>0.75</v>
      </c>
      <c r="F46" s="38"/>
      <c r="G46" s="42"/>
      <c r="H46" s="8"/>
      <c r="I46" s="19"/>
      <c r="J46" s="46"/>
      <c r="K46" s="11"/>
      <c r="L46" s="30"/>
      <c r="M46" s="31"/>
      <c r="N46" s="46"/>
      <c r="O46" s="11"/>
      <c r="P46" s="30"/>
      <c r="Q46" s="31"/>
      <c r="R46" s="46"/>
      <c r="S46" s="11"/>
      <c r="T46" s="30"/>
      <c r="U46" s="34"/>
      <c r="V46" s="46"/>
      <c r="W46" s="8"/>
      <c r="X46" s="44">
        <f t="shared" si="0"/>
        <v>0</v>
      </c>
    </row>
    <row r="47" spans="4:24" x14ac:dyDescent="0.45">
      <c r="D47" s="8"/>
      <c r="E47" s="15"/>
      <c r="F47" s="19"/>
      <c r="G47" s="42"/>
      <c r="H47" s="8"/>
      <c r="I47" s="19"/>
      <c r="J47" s="46"/>
      <c r="K47" s="11"/>
      <c r="L47" s="30"/>
      <c r="M47" s="31"/>
      <c r="N47" s="46"/>
      <c r="O47" s="11"/>
      <c r="P47" s="30"/>
      <c r="Q47" s="31"/>
      <c r="R47" s="46"/>
      <c r="S47" s="11"/>
      <c r="T47" s="30"/>
      <c r="U47" s="34"/>
      <c r="V47" s="46"/>
      <c r="W47" s="8"/>
      <c r="X47" s="47">
        <f>SUM(X28:X46)</f>
        <v>0</v>
      </c>
    </row>
    <row r="48" spans="4:24" x14ac:dyDescent="0.45">
      <c r="X48" s="35" t="e">
        <f>X47+X27</f>
        <v>#DIV/0!</v>
      </c>
    </row>
  </sheetData>
  <dataConsolidate/>
  <mergeCells count="3">
    <mergeCell ref="H6:J6"/>
    <mergeCell ref="L6:N6"/>
    <mergeCell ref="P6:R6"/>
  </mergeCells>
  <pageMargins left="0.25" right="0.25" top="0.75" bottom="0.75" header="0.3" footer="0.3"/>
  <pageSetup paperSize="9" scale="35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4678a9-aa17-467a-a163-7105ec2f5b04">
      <Terms xmlns="http://schemas.microsoft.com/office/infopath/2007/PartnerControls"/>
    </lcf76f155ced4ddcb4097134ff3c332f>
    <TaxCatchAll xmlns="926e6444-804a-4211-aabc-07442d9bd4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F7C721E8649448CBED49272F5FFB6" ma:contentTypeVersion="14" ma:contentTypeDescription="Crée un document." ma:contentTypeScope="" ma:versionID="20969467d44f3b5b2a1b3726c11f7699">
  <xsd:schema xmlns:xsd="http://www.w3.org/2001/XMLSchema" xmlns:xs="http://www.w3.org/2001/XMLSchema" xmlns:p="http://schemas.microsoft.com/office/2006/metadata/properties" xmlns:ns2="926e6444-804a-4211-aabc-07442d9bd4eb" xmlns:ns3="a04678a9-aa17-467a-a163-7105ec2f5b04" targetNamespace="http://schemas.microsoft.com/office/2006/metadata/properties" ma:root="true" ma:fieldsID="1ba0324337a4d244981cef1ecf7dcfe9" ns2:_="" ns3:_="">
    <xsd:import namespace="926e6444-804a-4211-aabc-07442d9bd4eb"/>
    <xsd:import namespace="a04678a9-aa17-467a-a163-7105ec2f5b0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e6444-804a-4211-aabc-07442d9bd4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7349517-fc68-4529-a999-ffd6a2a84572}" ma:internalName="TaxCatchAll" ma:showField="CatchAllData" ma:web="926e6444-804a-4211-aabc-07442d9bd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678a9-aa17-467a-a163-7105ec2f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ab35b5-d7e3-4eb1-886f-412adf8200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F82E22-0DA7-471F-86B5-4301B37B08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492902-4AAC-441B-823A-66476402920E}">
  <ds:schemaRefs>
    <ds:schemaRef ds:uri="http://purl.org/dc/dcmitype/"/>
    <ds:schemaRef ds:uri="http://purl.org/dc/terms/"/>
    <ds:schemaRef ds:uri="926e6444-804a-4211-aabc-07442d9bd4eb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04678a9-aa17-467a-a163-7105ec2f5b04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7D8B5E9-A2FE-4928-B606-8E9ED0A14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e6444-804a-4211-aabc-07442d9bd4eb"/>
    <ds:schemaRef ds:uri="a04678a9-aa17-467a-a163-7105ec2f5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34</vt:i4>
      </vt:variant>
      <vt:variant>
        <vt:lpstr>Plages nommées</vt:lpstr>
      </vt:variant>
      <vt:variant>
        <vt:i4>21</vt:i4>
      </vt:variant>
    </vt:vector>
  </HeadingPairs>
  <TitlesOfParts>
    <vt:vector size="55" baseType="lpstr">
      <vt:lpstr>Feuil1</vt:lpstr>
      <vt:lpstr>REUNION DU 28.04</vt:lpstr>
      <vt:lpstr>PLANNING GENERAL</vt:lpstr>
      <vt:lpstr>Feuille saisie</vt:lpstr>
      <vt:lpstr>Feuille saisie samedi</vt:lpstr>
      <vt:lpstr>Feuille saisie dimanche 1</vt:lpstr>
      <vt:lpstr>Feuille saisie dimanche 2</vt:lpstr>
      <vt:lpstr>coordinateur matin</vt:lpstr>
      <vt:lpstr>coordinateur après-midi</vt:lpstr>
      <vt:lpstr>coordinateur samedi</vt:lpstr>
      <vt:lpstr>coordinateur dimanche 1</vt:lpstr>
      <vt:lpstr>coordinateur dimanche 2</vt:lpstr>
      <vt:lpstr>Liste chauffeur</vt:lpstr>
      <vt:lpstr>Horaire</vt:lpstr>
      <vt:lpstr>Horaire samedi</vt:lpstr>
      <vt:lpstr>Horaire dimanche 1</vt:lpstr>
      <vt:lpstr>Horaire dimanche 2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Statistiques</vt:lpstr>
      <vt:lpstr>'C16'!Impression_des_titres</vt:lpstr>
      <vt:lpstr>'coordinateur après-midi'!Impression_des_titres</vt:lpstr>
      <vt:lpstr>'coordinateur dimanche 1'!Impression_des_titres</vt:lpstr>
      <vt:lpstr>'coordinateur dimanche 2'!Impression_des_titres</vt:lpstr>
      <vt:lpstr>'coordinateur matin'!Impression_des_titres</vt:lpstr>
      <vt:lpstr>'coordinateur samedi'!Impression_des_titres</vt:lpstr>
      <vt:lpstr>Horaire!Impression_des_titres</vt:lpstr>
      <vt:lpstr>'Horaire dimanche 1'!Impression_des_titres</vt:lpstr>
      <vt:lpstr>'Horaire dimanche 2'!Impression_des_titres</vt:lpstr>
      <vt:lpstr>'Horaire samedi'!Impression_des_titres</vt:lpstr>
      <vt:lpstr>'coordinateur après-midi'!Zone_d_impression</vt:lpstr>
      <vt:lpstr>'coordinateur dimanche 1'!Zone_d_impression</vt:lpstr>
      <vt:lpstr>'coordinateur dimanche 2'!Zone_d_impression</vt:lpstr>
      <vt:lpstr>'coordinateur matin'!Zone_d_impression</vt:lpstr>
      <vt:lpstr>'coordinateur samedi'!Zone_d_impression</vt:lpstr>
      <vt:lpstr>'Feuille saisie'!Zone_d_impression</vt:lpstr>
      <vt:lpstr>'Feuille saisie dimanche 1'!Zone_d_impression</vt:lpstr>
      <vt:lpstr>'Feuille saisie dimanche 2'!Zone_d_impression</vt:lpstr>
      <vt:lpstr>'Feuille saisie samedi'!Zone_d_impression</vt:lpstr>
      <vt:lpstr>'PLANNING GENERAL'!Zone_d_impression</vt:lpstr>
      <vt:lpstr>'REUNION DU 28.04'!Zone_d_impression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Chaudet</dc:creator>
  <cp:lastModifiedBy>DAF</cp:lastModifiedBy>
  <cp:lastPrinted>2026-03-24T11:18:17Z</cp:lastPrinted>
  <dcterms:created xsi:type="dcterms:W3CDTF">2024-04-09T11:31:59Z</dcterms:created>
  <dcterms:modified xsi:type="dcterms:W3CDTF">2026-04-29T13:07:06Z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0x010100528F7C721E8649448CBED49272F5FFB6</vt:lpwstr>
  </property>
</Properties>
</file>