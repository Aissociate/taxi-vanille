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ivanille.sharepoint.com/sites/GPE-TAXIVANILLE/GPETAXIVANILLE/PROD/DIRECTION/@ CHM PETITE TERRE/ORGANISATION/"/>
    </mc:Choice>
  </mc:AlternateContent>
  <xr:revisionPtr revIDLastSave="727" documentId="8_{253EA92A-60E5-452C-932E-C77CF3A8C0BE}" xr6:coauthVersionLast="47" xr6:coauthVersionMax="47" xr10:uidLastSave="{5BC29B3D-3F58-4679-A178-21870004595C}"/>
  <bookViews>
    <workbookView xWindow="-98" yWindow="-98" windowWidth="21795" windowHeight="13695" firstSheet="7" activeTab="10" xr2:uid="{057DDB89-791E-439E-948E-E02B055A9F9A}"/>
  </bookViews>
  <sheets>
    <sheet name="Feuil1" sheetId="1" state="hidden" r:id="rId1"/>
    <sheet name="REUNION DU 28.04" sheetId="29" state="hidden" r:id="rId2"/>
    <sheet name="Horaire détaillé" sheetId="34" r:id="rId3"/>
    <sheet name="Feuil2" sheetId="36" r:id="rId4"/>
    <sheet name="Previsions facturation" sheetId="35" r:id="rId5"/>
    <sheet name="Feuille saisie dimanché" sheetId="38" r:id="rId6"/>
    <sheet name="Feuille saisie" sheetId="7" r:id="rId7"/>
    <sheet name="H1" sheetId="42" r:id="rId8"/>
    <sheet name="H3B" sheetId="46" r:id="rId9"/>
    <sheet name="H5B" sheetId="47" r:id="rId10"/>
    <sheet name="HCOORDINATEUR" sheetId="48" r:id="rId11"/>
    <sheet name="feuille coordinateur" sheetId="15" r:id="rId12"/>
    <sheet name="feuille coordinateur dimanche" sheetId="40" r:id="rId13"/>
    <sheet name="Feuille présence" sheetId="37" r:id="rId14"/>
    <sheet name="Liste chauffeur" sheetId="17" r:id="rId15"/>
    <sheet name="Horaire par chauffeur" sheetId="33" r:id="rId16"/>
    <sheet name="Horaire" sheetId="28" r:id="rId17"/>
    <sheet name="Horaire dimanche2" sheetId="41" r:id="rId18"/>
    <sheet name="Horaire dimanche" sheetId="39" state="hidden" r:id="rId19"/>
    <sheet name="C2" sheetId="8" state="hidden" r:id="rId20"/>
    <sheet name="C3" sheetId="9" state="hidden" r:id="rId21"/>
    <sheet name="C4" sheetId="10" state="hidden" r:id="rId22"/>
    <sheet name="C5" sheetId="11" state="hidden" r:id="rId23"/>
    <sheet name="C6" sheetId="12" state="hidden" r:id="rId24"/>
    <sheet name="C7" sheetId="13" state="hidden" r:id="rId25"/>
    <sheet name="C8" sheetId="14" state="hidden" r:id="rId26"/>
    <sheet name="C9" sheetId="18" state="hidden" r:id="rId27"/>
    <sheet name="C10" sheetId="19" state="hidden" r:id="rId28"/>
    <sheet name="C11" sheetId="20" state="hidden" r:id="rId29"/>
    <sheet name="C12" sheetId="21" state="hidden" r:id="rId30"/>
    <sheet name="C13" sheetId="22" state="hidden" r:id="rId31"/>
    <sheet name="C14" sheetId="23" state="hidden" r:id="rId32"/>
    <sheet name="C15" sheetId="25" state="hidden" r:id="rId33"/>
    <sheet name="C16" sheetId="24" state="hidden" r:id="rId34"/>
    <sheet name="C17" sheetId="16" state="hidden" r:id="rId35"/>
    <sheet name="Statistiques" sheetId="6" state="hidden" r:id="rId36"/>
  </sheets>
  <definedNames>
    <definedName name="_xlnm._FilterDatabase" localSheetId="13" hidden="1">'Feuille présence'!$B$5:$K$24</definedName>
    <definedName name="_xlnm._FilterDatabase" localSheetId="6" hidden="1">'Feuille saisie'!$A$7:$P$50</definedName>
    <definedName name="_xlnm._FilterDatabase" localSheetId="5" hidden="1">'Feuille saisie dimanché'!$A$7:$R$41</definedName>
    <definedName name="_xlnm._FilterDatabase" localSheetId="7" hidden="1">'H1'!$A$7:$P$19</definedName>
    <definedName name="_xlnm._FilterDatabase" localSheetId="8" hidden="1">H3B!$A$7:$P$18</definedName>
    <definedName name="_xlnm._FilterDatabase" localSheetId="9" hidden="1">H5B!$A$7:$P$19</definedName>
    <definedName name="_xlnm._FilterDatabase" localSheetId="10" hidden="1">HCOORDINATEUR!$A$6:$M$18</definedName>
    <definedName name="_xlnm._FilterDatabase" localSheetId="16" hidden="1">Horaire!$A$7:$P$35</definedName>
    <definedName name="_xlnm._FilterDatabase" localSheetId="18" hidden="1">'Horaire dimanche'!$A$7:$P$17</definedName>
    <definedName name="_xlnm._FilterDatabase" localSheetId="17" hidden="1">'Horaire dimanche2'!$A$7:$P$28</definedName>
    <definedName name="_xlnm._FilterDatabase" localSheetId="14" hidden="1">'Liste chauffeur'!$A$4:$T$22</definedName>
    <definedName name="_xlnm._FilterDatabase" localSheetId="1" hidden="1">'REUNION DU 28.04'!$K$1:$AW$14</definedName>
    <definedName name="_xlnm.Print_Titles" localSheetId="33">'C16'!$2:$7</definedName>
    <definedName name="_xlnm.Print_Titles" localSheetId="11">'feuille coordinateur'!$2:$2</definedName>
    <definedName name="_xlnm.Print_Titles" localSheetId="12">'feuille coordinateur dimanche'!$2:$2</definedName>
    <definedName name="_xlnm.Print_Titles" localSheetId="16">Horaire!$1:$7</definedName>
    <definedName name="_xlnm.Print_Titles" localSheetId="18">'Horaire dimanche'!$1:$7</definedName>
    <definedName name="_xlnm.Print_Titles" localSheetId="17">'Horaire dimanche2'!$1:$7</definedName>
    <definedName name="_xlnm.Print_Titles" localSheetId="15">'Horaire par chauffeur'!$1:$2</definedName>
    <definedName name="_xlnm.Print_Area" localSheetId="11">'feuille coordinateur'!$A$1:$I$18</definedName>
    <definedName name="_xlnm.Print_Area" localSheetId="12">'feuille coordinateur dimanche'!$A$1:$I$17</definedName>
    <definedName name="_xlnm.Print_Area" localSheetId="6">'Feuille saisie'!$A$2:$L$50</definedName>
    <definedName name="_xlnm.Print_Area" localSheetId="5">'Feuille saisie dimanché'!$A$2:$N$41</definedName>
    <definedName name="_xlnm.Print_Area" localSheetId="7">'H1'!$A$1:$L$625</definedName>
    <definedName name="_xlnm.Print_Area" localSheetId="8">H3B!$A$1:$L$621</definedName>
    <definedName name="_xlnm.Print_Area" localSheetId="9">H5B!$A$1:$L$647</definedName>
    <definedName name="_xlnm.Print_Area" localSheetId="10">HCOORDINATEUR!$A$1:$I$950</definedName>
    <definedName name="_xlnm.Print_Area" localSheetId="15">'Horaire par chauffeur'!$A$1:$G$81</definedName>
    <definedName name="_xlnm.Print_Area" localSheetId="14">'Liste chauffeur'!$A$4:$T$27</definedName>
    <definedName name="_xlnm.Print_Area" localSheetId="1">'REUNION DU 28.04'!$H$1:$AR$14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48" l="1"/>
  <c r="E22" i="48"/>
  <c r="C22" i="48"/>
  <c r="D22" i="48" s="1"/>
  <c r="B22" i="48"/>
  <c r="A22" i="48"/>
  <c r="F21" i="48"/>
  <c r="E21" i="48"/>
  <c r="C21" i="48"/>
  <c r="D21" i="48" s="1"/>
  <c r="B21" i="48"/>
  <c r="A21" i="48"/>
  <c r="F20" i="48"/>
  <c r="E20" i="48"/>
  <c r="C20" i="48"/>
  <c r="D20" i="48" s="1"/>
  <c r="B20" i="48"/>
  <c r="A20" i="48"/>
  <c r="F19" i="48"/>
  <c r="E19" i="48"/>
  <c r="C19" i="48"/>
  <c r="D19" i="48" s="1"/>
  <c r="B19" i="48"/>
  <c r="A19" i="48"/>
  <c r="F18" i="48"/>
  <c r="E18" i="48"/>
  <c r="C18" i="48"/>
  <c r="D18" i="48" s="1"/>
  <c r="B18" i="48"/>
  <c r="A18" i="48"/>
  <c r="F17" i="48"/>
  <c r="E17" i="48"/>
  <c r="C17" i="48"/>
  <c r="D17" i="48" s="1"/>
  <c r="B17" i="48"/>
  <c r="A17" i="48"/>
  <c r="E16" i="48"/>
  <c r="C16" i="48"/>
  <c r="D16" i="48" s="1"/>
  <c r="B16" i="48"/>
  <c r="A16" i="48"/>
  <c r="F15" i="48"/>
  <c r="J15" i="48" s="1"/>
  <c r="E15" i="48"/>
  <c r="C15" i="48"/>
  <c r="D15" i="48" s="1"/>
  <c r="B15" i="48"/>
  <c r="A15" i="48"/>
  <c r="F14" i="48"/>
  <c r="J14" i="48" s="1"/>
  <c r="E14" i="48"/>
  <c r="C14" i="48"/>
  <c r="D14" i="48" s="1"/>
  <c r="B14" i="48"/>
  <c r="A14" i="48"/>
  <c r="F13" i="48"/>
  <c r="J13" i="48" s="1"/>
  <c r="E13" i="48"/>
  <c r="C13" i="48"/>
  <c r="D13" i="48" s="1"/>
  <c r="B13" i="48"/>
  <c r="A13" i="48"/>
  <c r="F12" i="48"/>
  <c r="J12" i="48" s="1"/>
  <c r="E12" i="48"/>
  <c r="C12" i="48"/>
  <c r="D12" i="48" s="1"/>
  <c r="B12" i="48"/>
  <c r="A12" i="48"/>
  <c r="F11" i="48"/>
  <c r="J11" i="48" s="1"/>
  <c r="E11" i="48"/>
  <c r="C11" i="48"/>
  <c r="D11" i="48" s="1"/>
  <c r="B11" i="48"/>
  <c r="A11" i="48"/>
  <c r="F10" i="48"/>
  <c r="J10" i="48" s="1"/>
  <c r="E10" i="48"/>
  <c r="C10" i="48"/>
  <c r="D10" i="48" s="1"/>
  <c r="B10" i="48"/>
  <c r="A10" i="48"/>
  <c r="E9" i="48"/>
  <c r="C9" i="48"/>
  <c r="D9" i="48" s="1"/>
  <c r="B9" i="48"/>
  <c r="A9" i="48"/>
  <c r="E8" i="48"/>
  <c r="C8" i="48"/>
  <c r="D8" i="48" s="1"/>
  <c r="B8" i="48"/>
  <c r="A8" i="48"/>
  <c r="E7" i="48"/>
  <c r="C7" i="48"/>
  <c r="D7" i="48" s="1"/>
  <c r="B7" i="48"/>
  <c r="A7" i="48"/>
  <c r="I27" i="48"/>
  <c r="I62" i="48" s="1"/>
  <c r="I84" i="48" s="1"/>
  <c r="I119" i="48" s="1"/>
  <c r="I156" i="48" s="1"/>
  <c r="I191" i="48" s="1"/>
  <c r="I225" i="48" s="1"/>
  <c r="I248" i="48" s="1"/>
  <c r="I282" i="48" s="1"/>
  <c r="I303" i="48" s="1"/>
  <c r="I338" i="48" s="1"/>
  <c r="I371" i="48" s="1"/>
  <c r="I407" i="48" s="1"/>
  <c r="I430" i="48" s="1"/>
  <c r="I465" i="48" s="1"/>
  <c r="I499" i="48" s="1"/>
  <c r="I521" i="48" s="1"/>
  <c r="L17" i="48"/>
  <c r="K17" i="48"/>
  <c r="L16" i="48"/>
  <c r="K16" i="48"/>
  <c r="L15" i="48"/>
  <c r="K15" i="48"/>
  <c r="L14" i="48"/>
  <c r="K14" i="48"/>
  <c r="L13" i="48"/>
  <c r="K13" i="48"/>
  <c r="L12" i="48"/>
  <c r="K12" i="48"/>
  <c r="L11" i="48"/>
  <c r="K11" i="48"/>
  <c r="L10" i="48"/>
  <c r="K10" i="48"/>
  <c r="L9" i="48"/>
  <c r="K9" i="48"/>
  <c r="J9" i="48"/>
  <c r="L8" i="48"/>
  <c r="K8" i="48"/>
  <c r="J8" i="48"/>
  <c r="L7" i="48"/>
  <c r="K7" i="48"/>
  <c r="J7" i="48"/>
  <c r="F61" i="7"/>
  <c r="C61" i="7"/>
  <c r="D61" i="7" s="1"/>
  <c r="F60" i="7"/>
  <c r="C60" i="7"/>
  <c r="D60" i="7" s="1"/>
  <c r="F59" i="7"/>
  <c r="C59" i="7"/>
  <c r="D59" i="7" s="1"/>
  <c r="F58" i="7"/>
  <c r="C58" i="7"/>
  <c r="D58" i="7" s="1"/>
  <c r="F57" i="7"/>
  <c r="C57" i="7"/>
  <c r="D57" i="7" s="1"/>
  <c r="F56" i="7"/>
  <c r="C56" i="7"/>
  <c r="D56" i="7" s="1"/>
  <c r="F55" i="7"/>
  <c r="C55" i="7"/>
  <c r="D55" i="7" s="1"/>
  <c r="F54" i="7"/>
  <c r="C54" i="7"/>
  <c r="D54" i="7" s="1"/>
  <c r="N39" i="7"/>
  <c r="N38" i="7"/>
  <c r="N37" i="7"/>
  <c r="N36" i="7"/>
  <c r="N35" i="7"/>
  <c r="N34" i="7"/>
  <c r="N33" i="7"/>
  <c r="N32" i="7"/>
  <c r="N31" i="7"/>
  <c r="O30" i="7"/>
  <c r="P30" i="7" s="1"/>
  <c r="N30" i="7"/>
  <c r="N29" i="7"/>
  <c r="N28" i="7"/>
  <c r="N27" i="7"/>
  <c r="N26" i="7"/>
  <c r="N25" i="7"/>
  <c r="N24" i="7"/>
  <c r="N22" i="7"/>
  <c r="N21" i="7"/>
  <c r="N20" i="7"/>
  <c r="G36" i="7"/>
  <c r="O36" i="7" s="1"/>
  <c r="P36" i="7" s="1"/>
  <c r="G37" i="7"/>
  <c r="O37" i="7" s="1"/>
  <c r="P37" i="7" s="1"/>
  <c r="G38" i="7"/>
  <c r="O38" i="7" s="1"/>
  <c r="P38" i="7" s="1"/>
  <c r="G39" i="7"/>
  <c r="O39" i="7" s="1"/>
  <c r="P39" i="7" s="1"/>
  <c r="G30" i="7"/>
  <c r="G31" i="7"/>
  <c r="O31" i="7" s="1"/>
  <c r="P31" i="7" s="1"/>
  <c r="G32" i="7"/>
  <c r="O32" i="7" s="1"/>
  <c r="P32" i="7" s="1"/>
  <c r="G33" i="7"/>
  <c r="O33" i="7" s="1"/>
  <c r="P33" i="7" s="1"/>
  <c r="A9" i="7"/>
  <c r="B9" i="7"/>
  <c r="C9" i="7"/>
  <c r="D9" i="7"/>
  <c r="E9" i="7"/>
  <c r="G9" i="7"/>
  <c r="O9" i="7" s="1"/>
  <c r="P9" i="7" s="1"/>
  <c r="N9" i="7"/>
  <c r="L23" i="47"/>
  <c r="L43" i="47" s="1"/>
  <c r="L65" i="47" s="1"/>
  <c r="L84" i="47" s="1"/>
  <c r="L104" i="47" s="1"/>
  <c r="L125" i="47" s="1"/>
  <c r="O18" i="47"/>
  <c r="N18" i="47"/>
  <c r="O17" i="47"/>
  <c r="N17" i="47"/>
  <c r="O16" i="47"/>
  <c r="N16" i="47"/>
  <c r="M16" i="47"/>
  <c r="O15" i="47"/>
  <c r="N15" i="47"/>
  <c r="M15" i="47"/>
  <c r="O14" i="47"/>
  <c r="N14" i="47"/>
  <c r="M14" i="47"/>
  <c r="O13" i="47"/>
  <c r="N13" i="47"/>
  <c r="M13" i="47"/>
  <c r="O12" i="47"/>
  <c r="N12" i="47"/>
  <c r="M12" i="47"/>
  <c r="O11" i="47"/>
  <c r="P11" i="47" s="1"/>
  <c r="N11" i="47"/>
  <c r="M11" i="47"/>
  <c r="O10" i="47"/>
  <c r="P10" i="47" s="1"/>
  <c r="N10" i="47"/>
  <c r="M10" i="47"/>
  <c r="O9" i="47"/>
  <c r="P9" i="47" s="1"/>
  <c r="N9" i="47"/>
  <c r="M9" i="47"/>
  <c r="O8" i="47"/>
  <c r="P8" i="47" s="1"/>
  <c r="N8" i="47"/>
  <c r="M8" i="47"/>
  <c r="B4" i="47"/>
  <c r="B3" i="46"/>
  <c r="L21" i="46"/>
  <c r="L42" i="46" s="1"/>
  <c r="L60" i="46" s="1"/>
  <c r="L79" i="46" s="1"/>
  <c r="L100" i="46" s="1"/>
  <c r="L121" i="46" s="1"/>
  <c r="L141" i="46" s="1"/>
  <c r="L159" i="46" s="1"/>
  <c r="L179" i="46" s="1"/>
  <c r="L197" i="46" s="1"/>
  <c r="L218" i="46" s="1"/>
  <c r="L240" i="46" s="1"/>
  <c r="L261" i="46" s="1"/>
  <c r="L279" i="46" s="1"/>
  <c r="L300" i="46" s="1"/>
  <c r="L321" i="46" s="1"/>
  <c r="L339" i="46" s="1"/>
  <c r="L359" i="46" s="1"/>
  <c r="L382" i="46" s="1"/>
  <c r="L403" i="46" s="1"/>
  <c r="L424" i="46" s="1"/>
  <c r="L445" i="46" s="1"/>
  <c r="L466" i="46" s="1"/>
  <c r="L484" i="46" s="1"/>
  <c r="L501" i="46" s="1"/>
  <c r="L524" i="46" s="1"/>
  <c r="L542" i="46" s="1"/>
  <c r="L563" i="46" s="1"/>
  <c r="L584" i="46" s="1"/>
  <c r="L605" i="46" s="1"/>
  <c r="O18" i="46"/>
  <c r="N18" i="46"/>
  <c r="O17" i="46"/>
  <c r="N17" i="46"/>
  <c r="O16" i="46"/>
  <c r="N16" i="46"/>
  <c r="M16" i="46"/>
  <c r="O15" i="46"/>
  <c r="N15" i="46"/>
  <c r="M15" i="46"/>
  <c r="O14" i="46"/>
  <c r="N14" i="46"/>
  <c r="M14" i="46"/>
  <c r="O13" i="46"/>
  <c r="P13" i="46" s="1"/>
  <c r="N13" i="46"/>
  <c r="M13" i="46"/>
  <c r="O12" i="46"/>
  <c r="P12" i="46" s="1"/>
  <c r="N12" i="46"/>
  <c r="M12" i="46"/>
  <c r="O11" i="46"/>
  <c r="P11" i="46" s="1"/>
  <c r="N11" i="46"/>
  <c r="M11" i="46"/>
  <c r="O10" i="46"/>
  <c r="P10" i="46" s="1"/>
  <c r="N10" i="46"/>
  <c r="M10" i="46"/>
  <c r="O9" i="46"/>
  <c r="P9" i="46" s="1"/>
  <c r="N9" i="46"/>
  <c r="M9" i="46"/>
  <c r="O8" i="46"/>
  <c r="P8" i="46" s="1"/>
  <c r="N8" i="46"/>
  <c r="M8" i="46"/>
  <c r="B4" i="46"/>
  <c r="G35" i="7"/>
  <c r="O35" i="7" s="1"/>
  <c r="P35" i="7" s="1"/>
  <c r="G34" i="7"/>
  <c r="O34" i="7" s="1"/>
  <c r="P34" i="7" s="1"/>
  <c r="O9" i="42"/>
  <c r="P9" i="42" s="1"/>
  <c r="M11" i="42"/>
  <c r="O12" i="42"/>
  <c r="P12" i="42" s="1"/>
  <c r="M13" i="42"/>
  <c r="O14" i="42"/>
  <c r="O15" i="42"/>
  <c r="O17" i="42"/>
  <c r="O16" i="42"/>
  <c r="F30" i="15"/>
  <c r="F29" i="15"/>
  <c r="F28" i="15"/>
  <c r="A4" i="15"/>
  <c r="B4" i="15"/>
  <c r="C4" i="15"/>
  <c r="D4" i="15" s="1"/>
  <c r="E4" i="15"/>
  <c r="T42" i="34"/>
  <c r="T54" i="34"/>
  <c r="T53" i="34"/>
  <c r="T52" i="34"/>
  <c r="T51" i="34"/>
  <c r="T50" i="34"/>
  <c r="T49" i="34"/>
  <c r="T48" i="34"/>
  <c r="T47" i="34"/>
  <c r="T46" i="34"/>
  <c r="T45" i="34"/>
  <c r="T44" i="34"/>
  <c r="T43" i="34"/>
  <c r="T55" i="34"/>
  <c r="T40" i="34"/>
  <c r="R40" i="34"/>
  <c r="R54" i="34"/>
  <c r="R53" i="34"/>
  <c r="R52" i="34"/>
  <c r="R51" i="34"/>
  <c r="R50" i="34"/>
  <c r="R49" i="34"/>
  <c r="R48" i="34"/>
  <c r="R47" i="34"/>
  <c r="R46" i="34"/>
  <c r="R45" i="34"/>
  <c r="R44" i="34"/>
  <c r="R43" i="34"/>
  <c r="R42" i="34"/>
  <c r="R55" i="34"/>
  <c r="Q40" i="34"/>
  <c r="P40" i="34"/>
  <c r="G12" i="34"/>
  <c r="G27" i="34"/>
  <c r="G26" i="34" s="1"/>
  <c r="G25" i="34" s="1"/>
  <c r="G24" i="34" s="1"/>
  <c r="G23" i="34" s="1"/>
  <c r="G22" i="34" s="1"/>
  <c r="G21" i="34" s="1"/>
  <c r="G20" i="34" s="1"/>
  <c r="G19" i="34" s="1"/>
  <c r="G18" i="34" s="1"/>
  <c r="G17" i="34" s="1"/>
  <c r="G16" i="34" s="1"/>
  <c r="G15" i="34" s="1"/>
  <c r="F13" i="28"/>
  <c r="I9" i="28"/>
  <c r="F9" i="28"/>
  <c r="G9" i="28" s="1"/>
  <c r="K9" i="28" s="1"/>
  <c r="G29" i="38"/>
  <c r="L22" i="42"/>
  <c r="L43" i="42" s="1"/>
  <c r="L61" i="42" s="1"/>
  <c r="L81" i="42" s="1"/>
  <c r="L102" i="42" s="1"/>
  <c r="L123" i="42" s="1"/>
  <c r="L144" i="42" s="1"/>
  <c r="L162" i="42" s="1"/>
  <c r="L183" i="42" s="1"/>
  <c r="L201" i="42" s="1"/>
  <c r="L222" i="42" s="1"/>
  <c r="L244" i="42" s="1"/>
  <c r="N18" i="42"/>
  <c r="O18" i="42"/>
  <c r="N17" i="42"/>
  <c r="N16" i="42"/>
  <c r="N15" i="42"/>
  <c r="N14" i="42"/>
  <c r="N13" i="42"/>
  <c r="N12" i="42"/>
  <c r="N11" i="42"/>
  <c r="N10" i="42"/>
  <c r="O10" i="42"/>
  <c r="P10" i="42" s="1"/>
  <c r="N9" i="42"/>
  <c r="N8" i="42"/>
  <c r="B4" i="42"/>
  <c r="E17" i="40"/>
  <c r="E18" i="40"/>
  <c r="E19" i="40"/>
  <c r="E20" i="40"/>
  <c r="E21" i="40"/>
  <c r="E22" i="40"/>
  <c r="E23" i="40"/>
  <c r="A17" i="40"/>
  <c r="A18" i="40"/>
  <c r="A19" i="40"/>
  <c r="A20" i="40"/>
  <c r="A21" i="40"/>
  <c r="A22" i="40"/>
  <c r="A23" i="40"/>
  <c r="B23" i="40"/>
  <c r="C23" i="40"/>
  <c r="D23" i="40" s="1"/>
  <c r="B21" i="40"/>
  <c r="C21" i="40"/>
  <c r="D21" i="40" s="1"/>
  <c r="B22" i="40"/>
  <c r="C22" i="40"/>
  <c r="D22" i="40"/>
  <c r="B16" i="40"/>
  <c r="C16" i="40"/>
  <c r="D16" i="40" s="1"/>
  <c r="E16" i="40"/>
  <c r="B17" i="40"/>
  <c r="C17" i="40"/>
  <c r="D17" i="40" s="1"/>
  <c r="B18" i="40"/>
  <c r="C18" i="40"/>
  <c r="D18" i="40" s="1"/>
  <c r="B19" i="40"/>
  <c r="C19" i="40"/>
  <c r="D19" i="40" s="1"/>
  <c r="B20" i="40"/>
  <c r="C20" i="40"/>
  <c r="D20" i="40" s="1"/>
  <c r="E21" i="15"/>
  <c r="E22" i="15"/>
  <c r="E23" i="15"/>
  <c r="E24" i="15"/>
  <c r="E25" i="15"/>
  <c r="E26" i="15"/>
  <c r="E27" i="15"/>
  <c r="E28" i="15"/>
  <c r="E29" i="15"/>
  <c r="E30" i="15"/>
  <c r="A30" i="15"/>
  <c r="B30" i="15"/>
  <c r="C30" i="15"/>
  <c r="D30" i="15" s="1"/>
  <c r="A29" i="15"/>
  <c r="B29" i="15"/>
  <c r="C29" i="15"/>
  <c r="D29" i="15" s="1"/>
  <c r="A27" i="15"/>
  <c r="B27" i="15"/>
  <c r="C27" i="15"/>
  <c r="A28" i="15"/>
  <c r="B28" i="15"/>
  <c r="C28" i="15"/>
  <c r="D28" i="15" s="1"/>
  <c r="A7" i="15"/>
  <c r="B7" i="15"/>
  <c r="C7" i="15"/>
  <c r="A8" i="15"/>
  <c r="B8" i="15"/>
  <c r="C8" i="15"/>
  <c r="A9" i="15"/>
  <c r="B9" i="15"/>
  <c r="C9" i="15"/>
  <c r="A10" i="15"/>
  <c r="B10" i="15"/>
  <c r="C10" i="15"/>
  <c r="A11" i="15"/>
  <c r="B11" i="15"/>
  <c r="C11" i="15"/>
  <c r="A12" i="15"/>
  <c r="B12" i="15"/>
  <c r="C12" i="15"/>
  <c r="A13" i="15"/>
  <c r="B13" i="15"/>
  <c r="C13" i="15"/>
  <c r="A14" i="15"/>
  <c r="B14" i="15"/>
  <c r="C14" i="15"/>
  <c r="A15" i="15"/>
  <c r="B15" i="15"/>
  <c r="C15" i="15"/>
  <c r="A16" i="15"/>
  <c r="B16" i="15"/>
  <c r="C16" i="15"/>
  <c r="A17" i="15"/>
  <c r="B17" i="15"/>
  <c r="C17" i="15"/>
  <c r="A18" i="15"/>
  <c r="B18" i="15"/>
  <c r="C18" i="15"/>
  <c r="A19" i="15"/>
  <c r="B19" i="15"/>
  <c r="C19" i="15"/>
  <c r="A20" i="15"/>
  <c r="B20" i="15"/>
  <c r="C20" i="15"/>
  <c r="A21" i="15"/>
  <c r="B21" i="15"/>
  <c r="C21" i="15"/>
  <c r="A22" i="15"/>
  <c r="B22" i="15"/>
  <c r="C22" i="15"/>
  <c r="A23" i="15"/>
  <c r="B23" i="15"/>
  <c r="C23" i="15"/>
  <c r="A24" i="15"/>
  <c r="B24" i="15"/>
  <c r="C24" i="15"/>
  <c r="A25" i="15"/>
  <c r="B25" i="15"/>
  <c r="C25" i="15"/>
  <c r="A26" i="15"/>
  <c r="B26" i="15"/>
  <c r="C26" i="15"/>
  <c r="A26" i="38"/>
  <c r="B26" i="38"/>
  <c r="C26" i="38"/>
  <c r="D26" i="38" s="1"/>
  <c r="E26" i="38"/>
  <c r="A27" i="38"/>
  <c r="B27" i="38"/>
  <c r="C27" i="38"/>
  <c r="D27" i="38" s="1"/>
  <c r="E27" i="38"/>
  <c r="A28" i="38"/>
  <c r="B28" i="38"/>
  <c r="C28" i="38"/>
  <c r="D28" i="38"/>
  <c r="E28" i="38"/>
  <c r="A29" i="38"/>
  <c r="B29" i="38"/>
  <c r="C29" i="38"/>
  <c r="D29" i="38" s="1"/>
  <c r="E29" i="38"/>
  <c r="A30" i="38"/>
  <c r="B30" i="38"/>
  <c r="C30" i="38"/>
  <c r="D30" i="38" s="1"/>
  <c r="E30" i="38"/>
  <c r="A31" i="38"/>
  <c r="B31" i="38"/>
  <c r="C31" i="38"/>
  <c r="D31" i="38" s="1"/>
  <c r="E31" i="38"/>
  <c r="A39" i="7"/>
  <c r="B39" i="7"/>
  <c r="C39" i="7"/>
  <c r="D39" i="7" s="1"/>
  <c r="E39" i="7"/>
  <c r="A33" i="7"/>
  <c r="B33" i="7"/>
  <c r="C33" i="7"/>
  <c r="D33" i="7" s="1"/>
  <c r="E33" i="7"/>
  <c r="A34" i="7"/>
  <c r="B34" i="7"/>
  <c r="C34" i="7"/>
  <c r="D34" i="7" s="1"/>
  <c r="E34" i="7"/>
  <c r="A35" i="7"/>
  <c r="B35" i="7"/>
  <c r="C35" i="7"/>
  <c r="D35" i="7" s="1"/>
  <c r="E35" i="7"/>
  <c r="A36" i="7"/>
  <c r="B36" i="7"/>
  <c r="C36" i="7"/>
  <c r="D36" i="7" s="1"/>
  <c r="E36" i="7"/>
  <c r="A37" i="7"/>
  <c r="B37" i="7"/>
  <c r="C37" i="7"/>
  <c r="D37" i="7" s="1"/>
  <c r="E37" i="7"/>
  <c r="A38" i="7"/>
  <c r="B38" i="7"/>
  <c r="C38" i="7"/>
  <c r="D38" i="7" s="1"/>
  <c r="E38" i="7"/>
  <c r="I26" i="41"/>
  <c r="I28" i="41"/>
  <c r="I24" i="41"/>
  <c r="F28" i="41"/>
  <c r="G28" i="41" s="1"/>
  <c r="F26" i="41"/>
  <c r="G26" i="41" s="1"/>
  <c r="F24" i="41"/>
  <c r="G24" i="41" s="1"/>
  <c r="I35" i="28"/>
  <c r="I33" i="28"/>
  <c r="I31" i="28"/>
  <c r="F35" i="28"/>
  <c r="G35" i="28" s="1"/>
  <c r="F33" i="28"/>
  <c r="G33" i="28" s="1"/>
  <c r="F31" i="28"/>
  <c r="G31" i="28" s="1"/>
  <c r="I554" i="48" l="1"/>
  <c r="I589" i="48" s="1"/>
  <c r="I622" i="48" s="1"/>
  <c r="I659" i="48" s="1"/>
  <c r="I693" i="48" s="1"/>
  <c r="I727" i="48" s="1"/>
  <c r="I749" i="48" s="1"/>
  <c r="I770" i="48" s="1"/>
  <c r="I806" i="48" s="1"/>
  <c r="I828" i="48" s="1"/>
  <c r="I862" i="48" s="1"/>
  <c r="I898" i="48" s="1"/>
  <c r="I932" i="48" s="1"/>
  <c r="M12" i="48"/>
  <c r="M10" i="48"/>
  <c r="M7" i="48"/>
  <c r="M8" i="48"/>
  <c r="M9" i="48"/>
  <c r="M11" i="48"/>
  <c r="M16" i="48"/>
  <c r="M13" i="48"/>
  <c r="M14" i="48"/>
  <c r="M15" i="48"/>
  <c r="M9" i="7"/>
  <c r="L146" i="47"/>
  <c r="L166" i="47" s="1"/>
  <c r="L186" i="47" s="1"/>
  <c r="L207" i="47" s="1"/>
  <c r="L228" i="47" s="1"/>
  <c r="L249" i="47" s="1"/>
  <c r="L270" i="47" s="1"/>
  <c r="L291" i="47" s="1"/>
  <c r="L312" i="47" s="1"/>
  <c r="L333" i="47" s="1"/>
  <c r="L354" i="47" s="1"/>
  <c r="L374" i="47" s="1"/>
  <c r="L396" i="47" s="1"/>
  <c r="L417" i="47" s="1"/>
  <c r="L438" i="47" s="1"/>
  <c r="L459" i="47" s="1"/>
  <c r="L481" i="47" s="1"/>
  <c r="L502" i="47" s="1"/>
  <c r="L522" i="47" s="1"/>
  <c r="L545" i="47" s="1"/>
  <c r="L566" i="47" s="1"/>
  <c r="L587" i="47" s="1"/>
  <c r="L608" i="47" s="1"/>
  <c r="L629" i="47" s="1"/>
  <c r="P16" i="47"/>
  <c r="P13" i="47"/>
  <c r="P12" i="47"/>
  <c r="P14" i="47"/>
  <c r="P15" i="47"/>
  <c r="P17" i="47"/>
  <c r="P15" i="46"/>
  <c r="P16" i="46"/>
  <c r="P17" i="46"/>
  <c r="P14" i="46"/>
  <c r="P17" i="42"/>
  <c r="P14" i="42"/>
  <c r="P15" i="42"/>
  <c r="P16" i="42"/>
  <c r="T41" i="34"/>
  <c r="L265" i="42"/>
  <c r="L283" i="42" s="1"/>
  <c r="L304" i="42" s="1"/>
  <c r="L325" i="42" s="1"/>
  <c r="L343" i="42" s="1"/>
  <c r="M9" i="42"/>
  <c r="O13" i="42"/>
  <c r="P13" i="42" s="1"/>
  <c r="M12" i="42"/>
  <c r="M10" i="42"/>
  <c r="O11" i="42"/>
  <c r="P11" i="42" s="1"/>
  <c r="M16" i="42"/>
  <c r="M15" i="42"/>
  <c r="O8" i="42"/>
  <c r="M14" i="42"/>
  <c r="M8" i="42"/>
  <c r="F20" i="40"/>
  <c r="F19" i="40"/>
  <c r="A4" i="40"/>
  <c r="B4" i="40"/>
  <c r="C4" i="40"/>
  <c r="D4" i="40" s="1"/>
  <c r="E4" i="40"/>
  <c r="A5" i="40"/>
  <c r="B5" i="40"/>
  <c r="C5" i="40"/>
  <c r="D5" i="40" s="1"/>
  <c r="E5" i="40"/>
  <c r="A6" i="40"/>
  <c r="B6" i="40"/>
  <c r="C6" i="40"/>
  <c r="D6" i="40" s="1"/>
  <c r="E6" i="40"/>
  <c r="A7" i="40"/>
  <c r="B7" i="40"/>
  <c r="C7" i="40"/>
  <c r="D7" i="40" s="1"/>
  <c r="E7" i="40"/>
  <c r="A8" i="40"/>
  <c r="B8" i="40"/>
  <c r="C8" i="40"/>
  <c r="D8" i="40" s="1"/>
  <c r="E8" i="40"/>
  <c r="A9" i="40"/>
  <c r="B9" i="40"/>
  <c r="C9" i="40"/>
  <c r="D9" i="40" s="1"/>
  <c r="E9" i="40"/>
  <c r="A10" i="40"/>
  <c r="B10" i="40"/>
  <c r="C10" i="40"/>
  <c r="D10" i="40" s="1"/>
  <c r="E10" i="40"/>
  <c r="A11" i="40"/>
  <c r="B11" i="40"/>
  <c r="C11" i="40"/>
  <c r="D11" i="40" s="1"/>
  <c r="E11" i="40"/>
  <c r="A12" i="40"/>
  <c r="B12" i="40"/>
  <c r="C12" i="40"/>
  <c r="D12" i="40" s="1"/>
  <c r="E12" i="40"/>
  <c r="A13" i="40"/>
  <c r="B13" i="40"/>
  <c r="C13" i="40"/>
  <c r="D13" i="40" s="1"/>
  <c r="E13" i="40"/>
  <c r="A14" i="40"/>
  <c r="B14" i="40"/>
  <c r="C14" i="40"/>
  <c r="D14" i="40" s="1"/>
  <c r="E14" i="40"/>
  <c r="A15" i="40"/>
  <c r="B15" i="40"/>
  <c r="C15" i="40"/>
  <c r="D15" i="40" s="1"/>
  <c r="E15" i="40"/>
  <c r="A16" i="40"/>
  <c r="E3" i="40"/>
  <c r="C3" i="40"/>
  <c r="B3" i="40"/>
  <c r="A3" i="40"/>
  <c r="D25" i="15"/>
  <c r="F25" i="15"/>
  <c r="D26" i="15"/>
  <c r="F26" i="15"/>
  <c r="D27" i="15"/>
  <c r="F27" i="15"/>
  <c r="D20" i="15"/>
  <c r="E20" i="15"/>
  <c r="F20" i="15"/>
  <c r="D21" i="15"/>
  <c r="F21" i="15"/>
  <c r="D22" i="15"/>
  <c r="F22" i="15"/>
  <c r="D23" i="15"/>
  <c r="F23" i="15"/>
  <c r="D24" i="15"/>
  <c r="F24" i="15"/>
  <c r="A5" i="15"/>
  <c r="B5" i="15"/>
  <c r="C5" i="15"/>
  <c r="D5" i="15" s="1"/>
  <c r="E5" i="15"/>
  <c r="A6" i="15"/>
  <c r="B6" i="15"/>
  <c r="C6" i="15"/>
  <c r="D6" i="15" s="1"/>
  <c r="E6" i="15"/>
  <c r="D7" i="15"/>
  <c r="E7" i="15"/>
  <c r="D8" i="15"/>
  <c r="E8" i="15"/>
  <c r="D9" i="15"/>
  <c r="E9" i="15"/>
  <c r="D10" i="15"/>
  <c r="E10" i="15"/>
  <c r="D11" i="15"/>
  <c r="E11" i="15"/>
  <c r="D12" i="15"/>
  <c r="E12" i="15"/>
  <c r="D13" i="15"/>
  <c r="E13" i="15"/>
  <c r="D14" i="15"/>
  <c r="E14" i="15"/>
  <c r="D15" i="15"/>
  <c r="E15" i="15"/>
  <c r="D16" i="15"/>
  <c r="E16" i="15"/>
  <c r="D17" i="15"/>
  <c r="E17" i="15"/>
  <c r="D18" i="15"/>
  <c r="E18" i="15"/>
  <c r="D19" i="15"/>
  <c r="E19" i="15"/>
  <c r="A20" i="38"/>
  <c r="B20" i="38"/>
  <c r="C20" i="38"/>
  <c r="D20" i="38" s="1"/>
  <c r="E20" i="38"/>
  <c r="A21" i="38"/>
  <c r="B21" i="38"/>
  <c r="C21" i="38"/>
  <c r="D21" i="38" s="1"/>
  <c r="E21" i="38"/>
  <c r="A22" i="38"/>
  <c r="B22" i="38"/>
  <c r="C22" i="38"/>
  <c r="D22" i="38" s="1"/>
  <c r="E22" i="38"/>
  <c r="A23" i="38"/>
  <c r="B23" i="38"/>
  <c r="C23" i="38"/>
  <c r="D23" i="38" s="1"/>
  <c r="E23" i="38"/>
  <c r="A24" i="38"/>
  <c r="B24" i="38"/>
  <c r="C24" i="38"/>
  <c r="D24" i="38" s="1"/>
  <c r="E24" i="38"/>
  <c r="A25" i="38"/>
  <c r="B25" i="38"/>
  <c r="C25" i="38"/>
  <c r="D25" i="38" s="1"/>
  <c r="E25" i="38"/>
  <c r="E19" i="38"/>
  <c r="C19" i="38"/>
  <c r="D19" i="38" s="1"/>
  <c r="B19" i="38"/>
  <c r="A19" i="38"/>
  <c r="P33" i="38"/>
  <c r="G33" i="38"/>
  <c r="Q33" i="38" s="1"/>
  <c r="R33" i="38" s="1"/>
  <c r="P32" i="38"/>
  <c r="G32" i="38"/>
  <c r="O32" i="38" s="1"/>
  <c r="P26" i="38"/>
  <c r="G26" i="38"/>
  <c r="O26" i="38" s="1"/>
  <c r="P25" i="38"/>
  <c r="G25" i="38"/>
  <c r="O25" i="38" s="1"/>
  <c r="P24" i="38"/>
  <c r="G24" i="38"/>
  <c r="Q24" i="38" s="1"/>
  <c r="R24" i="38" s="1"/>
  <c r="P23" i="38"/>
  <c r="G23" i="38"/>
  <c r="Q23" i="38" s="1"/>
  <c r="R23" i="38" s="1"/>
  <c r="P22" i="38"/>
  <c r="G22" i="38"/>
  <c r="Q22" i="38" s="1"/>
  <c r="R22" i="38" s="1"/>
  <c r="P21" i="38"/>
  <c r="G21" i="38"/>
  <c r="O21" i="38" s="1"/>
  <c r="P20" i="38"/>
  <c r="G20" i="38"/>
  <c r="Q20" i="38" s="1"/>
  <c r="R20" i="38" s="1"/>
  <c r="P19" i="38"/>
  <c r="G19" i="38"/>
  <c r="O19" i="38" s="1"/>
  <c r="A9" i="38"/>
  <c r="B9" i="38"/>
  <c r="C9" i="38"/>
  <c r="D9" i="38" s="1"/>
  <c r="E9" i="38"/>
  <c r="A10" i="38"/>
  <c r="B10" i="38"/>
  <c r="C10" i="38"/>
  <c r="D10" i="38" s="1"/>
  <c r="E10" i="38"/>
  <c r="A11" i="38"/>
  <c r="B11" i="38"/>
  <c r="C11" i="38"/>
  <c r="D11" i="38" s="1"/>
  <c r="E11" i="38"/>
  <c r="A12" i="38"/>
  <c r="B12" i="38"/>
  <c r="C12" i="38"/>
  <c r="D12" i="38" s="1"/>
  <c r="E12" i="38"/>
  <c r="A13" i="38"/>
  <c r="B13" i="38"/>
  <c r="C13" i="38"/>
  <c r="D13" i="38" s="1"/>
  <c r="E13" i="38"/>
  <c r="A14" i="38"/>
  <c r="B14" i="38"/>
  <c r="C14" i="38"/>
  <c r="D14" i="38" s="1"/>
  <c r="E14" i="38"/>
  <c r="A15" i="38"/>
  <c r="B15" i="38"/>
  <c r="C15" i="38"/>
  <c r="D15" i="38" s="1"/>
  <c r="E15" i="38"/>
  <c r="E8" i="38"/>
  <c r="C8" i="38"/>
  <c r="B8" i="38"/>
  <c r="A8" i="38"/>
  <c r="E56" i="34"/>
  <c r="D29" i="34"/>
  <c r="E29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P55" i="34" s="1"/>
  <c r="D43" i="34"/>
  <c r="Q42" i="34"/>
  <c r="S42" i="34"/>
  <c r="S56" i="34" s="1"/>
  <c r="A32" i="7"/>
  <c r="B32" i="7"/>
  <c r="M56" i="34" s="1"/>
  <c r="C32" i="7"/>
  <c r="D32" i="7" s="1"/>
  <c r="E32" i="7"/>
  <c r="N56" i="34"/>
  <c r="N40" i="34"/>
  <c r="O40" i="34"/>
  <c r="E31" i="7"/>
  <c r="C31" i="7"/>
  <c r="D31" i="7" s="1"/>
  <c r="B31" i="7"/>
  <c r="L56" i="34" s="1"/>
  <c r="L55" i="34" s="1"/>
  <c r="A31" i="7"/>
  <c r="E30" i="7"/>
  <c r="C30" i="7"/>
  <c r="D30" i="7" s="1"/>
  <c r="B30" i="7"/>
  <c r="K56" i="34" s="1"/>
  <c r="A30" i="7"/>
  <c r="E29" i="7"/>
  <c r="C29" i="7"/>
  <c r="D29" i="7" s="1"/>
  <c r="B29" i="7"/>
  <c r="J56" i="34" s="1"/>
  <c r="A29" i="7"/>
  <c r="E28" i="7"/>
  <c r="C28" i="7"/>
  <c r="D28" i="7" s="1"/>
  <c r="B28" i="7"/>
  <c r="I42" i="34" s="1"/>
  <c r="A28" i="7"/>
  <c r="E27" i="7"/>
  <c r="C27" i="7"/>
  <c r="D27" i="7" s="1"/>
  <c r="B27" i="7"/>
  <c r="A27" i="7"/>
  <c r="E26" i="7"/>
  <c r="C26" i="7"/>
  <c r="D26" i="7" s="1"/>
  <c r="B26" i="7"/>
  <c r="H56" i="34" s="1"/>
  <c r="H55" i="34" s="1"/>
  <c r="H54" i="34" s="1"/>
  <c r="A26" i="7"/>
  <c r="E25" i="7"/>
  <c r="C25" i="7"/>
  <c r="D25" i="7" s="1"/>
  <c r="B25" i="7"/>
  <c r="A25" i="7"/>
  <c r="E24" i="7"/>
  <c r="C24" i="7"/>
  <c r="G40" i="34" s="1"/>
  <c r="B24" i="7"/>
  <c r="G56" i="34" s="1"/>
  <c r="A24" i="7"/>
  <c r="G22" i="7"/>
  <c r="O22" i="7" s="1"/>
  <c r="P22" i="7" s="1"/>
  <c r="G21" i="7"/>
  <c r="O21" i="7" s="1"/>
  <c r="P21" i="7" s="1"/>
  <c r="G20" i="7"/>
  <c r="O20" i="7" s="1"/>
  <c r="P20" i="7" s="1"/>
  <c r="G19" i="7"/>
  <c r="O19" i="7" s="1"/>
  <c r="P19" i="7" s="1"/>
  <c r="N10" i="7"/>
  <c r="N11" i="7"/>
  <c r="N12" i="7"/>
  <c r="N13" i="7"/>
  <c r="N14" i="7"/>
  <c r="N15" i="7"/>
  <c r="N16" i="7"/>
  <c r="N17" i="7"/>
  <c r="N18" i="7"/>
  <c r="N19" i="7"/>
  <c r="N8" i="7"/>
  <c r="A18" i="7"/>
  <c r="B18" i="7"/>
  <c r="N14" i="34" s="1"/>
  <c r="C18" i="7"/>
  <c r="E18" i="7"/>
  <c r="A19" i="7"/>
  <c r="B19" i="7"/>
  <c r="O28" i="34" s="1"/>
  <c r="C19" i="7"/>
  <c r="D19" i="7" s="1"/>
  <c r="E19" i="7"/>
  <c r="E17" i="7"/>
  <c r="C17" i="7"/>
  <c r="D17" i="7" s="1"/>
  <c r="B17" i="7"/>
  <c r="M28" i="34" s="1"/>
  <c r="M14" i="34" s="1"/>
  <c r="A17" i="7"/>
  <c r="E16" i="7"/>
  <c r="C16" i="7"/>
  <c r="D16" i="7" s="1"/>
  <c r="B16" i="7"/>
  <c r="L28" i="34" s="1"/>
  <c r="A16" i="7"/>
  <c r="E15" i="7"/>
  <c r="C15" i="7"/>
  <c r="D15" i="7" s="1"/>
  <c r="B15" i="7"/>
  <c r="A15" i="7"/>
  <c r="E14" i="7"/>
  <c r="C14" i="7"/>
  <c r="D14" i="7" s="1"/>
  <c r="B14" i="7"/>
  <c r="K14" i="34" s="1"/>
  <c r="A14" i="7"/>
  <c r="E13" i="7"/>
  <c r="C13" i="7"/>
  <c r="D13" i="7" s="1"/>
  <c r="B13" i="7"/>
  <c r="A13" i="7"/>
  <c r="E12" i="7"/>
  <c r="C12" i="7"/>
  <c r="D12" i="7" s="1"/>
  <c r="B12" i="7"/>
  <c r="J28" i="34" s="1"/>
  <c r="A12" i="7"/>
  <c r="E11" i="7"/>
  <c r="C11" i="7"/>
  <c r="D11" i="7" s="1"/>
  <c r="B11" i="7"/>
  <c r="I14" i="34" s="1"/>
  <c r="I15" i="34" s="1"/>
  <c r="A11" i="7"/>
  <c r="E10" i="7"/>
  <c r="C10" i="7"/>
  <c r="D10" i="7" s="1"/>
  <c r="B10" i="7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A10" i="7"/>
  <c r="G55" i="34" l="1"/>
  <c r="G54" i="34" s="1"/>
  <c r="G53" i="34" s="1"/>
  <c r="G52" i="34" s="1"/>
  <c r="G51" i="34" s="1"/>
  <c r="G50" i="34" s="1"/>
  <c r="G49" i="34" s="1"/>
  <c r="G48" i="34" s="1"/>
  <c r="G47" i="34" s="1"/>
  <c r="G46" i="34" s="1"/>
  <c r="G45" i="34" s="1"/>
  <c r="G44" i="34" s="1"/>
  <c r="G43" i="34" s="1"/>
  <c r="G42" i="34" s="1"/>
  <c r="L54" i="34"/>
  <c r="L53" i="34" s="1"/>
  <c r="L52" i="34" s="1"/>
  <c r="L51" i="34" s="1"/>
  <c r="L50" i="34" s="1"/>
  <c r="L49" i="34" s="1"/>
  <c r="L48" i="34" s="1"/>
  <c r="L47" i="34" s="1"/>
  <c r="L46" i="34" s="1"/>
  <c r="L45" i="34" s="1"/>
  <c r="L44" i="34" s="1"/>
  <c r="L43" i="34" s="1"/>
  <c r="L42" i="34" s="1"/>
  <c r="M55" i="34"/>
  <c r="M54" i="34" s="1"/>
  <c r="M53" i="34" s="1"/>
  <c r="M52" i="34" s="1"/>
  <c r="M51" i="34" s="1"/>
  <c r="M50" i="34" s="1"/>
  <c r="M49" i="34" s="1"/>
  <c r="M48" i="34" s="1"/>
  <c r="M47" i="34" s="1"/>
  <c r="M46" i="34" s="1"/>
  <c r="M45" i="34" s="1"/>
  <c r="M44" i="34" s="1"/>
  <c r="M43" i="34" s="1"/>
  <c r="M42" i="34" s="1"/>
  <c r="P54" i="34"/>
  <c r="P53" i="34" s="1"/>
  <c r="P52" i="34" s="1"/>
  <c r="P51" i="34" s="1"/>
  <c r="P50" i="34" s="1"/>
  <c r="P49" i="34" s="1"/>
  <c r="P48" i="34" s="1"/>
  <c r="P47" i="34" s="1"/>
  <c r="P46" i="34" s="1"/>
  <c r="P45" i="34" s="1"/>
  <c r="P44" i="34" s="1"/>
  <c r="P43" i="34" s="1"/>
  <c r="P42" i="34" s="1"/>
  <c r="H53" i="34"/>
  <c r="H52" i="34" s="1"/>
  <c r="H51" i="34" s="1"/>
  <c r="H50" i="34" s="1"/>
  <c r="H49" i="34" s="1"/>
  <c r="H48" i="34" s="1"/>
  <c r="H47" i="34" s="1"/>
  <c r="H46" i="34" s="1"/>
  <c r="H45" i="34" s="1"/>
  <c r="H44" i="34" s="1"/>
  <c r="H43" i="34" s="1"/>
  <c r="H42" i="34" s="1"/>
  <c r="L363" i="42"/>
  <c r="P8" i="42"/>
  <c r="L12" i="34"/>
  <c r="F42" i="34"/>
  <c r="H12" i="34"/>
  <c r="I12" i="34"/>
  <c r="J12" i="34"/>
  <c r="J40" i="34"/>
  <c r="M12" i="34"/>
  <c r="M40" i="34"/>
  <c r="O12" i="34"/>
  <c r="F40" i="34"/>
  <c r="I40" i="34"/>
  <c r="D18" i="7"/>
  <c r="N12" i="34"/>
  <c r="K12" i="34"/>
  <c r="H40" i="34"/>
  <c r="K40" i="34"/>
  <c r="L40" i="34"/>
  <c r="O42" i="34"/>
  <c r="L14" i="34"/>
  <c r="L13" i="34" s="1"/>
  <c r="N28" i="34"/>
  <c r="J55" i="34"/>
  <c r="J54" i="34" s="1"/>
  <c r="J53" i="34" s="1"/>
  <c r="J52" i="34" s="1"/>
  <c r="J51" i="34" s="1"/>
  <c r="J50" i="34" s="1"/>
  <c r="J49" i="34" s="1"/>
  <c r="J48" i="34" s="1"/>
  <c r="J47" i="34" s="1"/>
  <c r="J46" i="34" s="1"/>
  <c r="J45" i="34" s="1"/>
  <c r="J44" i="34" s="1"/>
  <c r="J43" i="34" s="1"/>
  <c r="J42" i="34" s="1"/>
  <c r="O14" i="34"/>
  <c r="K28" i="34"/>
  <c r="K55" i="34"/>
  <c r="K54" i="34" s="1"/>
  <c r="K53" i="34" s="1"/>
  <c r="K52" i="34" s="1"/>
  <c r="K51" i="34" s="1"/>
  <c r="K50" i="34" s="1"/>
  <c r="K49" i="34" s="1"/>
  <c r="K48" i="34" s="1"/>
  <c r="K47" i="34" s="1"/>
  <c r="K46" i="34" s="1"/>
  <c r="K45" i="34" s="1"/>
  <c r="K44" i="34" s="1"/>
  <c r="K43" i="34" s="1"/>
  <c r="K42" i="34" s="1"/>
  <c r="I56" i="34"/>
  <c r="J14" i="34"/>
  <c r="J13" i="34" s="1"/>
  <c r="Q26" i="38"/>
  <c r="R26" i="38" s="1"/>
  <c r="Q21" i="38"/>
  <c r="R21" i="38" s="1"/>
  <c r="Q25" i="38"/>
  <c r="R25" i="38" s="1"/>
  <c r="O23" i="38"/>
  <c r="Q19" i="38"/>
  <c r="R19" i="38" s="1"/>
  <c r="O22" i="38"/>
  <c r="Q32" i="38"/>
  <c r="R32" i="38" s="1"/>
  <c r="O24" i="38"/>
  <c r="O20" i="38"/>
  <c r="E57" i="34"/>
  <c r="D57" i="34"/>
  <c r="N23" i="7"/>
  <c r="I27" i="41"/>
  <c r="F27" i="41"/>
  <c r="G27" i="41" s="1"/>
  <c r="I25" i="41"/>
  <c r="F25" i="41"/>
  <c r="G25" i="41" s="1"/>
  <c r="K25" i="41" s="1"/>
  <c r="I23" i="41"/>
  <c r="F23" i="41"/>
  <c r="G23" i="41" s="1"/>
  <c r="K23" i="41" s="1"/>
  <c r="I22" i="41"/>
  <c r="F22" i="41"/>
  <c r="G22" i="41" s="1"/>
  <c r="I21" i="41"/>
  <c r="F21" i="41"/>
  <c r="G21" i="41" s="1"/>
  <c r="K21" i="41" s="1"/>
  <c r="I20" i="41"/>
  <c r="F20" i="41"/>
  <c r="G20" i="41" s="1"/>
  <c r="I19" i="41"/>
  <c r="F19" i="41"/>
  <c r="G19" i="41" s="1"/>
  <c r="I18" i="41"/>
  <c r="F18" i="41"/>
  <c r="G18" i="41" s="1"/>
  <c r="K18" i="41" s="1"/>
  <c r="I17" i="41"/>
  <c r="F17" i="41"/>
  <c r="G17" i="41" s="1"/>
  <c r="K17" i="41" s="1"/>
  <c r="I16" i="41"/>
  <c r="F16" i="41"/>
  <c r="G16" i="41" s="1"/>
  <c r="K16" i="41" s="1"/>
  <c r="I15" i="41"/>
  <c r="F15" i="41"/>
  <c r="G15" i="41" s="1"/>
  <c r="I14" i="41"/>
  <c r="F14" i="41"/>
  <c r="G14" i="41" s="1"/>
  <c r="K14" i="41" s="1"/>
  <c r="I13" i="41"/>
  <c r="F13" i="41"/>
  <c r="G13" i="41" s="1"/>
  <c r="I12" i="41"/>
  <c r="F12" i="41"/>
  <c r="G12" i="41" s="1"/>
  <c r="K12" i="41" s="1"/>
  <c r="I11" i="41"/>
  <c r="F11" i="41"/>
  <c r="G11" i="41" s="1"/>
  <c r="K11" i="41" s="1"/>
  <c r="I10" i="41"/>
  <c r="F10" i="41"/>
  <c r="G10" i="41" s="1"/>
  <c r="K10" i="41" s="1"/>
  <c r="I9" i="41"/>
  <c r="F9" i="41"/>
  <c r="G9" i="41" s="1"/>
  <c r="K9" i="41" s="1"/>
  <c r="I8" i="41"/>
  <c r="F8" i="41"/>
  <c r="G8" i="41" s="1"/>
  <c r="K8" i="41" s="1"/>
  <c r="I28" i="28"/>
  <c r="I27" i="28"/>
  <c r="I24" i="28"/>
  <c r="F27" i="28"/>
  <c r="G27" i="28" s="1"/>
  <c r="K27" i="28" s="1"/>
  <c r="F25" i="28"/>
  <c r="G25" i="28" s="1"/>
  <c r="I25" i="28"/>
  <c r="F28" i="28"/>
  <c r="G28" i="28" s="1"/>
  <c r="F24" i="28"/>
  <c r="G24" i="28" s="1"/>
  <c r="K24" i="28" s="1"/>
  <c r="I11" i="28"/>
  <c r="F11" i="28"/>
  <c r="G11" i="28" s="1"/>
  <c r="K11" i="28" s="1"/>
  <c r="I10" i="28"/>
  <c r="F10" i="28"/>
  <c r="G10" i="28" s="1"/>
  <c r="K10" i="28" s="1"/>
  <c r="L386" i="42" l="1"/>
  <c r="L407" i="42" s="1"/>
  <c r="L428" i="42" s="1"/>
  <c r="L449" i="42" s="1"/>
  <c r="L470" i="42" s="1"/>
  <c r="L488" i="42" s="1"/>
  <c r="L505" i="42" s="1"/>
  <c r="N42" i="34"/>
  <c r="Q56" i="34"/>
  <c r="F56" i="34"/>
  <c r="O56" i="34"/>
  <c r="K30" i="41"/>
  <c r="F30" i="41"/>
  <c r="L528" i="42" l="1"/>
  <c r="L546" i="42" s="1"/>
  <c r="L567" i="42" s="1"/>
  <c r="L588" i="42" s="1"/>
  <c r="L609" i="42" s="1"/>
  <c r="I26" i="28"/>
  <c r="F26" i="28"/>
  <c r="G26" i="28" s="1"/>
  <c r="K26" i="28" s="1"/>
  <c r="I23" i="28"/>
  <c r="F23" i="28"/>
  <c r="G23" i="28" s="1"/>
  <c r="I30" i="28"/>
  <c r="F30" i="28"/>
  <c r="G30" i="28" s="1"/>
  <c r="I20" i="28"/>
  <c r="F20" i="28"/>
  <c r="G20" i="28" s="1"/>
  <c r="K20" i="28" s="1"/>
  <c r="I22" i="28" l="1"/>
  <c r="F22" i="28"/>
  <c r="G22" i="28" s="1"/>
  <c r="K22" i="28" s="1"/>
  <c r="F29" i="28"/>
  <c r="F8" i="28"/>
  <c r="F14" i="28"/>
  <c r="F17" i="28"/>
  <c r="F32" i="28" l="1"/>
  <c r="F21" i="28"/>
  <c r="F19" i="28"/>
  <c r="F16" i="28"/>
  <c r="F15" i="28"/>
  <c r="F12" i="28"/>
  <c r="F18" i="28"/>
  <c r="I14" i="28"/>
  <c r="G14" i="28"/>
  <c r="K14" i="28" s="1"/>
  <c r="E3" i="15"/>
  <c r="H17" i="39"/>
  <c r="I17" i="39" s="1"/>
  <c r="H16" i="39"/>
  <c r="H15" i="39"/>
  <c r="I15" i="39" s="1"/>
  <c r="H14" i="39"/>
  <c r="H13" i="39"/>
  <c r="I13" i="39" s="1"/>
  <c r="H12" i="39"/>
  <c r="H11" i="39"/>
  <c r="H10" i="39"/>
  <c r="H9" i="39"/>
  <c r="D3" i="40"/>
  <c r="F18" i="40"/>
  <c r="F17" i="40"/>
  <c r="F16" i="40"/>
  <c r="F15" i="40"/>
  <c r="F14" i="40"/>
  <c r="F13" i="40"/>
  <c r="F11" i="40"/>
  <c r="F10" i="40"/>
  <c r="F9" i="40"/>
  <c r="F8" i="40"/>
  <c r="F7" i="40"/>
  <c r="F6" i="40"/>
  <c r="F46" i="38"/>
  <c r="F47" i="38"/>
  <c r="F48" i="38"/>
  <c r="F49" i="38"/>
  <c r="F50" i="38"/>
  <c r="F51" i="38"/>
  <c r="F52" i="38"/>
  <c r="F45" i="38"/>
  <c r="E18" i="38"/>
  <c r="C18" i="38"/>
  <c r="D18" i="38" s="1"/>
  <c r="B18" i="38"/>
  <c r="A18" i="38"/>
  <c r="D8" i="38"/>
  <c r="F17" i="39"/>
  <c r="G17" i="39" s="1"/>
  <c r="F16" i="39"/>
  <c r="G16" i="39" s="1"/>
  <c r="K16" i="39" s="1"/>
  <c r="F15" i="39"/>
  <c r="G15" i="39" s="1"/>
  <c r="K15" i="39" s="1"/>
  <c r="F14" i="39"/>
  <c r="G14" i="39" s="1"/>
  <c r="F13" i="39"/>
  <c r="G13" i="39" s="1"/>
  <c r="K13" i="39" s="1"/>
  <c r="F12" i="39"/>
  <c r="G12" i="39" s="1"/>
  <c r="F11" i="39"/>
  <c r="G11" i="39" s="1"/>
  <c r="K11" i="39" s="1"/>
  <c r="F10" i="39"/>
  <c r="G10" i="39" s="1"/>
  <c r="K10" i="39" s="1"/>
  <c r="F9" i="39"/>
  <c r="G9" i="39" s="1"/>
  <c r="K9" i="39" s="1"/>
  <c r="I8" i="39"/>
  <c r="F8" i="39"/>
  <c r="G8" i="39" s="1"/>
  <c r="K8" i="39" s="1"/>
  <c r="H18" i="38"/>
  <c r="P17" i="38"/>
  <c r="G17" i="38"/>
  <c r="Q17" i="38" s="1"/>
  <c r="R17" i="38" s="1"/>
  <c r="P16" i="38"/>
  <c r="G16" i="38"/>
  <c r="O16" i="38" s="1"/>
  <c r="P15" i="38"/>
  <c r="G15" i="38"/>
  <c r="Q15" i="38" s="1"/>
  <c r="R15" i="38" s="1"/>
  <c r="P14" i="38"/>
  <c r="G14" i="38"/>
  <c r="O14" i="38" s="1"/>
  <c r="P13" i="38"/>
  <c r="G13" i="38"/>
  <c r="Q13" i="38" s="1"/>
  <c r="R13" i="38" s="1"/>
  <c r="P12" i="38"/>
  <c r="G12" i="38"/>
  <c r="O12" i="38" s="1"/>
  <c r="P11" i="38"/>
  <c r="G11" i="38"/>
  <c r="Q11" i="38" s="1"/>
  <c r="R11" i="38" s="1"/>
  <c r="P10" i="38"/>
  <c r="G10" i="38"/>
  <c r="Q10" i="38" s="1"/>
  <c r="R10" i="38" s="1"/>
  <c r="P9" i="38"/>
  <c r="G9" i="38"/>
  <c r="Q9" i="38" s="1"/>
  <c r="R9" i="38" s="1"/>
  <c r="P8" i="38"/>
  <c r="G8" i="38"/>
  <c r="O8" i="38" s="1"/>
  <c r="B4" i="38"/>
  <c r="F19" i="15"/>
  <c r="A3" i="15"/>
  <c r="H23" i="7"/>
  <c r="H7" i="35"/>
  <c r="L8" i="35" s="1"/>
  <c r="L20" i="35"/>
  <c r="L19" i="35"/>
  <c r="L18" i="35"/>
  <c r="L17" i="35"/>
  <c r="L15" i="35"/>
  <c r="L14" i="35"/>
  <c r="L13" i="35"/>
  <c r="L12" i="35"/>
  <c r="J20" i="35"/>
  <c r="J19" i="35"/>
  <c r="J18" i="35"/>
  <c r="J17" i="35"/>
  <c r="J15" i="35"/>
  <c r="J14" i="35"/>
  <c r="J13" i="35"/>
  <c r="J12" i="35"/>
  <c r="L25" i="35"/>
  <c r="F21" i="35"/>
  <c r="F16" i="35"/>
  <c r="H16" i="35" s="1"/>
  <c r="F11" i="35"/>
  <c r="Q12" i="35"/>
  <c r="R12" i="35" s="1"/>
  <c r="Q17" i="35"/>
  <c r="R17" i="35" s="1"/>
  <c r="Q13" i="35"/>
  <c r="R13" i="35" s="1"/>
  <c r="Q9" i="35"/>
  <c r="R9" i="35" s="1"/>
  <c r="Q8" i="35"/>
  <c r="R8" i="35" s="1"/>
  <c r="I20" i="35"/>
  <c r="F37" i="28" l="1"/>
  <c r="I16" i="39"/>
  <c r="I10" i="39"/>
  <c r="I11" i="39"/>
  <c r="I12" i="39"/>
  <c r="I14" i="39"/>
  <c r="I9" i="39"/>
  <c r="F53" i="38"/>
  <c r="Q14" i="38"/>
  <c r="R14" i="38" s="1"/>
  <c r="P34" i="38"/>
  <c r="Q16" i="38"/>
  <c r="R16" i="38" s="1"/>
  <c r="O15" i="38"/>
  <c r="P18" i="38"/>
  <c r="P35" i="38" s="1"/>
  <c r="Q34" i="38"/>
  <c r="R34" i="38" s="1"/>
  <c r="G34" i="38"/>
  <c r="O9" i="38"/>
  <c r="O13" i="38"/>
  <c r="Q12" i="38"/>
  <c r="R12" i="38" s="1"/>
  <c r="O11" i="38"/>
  <c r="G18" i="38"/>
  <c r="Q8" i="38"/>
  <c r="O10" i="38"/>
  <c r="R18" i="35"/>
  <c r="R10" i="35"/>
  <c r="J7" i="35"/>
  <c r="J8" i="35"/>
  <c r="J9" i="35"/>
  <c r="L10" i="35"/>
  <c r="L9" i="35"/>
  <c r="J10" i="35"/>
  <c r="H11" i="35"/>
  <c r="L7" i="35"/>
  <c r="H21" i="35"/>
  <c r="R14" i="35"/>
  <c r="C46" i="38" l="1"/>
  <c r="D46" i="38" s="1"/>
  <c r="C47" i="38"/>
  <c r="D47" i="38" s="1"/>
  <c r="C50" i="38"/>
  <c r="D50" i="38" s="1"/>
  <c r="C51" i="38"/>
  <c r="D51" i="38" s="1"/>
  <c r="C49" i="38"/>
  <c r="D49" i="38" s="1"/>
  <c r="C52" i="38"/>
  <c r="D52" i="38" s="1"/>
  <c r="C45" i="38"/>
  <c r="D45" i="38" s="1"/>
  <c r="C48" i="38"/>
  <c r="D48" i="38" s="1"/>
  <c r="O18" i="38"/>
  <c r="O34" i="38"/>
  <c r="G53" i="38"/>
  <c r="O35" i="38"/>
  <c r="Q18" i="38"/>
  <c r="R8" i="38"/>
  <c r="H22" i="35"/>
  <c r="R19" i="35"/>
  <c r="G28" i="7"/>
  <c r="O28" i="7" s="1"/>
  <c r="P28" i="7" s="1"/>
  <c r="E8" i="7"/>
  <c r="D53" i="38" l="1"/>
  <c r="F54" i="38" s="1"/>
  <c r="G54" i="38" s="1"/>
  <c r="C53" i="38"/>
  <c r="Q35" i="38"/>
  <c r="R35" i="38" s="1"/>
  <c r="R18" i="38"/>
  <c r="M28" i="7"/>
  <c r="I32" i="28"/>
  <c r="G32" i="28"/>
  <c r="K32" i="28" s="1"/>
  <c r="J22" i="35" l="1"/>
  <c r="L22" i="35"/>
  <c r="C54" i="34"/>
  <c r="C43" i="34"/>
  <c r="C26" i="34"/>
  <c r="I16" i="34"/>
  <c r="I17" i="34" s="1"/>
  <c r="I18" i="34" s="1"/>
  <c r="I19" i="34" s="1"/>
  <c r="I20" i="34" s="1"/>
  <c r="I21" i="34" s="1"/>
  <c r="I22" i="34" s="1"/>
  <c r="I23" i="34" s="1"/>
  <c r="I24" i="34" s="1"/>
  <c r="I25" i="34" s="1"/>
  <c r="I26" i="34" s="1"/>
  <c r="I27" i="34" s="1"/>
  <c r="I28" i="34" s="1"/>
  <c r="C15" i="34"/>
  <c r="A8" i="7"/>
  <c r="L24" i="35" l="1"/>
  <c r="M24" i="35" s="1"/>
  <c r="L26" i="35" l="1"/>
  <c r="M26" i="35" s="1"/>
  <c r="G34" i="28"/>
  <c r="G29" i="28"/>
  <c r="K29" i="28" s="1"/>
  <c r="G21" i="28"/>
  <c r="K21" i="28" s="1"/>
  <c r="G19" i="28"/>
  <c r="G16" i="28"/>
  <c r="G18" i="28"/>
  <c r="G15" i="28"/>
  <c r="K15" i="28" s="1"/>
  <c r="G17" i="28"/>
  <c r="K17" i="28" s="1"/>
  <c r="G13" i="28"/>
  <c r="K13" i="28" s="1"/>
  <c r="G12" i="28"/>
  <c r="K12" i="28" s="1"/>
  <c r="G8" i="28"/>
  <c r="K8" i="28" s="1"/>
  <c r="K37" i="28" l="1"/>
  <c r="B4" i="7"/>
  <c r="B8" i="7"/>
  <c r="F14" i="34" s="1"/>
  <c r="F15" i="34" s="1"/>
  <c r="F16" i="34" s="1"/>
  <c r="F17" i="34" s="1"/>
  <c r="F18" i="34" s="1"/>
  <c r="F19" i="34" s="1"/>
  <c r="F20" i="34" s="1"/>
  <c r="F21" i="34" s="1"/>
  <c r="F22" i="34" s="1"/>
  <c r="F23" i="34" s="1"/>
  <c r="F24" i="34" s="1"/>
  <c r="F25" i="34" s="1"/>
  <c r="F26" i="34" s="1"/>
  <c r="F27" i="34" s="1"/>
  <c r="F28" i="34" s="1"/>
  <c r="C8" i="7"/>
  <c r="F12" i="34" s="1"/>
  <c r="G8" i="7"/>
  <c r="G10" i="7"/>
  <c r="M10" i="7" s="1"/>
  <c r="G11" i="7"/>
  <c r="M11" i="7" s="1"/>
  <c r="G12" i="7"/>
  <c r="G13" i="7"/>
  <c r="G14" i="7"/>
  <c r="G15" i="7"/>
  <c r="G16" i="7"/>
  <c r="G17" i="7"/>
  <c r="G18" i="7"/>
  <c r="G24" i="7"/>
  <c r="O24" i="7" s="1"/>
  <c r="P24" i="7" s="1"/>
  <c r="G25" i="7"/>
  <c r="O25" i="7" s="1"/>
  <c r="P25" i="7" s="1"/>
  <c r="G26" i="7"/>
  <c r="O26" i="7" s="1"/>
  <c r="P26" i="7" s="1"/>
  <c r="G27" i="7"/>
  <c r="O27" i="7" s="1"/>
  <c r="P27" i="7" s="1"/>
  <c r="G29" i="7"/>
  <c r="O29" i="7" s="1"/>
  <c r="P29" i="7" s="1"/>
  <c r="G23" i="7" l="1"/>
  <c r="S40" i="34"/>
  <c r="D24" i="7"/>
  <c r="D8" i="7"/>
  <c r="G43" i="7"/>
  <c r="M8" i="7"/>
  <c r="B3" i="15"/>
  <c r="O18" i="7" l="1"/>
  <c r="P18" i="7" s="1"/>
  <c r="O11" i="7"/>
  <c r="P11" i="7" s="1"/>
  <c r="O10" i="7"/>
  <c r="P10" i="7" s="1"/>
  <c r="O8" i="7"/>
  <c r="B69" i="33"/>
  <c r="P8" i="7" l="1"/>
  <c r="G55" i="33"/>
  <c r="B52" i="33"/>
  <c r="G66" i="33"/>
  <c r="G63" i="33"/>
  <c r="F69" i="33"/>
  <c r="C65" i="33"/>
  <c r="C55" i="33"/>
  <c r="C47" i="33"/>
  <c r="C74" i="33"/>
  <c r="C39" i="33"/>
  <c r="G31" i="33"/>
  <c r="G73" i="33"/>
  <c r="G25" i="33"/>
  <c r="C22" i="33"/>
  <c r="C15" i="33"/>
  <c r="G7" i="33"/>
  <c r="C3" i="15"/>
  <c r="D3" i="15" s="1"/>
  <c r="B61" i="33"/>
  <c r="I19" i="28"/>
  <c r="I12" i="28"/>
  <c r="I8" i="28"/>
  <c r="F62" i="7" l="1"/>
  <c r="G45" i="33" l="1"/>
  <c r="C28" i="33"/>
  <c r="G22" i="33"/>
  <c r="F51" i="33" l="1"/>
  <c r="F18" i="15" l="1"/>
  <c r="F17" i="15"/>
  <c r="F16" i="15"/>
  <c r="F15" i="15"/>
  <c r="F14" i="15"/>
  <c r="F12" i="15"/>
  <c r="F11" i="15"/>
  <c r="F10" i="15"/>
  <c r="F9" i="15"/>
  <c r="F8" i="15"/>
  <c r="F7" i="15"/>
  <c r="M27" i="7" l="1"/>
  <c r="M26" i="7"/>
  <c r="M25" i="7"/>
  <c r="M24" i="7"/>
  <c r="M17" i="7"/>
  <c r="M16" i="7"/>
  <c r="O15" i="7"/>
  <c r="O14" i="7"/>
  <c r="M13" i="7"/>
  <c r="M12" i="7"/>
  <c r="N43" i="7" l="1"/>
  <c r="O13" i="7"/>
  <c r="P13" i="7" s="1"/>
  <c r="M14" i="7"/>
  <c r="O17" i="7"/>
  <c r="P17" i="7" s="1"/>
  <c r="O16" i="7"/>
  <c r="P16" i="7" s="1"/>
  <c r="P14" i="7"/>
  <c r="P15" i="7"/>
  <c r="M29" i="7"/>
  <c r="M43" i="7" s="1"/>
  <c r="M15" i="7"/>
  <c r="O12" i="7"/>
  <c r="O23" i="7" l="1"/>
  <c r="N44" i="7"/>
  <c r="M44" i="7"/>
  <c r="O43" i="7"/>
  <c r="P43" i="7" s="1"/>
  <c r="M23" i="7"/>
  <c r="P12" i="7"/>
  <c r="O44" i="7" l="1"/>
  <c r="P44" i="7" s="1"/>
  <c r="F44" i="33"/>
  <c r="B44" i="33"/>
  <c r="F36" i="33"/>
  <c r="B36" i="33"/>
  <c r="F27" i="33"/>
  <c r="F59" i="33"/>
  <c r="B28" i="33"/>
  <c r="F20" i="33"/>
  <c r="B20" i="33"/>
  <c r="F12" i="33"/>
  <c r="B12" i="33"/>
  <c r="F4" i="33"/>
  <c r="B4" i="33"/>
  <c r="I34" i="28" l="1"/>
  <c r="I29" i="28"/>
  <c r="I21" i="28"/>
  <c r="I16" i="28"/>
  <c r="I18" i="28"/>
  <c r="I15" i="28"/>
  <c r="I17" i="28"/>
  <c r="I13" i="28"/>
  <c r="C62" i="7" l="1"/>
  <c r="D62" i="7" l="1"/>
  <c r="F63" i="7" s="1"/>
  <c r="B3" i="24"/>
  <c r="B3" i="25"/>
  <c r="B3" i="23"/>
  <c r="B3" i="22"/>
  <c r="B3" i="21"/>
  <c r="B3" i="20"/>
  <c r="B3" i="19"/>
  <c r="B3" i="18"/>
  <c r="B3" i="14"/>
  <c r="B3" i="13"/>
  <c r="B3" i="12"/>
  <c r="B3" i="11"/>
  <c r="B3" i="10"/>
  <c r="B3" i="9"/>
  <c r="B3" i="8"/>
  <c r="V22" i="29"/>
  <c r="V18" i="29"/>
  <c r="V16" i="29"/>
  <c r="V15" i="29"/>
  <c r="V12" i="29"/>
  <c r="V11" i="29"/>
  <c r="V10" i="29"/>
  <c r="V9" i="29"/>
  <c r="V8" i="29"/>
  <c r="V7" i="29"/>
  <c r="V6" i="29"/>
  <c r="V5" i="29"/>
  <c r="V3" i="29"/>
  <c r="V2" i="29"/>
  <c r="B4" i="24"/>
  <c r="B4" i="25"/>
  <c r="B4" i="23"/>
  <c r="B4" i="22"/>
  <c r="B4" i="20"/>
  <c r="B4" i="19"/>
  <c r="B4" i="18"/>
  <c r="B4" i="14"/>
  <c r="B4" i="13"/>
  <c r="B4" i="12"/>
  <c r="B4" i="10"/>
  <c r="B4" i="9"/>
  <c r="B4" i="8"/>
  <c r="T8" i="6" l="1"/>
  <c r="Q8" i="6"/>
  <c r="P8" i="6"/>
  <c r="M8" i="6"/>
  <c r="L8" i="6"/>
  <c r="I8" i="6"/>
  <c r="H8" i="6"/>
  <c r="G8" i="6"/>
  <c r="F8" i="6"/>
  <c r="U46" i="25"/>
  <c r="P46" i="25"/>
  <c r="L46" i="25"/>
  <c r="H46" i="25"/>
  <c r="U45" i="25"/>
  <c r="P45" i="25"/>
  <c r="L45" i="25"/>
  <c r="H45" i="25"/>
  <c r="U44" i="25"/>
  <c r="P44" i="25"/>
  <c r="L44" i="25"/>
  <c r="H44" i="25"/>
  <c r="U43" i="25"/>
  <c r="P43" i="25"/>
  <c r="L43" i="25"/>
  <c r="H43" i="25"/>
  <c r="U42" i="25"/>
  <c r="P42" i="25"/>
  <c r="L42" i="25"/>
  <c r="H42" i="25"/>
  <c r="U41" i="25"/>
  <c r="P41" i="25"/>
  <c r="L41" i="25"/>
  <c r="H41" i="25"/>
  <c r="U40" i="25"/>
  <c r="P40" i="25"/>
  <c r="L40" i="25"/>
  <c r="H40" i="25"/>
  <c r="U39" i="25"/>
  <c r="P39" i="25"/>
  <c r="L39" i="25"/>
  <c r="H39" i="25"/>
  <c r="U38" i="25"/>
  <c r="P38" i="25"/>
  <c r="L38" i="25"/>
  <c r="H38" i="25"/>
  <c r="U37" i="25"/>
  <c r="P37" i="25"/>
  <c r="L37" i="25"/>
  <c r="H37" i="25"/>
  <c r="U36" i="25"/>
  <c r="P36" i="25"/>
  <c r="L36" i="25"/>
  <c r="H36" i="25"/>
  <c r="U35" i="25"/>
  <c r="P35" i="25"/>
  <c r="L35" i="25"/>
  <c r="H35" i="25"/>
  <c r="U34" i="25"/>
  <c r="P34" i="25"/>
  <c r="L34" i="25"/>
  <c r="H34" i="25"/>
  <c r="U33" i="25"/>
  <c r="P33" i="25"/>
  <c r="L33" i="25"/>
  <c r="H33" i="25"/>
  <c r="U32" i="25"/>
  <c r="P32" i="25"/>
  <c r="L32" i="25"/>
  <c r="H32" i="25"/>
  <c r="U31" i="25"/>
  <c r="P31" i="25"/>
  <c r="L31" i="25"/>
  <c r="H31" i="25"/>
  <c r="U30" i="25"/>
  <c r="P30" i="25"/>
  <c r="L30" i="25"/>
  <c r="H30" i="25"/>
  <c r="U29" i="25"/>
  <c r="P29" i="25"/>
  <c r="L29" i="25"/>
  <c r="H29" i="25"/>
  <c r="U28" i="25"/>
  <c r="U47" i="25" s="1"/>
  <c r="P28" i="25"/>
  <c r="L28" i="25"/>
  <c r="H28" i="25"/>
  <c r="U26" i="25"/>
  <c r="P26" i="25"/>
  <c r="L26" i="25"/>
  <c r="H26" i="25"/>
  <c r="U25" i="25"/>
  <c r="P25" i="25"/>
  <c r="L25" i="25"/>
  <c r="H25" i="25"/>
  <c r="U24" i="25"/>
  <c r="P24" i="25"/>
  <c r="L24" i="25"/>
  <c r="H24" i="25"/>
  <c r="U23" i="25"/>
  <c r="P23" i="25"/>
  <c r="L23" i="25"/>
  <c r="H23" i="25"/>
  <c r="U22" i="25"/>
  <c r="P22" i="25"/>
  <c r="L22" i="25"/>
  <c r="H22" i="25"/>
  <c r="U21" i="25"/>
  <c r="P21" i="25"/>
  <c r="L21" i="25"/>
  <c r="H21" i="25"/>
  <c r="U20" i="25"/>
  <c r="P20" i="25"/>
  <c r="L20" i="25"/>
  <c r="H20" i="25"/>
  <c r="U19" i="25"/>
  <c r="P19" i="25"/>
  <c r="L19" i="25"/>
  <c r="H19" i="25"/>
  <c r="U18" i="25"/>
  <c r="P18" i="25"/>
  <c r="L18" i="25"/>
  <c r="H18" i="25"/>
  <c r="U17" i="25"/>
  <c r="P17" i="25"/>
  <c r="L17" i="25"/>
  <c r="H17" i="25"/>
  <c r="U16" i="25"/>
  <c r="P16" i="25"/>
  <c r="L16" i="25"/>
  <c r="H16" i="25"/>
  <c r="U15" i="25"/>
  <c r="P15" i="25"/>
  <c r="L15" i="25"/>
  <c r="H15" i="25"/>
  <c r="U14" i="25"/>
  <c r="P14" i="25"/>
  <c r="L14" i="25"/>
  <c r="H14" i="25"/>
  <c r="U13" i="25"/>
  <c r="P13" i="25"/>
  <c r="L13" i="25"/>
  <c r="H13" i="25"/>
  <c r="U12" i="25"/>
  <c r="P12" i="25"/>
  <c r="L12" i="25"/>
  <c r="H12" i="25"/>
  <c r="U11" i="25"/>
  <c r="P11" i="25"/>
  <c r="L11" i="25"/>
  <c r="H11" i="25"/>
  <c r="U10" i="25"/>
  <c r="P10" i="25"/>
  <c r="L10" i="25"/>
  <c r="H10" i="25"/>
  <c r="U9" i="25"/>
  <c r="P9" i="25"/>
  <c r="L9" i="25"/>
  <c r="H9" i="25"/>
  <c r="U8" i="25"/>
  <c r="R8" i="25"/>
  <c r="P8" i="25"/>
  <c r="L8" i="25"/>
  <c r="H8" i="25"/>
  <c r="W46" i="24"/>
  <c r="R46" i="24"/>
  <c r="N46" i="24"/>
  <c r="J46" i="24"/>
  <c r="W45" i="24"/>
  <c r="R45" i="24"/>
  <c r="N45" i="24"/>
  <c r="J45" i="24"/>
  <c r="W44" i="24"/>
  <c r="R44" i="24"/>
  <c r="N44" i="24"/>
  <c r="J44" i="24"/>
  <c r="W43" i="24"/>
  <c r="R43" i="24"/>
  <c r="N43" i="24"/>
  <c r="J43" i="24"/>
  <c r="W42" i="24"/>
  <c r="R42" i="24"/>
  <c r="N42" i="24"/>
  <c r="J42" i="24"/>
  <c r="W41" i="24"/>
  <c r="R41" i="24"/>
  <c r="N41" i="24"/>
  <c r="J41" i="24"/>
  <c r="W40" i="24"/>
  <c r="R40" i="24"/>
  <c r="N40" i="24"/>
  <c r="J40" i="24"/>
  <c r="W39" i="24"/>
  <c r="R39" i="24"/>
  <c r="N39" i="24"/>
  <c r="J39" i="24"/>
  <c r="W38" i="24"/>
  <c r="R38" i="24"/>
  <c r="N38" i="24"/>
  <c r="J38" i="24"/>
  <c r="W37" i="24"/>
  <c r="R37" i="24"/>
  <c r="N37" i="24"/>
  <c r="J37" i="24"/>
  <c r="W36" i="24"/>
  <c r="R36" i="24"/>
  <c r="N36" i="24"/>
  <c r="J36" i="24"/>
  <c r="W35" i="24"/>
  <c r="R35" i="24"/>
  <c r="N35" i="24"/>
  <c r="J35" i="24"/>
  <c r="W34" i="24"/>
  <c r="R34" i="24"/>
  <c r="N34" i="24"/>
  <c r="J34" i="24"/>
  <c r="W33" i="24"/>
  <c r="R33" i="24"/>
  <c r="N33" i="24"/>
  <c r="J33" i="24"/>
  <c r="W32" i="24"/>
  <c r="R32" i="24"/>
  <c r="N32" i="24"/>
  <c r="J32" i="24"/>
  <c r="W31" i="24"/>
  <c r="R31" i="24"/>
  <c r="N31" i="24"/>
  <c r="J31" i="24"/>
  <c r="W30" i="24"/>
  <c r="R30" i="24"/>
  <c r="N30" i="24"/>
  <c r="J30" i="24"/>
  <c r="W29" i="24"/>
  <c r="R29" i="24"/>
  <c r="N29" i="24"/>
  <c r="J29" i="24"/>
  <c r="W28" i="24"/>
  <c r="R28" i="24"/>
  <c r="N28" i="24"/>
  <c r="J28" i="24"/>
  <c r="W26" i="24"/>
  <c r="R26" i="24"/>
  <c r="N26" i="24"/>
  <c r="J26" i="24"/>
  <c r="W25" i="24"/>
  <c r="R25" i="24"/>
  <c r="N25" i="24"/>
  <c r="J25" i="24"/>
  <c r="W24" i="24"/>
  <c r="R24" i="24"/>
  <c r="N24" i="24"/>
  <c r="J24" i="24"/>
  <c r="W23" i="24"/>
  <c r="R23" i="24"/>
  <c r="N23" i="24"/>
  <c r="J23" i="24"/>
  <c r="W22" i="24"/>
  <c r="R22" i="24"/>
  <c r="N22" i="24"/>
  <c r="J22" i="24"/>
  <c r="W21" i="24"/>
  <c r="R21" i="24"/>
  <c r="N21" i="24"/>
  <c r="J21" i="24"/>
  <c r="W20" i="24"/>
  <c r="R20" i="24"/>
  <c r="N20" i="24"/>
  <c r="J20" i="24"/>
  <c r="W19" i="24"/>
  <c r="R19" i="24"/>
  <c r="N19" i="24"/>
  <c r="J19" i="24"/>
  <c r="W18" i="24"/>
  <c r="R18" i="24"/>
  <c r="N18" i="24"/>
  <c r="J18" i="24"/>
  <c r="W17" i="24"/>
  <c r="R17" i="24"/>
  <c r="N17" i="24"/>
  <c r="J17" i="24"/>
  <c r="W16" i="24"/>
  <c r="R16" i="24"/>
  <c r="N16" i="24"/>
  <c r="J16" i="24"/>
  <c r="W15" i="24"/>
  <c r="R15" i="24"/>
  <c r="N15" i="24"/>
  <c r="J15" i="24"/>
  <c r="W14" i="24"/>
  <c r="R14" i="24"/>
  <c r="N14" i="24"/>
  <c r="J14" i="24"/>
  <c r="W13" i="24"/>
  <c r="R13" i="24"/>
  <c r="N13" i="24"/>
  <c r="J13" i="24"/>
  <c r="W12" i="24"/>
  <c r="R12" i="24"/>
  <c r="N12" i="24"/>
  <c r="J12" i="24"/>
  <c r="W11" i="24"/>
  <c r="R11" i="24"/>
  <c r="N11" i="24"/>
  <c r="J11" i="24"/>
  <c r="W10" i="24"/>
  <c r="R10" i="24"/>
  <c r="N10" i="24"/>
  <c r="J10" i="24"/>
  <c r="W9" i="24"/>
  <c r="R9" i="24"/>
  <c r="N9" i="24"/>
  <c r="J9" i="24"/>
  <c r="W8" i="24"/>
  <c r="W27" i="24" s="1"/>
  <c r="T8" i="24"/>
  <c r="R8" i="24"/>
  <c r="N8" i="24"/>
  <c r="J8" i="24"/>
  <c r="W47" i="24" l="1"/>
  <c r="W48" i="24"/>
  <c r="U27" i="25"/>
  <c r="U48" i="25" s="1"/>
  <c r="V8" i="6"/>
  <c r="K8" i="6"/>
  <c r="U46" i="23"/>
  <c r="P46" i="23"/>
  <c r="L46" i="23"/>
  <c r="H46" i="23"/>
  <c r="U45" i="23"/>
  <c r="P45" i="23"/>
  <c r="L45" i="23"/>
  <c r="H45" i="23"/>
  <c r="U44" i="23"/>
  <c r="P44" i="23"/>
  <c r="L44" i="23"/>
  <c r="H44" i="23"/>
  <c r="U43" i="23"/>
  <c r="P43" i="23"/>
  <c r="L43" i="23"/>
  <c r="H43" i="23"/>
  <c r="U42" i="23"/>
  <c r="P42" i="23"/>
  <c r="L42" i="23"/>
  <c r="H42" i="23"/>
  <c r="U41" i="23"/>
  <c r="P41" i="23"/>
  <c r="L41" i="23"/>
  <c r="H41" i="23"/>
  <c r="U40" i="23"/>
  <c r="P40" i="23"/>
  <c r="L40" i="23"/>
  <c r="H40" i="23"/>
  <c r="U39" i="23"/>
  <c r="P39" i="23"/>
  <c r="L39" i="23"/>
  <c r="H39" i="23"/>
  <c r="U38" i="23"/>
  <c r="P38" i="23"/>
  <c r="L38" i="23"/>
  <c r="H38" i="23"/>
  <c r="U37" i="23"/>
  <c r="P37" i="23"/>
  <c r="L37" i="23"/>
  <c r="H37" i="23"/>
  <c r="U36" i="23"/>
  <c r="P36" i="23"/>
  <c r="L36" i="23"/>
  <c r="H36" i="23"/>
  <c r="U35" i="23"/>
  <c r="P35" i="23"/>
  <c r="L35" i="23"/>
  <c r="H35" i="23"/>
  <c r="U34" i="23"/>
  <c r="P34" i="23"/>
  <c r="L34" i="23"/>
  <c r="H34" i="23"/>
  <c r="U33" i="23"/>
  <c r="P33" i="23"/>
  <c r="L33" i="23"/>
  <c r="H33" i="23"/>
  <c r="U32" i="23"/>
  <c r="P32" i="23"/>
  <c r="L32" i="23"/>
  <c r="H32" i="23"/>
  <c r="U31" i="23"/>
  <c r="P31" i="23"/>
  <c r="L31" i="23"/>
  <c r="H31" i="23"/>
  <c r="U30" i="23"/>
  <c r="P30" i="23"/>
  <c r="L30" i="23"/>
  <c r="H30" i="23"/>
  <c r="U29" i="23"/>
  <c r="P29" i="23"/>
  <c r="L29" i="23"/>
  <c r="H29" i="23"/>
  <c r="U28" i="23"/>
  <c r="U47" i="23" s="1"/>
  <c r="P28" i="23"/>
  <c r="L28" i="23"/>
  <c r="H28" i="23"/>
  <c r="U26" i="23"/>
  <c r="P26" i="23"/>
  <c r="L26" i="23"/>
  <c r="H26" i="23"/>
  <c r="U25" i="23"/>
  <c r="P25" i="23"/>
  <c r="L25" i="23"/>
  <c r="H25" i="23"/>
  <c r="U24" i="23"/>
  <c r="P24" i="23"/>
  <c r="L24" i="23"/>
  <c r="H24" i="23"/>
  <c r="U23" i="23"/>
  <c r="P23" i="23"/>
  <c r="L23" i="23"/>
  <c r="H23" i="23"/>
  <c r="U22" i="23"/>
  <c r="P22" i="23"/>
  <c r="L22" i="23"/>
  <c r="H22" i="23"/>
  <c r="U21" i="23"/>
  <c r="P21" i="23"/>
  <c r="L21" i="23"/>
  <c r="H21" i="23"/>
  <c r="U20" i="23"/>
  <c r="P20" i="23"/>
  <c r="L20" i="23"/>
  <c r="H20" i="23"/>
  <c r="U19" i="23"/>
  <c r="P19" i="23"/>
  <c r="L19" i="23"/>
  <c r="H19" i="23"/>
  <c r="U18" i="23"/>
  <c r="P18" i="23"/>
  <c r="L18" i="23"/>
  <c r="H18" i="23"/>
  <c r="U17" i="23"/>
  <c r="P17" i="23"/>
  <c r="L17" i="23"/>
  <c r="H17" i="23"/>
  <c r="U16" i="23"/>
  <c r="P16" i="23"/>
  <c r="L16" i="23"/>
  <c r="H16" i="23"/>
  <c r="U15" i="23"/>
  <c r="P15" i="23"/>
  <c r="L15" i="23"/>
  <c r="H15" i="23"/>
  <c r="U14" i="23"/>
  <c r="P14" i="23"/>
  <c r="L14" i="23"/>
  <c r="H14" i="23"/>
  <c r="U13" i="23"/>
  <c r="P13" i="23"/>
  <c r="L13" i="23"/>
  <c r="H13" i="23"/>
  <c r="U12" i="23"/>
  <c r="P12" i="23"/>
  <c r="L12" i="23"/>
  <c r="H12" i="23"/>
  <c r="U11" i="23"/>
  <c r="P11" i="23"/>
  <c r="L11" i="23"/>
  <c r="H11" i="23"/>
  <c r="U10" i="23"/>
  <c r="P10" i="23"/>
  <c r="L10" i="23"/>
  <c r="H10" i="23"/>
  <c r="U9" i="23"/>
  <c r="P9" i="23"/>
  <c r="L9" i="23"/>
  <c r="H9" i="23"/>
  <c r="U8" i="23"/>
  <c r="R8" i="23"/>
  <c r="P8" i="23"/>
  <c r="L8" i="23"/>
  <c r="H8" i="23"/>
  <c r="U46" i="22"/>
  <c r="P46" i="22"/>
  <c r="L46" i="22"/>
  <c r="H46" i="22"/>
  <c r="U45" i="22"/>
  <c r="P45" i="22"/>
  <c r="L45" i="22"/>
  <c r="H45" i="22"/>
  <c r="U44" i="22"/>
  <c r="P44" i="22"/>
  <c r="L44" i="22"/>
  <c r="H44" i="22"/>
  <c r="U43" i="22"/>
  <c r="P43" i="22"/>
  <c r="L43" i="22"/>
  <c r="H43" i="22"/>
  <c r="U42" i="22"/>
  <c r="P42" i="22"/>
  <c r="L42" i="22"/>
  <c r="H42" i="22"/>
  <c r="U41" i="22"/>
  <c r="P41" i="22"/>
  <c r="L41" i="22"/>
  <c r="H41" i="22"/>
  <c r="U40" i="22"/>
  <c r="P40" i="22"/>
  <c r="L40" i="22"/>
  <c r="H40" i="22"/>
  <c r="U39" i="22"/>
  <c r="P39" i="22"/>
  <c r="L39" i="22"/>
  <c r="H39" i="22"/>
  <c r="U38" i="22"/>
  <c r="P38" i="22"/>
  <c r="L38" i="22"/>
  <c r="H38" i="22"/>
  <c r="U37" i="22"/>
  <c r="P37" i="22"/>
  <c r="L37" i="22"/>
  <c r="H37" i="22"/>
  <c r="U36" i="22"/>
  <c r="P36" i="22"/>
  <c r="L36" i="22"/>
  <c r="H36" i="22"/>
  <c r="U35" i="22"/>
  <c r="P35" i="22"/>
  <c r="L35" i="22"/>
  <c r="H35" i="22"/>
  <c r="U34" i="22"/>
  <c r="P34" i="22"/>
  <c r="L34" i="22"/>
  <c r="H34" i="22"/>
  <c r="U33" i="22"/>
  <c r="P33" i="22"/>
  <c r="L33" i="22"/>
  <c r="H33" i="22"/>
  <c r="U32" i="22"/>
  <c r="P32" i="22"/>
  <c r="L32" i="22"/>
  <c r="H32" i="22"/>
  <c r="U31" i="22"/>
  <c r="P31" i="22"/>
  <c r="L31" i="22"/>
  <c r="H31" i="22"/>
  <c r="U30" i="22"/>
  <c r="P30" i="22"/>
  <c r="L30" i="22"/>
  <c r="H30" i="22"/>
  <c r="U29" i="22"/>
  <c r="P29" i="22"/>
  <c r="L29" i="22"/>
  <c r="H29" i="22"/>
  <c r="U28" i="22"/>
  <c r="U47" i="22" s="1"/>
  <c r="P28" i="22"/>
  <c r="L28" i="22"/>
  <c r="H28" i="22"/>
  <c r="U26" i="22"/>
  <c r="P26" i="22"/>
  <c r="L26" i="22"/>
  <c r="H26" i="22"/>
  <c r="U25" i="22"/>
  <c r="P25" i="22"/>
  <c r="L25" i="22"/>
  <c r="H25" i="22"/>
  <c r="U24" i="22"/>
  <c r="P24" i="22"/>
  <c r="L24" i="22"/>
  <c r="H24" i="22"/>
  <c r="U23" i="22"/>
  <c r="P23" i="22"/>
  <c r="L23" i="22"/>
  <c r="H23" i="22"/>
  <c r="U22" i="22"/>
  <c r="P22" i="22"/>
  <c r="L22" i="22"/>
  <c r="H22" i="22"/>
  <c r="U21" i="22"/>
  <c r="P21" i="22"/>
  <c r="L21" i="22"/>
  <c r="H21" i="22"/>
  <c r="U20" i="22"/>
  <c r="P20" i="22"/>
  <c r="L20" i="22"/>
  <c r="H20" i="22"/>
  <c r="U19" i="22"/>
  <c r="P19" i="22"/>
  <c r="L19" i="22"/>
  <c r="H19" i="22"/>
  <c r="U18" i="22"/>
  <c r="P18" i="22"/>
  <c r="L18" i="22"/>
  <c r="H18" i="22"/>
  <c r="U17" i="22"/>
  <c r="P17" i="22"/>
  <c r="L17" i="22"/>
  <c r="H17" i="22"/>
  <c r="U16" i="22"/>
  <c r="P16" i="22"/>
  <c r="L16" i="22"/>
  <c r="H16" i="22"/>
  <c r="U15" i="22"/>
  <c r="P15" i="22"/>
  <c r="L15" i="22"/>
  <c r="H15" i="22"/>
  <c r="U14" i="22"/>
  <c r="P14" i="22"/>
  <c r="L14" i="22"/>
  <c r="H14" i="22"/>
  <c r="U13" i="22"/>
  <c r="P13" i="22"/>
  <c r="L13" i="22"/>
  <c r="H13" i="22"/>
  <c r="U12" i="22"/>
  <c r="P12" i="22"/>
  <c r="L12" i="22"/>
  <c r="H12" i="22"/>
  <c r="U11" i="22"/>
  <c r="P11" i="22"/>
  <c r="L11" i="22"/>
  <c r="H11" i="22"/>
  <c r="U10" i="22"/>
  <c r="P10" i="22"/>
  <c r="L10" i="22"/>
  <c r="H10" i="22"/>
  <c r="U9" i="22"/>
  <c r="P9" i="22"/>
  <c r="L9" i="22"/>
  <c r="H9" i="22"/>
  <c r="U8" i="22"/>
  <c r="R8" i="22"/>
  <c r="P8" i="22"/>
  <c r="L8" i="22"/>
  <c r="H8" i="22"/>
  <c r="U46" i="21"/>
  <c r="P46" i="21"/>
  <c r="L46" i="21"/>
  <c r="H46" i="21"/>
  <c r="U45" i="21"/>
  <c r="P45" i="21"/>
  <c r="L45" i="21"/>
  <c r="H45" i="21"/>
  <c r="U44" i="21"/>
  <c r="P44" i="21"/>
  <c r="L44" i="21"/>
  <c r="H44" i="21"/>
  <c r="U43" i="21"/>
  <c r="P43" i="21"/>
  <c r="L43" i="21"/>
  <c r="H43" i="21"/>
  <c r="U42" i="21"/>
  <c r="P42" i="21"/>
  <c r="L42" i="21"/>
  <c r="H42" i="21"/>
  <c r="U41" i="21"/>
  <c r="P41" i="21"/>
  <c r="L41" i="21"/>
  <c r="H41" i="21"/>
  <c r="U40" i="21"/>
  <c r="P40" i="21"/>
  <c r="L40" i="21"/>
  <c r="H40" i="21"/>
  <c r="U39" i="21"/>
  <c r="P39" i="21"/>
  <c r="L39" i="21"/>
  <c r="H39" i="21"/>
  <c r="U38" i="21"/>
  <c r="P38" i="21"/>
  <c r="L38" i="21"/>
  <c r="H38" i="21"/>
  <c r="U37" i="21"/>
  <c r="P37" i="21"/>
  <c r="L37" i="21"/>
  <c r="H37" i="21"/>
  <c r="U36" i="21"/>
  <c r="P36" i="21"/>
  <c r="L36" i="21"/>
  <c r="H36" i="21"/>
  <c r="U35" i="21"/>
  <c r="P35" i="21"/>
  <c r="L35" i="21"/>
  <c r="H35" i="21"/>
  <c r="U34" i="21"/>
  <c r="P34" i="21"/>
  <c r="L34" i="21"/>
  <c r="H34" i="21"/>
  <c r="U33" i="21"/>
  <c r="P33" i="21"/>
  <c r="L33" i="21"/>
  <c r="H33" i="21"/>
  <c r="U32" i="21"/>
  <c r="P32" i="21"/>
  <c r="L32" i="21"/>
  <c r="H32" i="21"/>
  <c r="U31" i="21"/>
  <c r="P31" i="21"/>
  <c r="L31" i="21"/>
  <c r="H31" i="21"/>
  <c r="U30" i="21"/>
  <c r="P30" i="21"/>
  <c r="L30" i="21"/>
  <c r="H30" i="21"/>
  <c r="U29" i="21"/>
  <c r="P29" i="21"/>
  <c r="L29" i="21"/>
  <c r="H29" i="21"/>
  <c r="U28" i="21"/>
  <c r="U47" i="21" s="1"/>
  <c r="P28" i="21"/>
  <c r="L28" i="21"/>
  <c r="H28" i="21"/>
  <c r="U26" i="21"/>
  <c r="P26" i="21"/>
  <c r="L26" i="21"/>
  <c r="H26" i="21"/>
  <c r="U25" i="21"/>
  <c r="P25" i="21"/>
  <c r="L25" i="21"/>
  <c r="H25" i="21"/>
  <c r="U24" i="21"/>
  <c r="P24" i="21"/>
  <c r="L24" i="21"/>
  <c r="H24" i="21"/>
  <c r="U23" i="21"/>
  <c r="P23" i="21"/>
  <c r="L23" i="21"/>
  <c r="H23" i="21"/>
  <c r="U22" i="21"/>
  <c r="P22" i="21"/>
  <c r="L22" i="21"/>
  <c r="H22" i="21"/>
  <c r="U21" i="21"/>
  <c r="P21" i="21"/>
  <c r="L21" i="21"/>
  <c r="H21" i="21"/>
  <c r="U20" i="21"/>
  <c r="P20" i="21"/>
  <c r="L20" i="21"/>
  <c r="H20" i="21"/>
  <c r="U19" i="21"/>
  <c r="P19" i="21"/>
  <c r="L19" i="21"/>
  <c r="H19" i="21"/>
  <c r="U18" i="21"/>
  <c r="P18" i="21"/>
  <c r="L18" i="21"/>
  <c r="H18" i="21"/>
  <c r="U17" i="21"/>
  <c r="P17" i="21"/>
  <c r="L17" i="21"/>
  <c r="H17" i="21"/>
  <c r="U16" i="21"/>
  <c r="P16" i="21"/>
  <c r="L16" i="21"/>
  <c r="H16" i="21"/>
  <c r="U15" i="21"/>
  <c r="P15" i="21"/>
  <c r="L15" i="21"/>
  <c r="H15" i="21"/>
  <c r="U14" i="21"/>
  <c r="P14" i="21"/>
  <c r="L14" i="21"/>
  <c r="H14" i="21"/>
  <c r="U13" i="21"/>
  <c r="P13" i="21"/>
  <c r="L13" i="21"/>
  <c r="H13" i="21"/>
  <c r="U12" i="21"/>
  <c r="P12" i="21"/>
  <c r="L12" i="21"/>
  <c r="H12" i="21"/>
  <c r="U11" i="21"/>
  <c r="P11" i="21"/>
  <c r="L11" i="21"/>
  <c r="H11" i="21"/>
  <c r="U10" i="21"/>
  <c r="P10" i="21"/>
  <c r="L10" i="21"/>
  <c r="H10" i="21"/>
  <c r="U9" i="21"/>
  <c r="P9" i="21"/>
  <c r="L9" i="21"/>
  <c r="H9" i="21"/>
  <c r="U8" i="21"/>
  <c r="R8" i="21"/>
  <c r="P8" i="21"/>
  <c r="L8" i="21"/>
  <c r="H8" i="21"/>
  <c r="U46" i="20"/>
  <c r="P46" i="20"/>
  <c r="L46" i="20"/>
  <c r="H46" i="20"/>
  <c r="U45" i="20"/>
  <c r="P45" i="20"/>
  <c r="L45" i="20"/>
  <c r="H45" i="20"/>
  <c r="U44" i="20"/>
  <c r="P44" i="20"/>
  <c r="L44" i="20"/>
  <c r="H44" i="20"/>
  <c r="U43" i="20"/>
  <c r="P43" i="20"/>
  <c r="L43" i="20"/>
  <c r="H43" i="20"/>
  <c r="U42" i="20"/>
  <c r="P42" i="20"/>
  <c r="L42" i="20"/>
  <c r="H42" i="20"/>
  <c r="U41" i="20"/>
  <c r="P41" i="20"/>
  <c r="L41" i="20"/>
  <c r="H41" i="20"/>
  <c r="U40" i="20"/>
  <c r="P40" i="20"/>
  <c r="L40" i="20"/>
  <c r="H40" i="20"/>
  <c r="U39" i="20"/>
  <c r="P39" i="20"/>
  <c r="L39" i="20"/>
  <c r="H39" i="20"/>
  <c r="U38" i="20"/>
  <c r="P38" i="20"/>
  <c r="L38" i="20"/>
  <c r="H38" i="20"/>
  <c r="U37" i="20"/>
  <c r="P37" i="20"/>
  <c r="L37" i="20"/>
  <c r="H37" i="20"/>
  <c r="U36" i="20"/>
  <c r="P36" i="20"/>
  <c r="L36" i="20"/>
  <c r="H36" i="20"/>
  <c r="U35" i="20"/>
  <c r="P35" i="20"/>
  <c r="L35" i="20"/>
  <c r="H35" i="20"/>
  <c r="U34" i="20"/>
  <c r="P34" i="20"/>
  <c r="L34" i="20"/>
  <c r="H34" i="20"/>
  <c r="U33" i="20"/>
  <c r="P33" i="20"/>
  <c r="L33" i="20"/>
  <c r="H33" i="20"/>
  <c r="U32" i="20"/>
  <c r="P32" i="20"/>
  <c r="L32" i="20"/>
  <c r="H32" i="20"/>
  <c r="U31" i="20"/>
  <c r="P31" i="20"/>
  <c r="L31" i="20"/>
  <c r="H31" i="20"/>
  <c r="U30" i="20"/>
  <c r="P30" i="20"/>
  <c r="L30" i="20"/>
  <c r="H30" i="20"/>
  <c r="U29" i="20"/>
  <c r="P29" i="20"/>
  <c r="L29" i="20"/>
  <c r="H29" i="20"/>
  <c r="U28" i="20"/>
  <c r="P28" i="20"/>
  <c r="L28" i="20"/>
  <c r="H28" i="20"/>
  <c r="U26" i="20"/>
  <c r="P26" i="20"/>
  <c r="L26" i="20"/>
  <c r="H26" i="20"/>
  <c r="U25" i="20"/>
  <c r="P25" i="20"/>
  <c r="L25" i="20"/>
  <c r="H25" i="20"/>
  <c r="U24" i="20"/>
  <c r="P24" i="20"/>
  <c r="L24" i="20"/>
  <c r="H24" i="20"/>
  <c r="U23" i="20"/>
  <c r="P23" i="20"/>
  <c r="L23" i="20"/>
  <c r="H23" i="20"/>
  <c r="U22" i="20"/>
  <c r="P22" i="20"/>
  <c r="L22" i="20"/>
  <c r="H22" i="20"/>
  <c r="U21" i="20"/>
  <c r="P21" i="20"/>
  <c r="L21" i="20"/>
  <c r="H21" i="20"/>
  <c r="U20" i="20"/>
  <c r="P20" i="20"/>
  <c r="L20" i="20"/>
  <c r="H20" i="20"/>
  <c r="U19" i="20"/>
  <c r="P19" i="20"/>
  <c r="L19" i="20"/>
  <c r="H19" i="20"/>
  <c r="U18" i="20"/>
  <c r="P18" i="20"/>
  <c r="L18" i="20"/>
  <c r="H18" i="20"/>
  <c r="U17" i="20"/>
  <c r="P17" i="20"/>
  <c r="L17" i="20"/>
  <c r="H17" i="20"/>
  <c r="U16" i="20"/>
  <c r="P16" i="20"/>
  <c r="L16" i="20"/>
  <c r="H16" i="20"/>
  <c r="U15" i="20"/>
  <c r="P15" i="20"/>
  <c r="L15" i="20"/>
  <c r="H15" i="20"/>
  <c r="U14" i="20"/>
  <c r="P14" i="20"/>
  <c r="L14" i="20"/>
  <c r="H14" i="20"/>
  <c r="U13" i="20"/>
  <c r="P13" i="20"/>
  <c r="L13" i="20"/>
  <c r="H13" i="20"/>
  <c r="U12" i="20"/>
  <c r="P12" i="20"/>
  <c r="L12" i="20"/>
  <c r="H12" i="20"/>
  <c r="U11" i="20"/>
  <c r="P11" i="20"/>
  <c r="L11" i="20"/>
  <c r="H11" i="20"/>
  <c r="U10" i="20"/>
  <c r="P10" i="20"/>
  <c r="L10" i="20"/>
  <c r="H10" i="20"/>
  <c r="U9" i="20"/>
  <c r="P9" i="20"/>
  <c r="L9" i="20"/>
  <c r="H9" i="20"/>
  <c r="U8" i="20"/>
  <c r="U27" i="20" s="1"/>
  <c r="R8" i="20"/>
  <c r="P8" i="20"/>
  <c r="L8" i="20"/>
  <c r="H8" i="20"/>
  <c r="U46" i="19"/>
  <c r="P46" i="19"/>
  <c r="L46" i="19"/>
  <c r="H46" i="19"/>
  <c r="U45" i="19"/>
  <c r="P45" i="19"/>
  <c r="L45" i="19"/>
  <c r="H45" i="19"/>
  <c r="U44" i="19"/>
  <c r="P44" i="19"/>
  <c r="L44" i="19"/>
  <c r="H44" i="19"/>
  <c r="U43" i="19"/>
  <c r="P43" i="19"/>
  <c r="L43" i="19"/>
  <c r="H43" i="19"/>
  <c r="U42" i="19"/>
  <c r="P42" i="19"/>
  <c r="L42" i="19"/>
  <c r="H42" i="19"/>
  <c r="U41" i="19"/>
  <c r="P41" i="19"/>
  <c r="L41" i="19"/>
  <c r="H41" i="19"/>
  <c r="U40" i="19"/>
  <c r="P40" i="19"/>
  <c r="L40" i="19"/>
  <c r="H40" i="19"/>
  <c r="U39" i="19"/>
  <c r="P39" i="19"/>
  <c r="L39" i="19"/>
  <c r="H39" i="19"/>
  <c r="U38" i="19"/>
  <c r="P38" i="19"/>
  <c r="L38" i="19"/>
  <c r="H38" i="19"/>
  <c r="U37" i="19"/>
  <c r="P37" i="19"/>
  <c r="L37" i="19"/>
  <c r="H37" i="19"/>
  <c r="U36" i="19"/>
  <c r="P36" i="19"/>
  <c r="L36" i="19"/>
  <c r="H36" i="19"/>
  <c r="U35" i="19"/>
  <c r="P35" i="19"/>
  <c r="L35" i="19"/>
  <c r="H35" i="19"/>
  <c r="U34" i="19"/>
  <c r="P34" i="19"/>
  <c r="L34" i="19"/>
  <c r="H34" i="19"/>
  <c r="U33" i="19"/>
  <c r="P33" i="19"/>
  <c r="L33" i="19"/>
  <c r="H33" i="19"/>
  <c r="U32" i="19"/>
  <c r="P32" i="19"/>
  <c r="L32" i="19"/>
  <c r="H32" i="19"/>
  <c r="U31" i="19"/>
  <c r="P31" i="19"/>
  <c r="L31" i="19"/>
  <c r="H31" i="19"/>
  <c r="U30" i="19"/>
  <c r="P30" i="19"/>
  <c r="L30" i="19"/>
  <c r="H30" i="19"/>
  <c r="U29" i="19"/>
  <c r="P29" i="19"/>
  <c r="L29" i="19"/>
  <c r="H29" i="19"/>
  <c r="U28" i="19"/>
  <c r="U47" i="19" s="1"/>
  <c r="P28" i="19"/>
  <c r="L28" i="19"/>
  <c r="H28" i="19"/>
  <c r="U26" i="19"/>
  <c r="P26" i="19"/>
  <c r="L26" i="19"/>
  <c r="H26" i="19"/>
  <c r="U25" i="19"/>
  <c r="P25" i="19"/>
  <c r="L25" i="19"/>
  <c r="H25" i="19"/>
  <c r="U24" i="19"/>
  <c r="P24" i="19"/>
  <c r="L24" i="19"/>
  <c r="H24" i="19"/>
  <c r="U23" i="19"/>
  <c r="P23" i="19"/>
  <c r="L23" i="19"/>
  <c r="H23" i="19"/>
  <c r="U22" i="19"/>
  <c r="P22" i="19"/>
  <c r="L22" i="19"/>
  <c r="H22" i="19"/>
  <c r="U21" i="19"/>
  <c r="P21" i="19"/>
  <c r="L21" i="19"/>
  <c r="H21" i="19"/>
  <c r="U20" i="19"/>
  <c r="P20" i="19"/>
  <c r="L20" i="19"/>
  <c r="H20" i="19"/>
  <c r="U19" i="19"/>
  <c r="P19" i="19"/>
  <c r="L19" i="19"/>
  <c r="H19" i="19"/>
  <c r="U18" i="19"/>
  <c r="P18" i="19"/>
  <c r="L18" i="19"/>
  <c r="H18" i="19"/>
  <c r="U17" i="19"/>
  <c r="P17" i="19"/>
  <c r="L17" i="19"/>
  <c r="H17" i="19"/>
  <c r="U16" i="19"/>
  <c r="P16" i="19"/>
  <c r="L16" i="19"/>
  <c r="H16" i="19"/>
  <c r="U15" i="19"/>
  <c r="P15" i="19"/>
  <c r="L15" i="19"/>
  <c r="H15" i="19"/>
  <c r="U14" i="19"/>
  <c r="P14" i="19"/>
  <c r="L14" i="19"/>
  <c r="H14" i="19"/>
  <c r="U13" i="19"/>
  <c r="P13" i="19"/>
  <c r="L13" i="19"/>
  <c r="H13" i="19"/>
  <c r="U12" i="19"/>
  <c r="P12" i="19"/>
  <c r="L12" i="19"/>
  <c r="H12" i="19"/>
  <c r="U11" i="19"/>
  <c r="P11" i="19"/>
  <c r="L11" i="19"/>
  <c r="H11" i="19"/>
  <c r="U10" i="19"/>
  <c r="P10" i="19"/>
  <c r="L10" i="19"/>
  <c r="H10" i="19"/>
  <c r="U9" i="19"/>
  <c r="P9" i="19"/>
  <c r="L9" i="19"/>
  <c r="H9" i="19"/>
  <c r="U8" i="19"/>
  <c r="R8" i="19"/>
  <c r="P8" i="19"/>
  <c r="L8" i="19"/>
  <c r="H8" i="19"/>
  <c r="U46" i="18"/>
  <c r="P46" i="18"/>
  <c r="L46" i="18"/>
  <c r="H46" i="18"/>
  <c r="U45" i="18"/>
  <c r="P45" i="18"/>
  <c r="L45" i="18"/>
  <c r="H45" i="18"/>
  <c r="U44" i="18"/>
  <c r="P44" i="18"/>
  <c r="L44" i="18"/>
  <c r="H44" i="18"/>
  <c r="U43" i="18"/>
  <c r="P43" i="18"/>
  <c r="L43" i="18"/>
  <c r="H43" i="18"/>
  <c r="U42" i="18"/>
  <c r="P42" i="18"/>
  <c r="L42" i="18"/>
  <c r="H42" i="18"/>
  <c r="U41" i="18"/>
  <c r="P41" i="18"/>
  <c r="L41" i="18"/>
  <c r="H41" i="18"/>
  <c r="U40" i="18"/>
  <c r="P40" i="18"/>
  <c r="L40" i="18"/>
  <c r="H40" i="18"/>
  <c r="U39" i="18"/>
  <c r="P39" i="18"/>
  <c r="L39" i="18"/>
  <c r="H39" i="18"/>
  <c r="U38" i="18"/>
  <c r="P38" i="18"/>
  <c r="L38" i="18"/>
  <c r="H38" i="18"/>
  <c r="U37" i="18"/>
  <c r="P37" i="18"/>
  <c r="L37" i="18"/>
  <c r="H37" i="18"/>
  <c r="U36" i="18"/>
  <c r="P36" i="18"/>
  <c r="L36" i="18"/>
  <c r="H36" i="18"/>
  <c r="U35" i="18"/>
  <c r="P35" i="18"/>
  <c r="L35" i="18"/>
  <c r="H35" i="18"/>
  <c r="U34" i="18"/>
  <c r="P34" i="18"/>
  <c r="L34" i="18"/>
  <c r="H34" i="18"/>
  <c r="U33" i="18"/>
  <c r="P33" i="18"/>
  <c r="L33" i="18"/>
  <c r="H33" i="18"/>
  <c r="U32" i="18"/>
  <c r="P32" i="18"/>
  <c r="L32" i="18"/>
  <c r="H32" i="18"/>
  <c r="U31" i="18"/>
  <c r="P31" i="18"/>
  <c r="L31" i="18"/>
  <c r="H31" i="18"/>
  <c r="U30" i="18"/>
  <c r="P30" i="18"/>
  <c r="L30" i="18"/>
  <c r="H30" i="18"/>
  <c r="U29" i="18"/>
  <c r="P29" i="18"/>
  <c r="L29" i="18"/>
  <c r="H29" i="18"/>
  <c r="U28" i="18"/>
  <c r="P28" i="18"/>
  <c r="L28" i="18"/>
  <c r="H28" i="18"/>
  <c r="U26" i="18"/>
  <c r="P26" i="18"/>
  <c r="L26" i="18"/>
  <c r="H26" i="18"/>
  <c r="U25" i="18"/>
  <c r="P25" i="18"/>
  <c r="L25" i="18"/>
  <c r="H25" i="18"/>
  <c r="U24" i="18"/>
  <c r="P24" i="18"/>
  <c r="L24" i="18"/>
  <c r="H24" i="18"/>
  <c r="U23" i="18"/>
  <c r="P23" i="18"/>
  <c r="L23" i="18"/>
  <c r="H23" i="18"/>
  <c r="U22" i="18"/>
  <c r="P22" i="18"/>
  <c r="L22" i="18"/>
  <c r="H22" i="18"/>
  <c r="U21" i="18"/>
  <c r="P21" i="18"/>
  <c r="L21" i="18"/>
  <c r="H21" i="18"/>
  <c r="U20" i="18"/>
  <c r="P20" i="18"/>
  <c r="L20" i="18"/>
  <c r="H20" i="18"/>
  <c r="U19" i="18"/>
  <c r="P19" i="18"/>
  <c r="L19" i="18"/>
  <c r="H19" i="18"/>
  <c r="U18" i="18"/>
  <c r="P18" i="18"/>
  <c r="L18" i="18"/>
  <c r="H18" i="18"/>
  <c r="U17" i="18"/>
  <c r="P17" i="18"/>
  <c r="L17" i="18"/>
  <c r="H17" i="18"/>
  <c r="U16" i="18"/>
  <c r="P16" i="18"/>
  <c r="L16" i="18"/>
  <c r="H16" i="18"/>
  <c r="U15" i="18"/>
  <c r="P15" i="18"/>
  <c r="L15" i="18"/>
  <c r="H15" i="18"/>
  <c r="U14" i="18"/>
  <c r="P14" i="18"/>
  <c r="L14" i="18"/>
  <c r="H14" i="18"/>
  <c r="U13" i="18"/>
  <c r="P13" i="18"/>
  <c r="L13" i="18"/>
  <c r="H13" i="18"/>
  <c r="U12" i="18"/>
  <c r="P12" i="18"/>
  <c r="L12" i="18"/>
  <c r="H12" i="18"/>
  <c r="U11" i="18"/>
  <c r="P11" i="18"/>
  <c r="L11" i="18"/>
  <c r="H11" i="18"/>
  <c r="U10" i="18"/>
  <c r="P10" i="18"/>
  <c r="L10" i="18"/>
  <c r="H10" i="18"/>
  <c r="U9" i="18"/>
  <c r="P9" i="18"/>
  <c r="L9" i="18"/>
  <c r="H9" i="18"/>
  <c r="U8" i="18"/>
  <c r="R8" i="18"/>
  <c r="P8" i="18"/>
  <c r="L8" i="18"/>
  <c r="H8" i="18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48" i="16"/>
  <c r="R46" i="16"/>
  <c r="N46" i="16"/>
  <c r="J46" i="16"/>
  <c r="R45" i="16"/>
  <c r="N45" i="16"/>
  <c r="J45" i="16"/>
  <c r="R44" i="16"/>
  <c r="N44" i="16"/>
  <c r="J44" i="16"/>
  <c r="R43" i="16"/>
  <c r="N43" i="16"/>
  <c r="J43" i="16"/>
  <c r="R42" i="16"/>
  <c r="N42" i="16"/>
  <c r="J42" i="16"/>
  <c r="R41" i="16"/>
  <c r="N41" i="16"/>
  <c r="J41" i="16"/>
  <c r="R40" i="16"/>
  <c r="N40" i="16"/>
  <c r="J40" i="16"/>
  <c r="R39" i="16"/>
  <c r="N39" i="16"/>
  <c r="J39" i="16"/>
  <c r="R38" i="16"/>
  <c r="N38" i="16"/>
  <c r="J38" i="16"/>
  <c r="R37" i="16"/>
  <c r="N37" i="16"/>
  <c r="J37" i="16"/>
  <c r="R36" i="16"/>
  <c r="N36" i="16"/>
  <c r="J36" i="16"/>
  <c r="R35" i="16"/>
  <c r="N35" i="16"/>
  <c r="J35" i="16"/>
  <c r="R34" i="16"/>
  <c r="N34" i="16"/>
  <c r="J34" i="16"/>
  <c r="R33" i="16"/>
  <c r="N33" i="16"/>
  <c r="J33" i="16"/>
  <c r="R32" i="16"/>
  <c r="N32" i="16"/>
  <c r="J32" i="16"/>
  <c r="R31" i="16"/>
  <c r="N31" i="16"/>
  <c r="J31" i="16"/>
  <c r="R30" i="16"/>
  <c r="N30" i="16"/>
  <c r="J30" i="16"/>
  <c r="R29" i="16"/>
  <c r="N29" i="16"/>
  <c r="J29" i="16"/>
  <c r="R28" i="16"/>
  <c r="N28" i="16"/>
  <c r="J28" i="16"/>
  <c r="R26" i="16"/>
  <c r="N26" i="16"/>
  <c r="J26" i="16"/>
  <c r="R25" i="16"/>
  <c r="N25" i="16"/>
  <c r="J25" i="16"/>
  <c r="R24" i="16"/>
  <c r="N24" i="16"/>
  <c r="J24" i="16"/>
  <c r="R23" i="16"/>
  <c r="N23" i="16"/>
  <c r="J23" i="16"/>
  <c r="R22" i="16"/>
  <c r="N22" i="16"/>
  <c r="J22" i="16"/>
  <c r="R21" i="16"/>
  <c r="N21" i="16"/>
  <c r="J21" i="16"/>
  <c r="R20" i="16"/>
  <c r="N20" i="16"/>
  <c r="J20" i="16"/>
  <c r="R19" i="16"/>
  <c r="N19" i="16"/>
  <c r="J19" i="16"/>
  <c r="R18" i="16"/>
  <c r="N18" i="16"/>
  <c r="J18" i="16"/>
  <c r="R17" i="16"/>
  <c r="N17" i="16"/>
  <c r="J17" i="16"/>
  <c r="R16" i="16"/>
  <c r="N16" i="16"/>
  <c r="J16" i="16"/>
  <c r="R15" i="16"/>
  <c r="N15" i="16"/>
  <c r="J15" i="16"/>
  <c r="R14" i="16"/>
  <c r="N14" i="16"/>
  <c r="J14" i="16"/>
  <c r="R13" i="16"/>
  <c r="N13" i="16"/>
  <c r="J13" i="16"/>
  <c r="R12" i="16"/>
  <c r="N12" i="16"/>
  <c r="J12" i="16"/>
  <c r="R11" i="16"/>
  <c r="N11" i="16"/>
  <c r="J11" i="16"/>
  <c r="R10" i="16"/>
  <c r="N10" i="16"/>
  <c r="J10" i="16"/>
  <c r="R9" i="16"/>
  <c r="N9" i="16"/>
  <c r="J9" i="16"/>
  <c r="T8" i="16"/>
  <c r="R8" i="16"/>
  <c r="N8" i="16"/>
  <c r="J8" i="16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P46" i="14"/>
  <c r="L46" i="14"/>
  <c r="H46" i="14"/>
  <c r="P45" i="14"/>
  <c r="L45" i="14"/>
  <c r="H45" i="14"/>
  <c r="P44" i="14"/>
  <c r="L44" i="14"/>
  <c r="H44" i="14"/>
  <c r="P43" i="14"/>
  <c r="L43" i="14"/>
  <c r="H43" i="14"/>
  <c r="P42" i="14"/>
  <c r="L42" i="14"/>
  <c r="H42" i="14"/>
  <c r="P41" i="14"/>
  <c r="L41" i="14"/>
  <c r="H41" i="14"/>
  <c r="P40" i="14"/>
  <c r="L40" i="14"/>
  <c r="H40" i="14"/>
  <c r="P39" i="14"/>
  <c r="L39" i="14"/>
  <c r="H39" i="14"/>
  <c r="P38" i="14"/>
  <c r="L38" i="14"/>
  <c r="H38" i="14"/>
  <c r="P37" i="14"/>
  <c r="L37" i="14"/>
  <c r="H37" i="14"/>
  <c r="P36" i="14"/>
  <c r="L36" i="14"/>
  <c r="H36" i="14"/>
  <c r="P35" i="14"/>
  <c r="L35" i="14"/>
  <c r="H35" i="14"/>
  <c r="P34" i="14"/>
  <c r="L34" i="14"/>
  <c r="H34" i="14"/>
  <c r="P33" i="14"/>
  <c r="L33" i="14"/>
  <c r="H33" i="14"/>
  <c r="P32" i="14"/>
  <c r="L32" i="14"/>
  <c r="H32" i="14"/>
  <c r="P31" i="14"/>
  <c r="L31" i="14"/>
  <c r="H31" i="14"/>
  <c r="P30" i="14"/>
  <c r="L30" i="14"/>
  <c r="H30" i="14"/>
  <c r="P29" i="14"/>
  <c r="L29" i="14"/>
  <c r="H29" i="14"/>
  <c r="P28" i="14"/>
  <c r="L28" i="14"/>
  <c r="H28" i="14"/>
  <c r="P26" i="14"/>
  <c r="L26" i="14"/>
  <c r="H26" i="14"/>
  <c r="P25" i="14"/>
  <c r="L25" i="14"/>
  <c r="H25" i="14"/>
  <c r="P24" i="14"/>
  <c r="L24" i="14"/>
  <c r="H24" i="14"/>
  <c r="P23" i="14"/>
  <c r="L23" i="14"/>
  <c r="H23" i="14"/>
  <c r="P22" i="14"/>
  <c r="L22" i="14"/>
  <c r="H22" i="14"/>
  <c r="P21" i="14"/>
  <c r="L21" i="14"/>
  <c r="H21" i="14"/>
  <c r="P20" i="14"/>
  <c r="L20" i="14"/>
  <c r="H20" i="14"/>
  <c r="P19" i="14"/>
  <c r="L19" i="14"/>
  <c r="H19" i="14"/>
  <c r="P18" i="14"/>
  <c r="L18" i="14"/>
  <c r="H18" i="14"/>
  <c r="P17" i="14"/>
  <c r="L17" i="14"/>
  <c r="H17" i="14"/>
  <c r="P16" i="14"/>
  <c r="L16" i="14"/>
  <c r="H16" i="14"/>
  <c r="P15" i="14"/>
  <c r="L15" i="14"/>
  <c r="H15" i="14"/>
  <c r="P14" i="14"/>
  <c r="L14" i="14"/>
  <c r="H14" i="14"/>
  <c r="P13" i="14"/>
  <c r="L13" i="14"/>
  <c r="H13" i="14"/>
  <c r="P12" i="14"/>
  <c r="L12" i="14"/>
  <c r="H12" i="14"/>
  <c r="P11" i="14"/>
  <c r="L11" i="14"/>
  <c r="H11" i="14"/>
  <c r="P10" i="14"/>
  <c r="L10" i="14"/>
  <c r="H10" i="14"/>
  <c r="P9" i="14"/>
  <c r="L9" i="14"/>
  <c r="H9" i="14"/>
  <c r="R8" i="14"/>
  <c r="P8" i="14"/>
  <c r="L8" i="14"/>
  <c r="H8" i="14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48" i="13"/>
  <c r="P46" i="13"/>
  <c r="L46" i="13"/>
  <c r="H46" i="13"/>
  <c r="P45" i="13"/>
  <c r="L45" i="13"/>
  <c r="H45" i="13"/>
  <c r="P44" i="13"/>
  <c r="L44" i="13"/>
  <c r="H44" i="13"/>
  <c r="P43" i="13"/>
  <c r="L43" i="13"/>
  <c r="H43" i="13"/>
  <c r="P42" i="13"/>
  <c r="L42" i="13"/>
  <c r="H42" i="13"/>
  <c r="P41" i="13"/>
  <c r="L41" i="13"/>
  <c r="H41" i="13"/>
  <c r="P40" i="13"/>
  <c r="L40" i="13"/>
  <c r="H40" i="13"/>
  <c r="P39" i="13"/>
  <c r="L39" i="13"/>
  <c r="H39" i="13"/>
  <c r="P38" i="13"/>
  <c r="L38" i="13"/>
  <c r="H38" i="13"/>
  <c r="P37" i="13"/>
  <c r="L37" i="13"/>
  <c r="H37" i="13"/>
  <c r="P36" i="13"/>
  <c r="L36" i="13"/>
  <c r="H36" i="13"/>
  <c r="P35" i="13"/>
  <c r="L35" i="13"/>
  <c r="H35" i="13"/>
  <c r="P34" i="13"/>
  <c r="L34" i="13"/>
  <c r="H34" i="13"/>
  <c r="P33" i="13"/>
  <c r="L33" i="13"/>
  <c r="H33" i="13"/>
  <c r="P32" i="13"/>
  <c r="L32" i="13"/>
  <c r="H32" i="13"/>
  <c r="P31" i="13"/>
  <c r="L31" i="13"/>
  <c r="H31" i="13"/>
  <c r="P30" i="13"/>
  <c r="L30" i="13"/>
  <c r="H30" i="13"/>
  <c r="P29" i="13"/>
  <c r="L29" i="13"/>
  <c r="H29" i="13"/>
  <c r="P28" i="13"/>
  <c r="L28" i="13"/>
  <c r="H28" i="13"/>
  <c r="P26" i="13"/>
  <c r="L26" i="13"/>
  <c r="H26" i="13"/>
  <c r="P25" i="13"/>
  <c r="L25" i="13"/>
  <c r="H25" i="13"/>
  <c r="P24" i="13"/>
  <c r="L24" i="13"/>
  <c r="H24" i="13"/>
  <c r="P23" i="13"/>
  <c r="L23" i="13"/>
  <c r="H23" i="13"/>
  <c r="P22" i="13"/>
  <c r="L22" i="13"/>
  <c r="H22" i="13"/>
  <c r="P21" i="13"/>
  <c r="L21" i="13"/>
  <c r="H21" i="13"/>
  <c r="P20" i="13"/>
  <c r="L20" i="13"/>
  <c r="H20" i="13"/>
  <c r="P19" i="13"/>
  <c r="L19" i="13"/>
  <c r="H19" i="13"/>
  <c r="P18" i="13"/>
  <c r="L18" i="13"/>
  <c r="H18" i="13"/>
  <c r="P17" i="13"/>
  <c r="L17" i="13"/>
  <c r="H17" i="13"/>
  <c r="P16" i="13"/>
  <c r="L16" i="13"/>
  <c r="H16" i="13"/>
  <c r="P15" i="13"/>
  <c r="L15" i="13"/>
  <c r="H15" i="13"/>
  <c r="P14" i="13"/>
  <c r="L14" i="13"/>
  <c r="H14" i="13"/>
  <c r="P13" i="13"/>
  <c r="L13" i="13"/>
  <c r="H13" i="13"/>
  <c r="P12" i="13"/>
  <c r="L12" i="13"/>
  <c r="H12" i="13"/>
  <c r="P11" i="13"/>
  <c r="L11" i="13"/>
  <c r="H11" i="13"/>
  <c r="P10" i="13"/>
  <c r="L10" i="13"/>
  <c r="H10" i="13"/>
  <c r="P9" i="13"/>
  <c r="L9" i="13"/>
  <c r="H9" i="13"/>
  <c r="R8" i="13"/>
  <c r="P8" i="13"/>
  <c r="L8" i="13"/>
  <c r="H8" i="13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48" i="12"/>
  <c r="P46" i="12"/>
  <c r="L46" i="12"/>
  <c r="H46" i="12"/>
  <c r="P45" i="12"/>
  <c r="L45" i="12"/>
  <c r="H45" i="12"/>
  <c r="P44" i="12"/>
  <c r="L44" i="12"/>
  <c r="H44" i="12"/>
  <c r="P43" i="12"/>
  <c r="L43" i="12"/>
  <c r="H43" i="12"/>
  <c r="P42" i="12"/>
  <c r="L42" i="12"/>
  <c r="H42" i="12"/>
  <c r="P41" i="12"/>
  <c r="L41" i="12"/>
  <c r="H41" i="12"/>
  <c r="P40" i="12"/>
  <c r="L40" i="12"/>
  <c r="H40" i="12"/>
  <c r="P39" i="12"/>
  <c r="L39" i="12"/>
  <c r="H39" i="12"/>
  <c r="P38" i="12"/>
  <c r="L38" i="12"/>
  <c r="H38" i="12"/>
  <c r="P37" i="12"/>
  <c r="L37" i="12"/>
  <c r="H37" i="12"/>
  <c r="P36" i="12"/>
  <c r="L36" i="12"/>
  <c r="H36" i="12"/>
  <c r="P35" i="12"/>
  <c r="L35" i="12"/>
  <c r="H35" i="12"/>
  <c r="P34" i="12"/>
  <c r="L34" i="12"/>
  <c r="H34" i="12"/>
  <c r="P33" i="12"/>
  <c r="L33" i="12"/>
  <c r="H33" i="12"/>
  <c r="P32" i="12"/>
  <c r="L32" i="12"/>
  <c r="H32" i="12"/>
  <c r="P31" i="12"/>
  <c r="L31" i="12"/>
  <c r="H31" i="12"/>
  <c r="P30" i="12"/>
  <c r="L30" i="12"/>
  <c r="H30" i="12"/>
  <c r="P29" i="12"/>
  <c r="L29" i="12"/>
  <c r="H29" i="12"/>
  <c r="P28" i="12"/>
  <c r="L28" i="12"/>
  <c r="H28" i="12"/>
  <c r="P26" i="12"/>
  <c r="L26" i="12"/>
  <c r="H26" i="12"/>
  <c r="P25" i="12"/>
  <c r="L25" i="12"/>
  <c r="H25" i="12"/>
  <c r="P24" i="12"/>
  <c r="L24" i="12"/>
  <c r="H24" i="12"/>
  <c r="P23" i="12"/>
  <c r="L23" i="12"/>
  <c r="H23" i="12"/>
  <c r="P22" i="12"/>
  <c r="L22" i="12"/>
  <c r="H22" i="12"/>
  <c r="P21" i="12"/>
  <c r="L21" i="12"/>
  <c r="H21" i="12"/>
  <c r="P20" i="12"/>
  <c r="L20" i="12"/>
  <c r="H20" i="12"/>
  <c r="P19" i="12"/>
  <c r="L19" i="12"/>
  <c r="H19" i="12"/>
  <c r="P18" i="12"/>
  <c r="L18" i="12"/>
  <c r="H18" i="12"/>
  <c r="P17" i="12"/>
  <c r="L17" i="12"/>
  <c r="H17" i="12"/>
  <c r="P16" i="12"/>
  <c r="L16" i="12"/>
  <c r="H16" i="12"/>
  <c r="P15" i="12"/>
  <c r="L15" i="12"/>
  <c r="H15" i="12"/>
  <c r="P14" i="12"/>
  <c r="L14" i="12"/>
  <c r="H14" i="12"/>
  <c r="P13" i="12"/>
  <c r="L13" i="12"/>
  <c r="H13" i="12"/>
  <c r="P12" i="12"/>
  <c r="L12" i="12"/>
  <c r="H12" i="12"/>
  <c r="P11" i="12"/>
  <c r="L11" i="12"/>
  <c r="H11" i="12"/>
  <c r="P10" i="12"/>
  <c r="L10" i="12"/>
  <c r="H10" i="12"/>
  <c r="P9" i="12"/>
  <c r="L9" i="12"/>
  <c r="H9" i="12"/>
  <c r="R8" i="12"/>
  <c r="P8" i="12"/>
  <c r="L8" i="12"/>
  <c r="H8" i="12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48" i="11"/>
  <c r="P46" i="11"/>
  <c r="L46" i="11"/>
  <c r="H46" i="11"/>
  <c r="P45" i="11"/>
  <c r="L45" i="11"/>
  <c r="H45" i="11"/>
  <c r="P44" i="11"/>
  <c r="L44" i="11"/>
  <c r="H44" i="11"/>
  <c r="P43" i="11"/>
  <c r="L43" i="11"/>
  <c r="H43" i="11"/>
  <c r="P42" i="11"/>
  <c r="L42" i="11"/>
  <c r="H42" i="11"/>
  <c r="P41" i="11"/>
  <c r="L41" i="11"/>
  <c r="H41" i="11"/>
  <c r="P40" i="11"/>
  <c r="L40" i="11"/>
  <c r="H40" i="11"/>
  <c r="P39" i="11"/>
  <c r="L39" i="11"/>
  <c r="H39" i="11"/>
  <c r="P38" i="11"/>
  <c r="L38" i="11"/>
  <c r="H38" i="11"/>
  <c r="P37" i="11"/>
  <c r="L37" i="11"/>
  <c r="H37" i="11"/>
  <c r="P36" i="11"/>
  <c r="L36" i="11"/>
  <c r="H36" i="11"/>
  <c r="P35" i="11"/>
  <c r="L35" i="11"/>
  <c r="H35" i="11"/>
  <c r="P34" i="11"/>
  <c r="L34" i="11"/>
  <c r="H34" i="11"/>
  <c r="P33" i="11"/>
  <c r="L33" i="11"/>
  <c r="H33" i="11"/>
  <c r="P32" i="11"/>
  <c r="L32" i="11"/>
  <c r="H32" i="11"/>
  <c r="P31" i="11"/>
  <c r="L31" i="11"/>
  <c r="H31" i="11"/>
  <c r="P30" i="11"/>
  <c r="L30" i="11"/>
  <c r="H30" i="11"/>
  <c r="P29" i="11"/>
  <c r="L29" i="11"/>
  <c r="H29" i="11"/>
  <c r="P28" i="11"/>
  <c r="L28" i="11"/>
  <c r="H28" i="11"/>
  <c r="P26" i="11"/>
  <c r="L26" i="11"/>
  <c r="H26" i="11"/>
  <c r="P25" i="11"/>
  <c r="L25" i="11"/>
  <c r="H25" i="11"/>
  <c r="P24" i="11"/>
  <c r="L24" i="11"/>
  <c r="H24" i="11"/>
  <c r="P23" i="11"/>
  <c r="L23" i="11"/>
  <c r="H23" i="11"/>
  <c r="P22" i="11"/>
  <c r="L22" i="11"/>
  <c r="H22" i="11"/>
  <c r="P21" i="11"/>
  <c r="L21" i="11"/>
  <c r="H21" i="11"/>
  <c r="P20" i="11"/>
  <c r="L20" i="11"/>
  <c r="H20" i="11"/>
  <c r="P19" i="11"/>
  <c r="L19" i="11"/>
  <c r="H19" i="11"/>
  <c r="P18" i="11"/>
  <c r="L18" i="11"/>
  <c r="H18" i="11"/>
  <c r="P17" i="11"/>
  <c r="L17" i="11"/>
  <c r="H17" i="11"/>
  <c r="P16" i="11"/>
  <c r="L16" i="11"/>
  <c r="H16" i="11"/>
  <c r="P15" i="11"/>
  <c r="L15" i="11"/>
  <c r="H15" i="11"/>
  <c r="P14" i="11"/>
  <c r="L14" i="11"/>
  <c r="H14" i="11"/>
  <c r="P13" i="11"/>
  <c r="L13" i="11"/>
  <c r="H13" i="11"/>
  <c r="P12" i="11"/>
  <c r="L12" i="11"/>
  <c r="H12" i="11"/>
  <c r="P11" i="11"/>
  <c r="L11" i="11"/>
  <c r="H11" i="11"/>
  <c r="P10" i="11"/>
  <c r="L10" i="11"/>
  <c r="H10" i="11"/>
  <c r="P9" i="11"/>
  <c r="L9" i="11"/>
  <c r="H9" i="11"/>
  <c r="R8" i="11"/>
  <c r="P8" i="11"/>
  <c r="L8" i="11"/>
  <c r="H8" i="11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8" i="10"/>
  <c r="U9" i="10"/>
  <c r="U10" i="10"/>
  <c r="U11" i="10"/>
  <c r="U12" i="10"/>
  <c r="U13" i="10"/>
  <c r="U14" i="10"/>
  <c r="U15" i="10"/>
  <c r="U16" i="10"/>
  <c r="U17" i="10"/>
  <c r="U27" i="10" s="1"/>
  <c r="U18" i="10"/>
  <c r="U19" i="10"/>
  <c r="U20" i="10"/>
  <c r="U21" i="10"/>
  <c r="U22" i="10"/>
  <c r="U23" i="10"/>
  <c r="U24" i="10"/>
  <c r="U25" i="10"/>
  <c r="U26" i="10"/>
  <c r="P46" i="10"/>
  <c r="L46" i="10"/>
  <c r="H46" i="10"/>
  <c r="P45" i="10"/>
  <c r="L45" i="10"/>
  <c r="H45" i="10"/>
  <c r="P44" i="10"/>
  <c r="L44" i="10"/>
  <c r="H44" i="10"/>
  <c r="P43" i="10"/>
  <c r="L43" i="10"/>
  <c r="H43" i="10"/>
  <c r="P42" i="10"/>
  <c r="L42" i="10"/>
  <c r="H42" i="10"/>
  <c r="P41" i="10"/>
  <c r="L41" i="10"/>
  <c r="H41" i="10"/>
  <c r="P40" i="10"/>
  <c r="L40" i="10"/>
  <c r="H40" i="10"/>
  <c r="P39" i="10"/>
  <c r="L39" i="10"/>
  <c r="H39" i="10"/>
  <c r="P38" i="10"/>
  <c r="L38" i="10"/>
  <c r="H38" i="10"/>
  <c r="P37" i="10"/>
  <c r="L37" i="10"/>
  <c r="H37" i="10"/>
  <c r="P36" i="10"/>
  <c r="L36" i="10"/>
  <c r="H36" i="10"/>
  <c r="P35" i="10"/>
  <c r="L35" i="10"/>
  <c r="H35" i="10"/>
  <c r="P34" i="10"/>
  <c r="L34" i="10"/>
  <c r="H34" i="10"/>
  <c r="P33" i="10"/>
  <c r="L33" i="10"/>
  <c r="H33" i="10"/>
  <c r="P32" i="10"/>
  <c r="L32" i="10"/>
  <c r="H32" i="10"/>
  <c r="P31" i="10"/>
  <c r="L31" i="10"/>
  <c r="H31" i="10"/>
  <c r="P30" i="10"/>
  <c r="L30" i="10"/>
  <c r="H30" i="10"/>
  <c r="P29" i="10"/>
  <c r="L29" i="10"/>
  <c r="H29" i="10"/>
  <c r="P28" i="10"/>
  <c r="L28" i="10"/>
  <c r="H28" i="10"/>
  <c r="P26" i="10"/>
  <c r="L26" i="10"/>
  <c r="H26" i="10"/>
  <c r="P25" i="10"/>
  <c r="L25" i="10"/>
  <c r="H25" i="10"/>
  <c r="P24" i="10"/>
  <c r="L24" i="10"/>
  <c r="H24" i="10"/>
  <c r="P23" i="10"/>
  <c r="L23" i="10"/>
  <c r="H23" i="10"/>
  <c r="P22" i="10"/>
  <c r="L22" i="10"/>
  <c r="H22" i="10"/>
  <c r="P21" i="10"/>
  <c r="L21" i="10"/>
  <c r="H21" i="10"/>
  <c r="P20" i="10"/>
  <c r="L20" i="10"/>
  <c r="H20" i="10"/>
  <c r="P19" i="10"/>
  <c r="L19" i="10"/>
  <c r="H19" i="10"/>
  <c r="P18" i="10"/>
  <c r="L18" i="10"/>
  <c r="H18" i="10"/>
  <c r="P17" i="10"/>
  <c r="L17" i="10"/>
  <c r="H17" i="10"/>
  <c r="P16" i="10"/>
  <c r="L16" i="10"/>
  <c r="H16" i="10"/>
  <c r="P15" i="10"/>
  <c r="L15" i="10"/>
  <c r="H15" i="10"/>
  <c r="P14" i="10"/>
  <c r="L14" i="10"/>
  <c r="H14" i="10"/>
  <c r="P13" i="10"/>
  <c r="L13" i="10"/>
  <c r="H13" i="10"/>
  <c r="P12" i="10"/>
  <c r="L12" i="10"/>
  <c r="H12" i="10"/>
  <c r="P11" i="10"/>
  <c r="L11" i="10"/>
  <c r="H11" i="10"/>
  <c r="P10" i="10"/>
  <c r="L10" i="10"/>
  <c r="H10" i="10"/>
  <c r="P9" i="10"/>
  <c r="L9" i="10"/>
  <c r="H9" i="10"/>
  <c r="R8" i="10"/>
  <c r="P8" i="10"/>
  <c r="L8" i="10"/>
  <c r="H8" i="10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48" i="9"/>
  <c r="P46" i="9"/>
  <c r="L46" i="9"/>
  <c r="H46" i="9"/>
  <c r="P45" i="9"/>
  <c r="L45" i="9"/>
  <c r="H45" i="9"/>
  <c r="P44" i="9"/>
  <c r="L44" i="9"/>
  <c r="H44" i="9"/>
  <c r="P43" i="9"/>
  <c r="L43" i="9"/>
  <c r="H43" i="9"/>
  <c r="P42" i="9"/>
  <c r="L42" i="9"/>
  <c r="H42" i="9"/>
  <c r="P41" i="9"/>
  <c r="L41" i="9"/>
  <c r="H41" i="9"/>
  <c r="P40" i="9"/>
  <c r="L40" i="9"/>
  <c r="H40" i="9"/>
  <c r="P39" i="9"/>
  <c r="L39" i="9"/>
  <c r="H39" i="9"/>
  <c r="P38" i="9"/>
  <c r="L38" i="9"/>
  <c r="H38" i="9"/>
  <c r="P37" i="9"/>
  <c r="L37" i="9"/>
  <c r="H37" i="9"/>
  <c r="P36" i="9"/>
  <c r="L36" i="9"/>
  <c r="H36" i="9"/>
  <c r="P35" i="9"/>
  <c r="L35" i="9"/>
  <c r="H35" i="9"/>
  <c r="P34" i="9"/>
  <c r="L34" i="9"/>
  <c r="H34" i="9"/>
  <c r="P33" i="9"/>
  <c r="L33" i="9"/>
  <c r="H33" i="9"/>
  <c r="P32" i="9"/>
  <c r="L32" i="9"/>
  <c r="H32" i="9"/>
  <c r="P31" i="9"/>
  <c r="L31" i="9"/>
  <c r="H31" i="9"/>
  <c r="P30" i="9"/>
  <c r="L30" i="9"/>
  <c r="H30" i="9"/>
  <c r="P29" i="9"/>
  <c r="L29" i="9"/>
  <c r="H29" i="9"/>
  <c r="P28" i="9"/>
  <c r="L28" i="9"/>
  <c r="H28" i="9"/>
  <c r="P26" i="9"/>
  <c r="L26" i="9"/>
  <c r="H26" i="9"/>
  <c r="P25" i="9"/>
  <c r="L25" i="9"/>
  <c r="H25" i="9"/>
  <c r="P24" i="9"/>
  <c r="L24" i="9"/>
  <c r="H24" i="9"/>
  <c r="P23" i="9"/>
  <c r="L23" i="9"/>
  <c r="H23" i="9"/>
  <c r="P22" i="9"/>
  <c r="L22" i="9"/>
  <c r="H22" i="9"/>
  <c r="P21" i="9"/>
  <c r="L21" i="9"/>
  <c r="H21" i="9"/>
  <c r="P20" i="9"/>
  <c r="L20" i="9"/>
  <c r="H20" i="9"/>
  <c r="P19" i="9"/>
  <c r="L19" i="9"/>
  <c r="H19" i="9"/>
  <c r="P18" i="9"/>
  <c r="L18" i="9"/>
  <c r="H18" i="9"/>
  <c r="P17" i="9"/>
  <c r="L17" i="9"/>
  <c r="H17" i="9"/>
  <c r="P16" i="9"/>
  <c r="L16" i="9"/>
  <c r="H16" i="9"/>
  <c r="P15" i="9"/>
  <c r="L15" i="9"/>
  <c r="H15" i="9"/>
  <c r="P14" i="9"/>
  <c r="L14" i="9"/>
  <c r="H14" i="9"/>
  <c r="P13" i="9"/>
  <c r="L13" i="9"/>
  <c r="H13" i="9"/>
  <c r="P12" i="9"/>
  <c r="L12" i="9"/>
  <c r="H12" i="9"/>
  <c r="P11" i="9"/>
  <c r="L11" i="9"/>
  <c r="H11" i="9"/>
  <c r="P10" i="9"/>
  <c r="L10" i="9"/>
  <c r="H10" i="9"/>
  <c r="P9" i="9"/>
  <c r="L9" i="9"/>
  <c r="H9" i="9"/>
  <c r="R8" i="9"/>
  <c r="P8" i="9"/>
  <c r="L8" i="9"/>
  <c r="H8" i="9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P46" i="8"/>
  <c r="L46" i="8"/>
  <c r="H46" i="8"/>
  <c r="P45" i="8"/>
  <c r="L45" i="8"/>
  <c r="H45" i="8"/>
  <c r="P44" i="8"/>
  <c r="L44" i="8"/>
  <c r="H44" i="8"/>
  <c r="P43" i="8"/>
  <c r="L43" i="8"/>
  <c r="H43" i="8"/>
  <c r="P42" i="8"/>
  <c r="L42" i="8"/>
  <c r="H42" i="8"/>
  <c r="P41" i="8"/>
  <c r="L41" i="8"/>
  <c r="H41" i="8"/>
  <c r="P40" i="8"/>
  <c r="L40" i="8"/>
  <c r="H40" i="8"/>
  <c r="P39" i="8"/>
  <c r="L39" i="8"/>
  <c r="H39" i="8"/>
  <c r="P38" i="8"/>
  <c r="L38" i="8"/>
  <c r="H38" i="8"/>
  <c r="P37" i="8"/>
  <c r="L37" i="8"/>
  <c r="H37" i="8"/>
  <c r="P36" i="8"/>
  <c r="L36" i="8"/>
  <c r="H36" i="8"/>
  <c r="P35" i="8"/>
  <c r="L35" i="8"/>
  <c r="H35" i="8"/>
  <c r="P34" i="8"/>
  <c r="L34" i="8"/>
  <c r="H34" i="8"/>
  <c r="P33" i="8"/>
  <c r="L33" i="8"/>
  <c r="H33" i="8"/>
  <c r="P32" i="8"/>
  <c r="L32" i="8"/>
  <c r="H32" i="8"/>
  <c r="P31" i="8"/>
  <c r="L31" i="8"/>
  <c r="H31" i="8"/>
  <c r="P30" i="8"/>
  <c r="L30" i="8"/>
  <c r="H30" i="8"/>
  <c r="P29" i="8"/>
  <c r="L29" i="8"/>
  <c r="H29" i="8"/>
  <c r="P28" i="8"/>
  <c r="L28" i="8"/>
  <c r="H28" i="8"/>
  <c r="P26" i="8"/>
  <c r="L26" i="8"/>
  <c r="H26" i="8"/>
  <c r="P25" i="8"/>
  <c r="L25" i="8"/>
  <c r="H25" i="8"/>
  <c r="P24" i="8"/>
  <c r="L24" i="8"/>
  <c r="H24" i="8"/>
  <c r="P23" i="8"/>
  <c r="L23" i="8"/>
  <c r="H23" i="8"/>
  <c r="P22" i="8"/>
  <c r="L22" i="8"/>
  <c r="H22" i="8"/>
  <c r="P21" i="8"/>
  <c r="L21" i="8"/>
  <c r="H21" i="8"/>
  <c r="P20" i="8"/>
  <c r="L20" i="8"/>
  <c r="H20" i="8"/>
  <c r="P19" i="8"/>
  <c r="L19" i="8"/>
  <c r="H19" i="8"/>
  <c r="P18" i="8"/>
  <c r="L18" i="8"/>
  <c r="H18" i="8"/>
  <c r="P17" i="8"/>
  <c r="L17" i="8"/>
  <c r="H17" i="8"/>
  <c r="P16" i="8"/>
  <c r="L16" i="8"/>
  <c r="H16" i="8"/>
  <c r="P15" i="8"/>
  <c r="L15" i="8"/>
  <c r="H15" i="8"/>
  <c r="P14" i="8"/>
  <c r="L14" i="8"/>
  <c r="H14" i="8"/>
  <c r="P13" i="8"/>
  <c r="L13" i="8"/>
  <c r="H13" i="8"/>
  <c r="P12" i="8"/>
  <c r="L12" i="8"/>
  <c r="H12" i="8"/>
  <c r="P11" i="8"/>
  <c r="L11" i="8"/>
  <c r="H11" i="8"/>
  <c r="P10" i="8"/>
  <c r="L10" i="8"/>
  <c r="H10" i="8"/>
  <c r="P9" i="8"/>
  <c r="L9" i="8"/>
  <c r="H9" i="8"/>
  <c r="R8" i="8"/>
  <c r="P8" i="8"/>
  <c r="L8" i="8"/>
  <c r="H8" i="8"/>
  <c r="U8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S8" i="6"/>
  <c r="O8" i="6"/>
  <c r="R8" i="1"/>
  <c r="H8" i="1"/>
  <c r="L8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48" i="1"/>
  <c r="U27" i="23" l="1"/>
  <c r="U48" i="23" s="1"/>
  <c r="U27" i="22"/>
  <c r="U48" i="22" s="1"/>
  <c r="U27" i="21"/>
  <c r="U48" i="21" s="1"/>
  <c r="U47" i="20"/>
  <c r="U48" i="20" s="1"/>
  <c r="U27" i="19"/>
  <c r="U48" i="19" s="1"/>
  <c r="U47" i="18"/>
  <c r="U27" i="18"/>
  <c r="U47" i="14"/>
  <c r="U27" i="14"/>
  <c r="U8" i="6"/>
  <c r="U47" i="10"/>
  <c r="U48" i="10" s="1"/>
  <c r="Y8" i="6"/>
  <c r="U27" i="8"/>
  <c r="U48" i="8" s="1"/>
  <c r="X8" i="6"/>
  <c r="X27" i="6" s="1"/>
  <c r="X48" i="6" s="1"/>
  <c r="U48" i="18" l="1"/>
  <c r="U48" i="14"/>
  <c r="P23" i="7" l="1"/>
  <c r="G62" i="7"/>
  <c r="G63" i="7" s="1"/>
</calcChain>
</file>

<file path=xl/sharedStrings.xml><?xml version="1.0" encoding="utf-8"?>
<sst xmlns="http://schemas.openxmlformats.org/spreadsheetml/2006/main" count="12913" uniqueCount="710">
  <si>
    <t>Heure théorique départ</t>
  </si>
  <si>
    <t>Heure réelle départ</t>
  </si>
  <si>
    <t>Arrêt 1</t>
  </si>
  <si>
    <t>Nbre personnes +</t>
  </si>
  <si>
    <t>Nbre personnes -</t>
  </si>
  <si>
    <t>Heure arrivée arrêt 1</t>
  </si>
  <si>
    <t>Arrêt 2</t>
  </si>
  <si>
    <t>Arrêt 3</t>
  </si>
  <si>
    <t>VAHIBE</t>
  </si>
  <si>
    <t>Heure arrivée arrêt 2</t>
  </si>
  <si>
    <t>Heure arrivée arrêt 3</t>
  </si>
  <si>
    <t>PEM PASSAMAINTY</t>
  </si>
  <si>
    <t>Commentaires</t>
  </si>
  <si>
    <t>CHAUFFEUR</t>
  </si>
  <si>
    <t>DATE</t>
  </si>
  <si>
    <t>Signature Chauffeur</t>
  </si>
  <si>
    <t>Signature Coordinateur</t>
  </si>
  <si>
    <t>Heure arrivée finale</t>
  </si>
  <si>
    <t>TYPE</t>
  </si>
  <si>
    <t>Délai</t>
  </si>
  <si>
    <t>Temps Aller</t>
  </si>
  <si>
    <t>TYPE CHAUFFEUR</t>
  </si>
  <si>
    <t>Nbre personnes descente</t>
  </si>
  <si>
    <t>Nbre personnes montée</t>
  </si>
  <si>
    <t>C1</t>
  </si>
  <si>
    <t>Type chauffeur prévu</t>
  </si>
  <si>
    <t>Nom chauffeur prévu</t>
  </si>
  <si>
    <t>C3</t>
  </si>
  <si>
    <t>Lieu départ</t>
  </si>
  <si>
    <t>Nom chauffeur remplacé</t>
  </si>
  <si>
    <t>Cause remplacement</t>
  </si>
  <si>
    <t>C15</t>
  </si>
  <si>
    <t>Astreinte</t>
  </si>
  <si>
    <t>Type chauffeur</t>
  </si>
  <si>
    <t>Nom chauffeur</t>
  </si>
  <si>
    <t>Prénom Chauffeur</t>
  </si>
  <si>
    <t>C2</t>
  </si>
  <si>
    <t>C8</t>
  </si>
  <si>
    <t>Nbre personnes moyenne</t>
  </si>
  <si>
    <t>Capacité max</t>
  </si>
  <si>
    <t>Taux Fréquentation</t>
  </si>
  <si>
    <t>C9</t>
  </si>
  <si>
    <t>C10</t>
  </si>
  <si>
    <t>C11</t>
  </si>
  <si>
    <t>C12</t>
  </si>
  <si>
    <t>C13</t>
  </si>
  <si>
    <t>C14</t>
  </si>
  <si>
    <t>C16</t>
  </si>
  <si>
    <t>C4</t>
  </si>
  <si>
    <t>C5</t>
  </si>
  <si>
    <t>C6</t>
  </si>
  <si>
    <t>C7</t>
  </si>
  <si>
    <t>Astreinte 1</t>
  </si>
  <si>
    <t>Nom Chauffeur astreinte 1</t>
  </si>
  <si>
    <t>Astreinte 2</t>
  </si>
  <si>
    <t>Nom Chauffeur astreinte 2</t>
  </si>
  <si>
    <t>Modalité facturation</t>
  </si>
  <si>
    <t>Trajet</t>
  </si>
  <si>
    <t>ABDOU MINIHADJI</t>
  </si>
  <si>
    <t>Amada</t>
  </si>
  <si>
    <t>ADINANI</t>
  </si>
  <si>
    <t>Zoubert</t>
  </si>
  <si>
    <t>Inzoudine</t>
  </si>
  <si>
    <t>ALLAOUI</t>
  </si>
  <si>
    <t>Soibrane</t>
  </si>
  <si>
    <t>N° telephone</t>
  </si>
  <si>
    <t>Bina</t>
  </si>
  <si>
    <t xml:space="preserve">COMBO </t>
  </si>
  <si>
    <t>Said</t>
  </si>
  <si>
    <t>Hamada</t>
  </si>
  <si>
    <t>OUSSENI</t>
  </si>
  <si>
    <t>Soula</t>
  </si>
  <si>
    <t>RENE</t>
  </si>
  <si>
    <t>Assanati</t>
  </si>
  <si>
    <t>SANDI</t>
  </si>
  <si>
    <t>Maanrouf</t>
  </si>
  <si>
    <t>Toibourani</t>
  </si>
  <si>
    <t xml:space="preserve">N° </t>
  </si>
  <si>
    <t>CADEMA</t>
  </si>
  <si>
    <t>STATUT</t>
  </si>
  <si>
    <t xml:space="preserve">LICENCE TRANSPORTEUR </t>
  </si>
  <si>
    <t>SIREN LICENCE</t>
  </si>
  <si>
    <t>VALIDITE LICENCE TRANSP</t>
  </si>
  <si>
    <t>N°</t>
  </si>
  <si>
    <t>N° Chauffeur</t>
  </si>
  <si>
    <t>Nom</t>
  </si>
  <si>
    <t>Prénom</t>
  </si>
  <si>
    <t>Téléphone</t>
  </si>
  <si>
    <t>Mail</t>
  </si>
  <si>
    <t>Siret</t>
  </si>
  <si>
    <t>Secteur d'activité</t>
  </si>
  <si>
    <t>N° licence</t>
  </si>
  <si>
    <t>CARTE CONDUCTEUR</t>
  </si>
  <si>
    <t>VALIDITE CARTE CONDUCTEUR</t>
  </si>
  <si>
    <t>N° IMMATRICULATION CARTE GRISE</t>
  </si>
  <si>
    <t>DATE IMMATRICULATION</t>
  </si>
  <si>
    <t>AGE DU VEHICULE</t>
  </si>
  <si>
    <t>Type de vehicule</t>
  </si>
  <si>
    <t>ETAT VEHICULE</t>
  </si>
  <si>
    <t>RDV MAY EQUIP</t>
  </si>
  <si>
    <t>HABILLAGE</t>
  </si>
  <si>
    <t>REGLT HABILLAGE</t>
  </si>
  <si>
    <t>EQUIPEMENT</t>
  </si>
  <si>
    <t>HABILLAGE 2021</t>
  </si>
  <si>
    <t>HABILLAGE 2023</t>
  </si>
  <si>
    <t>IDENTITE</t>
  </si>
  <si>
    <t>NATIONALITE</t>
  </si>
  <si>
    <t>VALIDITE CARTE SEJOUR</t>
  </si>
  <si>
    <t>CARTE VITALE</t>
  </si>
  <si>
    <t>ASSURANCES</t>
  </si>
  <si>
    <t>FACTURE _3 MOIS</t>
  </si>
  <si>
    <t>IMPOTS</t>
  </si>
  <si>
    <t>PHOTO</t>
  </si>
  <si>
    <t>N° AGC</t>
  </si>
  <si>
    <t>Capital souscrit</t>
  </si>
  <si>
    <t>Année de souscription</t>
  </si>
  <si>
    <t>Cotisations versées en 2021</t>
  </si>
  <si>
    <t>COTISATIONS 2023</t>
  </si>
  <si>
    <t>COTISATIONS 2024</t>
  </si>
  <si>
    <t>N° Rue</t>
  </si>
  <si>
    <t>Adresse</t>
  </si>
  <si>
    <t>Code postal</t>
  </si>
  <si>
    <t>Commune</t>
  </si>
  <si>
    <t>REMARQUES</t>
  </si>
  <si>
    <t>CADEMA 1</t>
  </si>
  <si>
    <t>AO</t>
  </si>
  <si>
    <t>NON</t>
  </si>
  <si>
    <t>-</t>
  </si>
  <si>
    <t xml:space="preserve">0639 65 03 93 </t>
  </si>
  <si>
    <t>abdouminihadjiamada@hotmail.com</t>
  </si>
  <si>
    <t>066 311 101 000 19</t>
  </si>
  <si>
    <t>Centre Sud</t>
  </si>
  <si>
    <t>976-CS-057</t>
  </si>
  <si>
    <t>FY-654-BF</t>
  </si>
  <si>
    <t>9 PLACES</t>
  </si>
  <si>
    <t>BON</t>
  </si>
  <si>
    <t>OUI</t>
  </si>
  <si>
    <t>_</t>
  </si>
  <si>
    <t>F</t>
  </si>
  <si>
    <t>2020/13</t>
  </si>
  <si>
    <t>Avenue de rassi</t>
  </si>
  <si>
    <t>Chiconi</t>
  </si>
  <si>
    <t>ancien gérant - Habillage 2021</t>
  </si>
  <si>
    <t>0639 25 77 76</t>
  </si>
  <si>
    <t>zoubert.adinani2@gmail.com</t>
  </si>
  <si>
    <t>799 358 700 00018</t>
  </si>
  <si>
    <t>Mamoudzou</t>
  </si>
  <si>
    <t>976-M-447</t>
  </si>
  <si>
    <t>GR-407-DV</t>
  </si>
  <si>
    <t>A venir</t>
  </si>
  <si>
    <t>2022</t>
  </si>
  <si>
    <t>Tahiti plage route de poroani</t>
  </si>
  <si>
    <t>Sada</t>
  </si>
  <si>
    <t xml:space="preserve">attente débolacge prêt </t>
  </si>
  <si>
    <t>ALI ATTOUMANI</t>
  </si>
  <si>
    <t>Bacar</t>
  </si>
  <si>
    <t>0639 87 21 88</t>
  </si>
  <si>
    <t>aattoumani.bacar@gmail.com</t>
  </si>
  <si>
    <t>024 068 413 00020</t>
  </si>
  <si>
    <t>976-M-116</t>
  </si>
  <si>
    <t>FJ-886-VX</t>
  </si>
  <si>
    <t>A MOITIE</t>
  </si>
  <si>
    <t>OUI PAS PAYE</t>
  </si>
  <si>
    <t>Chemin ma ali andy</t>
  </si>
  <si>
    <t>Voiture endommagé d'un coté et la tete de taxi aussi habillé en 2021</t>
  </si>
  <si>
    <t>0639 075923/0639 26 27 78</t>
  </si>
  <si>
    <t>ambdihoumadi976@gmail.com</t>
  </si>
  <si>
    <t>024 078 396 000 41</t>
  </si>
  <si>
    <t>976-M-049</t>
  </si>
  <si>
    <t>GH-790-LS</t>
  </si>
  <si>
    <t>? Pas payé</t>
  </si>
  <si>
    <t>2020/44</t>
  </si>
  <si>
    <t>Rue younoussa bamana</t>
  </si>
  <si>
    <t>a une voiture neuve</t>
  </si>
  <si>
    <t>voiture en panne</t>
  </si>
  <si>
    <t xml:space="preserve">ALLAOUI </t>
  </si>
  <si>
    <t>0639 65 31 82</t>
  </si>
  <si>
    <t>stt653182@hotmail.com</t>
  </si>
  <si>
    <t>024 043 30 000 11</t>
  </si>
  <si>
    <t>976-CS-048</t>
  </si>
  <si>
    <t>FZ_148_HW</t>
  </si>
  <si>
    <t>OK</t>
  </si>
  <si>
    <t>Quartier Kami case impasse mavandzani</t>
  </si>
  <si>
    <t>Kani kéli</t>
  </si>
  <si>
    <t>Il est pas eligible pour la demande de subvention</t>
  </si>
  <si>
    <t xml:space="preserve">AMBDI </t>
  </si>
  <si>
    <t>Houmadi</t>
  </si>
  <si>
    <t>0639 23 55 69</t>
  </si>
  <si>
    <t>066 312 224 000 26</t>
  </si>
  <si>
    <t>Sud</t>
  </si>
  <si>
    <t>976-S-023</t>
  </si>
  <si>
    <t>GC-122-QA</t>
  </si>
  <si>
    <t>2020/46</t>
  </si>
  <si>
    <t>Route nationale Mbouanatsa</t>
  </si>
  <si>
    <t>BOUENI</t>
  </si>
  <si>
    <t>Habillage 2023</t>
  </si>
  <si>
    <t>BINA HALADI</t>
  </si>
  <si>
    <t>0639 06 05 82</t>
  </si>
  <si>
    <t>wonamaore@gmail.com</t>
  </si>
  <si>
    <t>853 690 428 000 18</t>
  </si>
  <si>
    <t>976-S-045</t>
  </si>
  <si>
    <t>GE-883-ES</t>
  </si>
  <si>
    <t>9 places</t>
  </si>
  <si>
    <t>2020/61</t>
  </si>
  <si>
    <t xml:space="preserve">Rue Said Fatima </t>
  </si>
  <si>
    <t>SADA</t>
  </si>
  <si>
    <t>Habillage juin 2023</t>
  </si>
  <si>
    <t>BOINARIZIKI</t>
  </si>
  <si>
    <t>Zena Dhurari</t>
  </si>
  <si>
    <t>0639 66 36 94
06 50 45 94 42</t>
  </si>
  <si>
    <t>dhurari.transport@gmail.com</t>
  </si>
  <si>
    <t>500 894 043 000 16</t>
  </si>
  <si>
    <t>976-CS-071</t>
  </si>
  <si>
    <t>FF-569-NF</t>
  </si>
  <si>
    <t xml:space="preserve">Rue du commerce </t>
  </si>
  <si>
    <t>voiture pas habillée</t>
  </si>
  <si>
    <t>0639 68 37 93</t>
  </si>
  <si>
    <t>combosaid5@gmail.cpm</t>
  </si>
  <si>
    <t>054 394 853 00029</t>
  </si>
  <si>
    <t>976-M-164</t>
  </si>
  <si>
    <t>GB-965-EQ</t>
  </si>
  <si>
    <t>NEUF</t>
  </si>
  <si>
    <t>2020/70</t>
  </si>
  <si>
    <t>Route Départementale</t>
  </si>
  <si>
    <t>Mtsamboro</t>
  </si>
  <si>
    <t>Il a reçu sa subvention et il a rien payé, et il a utiliser l'argent</t>
  </si>
  <si>
    <t>EL ANZIZE SALIM</t>
  </si>
  <si>
    <t>0639 22 81 28</t>
  </si>
  <si>
    <t>elsalimhamada@hotmail.com</t>
  </si>
  <si>
    <t>024 076 531 00011</t>
  </si>
  <si>
    <t>976_M_209</t>
  </si>
  <si>
    <t>GM_515_YL</t>
  </si>
  <si>
    <t>G</t>
  </si>
  <si>
    <t>2022/198</t>
  </si>
  <si>
    <t>Rue de mjinpia</t>
  </si>
  <si>
    <t>Mtsangamoudji</t>
  </si>
  <si>
    <t>habillage 9 place 2023</t>
  </si>
  <si>
    <t>HADHURAMI</t>
  </si>
  <si>
    <t>Makinedine</t>
  </si>
  <si>
    <t>0639 94 46 40</t>
  </si>
  <si>
    <t>Hadhuramimakinedine976@gmail.com</t>
  </si>
  <si>
    <t>054 397 211 00019</t>
  </si>
  <si>
    <t>SUD</t>
  </si>
  <si>
    <t>976_S_069</t>
  </si>
  <si>
    <t>FZ-411-ZD</t>
  </si>
  <si>
    <t>2020/82</t>
  </si>
  <si>
    <t>Rue foundi hamada m'zé</t>
  </si>
  <si>
    <t>Habillage 2021 aurait 2 véhicules</t>
  </si>
  <si>
    <t>MADI BOINA</t>
  </si>
  <si>
    <t>Mkidachi</t>
  </si>
  <si>
    <t>0639 22 08 67</t>
  </si>
  <si>
    <t>madiboinamkidachi@hotmail.com</t>
  </si>
  <si>
    <t>500 793 526 00012</t>
  </si>
  <si>
    <t>NORD</t>
  </si>
  <si>
    <t>976-N-63</t>
  </si>
  <si>
    <t>GS-501-ZK</t>
  </si>
  <si>
    <t>pas de vitre</t>
  </si>
  <si>
    <t>Rue d'andimaka</t>
  </si>
  <si>
    <t>Mtsangamouji</t>
  </si>
  <si>
    <t>MOISSULI HIMIDI</t>
  </si>
  <si>
    <t>Enly</t>
  </si>
  <si>
    <t>0639 94 58 14</t>
  </si>
  <si>
    <t>enlymoissuli@gmail.com</t>
  </si>
  <si>
    <t>853 881 084 000 18</t>
  </si>
  <si>
    <t>976-N-015</t>
  </si>
  <si>
    <t>GW-003-JA</t>
  </si>
  <si>
    <t>att May Equip</t>
  </si>
  <si>
    <t>Quartier mronobaban sidi , Hamjago</t>
  </si>
  <si>
    <t>Il attend sa subvention , justine lui a dit d'aller harceler le CD pour qui'il debloque sa subvention</t>
  </si>
  <si>
    <t>soucis de famille</t>
  </si>
  <si>
    <t>0639 69 03 87</t>
  </si>
  <si>
    <t>soulaousseni415@gmail.com</t>
  </si>
  <si>
    <t>066 307 372 000 12</t>
  </si>
  <si>
    <t>Centre NORD</t>
  </si>
  <si>
    <t>976-CN-003</t>
  </si>
  <si>
    <t>GP_813_HX</t>
  </si>
  <si>
    <t>TBE</t>
  </si>
  <si>
    <t>2021/181</t>
  </si>
  <si>
    <t>Rue mnadzi moja quartier baitil mali</t>
  </si>
  <si>
    <t xml:space="preserve">Pas de voiture </t>
  </si>
  <si>
    <t>0639 07 82 51</t>
  </si>
  <si>
    <t>024 065 633 000 18</t>
  </si>
  <si>
    <t>976-N-032</t>
  </si>
  <si>
    <t>GR-921-XZ</t>
  </si>
  <si>
    <t>Rue bacar tsimanda</t>
  </si>
  <si>
    <t>0639 40 58 85</t>
  </si>
  <si>
    <t>maanroufsandi@laposte.net</t>
  </si>
  <si>
    <t>024 069 635 000 19</t>
  </si>
  <si>
    <t>976-S-006</t>
  </si>
  <si>
    <t>GW-255-NY</t>
  </si>
  <si>
    <t>A VENIR</t>
  </si>
  <si>
    <t>Quartier ecole primaire</t>
  </si>
  <si>
    <t>Chirongui</t>
  </si>
  <si>
    <t xml:space="preserve">Pas habillé en attente rendez-vous mayotte equipement </t>
  </si>
  <si>
    <t xml:space="preserve">TOUMBOU </t>
  </si>
  <si>
    <t>0639 19 14 22</t>
  </si>
  <si>
    <t>toumboutoibourani@outlook.fr / anlia.toumbou97620@gmail.com</t>
  </si>
  <si>
    <t>024 054 710 000 25</t>
  </si>
  <si>
    <t>976-M-177</t>
  </si>
  <si>
    <t>GF_215_AQ</t>
  </si>
  <si>
    <t>2020/158</t>
  </si>
  <si>
    <t>Rue Bambou</t>
  </si>
  <si>
    <t>Gérant</t>
  </si>
  <si>
    <t>ACHIRAFFI  pas de chauffeur</t>
  </si>
  <si>
    <t>Assad</t>
  </si>
  <si>
    <t>0639 29 01 58</t>
  </si>
  <si>
    <t>achiraffis@gmail.com</t>
  </si>
  <si>
    <t>024 046 617 000 15</t>
  </si>
  <si>
    <t>976-M-045</t>
  </si>
  <si>
    <t>FY-973-FL</t>
  </si>
  <si>
    <t>2020/20</t>
  </si>
  <si>
    <t>Route départemental</t>
  </si>
  <si>
    <t>M'tsamboro</t>
  </si>
  <si>
    <t>a une voiture - Travaille au Sud</t>
  </si>
  <si>
    <t>Secteur</t>
  </si>
  <si>
    <t>N° Licence</t>
  </si>
  <si>
    <t>N° immatriculation</t>
  </si>
  <si>
    <t>Date première immatriculation</t>
  </si>
  <si>
    <t>Capacité</t>
  </si>
  <si>
    <t>SIRET</t>
  </si>
  <si>
    <t>N° Carte conducteur</t>
  </si>
  <si>
    <t>Validité carte conducteur</t>
  </si>
  <si>
    <t>Signature Coordinateur 2</t>
  </si>
  <si>
    <t xml:space="preserve">Type </t>
  </si>
  <si>
    <t>Depart</t>
  </si>
  <si>
    <t>+</t>
  </si>
  <si>
    <t>COMBO SOUFFOU (RENE ASSANATI)</t>
  </si>
  <si>
    <t>MOHAMED (BOINA RIEZIKI ZENA DHURARI)</t>
  </si>
  <si>
    <t>Nbre personnes  montantes</t>
  </si>
  <si>
    <t>C17</t>
  </si>
  <si>
    <t>C19</t>
  </si>
  <si>
    <t>C20</t>
  </si>
  <si>
    <t>Horaire</t>
  </si>
  <si>
    <t>Chauffeur</t>
  </si>
  <si>
    <t>Trajet non effectué</t>
  </si>
  <si>
    <t>Départ avec plus de 10 mns retard</t>
  </si>
  <si>
    <t>REMPLACEMENT</t>
  </si>
  <si>
    <t>ARRIVEE</t>
  </si>
  <si>
    <t>ST</t>
  </si>
  <si>
    <t>ST1</t>
  </si>
  <si>
    <t>ST2</t>
  </si>
  <si>
    <t>C22</t>
  </si>
  <si>
    <t>C23</t>
  </si>
  <si>
    <t>C24</t>
  </si>
  <si>
    <t>Mohamed</t>
  </si>
  <si>
    <t>6 tr</t>
  </si>
  <si>
    <t>5 tr</t>
  </si>
  <si>
    <t>Observations :</t>
  </si>
  <si>
    <t xml:space="preserve">Absences : </t>
  </si>
  <si>
    <t>Signature Coordinateur 1 :</t>
  </si>
  <si>
    <t>Trajets non effectués :</t>
  </si>
  <si>
    <r>
      <t xml:space="preserve">Nom Chauffeur </t>
    </r>
    <r>
      <rPr>
        <b/>
        <sz val="14"/>
        <color theme="1"/>
        <rFont val="Aptos Narrow"/>
        <family val="2"/>
        <scheme val="minor"/>
      </rPr>
      <t>réel</t>
    </r>
    <r>
      <rPr>
        <sz val="14"/>
        <color theme="1"/>
        <rFont val="Aptos Narrow"/>
        <family val="2"/>
        <scheme val="minor"/>
      </rPr>
      <t xml:space="preserve">
 ( si différent)</t>
    </r>
  </si>
  <si>
    <t>C26</t>
  </si>
  <si>
    <t>Delai entre 2 départs</t>
  </si>
  <si>
    <t>Nbre trajets</t>
  </si>
  <si>
    <t>Délai avant</t>
  </si>
  <si>
    <t>VAHINE</t>
  </si>
  <si>
    <t>VAHIBE 2</t>
  </si>
  <si>
    <t>Statistiques</t>
  </si>
  <si>
    <t>nbre de trajets planifiés</t>
  </si>
  <si>
    <t>Nbre trajets non effectués</t>
  </si>
  <si>
    <t>Nbre trajets effectués non planifiés</t>
  </si>
  <si>
    <t>C1 MARDI NAVETTE</t>
  </si>
  <si>
    <t>C8 MERCREDI NAVETTE</t>
  </si>
  <si>
    <t>C23  JEUDI NAVETTE</t>
  </si>
  <si>
    <t>C27</t>
  </si>
  <si>
    <t>C28</t>
  </si>
  <si>
    <t>C28 VENDREDI  NAVETTE</t>
  </si>
  <si>
    <t>C27 LUNDI NAVETTE</t>
  </si>
  <si>
    <t>4 tr.</t>
  </si>
  <si>
    <t>NOVEMBRE</t>
  </si>
  <si>
    <t>5 tr.</t>
  </si>
  <si>
    <t>C5 MARDI NAVETTE</t>
  </si>
  <si>
    <t>C15 JEUDI NAVETTE</t>
  </si>
  <si>
    <t>NAVETTES CADEMA- HORAIRES DECEMBRE</t>
  </si>
  <si>
    <t>DEPART</t>
  </si>
  <si>
    <t>LA BARGE</t>
  </si>
  <si>
    <t>Temps théorique</t>
  </si>
  <si>
    <t>H1</t>
  </si>
  <si>
    <t>N° LIGNE</t>
  </si>
  <si>
    <t>L2</t>
  </si>
  <si>
    <t>L1</t>
  </si>
  <si>
    <t>H2</t>
  </si>
  <si>
    <t>Heure arrivée théorique</t>
  </si>
  <si>
    <t>H3</t>
  </si>
  <si>
    <t>N° adhérent</t>
  </si>
  <si>
    <t>Habillage</t>
  </si>
  <si>
    <t xml:space="preserve">AHMED </t>
  </si>
  <si>
    <t>Radhuia Rosna</t>
  </si>
  <si>
    <t>raduaahmed07@gmail.com</t>
  </si>
  <si>
    <t>054 397 039 00014</t>
  </si>
  <si>
    <t>Petite Terre</t>
  </si>
  <si>
    <t>976-PT-064</t>
  </si>
  <si>
    <t>GD-631-HT</t>
  </si>
  <si>
    <t xml:space="preserve">5 </t>
  </si>
  <si>
    <t>ALI</t>
  </si>
  <si>
    <t>Mohamed 035</t>
  </si>
  <si>
    <t xml:space="preserve">alimohamed012c@gmail.com </t>
  </si>
  <si>
    <t>099 383 127 00026</t>
  </si>
  <si>
    <t>976-PT-035</t>
  </si>
  <si>
    <t xml:space="preserve">8 </t>
  </si>
  <si>
    <t>CHADHOULI</t>
  </si>
  <si>
    <t>houmadi.chadhouli@gmail.com</t>
  </si>
  <si>
    <t>054 393 749 000 19</t>
  </si>
  <si>
    <t>976-PT-026</t>
  </si>
  <si>
    <t>GT-434-BT</t>
  </si>
  <si>
    <t xml:space="preserve">9 </t>
  </si>
  <si>
    <t>H4</t>
  </si>
  <si>
    <t>HASSANI</t>
  </si>
  <si>
    <t>Attoumani</t>
  </si>
  <si>
    <t>mohamedbacarali@gmail.com</t>
  </si>
  <si>
    <t>498 001 387 00014</t>
  </si>
  <si>
    <t>976-PT-053</t>
  </si>
  <si>
    <t>DG-919-FP</t>
  </si>
  <si>
    <t>H5</t>
  </si>
  <si>
    <t>ATTOUMANI</t>
  </si>
  <si>
    <t>Kamaldine</t>
  </si>
  <si>
    <t>monagelika976@gmail.com</t>
  </si>
  <si>
    <t>828 373 431 000 18</t>
  </si>
  <si>
    <t>976-PT-133</t>
  </si>
  <si>
    <t>DG-106-XM</t>
  </si>
  <si>
    <t>H6</t>
  </si>
  <si>
    <t>BACAR ALI</t>
  </si>
  <si>
    <t xml:space="preserve">066 302 928 000 24 </t>
  </si>
  <si>
    <t>976-PT-050</t>
  </si>
  <si>
    <t>EE-142-DQ</t>
  </si>
  <si>
    <t>H7</t>
  </si>
  <si>
    <t>CHAMSSOUNE</t>
  </si>
  <si>
    <t>Ahmed</t>
  </si>
  <si>
    <t>Ahmedadel97615@gmail.com</t>
  </si>
  <si>
    <t>024 083 602 00029</t>
  </si>
  <si>
    <t>976-PT-041</t>
  </si>
  <si>
    <t>DV-201-DH</t>
  </si>
  <si>
    <t>H8</t>
  </si>
  <si>
    <t>MADI</t>
  </si>
  <si>
    <t>Hamada Hairoudine</t>
  </si>
  <si>
    <t>madihamadahairidine@gmail.com</t>
  </si>
  <si>
    <t>066 311 226 00014</t>
  </si>
  <si>
    <t>976-PT-114</t>
  </si>
  <si>
    <t>AD-649-QS</t>
  </si>
  <si>
    <t>OIHABOU</t>
  </si>
  <si>
    <t>Bacari</t>
  </si>
  <si>
    <t>oihaboubacari123@gmail.com</t>
  </si>
  <si>
    <t>751 080 185 000 18</t>
  </si>
  <si>
    <t>976-PT-032</t>
  </si>
  <si>
    <t>DX-651-JT</t>
  </si>
  <si>
    <t>AHAMADA</t>
  </si>
  <si>
    <t>Ibrahim</t>
  </si>
  <si>
    <t xml:space="preserve">06 39 66 58 62
</t>
  </si>
  <si>
    <t>ahamada.ibrahim1957@gmail.com</t>
  </si>
  <si>
    <t>024 062 515 00028</t>
  </si>
  <si>
    <t>976-PT-007</t>
  </si>
  <si>
    <t>GN-673-FP</t>
  </si>
  <si>
    <t>Abdallah</t>
  </si>
  <si>
    <t>taxi.ahmedabdallah@gmail.com</t>
  </si>
  <si>
    <t>054 396 627 000 17</t>
  </si>
  <si>
    <t>976-PT-036</t>
  </si>
  <si>
    <t>AK-861-JF</t>
  </si>
  <si>
    <t>SAID ALI</t>
  </si>
  <si>
    <t>Kamile</t>
  </si>
  <si>
    <t>06 39 22 01 83</t>
  </si>
  <si>
    <t>saidali.kamile976@gmail.com</t>
  </si>
  <si>
    <t>752 926 618 000 22</t>
  </si>
  <si>
    <t>976-PT-124</t>
  </si>
  <si>
    <t>CA-755-NZ</t>
  </si>
  <si>
    <t>SAIDI</t>
  </si>
  <si>
    <t>Ahamadi Abdou</t>
  </si>
  <si>
    <t>ahamadi0303@gmail.com</t>
  </si>
  <si>
    <t>066 306 549 000 16</t>
  </si>
  <si>
    <t>976-PT-097</t>
  </si>
  <si>
    <t>DR-955-ZZ</t>
  </si>
  <si>
    <t>ATHMANI</t>
  </si>
  <si>
    <t>Abdou</t>
  </si>
  <si>
    <t>athmani.abdou67@gmail.com</t>
  </si>
  <si>
    <t>751 019 860 000 12</t>
  </si>
  <si>
    <t>976-PT-123</t>
  </si>
  <si>
    <t>BT-888-VN</t>
  </si>
  <si>
    <t>FAKIHI</t>
  </si>
  <si>
    <t>M'Bouchi</t>
  </si>
  <si>
    <t xml:space="preserve">0639233680
0693493111
</t>
  </si>
  <si>
    <t>artisan97615@gmail.com</t>
  </si>
  <si>
    <t>881 267 686 00015</t>
  </si>
  <si>
    <t>976-PT-081</t>
  </si>
  <si>
    <t>CW-054-BG</t>
  </si>
  <si>
    <t>DAOU LOUNGOU</t>
  </si>
  <si>
    <t>daouloungouzakaria@gmail.com</t>
  </si>
  <si>
    <t>066 305 186 000 18</t>
  </si>
  <si>
    <t>976-PT-055</t>
  </si>
  <si>
    <t>H17</t>
  </si>
  <si>
    <t>Assoumani</t>
  </si>
  <si>
    <t>HAMADA</t>
  </si>
  <si>
    <t>H18</t>
  </si>
  <si>
    <t>H19</t>
  </si>
  <si>
    <t>HAMISSI</t>
  </si>
  <si>
    <t>Selemani</t>
  </si>
  <si>
    <t>H20</t>
  </si>
  <si>
    <t>MBIAVOU</t>
  </si>
  <si>
    <t>Ismael</t>
  </si>
  <si>
    <t>SANDA</t>
  </si>
  <si>
    <t>Mahamoud</t>
  </si>
  <si>
    <t>H21</t>
  </si>
  <si>
    <t>CHM</t>
  </si>
  <si>
    <t>DIRECT/ AVEC ARRET</t>
  </si>
  <si>
    <t>13 ARRETS</t>
  </si>
  <si>
    <t>DIRECT</t>
  </si>
  <si>
    <t>Planning de ramassage de PETITE-TERRE</t>
  </si>
  <si>
    <t>Ligne CHM PETITE-TERRE</t>
  </si>
  <si>
    <t>VEHICULES 8 PLACES</t>
  </si>
  <si>
    <t>MATIN</t>
  </si>
  <si>
    <t>SENS</t>
  </si>
  <si>
    <t>CHM-&gt; Barge</t>
  </si>
  <si>
    <t>Village</t>
  </si>
  <si>
    <t>Lieu de ramassage</t>
  </si>
  <si>
    <t xml:space="preserve">Heures de ramassage matin 07h30  chm vers barge  </t>
  </si>
  <si>
    <t>PAMANDZI</t>
  </si>
  <si>
    <t>CIMETIERE PAMANDZI</t>
  </si>
  <si>
    <t>LYCEE DE PAMANDZI</t>
  </si>
  <si>
    <t>COLLEGE ZENA M'DERE PAMANDZI</t>
  </si>
  <si>
    <t>TUNNEL</t>
  </si>
  <si>
    <t>LABATTOIR</t>
  </si>
  <si>
    <t>MADININA</t>
  </si>
  <si>
    <t>EN FACE DU RESTAURANT LE MOYA</t>
  </si>
  <si>
    <t>RELAI DE DZIANI</t>
  </si>
  <si>
    <t>EN FACE DE MAIMOUN DEPOT</t>
  </si>
  <si>
    <t>CARREFOUR MARKET</t>
  </si>
  <si>
    <t>CIMETIERE LABATTOIR</t>
  </si>
  <si>
    <t>SOMACO LABATTOIR</t>
  </si>
  <si>
    <t>DZAOUDZI</t>
  </si>
  <si>
    <t>BARGE DE DZAOUDZI</t>
  </si>
  <si>
    <t>APRES-MIDI ET SOIREE</t>
  </si>
  <si>
    <t>CHM-&gt; Barge Direct</t>
  </si>
  <si>
    <t xml:space="preserve">Heures de ramassage après midi 15h00 pharmacie vers la barge </t>
  </si>
  <si>
    <t xml:space="preserve">Heures de ramassage après midi 18h15 barge vers chm </t>
  </si>
  <si>
    <t xml:space="preserve">CHM </t>
  </si>
  <si>
    <t>LIEU DE DEPART</t>
  </si>
  <si>
    <t>Direct/Non Direct</t>
  </si>
  <si>
    <t>Mois</t>
  </si>
  <si>
    <t>Nombre de trajet quotidien</t>
  </si>
  <si>
    <t>Nombre de jours dans le mois</t>
  </si>
  <si>
    <t>Dimanches et jours fériés</t>
  </si>
  <si>
    <t>Tarif</t>
  </si>
  <si>
    <t>Valeur</t>
  </si>
  <si>
    <t>Trajets véhicules 8 places avant 7:00</t>
  </si>
  <si>
    <t>Trajets véhicules 8 places de 7:00 à 7:30</t>
  </si>
  <si>
    <t>Type de trajets</t>
  </si>
  <si>
    <t>Direct</t>
  </si>
  <si>
    <t>Non Direct</t>
  </si>
  <si>
    <t>Tarif achat</t>
  </si>
  <si>
    <t>Cout achat</t>
  </si>
  <si>
    <t>Marge</t>
  </si>
  <si>
    <t>Coordinateur</t>
  </si>
  <si>
    <t>Marge direct</t>
  </si>
  <si>
    <t>Nbre trajets quotidiens</t>
  </si>
  <si>
    <t>Nbre jour</t>
  </si>
  <si>
    <t>Dimanche</t>
  </si>
  <si>
    <t>TOTAL MOIS</t>
  </si>
  <si>
    <t>Jours de la semaine hors samedi, dimanche et jours fériés</t>
  </si>
  <si>
    <t>Samedis</t>
  </si>
  <si>
    <t>Nombre de véhicules</t>
  </si>
  <si>
    <t>Trajets véhicules 8 places de 15:00 à 19:30</t>
  </si>
  <si>
    <t>Trajets véhicules 8 places de 14:00</t>
  </si>
  <si>
    <t>Trajets</t>
  </si>
  <si>
    <t>Semaine 1 et 2</t>
  </si>
  <si>
    <t>Semaine 3 et 4</t>
  </si>
  <si>
    <t>Lundi au Vendredi</t>
  </si>
  <si>
    <t>HEURE DE DEPART</t>
  </si>
  <si>
    <t>CHM-&gt; BARGE</t>
  </si>
  <si>
    <t>X</t>
  </si>
  <si>
    <t>BARGE-&gt; CHM</t>
  </si>
  <si>
    <t>CHM-&gt;BARGE</t>
  </si>
  <si>
    <t>EN RESERVE</t>
  </si>
  <si>
    <t>OPERATIONNEL MOIS</t>
  </si>
  <si>
    <t>SUIVANT</t>
  </si>
  <si>
    <t>Montant par mois</t>
  </si>
  <si>
    <t>&gt;1920€</t>
  </si>
  <si>
    <t>&gt;1040€</t>
  </si>
  <si>
    <t>Prix au trajet supplémentaire</t>
  </si>
  <si>
    <t>14€ le dimanche</t>
  </si>
  <si>
    <t>LIEU DE DEPART ET DESTINATION</t>
  </si>
  <si>
    <t>CHAUFFEURS</t>
  </si>
  <si>
    <t>DATE DE DEPART : 1/02/2026 (DIMANCHE)</t>
  </si>
  <si>
    <t>AFFICHETTES MAGNETIQUES INDIQUANT NAVETTE CHM</t>
  </si>
  <si>
    <t>RESPECT DES HORAIRES</t>
  </si>
  <si>
    <t>COORDINATEUR : IBRAHIM HAMADA</t>
  </si>
  <si>
    <t>ESPRIT D'EQUIPE</t>
  </si>
  <si>
    <t>CONTRÔLE DES BADGES CHM</t>
  </si>
  <si>
    <t>MARCHE AGENT CHM PETITE TERRE</t>
  </si>
  <si>
    <t>VEHICULE PROPRE ET CLIMATISE</t>
  </si>
  <si>
    <t>QUALITE D'ACCUEIL</t>
  </si>
  <si>
    <t>PLANNING INITIAL</t>
  </si>
  <si>
    <t>3h/jrs</t>
  </si>
  <si>
    <t>4h/jrs</t>
  </si>
  <si>
    <t>976-PT-002</t>
  </si>
  <si>
    <t>976-PT-122</t>
  </si>
  <si>
    <t>976-PT-017</t>
  </si>
  <si>
    <t>976-PT-003</t>
  </si>
  <si>
    <t>976-PT-042</t>
  </si>
  <si>
    <t>EF-006-YC</t>
  </si>
  <si>
    <t>EP-581-HZ</t>
  </si>
  <si>
    <t>ED-484-NV</t>
  </si>
  <si>
    <t>GD-071-AV</t>
  </si>
  <si>
    <t>AF-455-RR</t>
  </si>
  <si>
    <t>PARTI</t>
  </si>
  <si>
    <t>NON ACTION</t>
  </si>
  <si>
    <t>DOIT 200€</t>
  </si>
  <si>
    <t>DAHALANE</t>
  </si>
  <si>
    <t>Youssoufi</t>
  </si>
  <si>
    <t>0693479741</t>
  </si>
  <si>
    <t>youssoufidahalane@gmail.com</t>
  </si>
  <si>
    <t xml:space="preserve">054 399 407 000 29 </t>
  </si>
  <si>
    <t>976PT076</t>
  </si>
  <si>
    <t>CJ-429-CN</t>
  </si>
  <si>
    <t>hassaniattoumani1@gmail.com</t>
  </si>
  <si>
    <t>MARQUE</t>
  </si>
  <si>
    <t>PEUGEOT</t>
  </si>
  <si>
    <t>RENAULT</t>
  </si>
  <si>
    <t>RENAULT TRAFIC</t>
  </si>
  <si>
    <t>FIAT SCUDO</t>
  </si>
  <si>
    <t>VOLKSWAGEN TRANSP</t>
  </si>
  <si>
    <t>CLIM</t>
  </si>
  <si>
    <t>OPEL VIVARO</t>
  </si>
  <si>
    <t>DACIA SANDERO</t>
  </si>
  <si>
    <t>CITROEN EVASION</t>
  </si>
  <si>
    <t>Doit 250€</t>
  </si>
  <si>
    <t>ABDOULHAFFOUR</t>
  </si>
  <si>
    <t>mohamed.abdoulhaffour@orange.fr</t>
  </si>
  <si>
    <t>501 023 444 000 18</t>
  </si>
  <si>
    <t xml:space="preserve">ALI </t>
  </si>
  <si>
    <t>Mohamed 120</t>
  </si>
  <si>
    <t>SAID</t>
  </si>
  <si>
    <t>Hedja
La France</t>
  </si>
  <si>
    <t>saidhedja@hotmail.com</t>
  </si>
  <si>
    <t>024 036 485 000 27</t>
  </si>
  <si>
    <t>976PT100</t>
  </si>
  <si>
    <t>GP464EE</t>
  </si>
  <si>
    <t>KIA</t>
  </si>
  <si>
    <t>FJ-982-GV
AG-146-AG</t>
  </si>
  <si>
    <t>01/08/2019
20/04/2006</t>
  </si>
  <si>
    <t>Quel véhicule ?</t>
  </si>
  <si>
    <t>8 
5</t>
  </si>
  <si>
    <t>976-PT-120</t>
  </si>
  <si>
    <t>EG-086-GF</t>
  </si>
  <si>
    <t>?</t>
  </si>
  <si>
    <t>Titre de séjour_&gt;2031</t>
  </si>
  <si>
    <t>Y</t>
  </si>
  <si>
    <t>N</t>
  </si>
  <si>
    <t>Zakaria
Ismael</t>
  </si>
  <si>
    <t>976-PT-100</t>
  </si>
  <si>
    <t>976-PT-076</t>
  </si>
  <si>
    <t>SIGNATURE</t>
  </si>
  <si>
    <t>Doit 260€</t>
  </si>
  <si>
    <t xml:space="preserve">Titre de sejour-&gt;2025
</t>
  </si>
  <si>
    <t>A partir d'avril</t>
  </si>
  <si>
    <t>RESTE DU: 510€
Clim à vérifier</t>
  </si>
  <si>
    <t>Voir état véhicule</t>
  </si>
  <si>
    <t>OUI ?</t>
  </si>
  <si>
    <t>Lundi au Samedi</t>
  </si>
  <si>
    <t>,</t>
  </si>
  <si>
    <t>ù</t>
  </si>
  <si>
    <t>COORDINATEUR  NAVETTES CHM</t>
  </si>
  <si>
    <t>H</t>
  </si>
  <si>
    <t>Direct/non Direct</t>
  </si>
  <si>
    <t>Direct / Non Direct</t>
  </si>
  <si>
    <t>CRA+CHM</t>
  </si>
  <si>
    <t>CHM+CRA</t>
  </si>
  <si>
    <t>Heures de ramassage matin 5h40   CHM vers Barge</t>
  </si>
  <si>
    <t>NON PLANIFIE</t>
  </si>
  <si>
    <t xml:space="preserve">Heures de ramassage matin 6h00 CHM vers Barge </t>
  </si>
  <si>
    <t xml:space="preserve">Heures de ramassage matin 6h30 CHM vers la barge </t>
  </si>
  <si>
    <t>CHM-&gt;Barge Direct</t>
  </si>
  <si>
    <t xml:space="preserve">Heures de ramassage matin 06h55 barge vers chm </t>
  </si>
  <si>
    <t>La Barge-&gt; CHM+CRA DIRECT</t>
  </si>
  <si>
    <t xml:space="preserve">Heures de ramassage matin 07h05  chm vers barge  </t>
  </si>
  <si>
    <t>La Barge-&gt; CHM DIRECT</t>
  </si>
  <si>
    <t>Heures de ramassage matin 07h30  barge vers CHM</t>
  </si>
  <si>
    <t xml:space="preserve">Heures de ramassage matin 07h50 CHM vers Barge </t>
  </si>
  <si>
    <t>CRA</t>
  </si>
  <si>
    <t xml:space="preserve">La Barge-&gt; CHM </t>
  </si>
  <si>
    <t xml:space="preserve">Heures de ramassage 14:00 </t>
  </si>
  <si>
    <t xml:space="preserve">Heures de ramassage après midi 14h00 barge vers le CHM </t>
  </si>
  <si>
    <t>Heure de rammasage à 14:45 vers le CHM</t>
  </si>
  <si>
    <t xml:space="preserve">Heures de ramassage après midi 15h20 La barge vers le CHM </t>
  </si>
  <si>
    <t xml:space="preserve">Heures de ramassage après midi 15h50 La barge vers le CHM </t>
  </si>
  <si>
    <t xml:space="preserve">Heures de ramassage après midi 16h30 La barge vers le CHM </t>
  </si>
  <si>
    <t xml:space="preserve">Heures de ramassage après midi 17h00 La barge vers le CHM </t>
  </si>
  <si>
    <t xml:space="preserve">Heures de ramassage après midi 19h25 chm vers la barge </t>
  </si>
  <si>
    <t>CRA+CHM-&gt; Barge Direct</t>
  </si>
  <si>
    <t>CHM Marcel Henry</t>
  </si>
  <si>
    <t>DIRECT+CRA</t>
  </si>
  <si>
    <t xml:space="preserve">Heures de ramassage après midi 18h15 La barge vers le CHM </t>
  </si>
  <si>
    <t>La Barge-&gt; CHM  Direct</t>
  </si>
  <si>
    <t>S</t>
  </si>
  <si>
    <t>N° CHAUFFEUR</t>
  </si>
  <si>
    <t>HOUMADI</t>
  </si>
  <si>
    <t>COMMENTAIRES</t>
  </si>
  <si>
    <t>Doit 260€ pour solder son adhésion</t>
  </si>
  <si>
    <t>N'a pas payé son adhésion</t>
  </si>
  <si>
    <t>Doit 120€ ( 3 affichettes)</t>
  </si>
  <si>
    <t>Doit 50€ pour solder son adhésion
Doit 80€ ( 2 affichettes)</t>
  </si>
  <si>
    <t>EF-251-RR</t>
  </si>
  <si>
    <t>CHADHOULI Houmadi</t>
  </si>
  <si>
    <t>SAID ALI Kamile</t>
  </si>
  <si>
    <t>ATTOUMANI Kamaldine</t>
  </si>
  <si>
    <t>La Barge-&gt; CHM</t>
  </si>
  <si>
    <t>Heures de ramassage matin 5:45 La Barge vers CHM</t>
  </si>
  <si>
    <t xml:space="preserve">Heures de ramassage après midi 19h45 La Barge vers CHM </t>
  </si>
  <si>
    <t>NEW</t>
  </si>
  <si>
    <t xml:space="preserve">Heures de ramassage après midi 18h45 chm vers barge </t>
  </si>
  <si>
    <t>Nom Chauffeur réel
 ( si différent)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</si>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</sst>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#,##0\ &quot;€&quot;;[Red]\-#,##0\ &quot;€&quot;"/>
    <numFmt numFmtId="8" formatCode="#,##0.00\ &quot;€&quot;;[Red]\-#,##0.00\ &quot;€&quot;"/>
    <numFmt numFmtId="164" formatCode="0.0"/>
    <numFmt numFmtId="165" formatCode="[$-F800]dddd\,\ mmmm\ dd\,\ yyyy"/>
    <numFmt numFmtId="166" formatCode="#,##0\ &quot;€&quot;"/>
    <numFmt numFmtId="167" formatCode="yyyy"/>
    <numFmt numFmtId="168" formatCode="0#&quot; &quot;##&quot; &quot;##&quot; &quot;##&quot; &quot;##"/>
    <numFmt numFmtId="169" formatCode="h:mm;@"/>
    <numFmt numFmtId="170" formatCode="#,##0.00\ &quot;€&quot;"/>
  </numFmts>
  <fonts count="6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2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u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name val="Aptos Narrow"/>
      <family val="2"/>
      <scheme val="minor"/>
    </font>
    <font>
      <sz val="1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name val="Aptos Narrow"/>
      <family val="2"/>
      <scheme val="minor"/>
    </font>
    <font>
      <b/>
      <i/>
      <sz val="16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rgb="FF92D050"/>
      <name val="Aptos Narrow"/>
      <family val="2"/>
      <scheme val="minor"/>
    </font>
    <font>
      <b/>
      <sz val="20"/>
      <color theme="1"/>
      <name val="Garamond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20"/>
      <color theme="1"/>
      <name val="Aptos Narrow"/>
      <family val="2"/>
      <scheme val="minor"/>
    </font>
    <font>
      <strike/>
      <sz val="12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i/>
      <sz val="16"/>
      <name val="Aptos Narrow"/>
      <family val="2"/>
      <scheme val="minor"/>
    </font>
    <font>
      <i/>
      <sz val="12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12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663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/>
    <xf numFmtId="21" fontId="0" fillId="0" borderId="5" xfId="0" applyNumberFormat="1" applyBorder="1"/>
    <xf numFmtId="0" fontId="0" fillId="2" borderId="9" xfId="0" applyFill="1" applyBorder="1"/>
    <xf numFmtId="0" fontId="0" fillId="2" borderId="0" xfId="0" applyFill="1"/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4" xfId="0" applyBorder="1"/>
    <xf numFmtId="0" fontId="0" fillId="0" borderId="13" xfId="0" applyBorder="1"/>
    <xf numFmtId="0" fontId="2" fillId="0" borderId="9" xfId="0" applyFont="1" applyBorder="1"/>
    <xf numFmtId="0" fontId="2" fillId="0" borderId="4" xfId="0" applyFont="1" applyBorder="1"/>
    <xf numFmtId="0" fontId="0" fillId="0" borderId="10" xfId="0" applyBorder="1"/>
    <xf numFmtId="0" fontId="0" fillId="0" borderId="12" xfId="0" applyBorder="1"/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20" fontId="0" fillId="0" borderId="0" xfId="0" applyNumberFormat="1"/>
    <xf numFmtId="20" fontId="0" fillId="0" borderId="12" xfId="0" applyNumberFormat="1" applyBorder="1"/>
    <xf numFmtId="20" fontId="0" fillId="0" borderId="5" xfId="0" applyNumberFormat="1" applyBorder="1"/>
    <xf numFmtId="20" fontId="0" fillId="0" borderId="11" xfId="0" applyNumberFormat="1" applyBorder="1"/>
    <xf numFmtId="20" fontId="0" fillId="2" borderId="12" xfId="0" applyNumberFormat="1" applyFill="1" applyBorder="1"/>
    <xf numFmtId="0" fontId="0" fillId="0" borderId="10" xfId="0" applyBorder="1" applyAlignment="1">
      <alignment horizontal="center"/>
    </xf>
    <xf numFmtId="0" fontId="0" fillId="2" borderId="10" xfId="0" applyFill="1" applyBorder="1"/>
    <xf numFmtId="0" fontId="0" fillId="0" borderId="6" xfId="0" applyBorder="1"/>
    <xf numFmtId="0" fontId="0" fillId="2" borderId="12" xfId="0" applyFill="1" applyBorder="1"/>
    <xf numFmtId="20" fontId="0" fillId="0" borderId="10" xfId="0" applyNumberFormat="1" applyBorder="1"/>
    <xf numFmtId="20" fontId="0" fillId="2" borderId="10" xfId="0" applyNumberFormat="1" applyFill="1" applyBorder="1"/>
    <xf numFmtId="20" fontId="0" fillId="0" borderId="6" xfId="0" applyNumberFormat="1" applyBorder="1"/>
    <xf numFmtId="20" fontId="0" fillId="0" borderId="14" xfId="0" applyNumberFormat="1" applyBorder="1"/>
    <xf numFmtId="20" fontId="0" fillId="2" borderId="0" xfId="0" applyNumberFormat="1" applyFill="1"/>
    <xf numFmtId="0" fontId="2" fillId="0" borderId="0" xfId="0" applyFont="1"/>
    <xf numFmtId="0" fontId="2" fillId="0" borderId="5" xfId="0" applyFont="1" applyBorder="1"/>
    <xf numFmtId="0" fontId="0" fillId="0" borderId="0" xfId="0" applyAlignment="1">
      <alignment wrapText="1"/>
    </xf>
    <xf numFmtId="20" fontId="0" fillId="0" borderId="10" xfId="0" applyNumberFormat="1" applyBorder="1" applyAlignment="1">
      <alignment horizontal="center"/>
    </xf>
    <xf numFmtId="1" fontId="0" fillId="0" borderId="0" xfId="0" applyNumberFormat="1"/>
    <xf numFmtId="20" fontId="0" fillId="0" borderId="17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0" xfId="0" applyNumberFormat="1" applyBorder="1"/>
    <xf numFmtId="164" fontId="0" fillId="0" borderId="0" xfId="0" applyNumberFormat="1"/>
    <xf numFmtId="164" fontId="0" fillId="0" borderId="1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8" xfId="0" applyBorder="1"/>
    <xf numFmtId="20" fontId="0" fillId="0" borderId="0" xfId="0" applyNumberFormat="1" applyAlignment="1">
      <alignment horizontal="center"/>
    </xf>
    <xf numFmtId="165" fontId="0" fillId="0" borderId="13" xfId="0" applyNumberFormat="1" applyBorder="1"/>
    <xf numFmtId="1" fontId="9" fillId="0" borderId="0" xfId="1" applyNumberFormat="1" applyFont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49" fontId="10" fillId="0" borderId="32" xfId="1" applyNumberFormat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right" vertical="center" wrapText="1"/>
    </xf>
    <xf numFmtId="0" fontId="9" fillId="0" borderId="0" xfId="1" applyFont="1" applyAlignment="1">
      <alignment horizontal="center" vertical="center"/>
    </xf>
    <xf numFmtId="1" fontId="11" fillId="0" borderId="0" xfId="1" applyNumberFormat="1" applyFont="1" applyAlignment="1">
      <alignment vertical="center"/>
    </xf>
    <xf numFmtId="0" fontId="11" fillId="0" borderId="32" xfId="1" applyFont="1" applyBorder="1" applyAlignment="1">
      <alignment horizontal="left" vertical="center" wrapText="1"/>
    </xf>
    <xf numFmtId="0" fontId="13" fillId="0" borderId="32" xfId="2" applyFont="1" applyFill="1" applyBorder="1" applyAlignment="1">
      <alignment horizontal="left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right" vertical="center" wrapText="1"/>
    </xf>
    <xf numFmtId="14" fontId="11" fillId="0" borderId="32" xfId="1" applyNumberFormat="1" applyFont="1" applyBorder="1" applyAlignment="1">
      <alignment horizontal="right" vertical="center" wrapText="1"/>
    </xf>
    <xf numFmtId="0" fontId="14" fillId="0" borderId="32" xfId="1" applyFont="1" applyBorder="1" applyAlignment="1">
      <alignment horizontal="right" vertical="center"/>
    </xf>
    <xf numFmtId="14" fontId="14" fillId="0" borderId="32" xfId="1" applyNumberFormat="1" applyFont="1" applyBorder="1" applyAlignment="1">
      <alignment horizontal="right" vertical="center"/>
    </xf>
    <xf numFmtId="1" fontId="11" fillId="0" borderId="32" xfId="1" applyNumberFormat="1" applyFont="1" applyBorder="1" applyAlignment="1">
      <alignment horizontal="right" vertical="center" wrapText="1"/>
    </xf>
    <xf numFmtId="0" fontId="11" fillId="0" borderId="32" xfId="1" applyFont="1" applyBorder="1" applyAlignment="1">
      <alignment horizontal="center" vertical="center"/>
    </xf>
    <xf numFmtId="14" fontId="10" fillId="0" borderId="32" xfId="1" applyNumberFormat="1" applyFont="1" applyBorder="1" applyAlignment="1">
      <alignment horizontal="center" vertical="center" wrapText="1"/>
    </xf>
    <xf numFmtId="166" fontId="11" fillId="0" borderId="32" xfId="1" applyNumberFormat="1" applyFont="1" applyBorder="1" applyAlignment="1">
      <alignment horizontal="center" vertical="center" wrapText="1"/>
    </xf>
    <xf numFmtId="167" fontId="11" fillId="0" borderId="32" xfId="1" applyNumberFormat="1" applyFont="1" applyBorder="1" applyAlignment="1">
      <alignment horizontal="center" vertical="center" wrapText="1"/>
    </xf>
    <xf numFmtId="0" fontId="11" fillId="0" borderId="32" xfId="1" applyFont="1" applyBorder="1" applyAlignment="1">
      <alignment vertical="center" wrapText="1"/>
    </xf>
    <xf numFmtId="0" fontId="11" fillId="0" borderId="0" xfId="1" applyFont="1" applyAlignment="1">
      <alignment vertical="center"/>
    </xf>
    <xf numFmtId="0" fontId="15" fillId="0" borderId="32" xfId="2" applyFont="1" applyFill="1" applyBorder="1" applyAlignment="1">
      <alignment horizontal="left" vertical="center" wrapText="1"/>
    </xf>
    <xf numFmtId="3" fontId="11" fillId="0" borderId="32" xfId="1" quotePrefix="1" applyNumberFormat="1" applyFont="1" applyBorder="1" applyAlignment="1">
      <alignment horizontal="left" vertical="center" wrapText="1"/>
    </xf>
    <xf numFmtId="0" fontId="11" fillId="0" borderId="32" xfId="1" applyFont="1" applyBorder="1" applyAlignment="1">
      <alignment horizontal="right" vertical="center"/>
    </xf>
    <xf numFmtId="14" fontId="11" fillId="0" borderId="32" xfId="1" applyNumberFormat="1" applyFont="1" applyBorder="1" applyAlignment="1">
      <alignment horizontal="right" vertical="center"/>
    </xf>
    <xf numFmtId="166" fontId="11" fillId="0" borderId="32" xfId="1" applyNumberFormat="1" applyFont="1" applyBorder="1" applyAlignment="1">
      <alignment horizontal="left" vertical="center" wrapText="1"/>
    </xf>
    <xf numFmtId="16" fontId="11" fillId="0" borderId="32" xfId="1" applyNumberFormat="1" applyFont="1" applyBorder="1" applyAlignment="1">
      <alignment horizontal="left" vertical="center" wrapText="1"/>
    </xf>
    <xf numFmtId="0" fontId="16" fillId="0" borderId="32" xfId="1" applyFont="1" applyBorder="1" applyAlignment="1">
      <alignment horizontal="right" vertical="center" wrapText="1"/>
    </xf>
    <xf numFmtId="166" fontId="11" fillId="0" borderId="32" xfId="1" applyNumberFormat="1" applyFont="1" applyBorder="1" applyAlignment="1">
      <alignment horizontal="center" vertical="center"/>
    </xf>
    <xf numFmtId="0" fontId="17" fillId="0" borderId="32" xfId="1" applyFont="1" applyBorder="1" applyAlignment="1">
      <alignment horizontal="left" vertical="center" wrapText="1"/>
    </xf>
    <xf numFmtId="166" fontId="17" fillId="0" borderId="32" xfId="1" applyNumberFormat="1" applyFont="1" applyBorder="1" applyAlignment="1">
      <alignment horizontal="left" vertical="center" wrapText="1"/>
    </xf>
    <xf numFmtId="0" fontId="18" fillId="0" borderId="32" xfId="2" applyFont="1" applyFill="1" applyBorder="1" applyAlignment="1">
      <alignment horizontal="left" vertical="center" wrapText="1"/>
    </xf>
    <xf numFmtId="3" fontId="17" fillId="0" borderId="32" xfId="1" quotePrefix="1" applyNumberFormat="1" applyFont="1" applyBorder="1" applyAlignment="1">
      <alignment horizontal="left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right" vertical="center" wrapText="1"/>
    </xf>
    <xf numFmtId="14" fontId="17" fillId="0" borderId="32" xfId="1" applyNumberFormat="1" applyFont="1" applyBorder="1" applyAlignment="1">
      <alignment horizontal="right" vertical="center" wrapText="1"/>
    </xf>
    <xf numFmtId="0" fontId="19" fillId="0" borderId="32" xfId="1" applyFont="1" applyBorder="1" applyAlignment="1">
      <alignment horizontal="center" vertical="center" wrapText="1"/>
    </xf>
    <xf numFmtId="14" fontId="19" fillId="0" borderId="32" xfId="1" applyNumberFormat="1" applyFont="1" applyBorder="1" applyAlignment="1">
      <alignment horizontal="center" vertical="center" wrapText="1"/>
    </xf>
    <xf numFmtId="16" fontId="17" fillId="0" borderId="32" xfId="1" applyNumberFormat="1" applyFont="1" applyBorder="1" applyAlignment="1">
      <alignment horizontal="right" vertical="center" wrapText="1"/>
    </xf>
    <xf numFmtId="166" fontId="17" fillId="0" borderId="32" xfId="1" applyNumberFormat="1" applyFont="1" applyBorder="1" applyAlignment="1">
      <alignment horizontal="center" vertical="center"/>
    </xf>
    <xf numFmtId="49" fontId="19" fillId="0" borderId="32" xfId="1" applyNumberFormat="1" applyFont="1" applyBorder="1" applyAlignment="1">
      <alignment horizontal="center" vertical="center" wrapText="1"/>
    </xf>
    <xf numFmtId="166" fontId="17" fillId="0" borderId="32" xfId="1" applyNumberFormat="1" applyFont="1" applyBorder="1" applyAlignment="1">
      <alignment horizontal="center" vertical="center" wrapText="1"/>
    </xf>
    <xf numFmtId="167" fontId="17" fillId="0" borderId="32" xfId="1" applyNumberFormat="1" applyFont="1" applyBorder="1" applyAlignment="1">
      <alignment horizontal="center" vertical="center" wrapText="1"/>
    </xf>
    <xf numFmtId="0" fontId="17" fillId="0" borderId="32" xfId="1" applyFont="1" applyBorder="1" applyAlignment="1">
      <alignment vertical="center" wrapText="1"/>
    </xf>
    <xf numFmtId="0" fontId="12" fillId="0" borderId="32" xfId="2" applyFill="1" applyBorder="1" applyAlignment="1">
      <alignment horizontal="left" vertical="center" wrapText="1"/>
    </xf>
    <xf numFmtId="0" fontId="14" fillId="0" borderId="32" xfId="1" applyFont="1" applyBorder="1" applyAlignment="1">
      <alignment horizontal="right" vertical="center" wrapText="1"/>
    </xf>
    <xf numFmtId="14" fontId="14" fillId="0" borderId="32" xfId="1" applyNumberFormat="1" applyFont="1" applyBorder="1" applyAlignment="1">
      <alignment horizontal="right" vertical="center" wrapText="1"/>
    </xf>
    <xf numFmtId="3" fontId="11" fillId="0" borderId="32" xfId="1" applyNumberFormat="1" applyFont="1" applyBorder="1" applyAlignment="1">
      <alignment horizontal="left" vertical="center"/>
    </xf>
    <xf numFmtId="0" fontId="11" fillId="0" borderId="32" xfId="3" applyFont="1" applyBorder="1" applyAlignment="1">
      <alignment horizontal="right" vertical="center" wrapText="1"/>
    </xf>
    <xf numFmtId="3" fontId="11" fillId="0" borderId="32" xfId="1" applyNumberFormat="1" applyFont="1" applyBorder="1" applyAlignment="1">
      <alignment horizontal="left" vertical="center" wrapText="1"/>
    </xf>
    <xf numFmtId="166" fontId="14" fillId="0" borderId="32" xfId="1" applyNumberFormat="1" applyFont="1" applyBorder="1" applyAlignment="1">
      <alignment horizontal="right" vertical="center"/>
    </xf>
    <xf numFmtId="17" fontId="10" fillId="0" borderId="32" xfId="1" applyNumberFormat="1" applyFont="1" applyBorder="1" applyAlignment="1">
      <alignment horizontal="center" vertical="center" wrapText="1"/>
    </xf>
    <xf numFmtId="0" fontId="17" fillId="0" borderId="0" xfId="1" applyFont="1" applyAlignment="1">
      <alignment vertical="center"/>
    </xf>
    <xf numFmtId="0" fontId="20" fillId="0" borderId="32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/>
    </xf>
    <xf numFmtId="14" fontId="9" fillId="0" borderId="32" xfId="1" applyNumberFormat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49" fontId="10" fillId="0" borderId="0" xfId="1" applyNumberFormat="1" applyFont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8" fillId="0" borderId="0" xfId="2" applyFont="1" applyFill="1" applyBorder="1" applyAlignment="1">
      <alignment horizontal="left" vertical="center" wrapText="1"/>
    </xf>
    <xf numFmtId="3" fontId="17" fillId="0" borderId="0" xfId="1" quotePrefix="1" applyNumberFormat="1" applyFont="1" applyAlignment="1">
      <alignment horizontal="left" vertical="center" wrapText="1"/>
    </xf>
    <xf numFmtId="0" fontId="17" fillId="0" borderId="0" xfId="1" applyFont="1" applyAlignment="1">
      <alignment horizontal="center" vertical="center" wrapText="1"/>
    </xf>
    <xf numFmtId="0" fontId="17" fillId="0" borderId="0" xfId="1" applyFont="1" applyAlignment="1">
      <alignment horizontal="right" vertical="center" wrapText="1"/>
    </xf>
    <xf numFmtId="14" fontId="17" fillId="0" borderId="0" xfId="1" applyNumberFormat="1" applyFont="1" applyAlignment="1">
      <alignment horizontal="right" vertical="center" wrapText="1"/>
    </xf>
    <xf numFmtId="0" fontId="19" fillId="0" borderId="0" xfId="1" applyFont="1" applyAlignment="1">
      <alignment horizontal="center" vertical="center" wrapText="1"/>
    </xf>
    <xf numFmtId="14" fontId="19" fillId="0" borderId="0" xfId="1" applyNumberFormat="1" applyFont="1" applyAlignment="1">
      <alignment horizontal="center" vertical="center" wrapText="1"/>
    </xf>
    <xf numFmtId="166" fontId="17" fillId="0" borderId="0" xfId="1" applyNumberFormat="1" applyFont="1" applyAlignment="1">
      <alignment horizontal="left" vertical="center" wrapText="1"/>
    </xf>
    <xf numFmtId="166" fontId="17" fillId="0" borderId="0" xfId="1" applyNumberFormat="1" applyFont="1" applyAlignment="1">
      <alignment horizontal="center" vertical="center"/>
    </xf>
    <xf numFmtId="49" fontId="19" fillId="0" borderId="0" xfId="1" applyNumberFormat="1" applyFont="1" applyAlignment="1">
      <alignment horizontal="center" vertical="center" wrapText="1"/>
    </xf>
    <xf numFmtId="166" fontId="17" fillId="0" borderId="0" xfId="1" applyNumberFormat="1" applyFont="1" applyAlignment="1">
      <alignment horizontal="center" vertical="center" wrapText="1"/>
    </xf>
    <xf numFmtId="167" fontId="17" fillId="0" borderId="0" xfId="1" applyNumberFormat="1" applyFont="1" applyAlignment="1">
      <alignment horizontal="center" vertical="center" wrapText="1"/>
    </xf>
    <xf numFmtId="0" fontId="17" fillId="0" borderId="0" xfId="1" applyFont="1" applyAlignment="1">
      <alignment vertical="center" wrapText="1"/>
    </xf>
    <xf numFmtId="0" fontId="8" fillId="0" borderId="0" xfId="1"/>
    <xf numFmtId="0" fontId="0" fillId="0" borderId="0" xfId="0" applyAlignment="1">
      <alignment vertical="center"/>
    </xf>
    <xf numFmtId="20" fontId="0" fillId="0" borderId="20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19" xfId="0" applyBorder="1" applyAlignment="1">
      <alignment vertical="center"/>
    </xf>
    <xf numFmtId="20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9" xfId="0" applyBorder="1" applyAlignment="1">
      <alignment vertical="center"/>
    </xf>
    <xf numFmtId="20" fontId="0" fillId="0" borderId="0" xfId="0" applyNumberFormat="1" applyAlignment="1">
      <alignment vertical="center"/>
    </xf>
    <xf numFmtId="20" fontId="0" fillId="0" borderId="0" xfId="0" applyNumberFormat="1" applyAlignment="1">
      <alignment horizontal="center" vertical="center"/>
    </xf>
    <xf numFmtId="20" fontId="0" fillId="0" borderId="12" xfId="0" applyNumberForma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vertical="center"/>
    </xf>
    <xf numFmtId="20" fontId="0" fillId="2" borderId="12" xfId="0" applyNumberForma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4" xfId="0" applyFont="1" applyBorder="1" applyAlignment="1">
      <alignment vertical="center"/>
    </xf>
    <xf numFmtId="20" fontId="0" fillId="0" borderId="5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21" fontId="0" fillId="0" borderId="5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23" xfId="0" applyFont="1" applyBorder="1" applyAlignment="1">
      <alignment vertical="center"/>
    </xf>
    <xf numFmtId="20" fontId="0" fillId="0" borderId="24" xfId="0" applyNumberFormat="1" applyBorder="1" applyAlignment="1">
      <alignment vertical="center"/>
    </xf>
    <xf numFmtId="20" fontId="0" fillId="0" borderId="25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9" xfId="0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0" fontId="0" fillId="0" borderId="22" xfId="0" applyNumberFormat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0" fontId="0" fillId="0" borderId="10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vertical="center"/>
    </xf>
    <xf numFmtId="20" fontId="0" fillId="2" borderId="10" xfId="0" applyNumberFormat="1" applyFill="1" applyBorder="1" applyAlignment="1">
      <alignment vertical="center"/>
    </xf>
    <xf numFmtId="20" fontId="0" fillId="2" borderId="0" xfId="0" applyNumberFormat="1" applyFill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20" fontId="0" fillId="0" borderId="26" xfId="0" applyNumberForma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0" fontId="0" fillId="0" borderId="6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20" fontId="0" fillId="0" borderId="14" xfId="0" applyNumberFormat="1" applyBorder="1" applyAlignment="1">
      <alignment vertical="center"/>
    </xf>
    <xf numFmtId="20" fontId="0" fillId="0" borderId="13" xfId="0" applyNumberForma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4" fillId="0" borderId="9" xfId="0" applyFont="1" applyBorder="1" applyAlignment="1">
      <alignment vertical="center"/>
    </xf>
    <xf numFmtId="20" fontId="3" fillId="0" borderId="0" xfId="0" applyNumberFormat="1" applyFont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20" fontId="3" fillId="0" borderId="5" xfId="0" applyNumberFormat="1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7" fillId="0" borderId="0" xfId="0" applyFont="1"/>
    <xf numFmtId="0" fontId="0" fillId="0" borderId="15" xfId="0" applyBorder="1" applyAlignment="1">
      <alignment horizontal="center" vertical="center"/>
    </xf>
    <xf numFmtId="0" fontId="21" fillId="0" borderId="11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33" xfId="0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20" fontId="8" fillId="0" borderId="13" xfId="0" applyNumberFormat="1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20" fontId="1" fillId="0" borderId="13" xfId="0" applyNumberFormat="1" applyFont="1" applyBorder="1" applyAlignment="1">
      <alignment vertical="center"/>
    </xf>
    <xf numFmtId="165" fontId="0" fillId="0" borderId="15" xfId="0" applyNumberFormat="1" applyBorder="1" applyAlignment="1">
      <alignment horizontal="center" vertical="center"/>
    </xf>
    <xf numFmtId="0" fontId="21" fillId="0" borderId="0" xfId="0" applyFont="1" applyAlignment="1">
      <alignment vertical="center"/>
    </xf>
    <xf numFmtId="20" fontId="8" fillId="0" borderId="15" xfId="0" applyNumberFormat="1" applyFont="1" applyBorder="1" applyAlignment="1">
      <alignment vertical="center"/>
    </xf>
    <xf numFmtId="0" fontId="11" fillId="0" borderId="32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right" vertical="center" wrapText="1"/>
    </xf>
    <xf numFmtId="14" fontId="11" fillId="0" borderId="32" xfId="0" applyNumberFormat="1" applyFont="1" applyBorder="1" applyAlignment="1">
      <alignment horizontal="right" vertical="center" wrapText="1"/>
    </xf>
    <xf numFmtId="0" fontId="11" fillId="0" borderId="32" xfId="0" applyFont="1" applyBorder="1" applyAlignment="1">
      <alignment horizontal="center" vertical="center" wrapText="1"/>
    </xf>
    <xf numFmtId="20" fontId="1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33" xfId="0" applyBorder="1" applyAlignment="1">
      <alignment vertical="center"/>
    </xf>
    <xf numFmtId="0" fontId="21" fillId="0" borderId="33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21" fillId="0" borderId="33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20" fontId="1" fillId="0" borderId="33" xfId="0" applyNumberFormat="1" applyFont="1" applyBorder="1" applyAlignment="1">
      <alignment horizontal="center" vertical="center"/>
    </xf>
    <xf numFmtId="20" fontId="0" fillId="0" borderId="33" xfId="0" applyNumberFormat="1" applyBorder="1" applyAlignment="1">
      <alignment horizontal="center" vertical="center"/>
    </xf>
    <xf numFmtId="20" fontId="8" fillId="0" borderId="5" xfId="0" applyNumberFormat="1" applyFont="1" applyBorder="1" applyAlignment="1">
      <alignment vertical="center"/>
    </xf>
    <xf numFmtId="20" fontId="1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vertical="center"/>
    </xf>
    <xf numFmtId="0" fontId="21" fillId="0" borderId="7" xfId="0" applyFont="1" applyBorder="1" applyAlignment="1">
      <alignment vertical="center"/>
    </xf>
    <xf numFmtId="20" fontId="21" fillId="0" borderId="0" xfId="0" applyNumberFormat="1" applyFont="1" applyAlignment="1">
      <alignment vertical="center"/>
    </xf>
    <xf numFmtId="20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1" fontId="0" fillId="0" borderId="0" xfId="0" applyNumberFormat="1" applyAlignment="1">
      <alignment vertical="center"/>
    </xf>
    <xf numFmtId="0" fontId="1" fillId="0" borderId="33" xfId="0" applyFont="1" applyBorder="1" applyAlignment="1">
      <alignment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3" borderId="33" xfId="0" applyFont="1" applyFill="1" applyBorder="1" applyAlignment="1">
      <alignment vertical="center"/>
    </xf>
    <xf numFmtId="20" fontId="1" fillId="3" borderId="33" xfId="0" applyNumberFormat="1" applyFont="1" applyFill="1" applyBorder="1" applyAlignment="1">
      <alignment horizontal="center" vertical="center"/>
    </xf>
    <xf numFmtId="20" fontId="1" fillId="3" borderId="0" xfId="0" applyNumberFormat="1" applyFont="1" applyFill="1" applyAlignment="1">
      <alignment horizontal="center" vertical="center"/>
    </xf>
    <xf numFmtId="0" fontId="0" fillId="0" borderId="33" xfId="0" applyBorder="1" applyAlignment="1">
      <alignment vertical="center" wrapText="1"/>
    </xf>
    <xf numFmtId="0" fontId="25" fillId="0" borderId="33" xfId="0" applyFont="1" applyBorder="1" applyAlignment="1">
      <alignment vertical="center"/>
    </xf>
    <xf numFmtId="20" fontId="27" fillId="0" borderId="0" xfId="0" applyNumberFormat="1" applyFont="1" applyAlignment="1">
      <alignment horizontal="center" vertical="center"/>
    </xf>
    <xf numFmtId="20" fontId="28" fillId="0" borderId="0" xfId="0" applyNumberFormat="1" applyFont="1" applyAlignment="1">
      <alignment vertical="center"/>
    </xf>
    <xf numFmtId="20" fontId="28" fillId="0" borderId="0" xfId="0" applyNumberFormat="1" applyFont="1" applyAlignment="1">
      <alignment horizontal="center" vertical="center"/>
    </xf>
    <xf numFmtId="20" fontId="27" fillId="0" borderId="0" xfId="0" applyNumberFormat="1" applyFont="1" applyAlignment="1">
      <alignment vertical="center"/>
    </xf>
    <xf numFmtId="0" fontId="0" fillId="0" borderId="33" xfId="0" applyBorder="1" applyAlignment="1">
      <alignment horizontal="center" vertical="center"/>
    </xf>
    <xf numFmtId="20" fontId="0" fillId="0" borderId="1" xfId="0" applyNumberFormat="1" applyBorder="1" applyAlignment="1">
      <alignment vertical="center"/>
    </xf>
    <xf numFmtId="0" fontId="21" fillId="0" borderId="35" xfId="0" applyFont="1" applyBorder="1" applyAlignment="1">
      <alignment horizontal="center" vertical="center" wrapText="1"/>
    </xf>
    <xf numFmtId="20" fontId="0" fillId="0" borderId="35" xfId="0" applyNumberFormat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14" fillId="2" borderId="35" xfId="0" applyFont="1" applyFill="1" applyBorder="1" applyAlignment="1">
      <alignment horizontal="center" vertical="center"/>
    </xf>
    <xf numFmtId="9" fontId="14" fillId="2" borderId="35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11" fillId="0" borderId="35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14" fillId="0" borderId="35" xfId="0" applyFont="1" applyBorder="1" applyAlignment="1">
      <alignment vertical="center" wrapText="1"/>
    </xf>
    <xf numFmtId="0" fontId="11" fillId="0" borderId="35" xfId="0" applyFont="1" applyBorder="1" applyAlignment="1">
      <alignment vertical="center"/>
    </xf>
    <xf numFmtId="0" fontId="14" fillId="0" borderId="35" xfId="0" applyFont="1" applyBorder="1" applyAlignment="1">
      <alignment wrapText="1"/>
    </xf>
    <xf numFmtId="20" fontId="30" fillId="0" borderId="35" xfId="0" applyNumberFormat="1" applyFont="1" applyBorder="1" applyAlignment="1">
      <alignment horizontal="center" vertical="center"/>
    </xf>
    <xf numFmtId="20" fontId="11" fillId="0" borderId="35" xfId="0" applyNumberFormat="1" applyFont="1" applyBorder="1" applyAlignment="1">
      <alignment vertical="center"/>
    </xf>
    <xf numFmtId="20" fontId="14" fillId="0" borderId="35" xfId="0" applyNumberFormat="1" applyFont="1" applyBorder="1" applyAlignment="1">
      <alignment vertical="center"/>
    </xf>
    <xf numFmtId="0" fontId="14" fillId="0" borderId="35" xfId="0" applyFont="1" applyBorder="1" applyAlignment="1">
      <alignment horizontal="center" vertical="center"/>
    </xf>
    <xf numFmtId="20" fontId="14" fillId="0" borderId="35" xfId="0" applyNumberFormat="1" applyFont="1" applyBorder="1" applyAlignment="1">
      <alignment horizontal="center" vertical="center"/>
    </xf>
    <xf numFmtId="9" fontId="14" fillId="0" borderId="35" xfId="4" applyFont="1" applyBorder="1" applyAlignment="1">
      <alignment horizontal="center" vertical="center"/>
    </xf>
    <xf numFmtId="9" fontId="14" fillId="0" borderId="35" xfId="0" applyNumberFormat="1" applyFont="1" applyBorder="1" applyAlignment="1">
      <alignment horizontal="center" vertical="center"/>
    </xf>
    <xf numFmtId="0" fontId="14" fillId="2" borderId="35" xfId="0" applyFont="1" applyFill="1" applyBorder="1" applyAlignment="1">
      <alignment vertical="center"/>
    </xf>
    <xf numFmtId="20" fontId="14" fillId="2" borderId="35" xfId="0" applyNumberFormat="1" applyFont="1" applyFill="1" applyBorder="1" applyAlignment="1">
      <alignment vertical="center"/>
    </xf>
    <xf numFmtId="20" fontId="14" fillId="2" borderId="35" xfId="0" applyNumberFormat="1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9" fontId="14" fillId="2" borderId="35" xfId="4" applyFont="1" applyFill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11" fillId="2" borderId="35" xfId="0" applyFont="1" applyFill="1" applyBorder="1" applyAlignment="1">
      <alignment vertical="center"/>
    </xf>
    <xf numFmtId="20" fontId="30" fillId="2" borderId="35" xfId="0" applyNumberFormat="1" applyFont="1" applyFill="1" applyBorder="1" applyAlignment="1">
      <alignment horizontal="center" vertical="center"/>
    </xf>
    <xf numFmtId="20" fontId="11" fillId="2" borderId="35" xfId="0" applyNumberFormat="1" applyFont="1" applyFill="1" applyBorder="1" applyAlignment="1">
      <alignment vertical="center"/>
    </xf>
    <xf numFmtId="0" fontId="0" fillId="0" borderId="35" xfId="0" applyBorder="1" applyAlignment="1">
      <alignment horizontal="left" vertical="center"/>
    </xf>
    <xf numFmtId="20" fontId="31" fillId="0" borderId="13" xfId="0" applyNumberFormat="1" applyFont="1" applyBorder="1" applyAlignment="1">
      <alignment vertical="center"/>
    </xf>
    <xf numFmtId="49" fontId="0" fillId="0" borderId="35" xfId="0" applyNumberFormat="1" applyBorder="1" applyAlignment="1">
      <alignment vertical="center"/>
    </xf>
    <xf numFmtId="0" fontId="21" fillId="0" borderId="35" xfId="0" applyFont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33" fillId="0" borderId="35" xfId="0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2" fillId="0" borderId="0" xfId="0" applyFont="1" applyAlignment="1">
      <alignment horizontal="center" vertical="center" wrapText="1"/>
    </xf>
    <xf numFmtId="20" fontId="1" fillId="0" borderId="3" xfId="0" applyNumberFormat="1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/>
    </xf>
    <xf numFmtId="20" fontId="35" fillId="0" borderId="35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1" fillId="0" borderId="35" xfId="0" applyFont="1" applyBorder="1" applyAlignment="1">
      <alignment horizontal="right" vertical="center"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3" borderId="0" xfId="0" applyFill="1" applyAlignment="1">
      <alignment horizontal="center" wrapText="1"/>
    </xf>
    <xf numFmtId="0" fontId="37" fillId="0" borderId="33" xfId="0" applyFont="1" applyBorder="1" applyAlignment="1">
      <alignment vertical="center"/>
    </xf>
    <xf numFmtId="20" fontId="37" fillId="0" borderId="33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20" fontId="7" fillId="0" borderId="3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35" xfId="0" applyFont="1" applyBorder="1" applyAlignment="1">
      <alignment horizontal="left" vertical="center"/>
    </xf>
    <xf numFmtId="0" fontId="36" fillId="0" borderId="35" xfId="0" applyFont="1" applyBorder="1" applyAlignment="1">
      <alignment horizontal="right" vertical="center" wrapText="1"/>
    </xf>
    <xf numFmtId="0" fontId="38" fillId="0" borderId="35" xfId="0" applyFont="1" applyBorder="1" applyAlignment="1">
      <alignment vertical="center"/>
    </xf>
    <xf numFmtId="20" fontId="39" fillId="0" borderId="35" xfId="0" applyNumberFormat="1" applyFont="1" applyBorder="1" applyAlignment="1">
      <alignment horizontal="center" vertical="center"/>
    </xf>
    <xf numFmtId="20" fontId="28" fillId="3" borderId="0" xfId="0" applyNumberFormat="1" applyFont="1" applyFill="1" applyAlignment="1">
      <alignment vertical="center"/>
    </xf>
    <xf numFmtId="1" fontId="0" fillId="0" borderId="0" xfId="0" applyNumberFormat="1" applyAlignment="1">
      <alignment vertical="center"/>
    </xf>
    <xf numFmtId="1" fontId="14" fillId="2" borderId="35" xfId="0" applyNumberFormat="1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20" fontId="1" fillId="0" borderId="7" xfId="0" applyNumberFormat="1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0" fillId="0" borderId="33" xfId="0" applyFont="1" applyBorder="1" applyAlignment="1">
      <alignment vertical="center"/>
    </xf>
    <xf numFmtId="20" fontId="40" fillId="0" borderId="33" xfId="0" applyNumberFormat="1" applyFont="1" applyBorder="1" applyAlignment="1">
      <alignment vertical="center"/>
    </xf>
    <xf numFmtId="0" fontId="40" fillId="0" borderId="33" xfId="0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20" fontId="8" fillId="0" borderId="9" xfId="0" applyNumberFormat="1" applyFont="1" applyBorder="1" applyAlignment="1">
      <alignment vertical="center"/>
    </xf>
    <xf numFmtId="0" fontId="21" fillId="0" borderId="10" xfId="0" applyFont="1" applyBorder="1" applyAlignment="1">
      <alignment vertical="center" wrapText="1"/>
    </xf>
    <xf numFmtId="20" fontId="40" fillId="0" borderId="14" xfId="0" applyNumberFormat="1" applyFont="1" applyBorder="1" applyAlignment="1">
      <alignment vertical="center"/>
    </xf>
    <xf numFmtId="20" fontId="0" fillId="0" borderId="7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35" xfId="0" applyFont="1" applyBorder="1" applyAlignment="1" applyProtection="1">
      <alignment horizontal="center" vertical="center" wrapText="1"/>
      <protection locked="0"/>
    </xf>
    <xf numFmtId="1" fontId="11" fillId="0" borderId="35" xfId="0" applyNumberFormat="1" applyFont="1" applyBorder="1" applyAlignment="1" applyProtection="1">
      <alignment horizontal="center" vertical="center" wrapText="1"/>
      <protection locked="0"/>
    </xf>
    <xf numFmtId="0" fontId="29" fillId="0" borderId="35" xfId="0" applyFont="1" applyBorder="1" applyAlignment="1" applyProtection="1">
      <alignment horizontal="center" vertical="center" wrapText="1"/>
      <protection locked="0"/>
    </xf>
    <xf numFmtId="0" fontId="14" fillId="0" borderId="35" xfId="0" applyFont="1" applyBorder="1" applyAlignment="1" applyProtection="1">
      <alignment vertical="center" wrapText="1"/>
      <protection locked="0"/>
    </xf>
    <xf numFmtId="0" fontId="11" fillId="0" borderId="35" xfId="0" applyFont="1" applyBorder="1" applyAlignment="1" applyProtection="1">
      <alignment vertical="center"/>
      <protection locked="0"/>
    </xf>
    <xf numFmtId="20" fontId="14" fillId="0" borderId="35" xfId="0" applyNumberFormat="1" applyFont="1" applyBorder="1" applyAlignment="1" applyProtection="1">
      <alignment vertical="center"/>
      <protection locked="0"/>
    </xf>
    <xf numFmtId="1" fontId="14" fillId="0" borderId="35" xfId="0" applyNumberFormat="1" applyFont="1" applyBorder="1" applyAlignment="1" applyProtection="1">
      <alignment horizontal="center" vertical="center"/>
      <protection locked="0"/>
    </xf>
    <xf numFmtId="0" fontId="14" fillId="0" borderId="35" xfId="0" applyFont="1" applyBorder="1" applyAlignment="1" applyProtection="1">
      <alignment horizontal="center" vertical="center"/>
      <protection locked="0"/>
    </xf>
    <xf numFmtId="0" fontId="14" fillId="0" borderId="35" xfId="0" applyFont="1" applyBorder="1" applyAlignment="1" applyProtection="1">
      <alignment vertical="center"/>
      <protection locked="0"/>
    </xf>
    <xf numFmtId="0" fontId="11" fillId="0" borderId="32" xfId="2" applyFont="1" applyFill="1" applyBorder="1" applyAlignment="1">
      <alignment horizontal="right" vertical="center" wrapText="1"/>
    </xf>
    <xf numFmtId="3" fontId="11" fillId="0" borderId="32" xfId="0" quotePrefix="1" applyNumberFormat="1" applyFont="1" applyBorder="1" applyAlignment="1">
      <alignment horizontal="right" vertical="center" wrapText="1"/>
    </xf>
    <xf numFmtId="49" fontId="11" fillId="0" borderId="32" xfId="0" applyNumberFormat="1" applyFont="1" applyBorder="1" applyAlignment="1">
      <alignment horizontal="right" vertical="center" wrapText="1"/>
    </xf>
    <xf numFmtId="0" fontId="11" fillId="0" borderId="32" xfId="2" applyFont="1" applyBorder="1" applyAlignment="1">
      <alignment horizontal="right" vertical="center" wrapText="1"/>
    </xf>
    <xf numFmtId="0" fontId="11" fillId="0" borderId="32" xfId="0" applyFont="1" applyBorder="1" applyAlignment="1">
      <alignment horizontal="center" vertical="center"/>
    </xf>
    <xf numFmtId="0" fontId="44" fillId="0" borderId="32" xfId="0" applyFont="1" applyBorder="1" applyAlignment="1">
      <alignment horizontal="left" vertical="center" wrapText="1"/>
    </xf>
    <xf numFmtId="20" fontId="11" fillId="0" borderId="35" xfId="0" applyNumberFormat="1" applyFont="1" applyBorder="1" applyAlignment="1">
      <alignment horizontal="center" vertical="center"/>
    </xf>
    <xf numFmtId="0" fontId="46" fillId="6" borderId="0" xfId="0" applyFont="1" applyFill="1" applyAlignment="1">
      <alignment horizontal="center" vertical="center"/>
    </xf>
    <xf numFmtId="0" fontId="47" fillId="7" borderId="0" xfId="0" applyFont="1" applyFill="1" applyAlignment="1">
      <alignment horizontal="center" vertical="center"/>
    </xf>
    <xf numFmtId="0" fontId="47" fillId="7" borderId="42" xfId="0" applyFont="1" applyFill="1" applyBorder="1" applyAlignment="1">
      <alignment horizontal="center" vertical="center"/>
    </xf>
    <xf numFmtId="0" fontId="47" fillId="7" borderId="34" xfId="0" applyFont="1" applyFill="1" applyBorder="1" applyAlignment="1">
      <alignment horizontal="center" vertical="center"/>
    </xf>
    <xf numFmtId="0" fontId="49" fillId="8" borderId="34" xfId="0" applyFont="1" applyFill="1" applyBorder="1" applyAlignment="1">
      <alignment horizontal="center" vertical="center"/>
    </xf>
    <xf numFmtId="0" fontId="49" fillId="8" borderId="48" xfId="0" applyFont="1" applyFill="1" applyBorder="1" applyAlignment="1">
      <alignment horizontal="center" vertical="center"/>
    </xf>
    <xf numFmtId="0" fontId="50" fillId="8" borderId="48" xfId="0" applyFont="1" applyFill="1" applyBorder="1" applyAlignment="1">
      <alignment horizontal="center" vertical="center" wrapText="1"/>
    </xf>
    <xf numFmtId="0" fontId="50" fillId="0" borderId="49" xfId="0" applyFont="1" applyBorder="1"/>
    <xf numFmtId="0" fontId="51" fillId="0" borderId="49" xfId="0" applyFont="1" applyBorder="1"/>
    <xf numFmtId="0" fontId="51" fillId="0" borderId="50" xfId="0" applyFont="1" applyBorder="1"/>
    <xf numFmtId="20" fontId="51" fillId="0" borderId="5" xfId="0" applyNumberFormat="1" applyFont="1" applyBorder="1"/>
    <xf numFmtId="169" fontId="0" fillId="0" borderId="51" xfId="0" applyNumberFormat="1" applyBorder="1" applyAlignment="1">
      <alignment horizontal="center" vertical="center"/>
    </xf>
    <xf numFmtId="20" fontId="51" fillId="0" borderId="33" xfId="0" applyNumberFormat="1" applyFont="1" applyBorder="1"/>
    <xf numFmtId="0" fontId="50" fillId="0" borderId="33" xfId="0" applyFont="1" applyBorder="1"/>
    <xf numFmtId="0" fontId="51" fillId="0" borderId="33" xfId="0" applyFont="1" applyBorder="1"/>
    <xf numFmtId="0" fontId="49" fillId="8" borderId="48" xfId="0" applyFont="1" applyFill="1" applyBorder="1" applyAlignment="1">
      <alignment horizontal="center" vertical="center" wrapText="1"/>
    </xf>
    <xf numFmtId="0" fontId="49" fillId="8" borderId="47" xfId="0" applyFont="1" applyFill="1" applyBorder="1" applyAlignment="1">
      <alignment horizontal="center" vertical="center" wrapText="1"/>
    </xf>
    <xf numFmtId="20" fontId="0" fillId="3" borderId="0" xfId="0" applyNumberFormat="1" applyFill="1" applyAlignment="1">
      <alignment wrapText="1"/>
    </xf>
    <xf numFmtId="20" fontId="0" fillId="3" borderId="0" xfId="0" applyNumberFormat="1" applyFill="1"/>
    <xf numFmtId="0" fontId="43" fillId="0" borderId="38" xfId="1" applyFont="1" applyBorder="1" applyAlignment="1">
      <alignment horizontal="center" vertical="center" wrapText="1"/>
    </xf>
    <xf numFmtId="0" fontId="11" fillId="0" borderId="38" xfId="1" applyFont="1" applyBorder="1" applyAlignment="1">
      <alignment horizontal="center" vertical="center" wrapText="1"/>
    </xf>
    <xf numFmtId="168" fontId="11" fillId="0" borderId="32" xfId="1" applyNumberFormat="1" applyFont="1" applyBorder="1" applyAlignment="1">
      <alignment horizontal="center" vertical="center" wrapText="1"/>
    </xf>
    <xf numFmtId="168" fontId="11" fillId="0" borderId="32" xfId="0" applyNumberFormat="1" applyFont="1" applyBorder="1" applyAlignment="1">
      <alignment horizontal="center" vertical="center" wrapText="1"/>
    </xf>
    <xf numFmtId="17" fontId="0" fillId="0" borderId="0" xfId="0" applyNumberFormat="1"/>
    <xf numFmtId="8" fontId="0" fillId="0" borderId="0" xfId="0" applyNumberFormat="1"/>
    <xf numFmtId="0" fontId="0" fillId="0" borderId="33" xfId="0" applyBorder="1"/>
    <xf numFmtId="0" fontId="0" fillId="0" borderId="33" xfId="0" applyBorder="1" applyAlignment="1">
      <alignment wrapText="1"/>
    </xf>
    <xf numFmtId="0" fontId="0" fillId="0" borderId="15" xfId="0" applyBorder="1"/>
    <xf numFmtId="0" fontId="0" fillId="0" borderId="15" xfId="0" applyBorder="1" applyAlignment="1">
      <alignment wrapText="1"/>
    </xf>
    <xf numFmtId="8" fontId="0" fillId="0" borderId="2" xfId="0" applyNumberFormat="1" applyBorder="1"/>
    <xf numFmtId="8" fontId="0" fillId="0" borderId="7" xfId="0" applyNumberFormat="1" applyBorder="1"/>
    <xf numFmtId="8" fontId="0" fillId="0" borderId="28" xfId="0" applyNumberFormat="1" applyBorder="1"/>
    <xf numFmtId="8" fontId="0" fillId="0" borderId="33" xfId="0" applyNumberFormat="1" applyBorder="1"/>
    <xf numFmtId="8" fontId="7" fillId="0" borderId="33" xfId="0" applyNumberFormat="1" applyFont="1" applyBorder="1"/>
    <xf numFmtId="0" fontId="0" fillId="0" borderId="7" xfId="0" applyBorder="1" applyAlignment="1">
      <alignment wrapText="1"/>
    </xf>
    <xf numFmtId="170" fontId="0" fillId="0" borderId="28" xfId="0" applyNumberFormat="1" applyBorder="1"/>
    <xf numFmtId="170" fontId="0" fillId="0" borderId="33" xfId="0" applyNumberFormat="1" applyBorder="1"/>
    <xf numFmtId="170" fontId="0" fillId="0" borderId="8" xfId="0" applyNumberFormat="1" applyBorder="1"/>
    <xf numFmtId="170" fontId="0" fillId="0" borderId="14" xfId="0" applyNumberFormat="1" applyBorder="1"/>
    <xf numFmtId="170" fontId="7" fillId="0" borderId="8" xfId="0" applyNumberFormat="1" applyFont="1" applyBorder="1"/>
    <xf numFmtId="170" fontId="0" fillId="0" borderId="0" xfId="0" applyNumberFormat="1"/>
    <xf numFmtId="0" fontId="7" fillId="0" borderId="13" xfId="0" applyFont="1" applyBorder="1"/>
    <xf numFmtId="9" fontId="7" fillId="0" borderId="14" xfId="4" applyFont="1" applyBorder="1"/>
    <xf numFmtId="170" fontId="0" fillId="0" borderId="7" xfId="0" applyNumberFormat="1" applyBorder="1"/>
    <xf numFmtId="0" fontId="7" fillId="0" borderId="15" xfId="0" applyFont="1" applyBorder="1"/>
    <xf numFmtId="170" fontId="7" fillId="0" borderId="14" xfId="0" applyNumberFormat="1" applyFont="1" applyBorder="1"/>
    <xf numFmtId="8" fontId="0" fillId="0" borderId="15" xfId="0" applyNumberFormat="1" applyBorder="1"/>
    <xf numFmtId="0" fontId="0" fillId="0" borderId="15" xfId="0" applyBorder="1" applyAlignment="1">
      <alignment horizontal="right"/>
    </xf>
    <xf numFmtId="9" fontId="7" fillId="0" borderId="33" xfId="4" applyFont="1" applyBorder="1"/>
    <xf numFmtId="0" fontId="21" fillId="0" borderId="0" xfId="0" applyFont="1"/>
    <xf numFmtId="0" fontId="21" fillId="4" borderId="0" xfId="0" applyFont="1" applyFill="1"/>
    <xf numFmtId="0" fontId="21" fillId="0" borderId="52" xfId="0" applyFont="1" applyBorder="1" applyAlignment="1">
      <alignment wrapText="1"/>
    </xf>
    <xf numFmtId="0" fontId="21" fillId="0" borderId="53" xfId="0" applyFont="1" applyBorder="1" applyAlignment="1">
      <alignment wrapText="1"/>
    </xf>
    <xf numFmtId="0" fontId="21" fillId="0" borderId="45" xfId="0" applyFont="1" applyBorder="1"/>
    <xf numFmtId="0" fontId="21" fillId="0" borderId="46" xfId="0" applyFont="1" applyBorder="1"/>
    <xf numFmtId="0" fontId="21" fillId="4" borderId="46" xfId="0" applyFont="1" applyFill="1" applyBorder="1"/>
    <xf numFmtId="0" fontId="21" fillId="0" borderId="42" xfId="0" applyFont="1" applyBorder="1"/>
    <xf numFmtId="0" fontId="21" fillId="0" borderId="55" xfId="0" applyFont="1" applyBorder="1"/>
    <xf numFmtId="0" fontId="21" fillId="0" borderId="39" xfId="0" applyFont="1" applyBorder="1"/>
    <xf numFmtId="0" fontId="21" fillId="0" borderId="55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57" xfId="0" applyFont="1" applyBorder="1"/>
    <xf numFmtId="0" fontId="21" fillId="0" borderId="48" xfId="0" applyFont="1" applyBorder="1" applyAlignment="1">
      <alignment horizontal="center"/>
    </xf>
    <xf numFmtId="20" fontId="21" fillId="0" borderId="45" xfId="0" applyNumberFormat="1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1" fillId="0" borderId="40" xfId="0" applyFont="1" applyBorder="1" applyAlignment="1">
      <alignment wrapText="1"/>
    </xf>
    <xf numFmtId="0" fontId="21" fillId="0" borderId="55" xfId="0" applyFont="1" applyBorder="1" applyAlignment="1">
      <alignment horizontal="left"/>
    </xf>
    <xf numFmtId="0" fontId="21" fillId="0" borderId="58" xfId="0" applyFont="1" applyBorder="1"/>
    <xf numFmtId="0" fontId="21" fillId="0" borderId="34" xfId="0" applyFont="1" applyBorder="1" applyAlignment="1">
      <alignment horizontal="center"/>
    </xf>
    <xf numFmtId="0" fontId="21" fillId="0" borderId="40" xfId="0" applyFont="1" applyBorder="1"/>
    <xf numFmtId="0" fontId="21" fillId="0" borderId="57" xfId="0" applyFont="1" applyBorder="1" applyAlignment="1">
      <alignment horizontal="center"/>
    </xf>
    <xf numFmtId="6" fontId="21" fillId="0" borderId="34" xfId="0" applyNumberFormat="1" applyFont="1" applyBorder="1" applyAlignment="1">
      <alignment horizontal="center"/>
    </xf>
    <xf numFmtId="0" fontId="21" fillId="0" borderId="34" xfId="0" applyFont="1" applyBorder="1" applyAlignment="1">
      <alignment horizontal="center" wrapText="1"/>
    </xf>
    <xf numFmtId="6" fontId="21" fillId="0" borderId="58" xfId="0" applyNumberFormat="1" applyFont="1" applyBorder="1" applyAlignment="1">
      <alignment horizontal="center"/>
    </xf>
    <xf numFmtId="0" fontId="21" fillId="0" borderId="56" xfId="0" applyFont="1" applyBorder="1" applyAlignment="1">
      <alignment horizontal="center" wrapText="1"/>
    </xf>
    <xf numFmtId="0" fontId="0" fillId="0" borderId="55" xfId="0" applyBorder="1"/>
    <xf numFmtId="0" fontId="0" fillId="0" borderId="58" xfId="0" applyBorder="1"/>
    <xf numFmtId="0" fontId="0" fillId="0" borderId="56" xfId="0" applyBorder="1"/>
    <xf numFmtId="0" fontId="21" fillId="0" borderId="39" xfId="0" applyFont="1" applyBorder="1" applyAlignment="1">
      <alignment horizontal="center"/>
    </xf>
    <xf numFmtId="0" fontId="32" fillId="0" borderId="0" xfId="0" applyFont="1"/>
    <xf numFmtId="0" fontId="52" fillId="0" borderId="0" xfId="0" applyFont="1"/>
    <xf numFmtId="0" fontId="21" fillId="0" borderId="34" xfId="0" applyFont="1" applyBorder="1" applyAlignment="1">
      <alignment horizontal="center" vertical="center"/>
    </xf>
    <xf numFmtId="0" fontId="53" fillId="0" borderId="32" xfId="1" applyFont="1" applyBorder="1" applyAlignment="1">
      <alignment horizontal="left" vertical="center" wrapText="1"/>
    </xf>
    <xf numFmtId="0" fontId="53" fillId="0" borderId="32" xfId="1" applyFont="1" applyBorder="1" applyAlignment="1">
      <alignment horizontal="center" vertical="center" wrapText="1"/>
    </xf>
    <xf numFmtId="168" fontId="53" fillId="0" borderId="32" xfId="0" applyNumberFormat="1" applyFont="1" applyBorder="1" applyAlignment="1">
      <alignment horizontal="center" vertical="center" wrapText="1"/>
    </xf>
    <xf numFmtId="0" fontId="53" fillId="0" borderId="32" xfId="2" applyFont="1" applyFill="1" applyBorder="1" applyAlignment="1">
      <alignment horizontal="right" vertical="center" wrapText="1"/>
    </xf>
    <xf numFmtId="0" fontId="53" fillId="0" borderId="32" xfId="0" applyFont="1" applyBorder="1" applyAlignment="1">
      <alignment horizontal="right" vertical="center" wrapText="1"/>
    </xf>
    <xf numFmtId="49" fontId="53" fillId="0" borderId="32" xfId="0" applyNumberFormat="1" applyFont="1" applyBorder="1" applyAlignment="1">
      <alignment horizontal="right" vertical="center" wrapText="1"/>
    </xf>
    <xf numFmtId="14" fontId="53" fillId="0" borderId="32" xfId="0" applyNumberFormat="1" applyFont="1" applyBorder="1" applyAlignment="1">
      <alignment horizontal="right" vertical="center" wrapText="1"/>
    </xf>
    <xf numFmtId="0" fontId="53" fillId="0" borderId="32" xfId="0" applyFont="1" applyBorder="1" applyAlignment="1">
      <alignment horizontal="center" vertical="center" wrapText="1"/>
    </xf>
    <xf numFmtId="0" fontId="43" fillId="0" borderId="32" xfId="1" applyFont="1" applyBorder="1" applyAlignment="1">
      <alignment horizontal="left" vertical="center" wrapText="1"/>
    </xf>
    <xf numFmtId="0" fontId="43" fillId="0" borderId="32" xfId="1" applyFont="1" applyBorder="1" applyAlignment="1">
      <alignment horizontal="center" vertical="center" wrapText="1"/>
    </xf>
    <xf numFmtId="0" fontId="3" fillId="0" borderId="0" xfId="0" applyFont="1"/>
    <xf numFmtId="0" fontId="25" fillId="0" borderId="38" xfId="1" applyFont="1" applyBorder="1" applyAlignment="1">
      <alignment horizontal="left" vertical="center" wrapText="1"/>
    </xf>
    <xf numFmtId="0" fontId="25" fillId="0" borderId="38" xfId="1" applyFont="1" applyBorder="1" applyAlignment="1">
      <alignment horizontal="center" vertical="center" wrapText="1"/>
    </xf>
    <xf numFmtId="0" fontId="25" fillId="0" borderId="32" xfId="1" applyFont="1" applyBorder="1" applyAlignment="1">
      <alignment horizontal="center" vertical="center" wrapText="1"/>
    </xf>
    <xf numFmtId="0" fontId="25" fillId="0" borderId="32" xfId="0" applyFont="1" applyBorder="1" applyAlignment="1">
      <alignment horizontal="right" vertical="center" wrapText="1"/>
    </xf>
    <xf numFmtId="14" fontId="25" fillId="0" borderId="32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11" fillId="0" borderId="59" xfId="1" applyFont="1" applyBorder="1" applyAlignment="1">
      <alignment horizontal="left" vertical="center" wrapText="1"/>
    </xf>
    <xf numFmtId="0" fontId="11" fillId="0" borderId="59" xfId="1" applyFont="1" applyBorder="1" applyAlignment="1">
      <alignment horizontal="center" vertical="center" wrapText="1"/>
    </xf>
    <xf numFmtId="168" fontId="11" fillId="0" borderId="59" xfId="1" applyNumberFormat="1" applyFont="1" applyBorder="1" applyAlignment="1">
      <alignment horizontal="center" vertical="center" wrapText="1"/>
    </xf>
    <xf numFmtId="0" fontId="11" fillId="0" borderId="59" xfId="2" applyFont="1" applyFill="1" applyBorder="1" applyAlignment="1">
      <alignment horizontal="right" vertical="center" wrapText="1"/>
    </xf>
    <xf numFmtId="3" fontId="11" fillId="0" borderId="59" xfId="0" quotePrefix="1" applyNumberFormat="1" applyFont="1" applyBorder="1" applyAlignment="1">
      <alignment horizontal="right" vertical="center" wrapText="1"/>
    </xf>
    <xf numFmtId="49" fontId="11" fillId="0" borderId="59" xfId="0" applyNumberFormat="1" applyFont="1" applyBorder="1" applyAlignment="1">
      <alignment horizontal="right" vertical="center" wrapText="1"/>
    </xf>
    <xf numFmtId="0" fontId="11" fillId="0" borderId="59" xfId="0" applyFont="1" applyBorder="1" applyAlignment="1">
      <alignment horizontal="right" vertical="center" wrapText="1"/>
    </xf>
    <xf numFmtId="0" fontId="11" fillId="0" borderId="59" xfId="0" applyFont="1" applyBorder="1" applyAlignment="1">
      <alignment horizontal="center" vertical="center" wrapText="1"/>
    </xf>
    <xf numFmtId="0" fontId="0" fillId="0" borderId="34" xfId="0" applyBorder="1" applyAlignment="1">
      <alignment wrapText="1"/>
    </xf>
    <xf numFmtId="49" fontId="10" fillId="0" borderId="34" xfId="1" applyNumberFormat="1" applyFont="1" applyBorder="1" applyAlignment="1">
      <alignment horizontal="center" vertical="center" wrapText="1"/>
    </xf>
    <xf numFmtId="0" fontId="0" fillId="0" borderId="34" xfId="0" applyBorder="1"/>
    <xf numFmtId="168" fontId="11" fillId="0" borderId="32" xfId="0" applyNumberFormat="1" applyFont="1" applyBorder="1" applyAlignment="1">
      <alignment horizontal="right" vertical="center" wrapText="1"/>
    </xf>
    <xf numFmtId="14" fontId="25" fillId="0" borderId="0" xfId="0" applyNumberFormat="1" applyFont="1" applyAlignment="1">
      <alignment horizontal="right" vertical="center" wrapText="1"/>
    </xf>
    <xf numFmtId="0" fontId="43" fillId="0" borderId="32" xfId="0" applyFont="1" applyBorder="1" applyAlignment="1">
      <alignment horizontal="left" vertical="center" wrapText="1"/>
    </xf>
    <xf numFmtId="14" fontId="56" fillId="0" borderId="59" xfId="0" applyNumberFormat="1" applyFont="1" applyBorder="1" applyAlignment="1">
      <alignment horizontal="right" vertical="center" wrapText="1"/>
    </xf>
    <xf numFmtId="14" fontId="56" fillId="0" borderId="32" xfId="0" applyNumberFormat="1" applyFont="1" applyBorder="1" applyAlignment="1">
      <alignment horizontal="right" vertical="center" wrapText="1"/>
    </xf>
    <xf numFmtId="0" fontId="56" fillId="0" borderId="32" xfId="0" applyFont="1" applyBorder="1" applyAlignment="1">
      <alignment horizontal="right" vertical="center" wrapText="1"/>
    </xf>
    <xf numFmtId="0" fontId="11" fillId="0" borderId="0" xfId="2" applyFont="1" applyFill="1" applyBorder="1" applyAlignment="1">
      <alignment horizontal="right" vertical="center" wrapText="1"/>
    </xf>
    <xf numFmtId="3" fontId="11" fillId="0" borderId="32" xfId="0" applyNumberFormat="1" applyFont="1" applyBorder="1" applyAlignment="1">
      <alignment horizontal="right" vertical="center" wrapText="1"/>
    </xf>
    <xf numFmtId="49" fontId="11" fillId="9" borderId="32" xfId="0" applyNumberFormat="1" applyFont="1" applyFill="1" applyBorder="1" applyAlignment="1">
      <alignment horizontal="right" vertical="center" wrapText="1"/>
    </xf>
    <xf numFmtId="0" fontId="11" fillId="9" borderId="0" xfId="0" applyFont="1" applyFill="1" applyAlignment="1">
      <alignment horizontal="right" vertical="center" wrapText="1"/>
    </xf>
    <xf numFmtId="14" fontId="11" fillId="9" borderId="0" xfId="0" applyNumberFormat="1" applyFont="1" applyFill="1" applyAlignment="1">
      <alignment horizontal="right" vertical="center" wrapText="1"/>
    </xf>
    <xf numFmtId="0" fontId="56" fillId="0" borderId="32" xfId="0" applyFont="1" applyBorder="1" applyAlignment="1">
      <alignment horizontal="center" vertical="center" wrapText="1"/>
    </xf>
    <xf numFmtId="14" fontId="11" fillId="0" borderId="60" xfId="0" applyNumberFormat="1" applyFont="1" applyBorder="1" applyAlignment="1">
      <alignment horizontal="center" vertical="center" wrapText="1"/>
    </xf>
    <xf numFmtId="14" fontId="56" fillId="0" borderId="61" xfId="0" applyNumberFormat="1" applyFont="1" applyBorder="1" applyAlignment="1">
      <alignment horizontal="center" vertical="center" wrapText="1"/>
    </xf>
    <xf numFmtId="14" fontId="11" fillId="0" borderId="61" xfId="0" applyNumberFormat="1" applyFont="1" applyBorder="1" applyAlignment="1">
      <alignment horizontal="center" vertical="center" wrapText="1"/>
    </xf>
    <xf numFmtId="14" fontId="11" fillId="0" borderId="61" xfId="0" applyNumberFormat="1" applyFont="1" applyBorder="1" applyAlignment="1">
      <alignment horizontal="center" vertical="center"/>
    </xf>
    <xf numFmtId="14" fontId="53" fillId="0" borderId="61" xfId="0" applyNumberFormat="1" applyFont="1" applyBorder="1" applyAlignment="1">
      <alignment horizontal="center" vertical="center" wrapText="1"/>
    </xf>
    <xf numFmtId="14" fontId="11" fillId="0" borderId="54" xfId="0" applyNumberFormat="1" applyFont="1" applyBorder="1" applyAlignment="1">
      <alignment horizontal="center" vertical="center" wrapText="1"/>
    </xf>
    <xf numFmtId="14" fontId="11" fillId="0" borderId="54" xfId="0" applyNumberFormat="1" applyFont="1" applyBorder="1" applyAlignment="1">
      <alignment horizontal="right" vertical="center" wrapText="1"/>
    </xf>
    <xf numFmtId="49" fontId="56" fillId="0" borderId="54" xfId="0" applyNumberFormat="1" applyFont="1" applyBorder="1" applyAlignment="1">
      <alignment horizontal="center" vertical="center" wrapText="1"/>
    </xf>
    <xf numFmtId="0" fontId="0" fillId="0" borderId="54" xfId="0" applyBorder="1"/>
    <xf numFmtId="14" fontId="11" fillId="0" borderId="33" xfId="0" applyNumberFormat="1" applyFont="1" applyBorder="1" applyAlignment="1">
      <alignment horizontal="center" vertical="center" wrapText="1"/>
    </xf>
    <xf numFmtId="14" fontId="11" fillId="0" borderId="33" xfId="1" applyNumberFormat="1" applyFont="1" applyBorder="1" applyAlignment="1">
      <alignment horizontal="right" vertical="center"/>
    </xf>
    <xf numFmtId="49" fontId="56" fillId="0" borderId="33" xfId="0" applyNumberFormat="1" applyFont="1" applyBorder="1" applyAlignment="1">
      <alignment horizontal="center" vertical="center" wrapText="1"/>
    </xf>
    <xf numFmtId="14" fontId="11" fillId="0" borderId="33" xfId="0" applyNumberFormat="1" applyFont="1" applyBorder="1" applyAlignment="1">
      <alignment horizontal="right" vertical="center" wrapText="1"/>
    </xf>
    <xf numFmtId="49" fontId="11" fillId="0" borderId="33" xfId="0" applyNumberFormat="1" applyFont="1" applyBorder="1" applyAlignment="1">
      <alignment horizontal="center" vertical="center" wrapText="1"/>
    </xf>
    <xf numFmtId="14" fontId="14" fillId="0" borderId="33" xfId="1" applyNumberFormat="1" applyFont="1" applyBorder="1" applyAlignment="1">
      <alignment horizontal="right" vertical="center"/>
    </xf>
    <xf numFmtId="14" fontId="10" fillId="0" borderId="33" xfId="1" applyNumberFormat="1" applyFont="1" applyBorder="1" applyAlignment="1">
      <alignment horizontal="right" vertical="center" wrapText="1"/>
    </xf>
    <xf numFmtId="14" fontId="11" fillId="0" borderId="33" xfId="0" applyNumberFormat="1" applyFont="1" applyBorder="1" applyAlignment="1">
      <alignment horizontal="center" vertical="center"/>
    </xf>
    <xf numFmtId="14" fontId="10" fillId="0" borderId="33" xfId="0" applyNumberFormat="1" applyFont="1" applyBorder="1" applyAlignment="1">
      <alignment horizontal="right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/>
    <xf numFmtId="0" fontId="57" fillId="0" borderId="33" xfId="0" applyFont="1" applyBorder="1" applyAlignment="1">
      <alignment horizontal="center" vertical="center"/>
    </xf>
    <xf numFmtId="14" fontId="56" fillId="0" borderId="33" xfId="0" applyNumberFormat="1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14" fontId="14" fillId="0" borderId="33" xfId="0" applyNumberFormat="1" applyFont="1" applyBorder="1" applyAlignment="1">
      <alignment horizontal="right" vertical="center"/>
    </xf>
    <xf numFmtId="14" fontId="53" fillId="0" borderId="33" xfId="0" applyNumberFormat="1" applyFont="1" applyBorder="1" applyAlignment="1">
      <alignment horizontal="center" vertical="center" wrapText="1"/>
    </xf>
    <xf numFmtId="14" fontId="54" fillId="0" borderId="33" xfId="1" applyNumberFormat="1" applyFont="1" applyBorder="1" applyAlignment="1">
      <alignment horizontal="right" vertical="center"/>
    </xf>
    <xf numFmtId="0" fontId="55" fillId="0" borderId="33" xfId="0" applyFont="1" applyBorder="1" applyAlignment="1">
      <alignment horizontal="center" vertical="center"/>
    </xf>
    <xf numFmtId="14" fontId="11" fillId="0" borderId="62" xfId="0" applyNumberFormat="1" applyFont="1" applyBorder="1" applyAlignment="1">
      <alignment horizontal="center" vertical="center" wrapText="1"/>
    </xf>
    <xf numFmtId="14" fontId="11" fillId="0" borderId="62" xfId="0" applyNumberFormat="1" applyFont="1" applyBorder="1" applyAlignment="1">
      <alignment horizontal="right" vertical="center" wrapText="1"/>
    </xf>
    <xf numFmtId="0" fontId="0" fillId="0" borderId="62" xfId="0" applyBorder="1" applyAlignment="1">
      <alignment horizontal="center" vertical="center"/>
    </xf>
    <xf numFmtId="0" fontId="0" fillId="0" borderId="62" xfId="0" applyBorder="1"/>
    <xf numFmtId="49" fontId="10" fillId="0" borderId="64" xfId="1" applyNumberFormat="1" applyFont="1" applyBorder="1" applyAlignment="1">
      <alignment horizontal="center" vertical="center" wrapText="1"/>
    </xf>
    <xf numFmtId="0" fontId="11" fillId="0" borderId="61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center" vertical="center" wrapText="1"/>
    </xf>
    <xf numFmtId="0" fontId="0" fillId="0" borderId="32" xfId="0" applyBorder="1" applyAlignment="1">
      <alignment wrapText="1"/>
    </xf>
    <xf numFmtId="0" fontId="0" fillId="0" borderId="32" xfId="0" applyBorder="1"/>
    <xf numFmtId="0" fontId="11" fillId="0" borderId="0" xfId="1" applyFont="1" applyAlignment="1">
      <alignment horizontal="center" vertical="center" wrapText="1"/>
    </xf>
    <xf numFmtId="0" fontId="42" fillId="0" borderId="61" xfId="0" applyFont="1" applyBorder="1" applyAlignment="1">
      <alignment vertical="center"/>
    </xf>
    <xf numFmtId="0" fontId="3" fillId="0" borderId="33" xfId="0" applyFont="1" applyBorder="1" applyAlignment="1">
      <alignment wrapText="1"/>
    </xf>
    <xf numFmtId="0" fontId="3" fillId="0" borderId="33" xfId="0" applyFont="1" applyBorder="1" applyAlignment="1">
      <alignment horizontal="left" wrapText="1"/>
    </xf>
    <xf numFmtId="0" fontId="42" fillId="0" borderId="63" xfId="0" applyFont="1" applyBorder="1" applyAlignment="1">
      <alignment horizontal="left" vertical="center"/>
    </xf>
    <xf numFmtId="14" fontId="0" fillId="0" borderId="33" xfId="0" applyNumberFormat="1" applyBorder="1" applyAlignment="1">
      <alignment horizontal="right" vertical="center"/>
    </xf>
    <xf numFmtId="0" fontId="49" fillId="8" borderId="45" xfId="0" applyFont="1" applyFill="1" applyBorder="1" applyAlignment="1">
      <alignment horizontal="center" vertical="center"/>
    </xf>
    <xf numFmtId="169" fontId="0" fillId="0" borderId="50" xfId="0" applyNumberFormat="1" applyBorder="1" applyAlignment="1">
      <alignment horizontal="center" vertical="center"/>
    </xf>
    <xf numFmtId="0" fontId="49" fillId="10" borderId="65" xfId="0" applyFont="1" applyFill="1" applyBorder="1" applyAlignment="1">
      <alignment horizontal="center" vertical="center"/>
    </xf>
    <xf numFmtId="0" fontId="49" fillId="10" borderId="49" xfId="0" applyFont="1" applyFill="1" applyBorder="1" applyAlignment="1">
      <alignment horizontal="center" vertical="center" wrapText="1"/>
    </xf>
    <xf numFmtId="0" fontId="49" fillId="10" borderId="15" xfId="0" applyFont="1" applyFill="1" applyBorder="1" applyAlignment="1">
      <alignment horizontal="center" vertical="center"/>
    </xf>
    <xf numFmtId="0" fontId="49" fillId="10" borderId="48" xfId="0" applyFont="1" applyFill="1" applyBorder="1" applyAlignment="1">
      <alignment horizontal="center" vertical="center"/>
    </xf>
    <xf numFmtId="0" fontId="49" fillId="10" borderId="48" xfId="0" applyFont="1" applyFill="1" applyBorder="1" applyAlignment="1">
      <alignment horizontal="center" vertical="center" wrapText="1"/>
    </xf>
    <xf numFmtId="0" fontId="49" fillId="10" borderId="0" xfId="0" applyFont="1" applyFill="1" applyAlignment="1">
      <alignment horizontal="center" vertical="center"/>
    </xf>
    <xf numFmtId="20" fontId="49" fillId="10" borderId="48" xfId="0" applyNumberFormat="1" applyFont="1" applyFill="1" applyBorder="1" applyAlignment="1">
      <alignment horizontal="center" vertical="center" wrapText="1"/>
    </xf>
    <xf numFmtId="20" fontId="58" fillId="0" borderId="35" xfId="0" applyNumberFormat="1" applyFont="1" applyBorder="1" applyAlignment="1">
      <alignment horizontal="center" vertical="center"/>
    </xf>
    <xf numFmtId="20" fontId="59" fillId="0" borderId="35" xfId="0" applyNumberFormat="1" applyFont="1" applyBorder="1" applyAlignment="1">
      <alignment vertical="center"/>
    </xf>
    <xf numFmtId="0" fontId="22" fillId="0" borderId="35" xfId="0" applyFont="1" applyBorder="1" applyAlignment="1">
      <alignment horizontal="left" vertical="center" wrapText="1"/>
    </xf>
    <xf numFmtId="20" fontId="21" fillId="0" borderId="35" xfId="0" applyNumberFormat="1" applyFont="1" applyBorder="1" applyAlignment="1">
      <alignment vertical="center"/>
    </xf>
    <xf numFmtId="0" fontId="48" fillId="7" borderId="0" xfId="0" applyFont="1" applyFill="1" applyAlignment="1">
      <alignment horizontal="center" vertical="center"/>
    </xf>
    <xf numFmtId="0" fontId="0" fillId="11" borderId="9" xfId="0" applyFill="1" applyBorder="1"/>
    <xf numFmtId="0" fontId="0" fillId="11" borderId="0" xfId="0" applyFill="1"/>
    <xf numFmtId="20" fontId="0" fillId="11" borderId="0" xfId="0" applyNumberFormat="1" applyFill="1" applyAlignment="1">
      <alignment wrapText="1"/>
    </xf>
    <xf numFmtId="20" fontId="0" fillId="11" borderId="0" xfId="0" applyNumberFormat="1" applyFill="1"/>
    <xf numFmtId="0" fontId="0" fillId="11" borderId="0" xfId="0" applyFill="1" applyAlignment="1">
      <alignment horizontal="center" wrapText="1"/>
    </xf>
    <xf numFmtId="0" fontId="0" fillId="12" borderId="9" xfId="0" applyFill="1" applyBorder="1"/>
    <xf numFmtId="0" fontId="0" fillId="12" borderId="0" xfId="0" applyFill="1"/>
    <xf numFmtId="20" fontId="0" fillId="12" borderId="0" xfId="0" applyNumberFormat="1" applyFill="1"/>
    <xf numFmtId="20" fontId="0" fillId="12" borderId="0" xfId="0" applyNumberFormat="1" applyFill="1" applyAlignment="1">
      <alignment wrapText="1"/>
    </xf>
    <xf numFmtId="20" fontId="0" fillId="12" borderId="0" xfId="0" applyNumberFormat="1" applyFill="1" applyAlignment="1">
      <alignment horizontal="center"/>
    </xf>
    <xf numFmtId="0" fontId="0" fillId="13" borderId="9" xfId="0" applyFill="1" applyBorder="1"/>
    <xf numFmtId="0" fontId="0" fillId="13" borderId="0" xfId="0" applyFill="1"/>
    <xf numFmtId="20" fontId="0" fillId="13" borderId="0" xfId="0" applyNumberFormat="1" applyFill="1" applyAlignment="1">
      <alignment wrapText="1"/>
    </xf>
    <xf numFmtId="0" fontId="0" fillId="13" borderId="0" xfId="0" applyFill="1" applyAlignment="1">
      <alignment horizontal="center" wrapText="1"/>
    </xf>
    <xf numFmtId="20" fontId="0" fillId="13" borderId="0" xfId="0" applyNumberFormat="1" applyFill="1"/>
    <xf numFmtId="20" fontId="0" fillId="13" borderId="0" xfId="0" applyNumberFormat="1" applyFill="1" applyAlignment="1">
      <alignment horizontal="center"/>
    </xf>
    <xf numFmtId="0" fontId="0" fillId="14" borderId="9" xfId="0" applyFill="1" applyBorder="1"/>
    <xf numFmtId="0" fontId="0" fillId="14" borderId="0" xfId="0" applyFill="1"/>
    <xf numFmtId="20" fontId="0" fillId="14" borderId="0" xfId="0" applyNumberFormat="1" applyFill="1"/>
    <xf numFmtId="20" fontId="0" fillId="14" borderId="0" xfId="0" applyNumberFormat="1" applyFill="1" applyAlignment="1">
      <alignment wrapText="1"/>
    </xf>
    <xf numFmtId="20" fontId="0" fillId="14" borderId="0" xfId="0" applyNumberFormat="1" applyFill="1" applyAlignment="1">
      <alignment horizontal="center"/>
    </xf>
    <xf numFmtId="1" fontId="0" fillId="12" borderId="0" xfId="0" applyNumberFormat="1" applyFill="1"/>
    <xf numFmtId="20" fontId="60" fillId="0" borderId="35" xfId="0" applyNumberFormat="1" applyFont="1" applyBorder="1" applyAlignment="1">
      <alignment horizontal="center" vertical="center" wrapText="1"/>
    </xf>
    <xf numFmtId="0" fontId="11" fillId="0" borderId="35" xfId="0" applyFont="1" applyBorder="1" applyAlignment="1" applyProtection="1">
      <alignment vertical="center" wrapText="1"/>
      <protection locked="0"/>
    </xf>
    <xf numFmtId="20" fontId="50" fillId="10" borderId="49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0" fontId="47" fillId="7" borderId="34" xfId="0" applyFont="1" applyFill="1" applyBorder="1" applyAlignment="1">
      <alignment horizontal="center" vertical="center" wrapText="1"/>
    </xf>
    <xf numFmtId="169" fontId="51" fillId="0" borderId="50" xfId="0" applyNumberFormat="1" applyFont="1" applyBorder="1"/>
    <xf numFmtId="169" fontId="0" fillId="0" borderId="0" xfId="0" applyNumberFormat="1"/>
    <xf numFmtId="20" fontId="51" fillId="0" borderId="50" xfId="0" applyNumberFormat="1" applyFont="1" applyBorder="1"/>
    <xf numFmtId="169" fontId="7" fillId="0" borderId="50" xfId="0" applyNumberFormat="1" applyFont="1" applyBorder="1" applyAlignment="1">
      <alignment horizontal="center" vertical="center"/>
    </xf>
    <xf numFmtId="169" fontId="7" fillId="0" borderId="51" xfId="0" applyNumberFormat="1" applyFont="1" applyBorder="1" applyAlignment="1">
      <alignment horizontal="center" vertical="center"/>
    </xf>
    <xf numFmtId="169" fontId="3" fillId="0" borderId="51" xfId="0" applyNumberFormat="1" applyFont="1" applyBorder="1" applyAlignment="1">
      <alignment horizontal="center" vertical="center"/>
    </xf>
    <xf numFmtId="169" fontId="61" fillId="0" borderId="51" xfId="0" applyNumberFormat="1" applyFont="1" applyBorder="1" applyAlignment="1">
      <alignment horizontal="center" vertical="center"/>
    </xf>
    <xf numFmtId="0" fontId="0" fillId="3" borderId="9" xfId="0" applyFill="1" applyBorder="1"/>
    <xf numFmtId="0" fontId="0" fillId="3" borderId="0" xfId="0" applyFill="1"/>
    <xf numFmtId="1" fontId="0" fillId="3" borderId="0" xfId="0" applyNumberFormat="1" applyFill="1"/>
    <xf numFmtId="20" fontId="0" fillId="3" borderId="0" xfId="0" applyNumberFormat="1" applyFill="1" applyAlignment="1">
      <alignment horizontal="center"/>
    </xf>
    <xf numFmtId="49" fontId="11" fillId="0" borderId="32" xfId="0" applyNumberFormat="1" applyFont="1" applyBorder="1" applyAlignment="1">
      <alignment horizontal="center" vertical="center" wrapText="1"/>
    </xf>
    <xf numFmtId="0" fontId="14" fillId="0" borderId="32" xfId="0" applyFont="1" applyBorder="1" applyAlignment="1">
      <alignment vertical="center"/>
    </xf>
    <xf numFmtId="0" fontId="0" fillId="0" borderId="14" xfId="0" applyBorder="1" applyAlignment="1">
      <alignment wrapText="1"/>
    </xf>
    <xf numFmtId="20" fontId="8" fillId="0" borderId="14" xfId="0" applyNumberFormat="1" applyFont="1" applyBorder="1" applyAlignment="1">
      <alignment vertical="center"/>
    </xf>
    <xf numFmtId="165" fontId="0" fillId="0" borderId="2" xfId="0" applyNumberFormat="1" applyBorder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0" fontId="62" fillId="0" borderId="35" xfId="0" applyFont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169" fontId="63" fillId="0" borderId="51" xfId="0" applyNumberFormat="1" applyFont="1" applyBorder="1" applyAlignment="1">
      <alignment horizontal="center" vertical="center"/>
    </xf>
    <xf numFmtId="169" fontId="61" fillId="0" borderId="50" xfId="0" applyNumberFormat="1" applyFont="1" applyBorder="1" applyAlignment="1">
      <alignment horizontal="center" vertical="center"/>
    </xf>
    <xf numFmtId="169" fontId="64" fillId="7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65" fontId="32" fillId="9" borderId="0" xfId="0" applyNumberFormat="1" applyFont="1" applyFill="1" applyAlignment="1">
      <alignment horizontal="center" vertical="center"/>
    </xf>
    <xf numFmtId="0" fontId="38" fillId="0" borderId="0" xfId="0" applyFont="1" applyAlignment="1">
      <alignment vertical="center"/>
    </xf>
    <xf numFmtId="20" fontId="39" fillId="0" borderId="0" xfId="0" applyNumberFormat="1" applyFont="1" applyAlignment="1">
      <alignment horizontal="center" vertical="center"/>
    </xf>
    <xf numFmtId="20" fontId="11" fillId="0" borderId="0" xfId="0" applyNumberFormat="1" applyFont="1" applyAlignment="1">
      <alignment vertical="center"/>
    </xf>
    <xf numFmtId="20" fontId="11" fillId="0" borderId="0" xfId="0" applyNumberFormat="1" applyFont="1" applyAlignment="1">
      <alignment horizontal="center" vertical="center"/>
    </xf>
    <xf numFmtId="20" fontId="14" fillId="0" borderId="0" xfId="0" applyNumberFormat="1" applyFont="1" applyAlignment="1" applyProtection="1">
      <alignment vertical="center"/>
      <protection locked="0"/>
    </xf>
    <xf numFmtId="1" fontId="14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165" fontId="0" fillId="0" borderId="13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7" fillId="7" borderId="39" xfId="0" applyFont="1" applyFill="1" applyBorder="1" applyAlignment="1">
      <alignment horizontal="center" vertical="center"/>
    </xf>
    <xf numFmtId="0" fontId="47" fillId="7" borderId="40" xfId="0" applyFont="1" applyFill="1" applyBorder="1" applyAlignment="1">
      <alignment horizontal="center" vertical="center"/>
    </xf>
    <xf numFmtId="0" fontId="47" fillId="7" borderId="42" xfId="0" applyFont="1" applyFill="1" applyBorder="1" applyAlignment="1">
      <alignment horizontal="center" vertical="center"/>
    </xf>
    <xf numFmtId="0" fontId="47" fillId="7" borderId="43" xfId="0" applyFont="1" applyFill="1" applyBorder="1" applyAlignment="1">
      <alignment horizontal="center" vertical="center"/>
    </xf>
    <xf numFmtId="0" fontId="48" fillId="7" borderId="33" xfId="0" applyFont="1" applyFill="1" applyBorder="1" applyAlignment="1">
      <alignment horizontal="center" vertical="center"/>
    </xf>
    <xf numFmtId="0" fontId="45" fillId="5" borderId="39" xfId="0" applyFont="1" applyFill="1" applyBorder="1" applyAlignment="1">
      <alignment horizontal="center" vertical="center"/>
    </xf>
    <xf numFmtId="0" fontId="45" fillId="5" borderId="40" xfId="0" applyFont="1" applyFill="1" applyBorder="1" applyAlignment="1">
      <alignment horizontal="center" vertical="center"/>
    </xf>
    <xf numFmtId="0" fontId="45" fillId="5" borderId="41" xfId="0" applyFont="1" applyFill="1" applyBorder="1" applyAlignment="1">
      <alignment horizontal="center" vertical="center"/>
    </xf>
    <xf numFmtId="0" fontId="45" fillId="5" borderId="42" xfId="0" applyFont="1" applyFill="1" applyBorder="1" applyAlignment="1">
      <alignment horizontal="center" vertical="center"/>
    </xf>
    <xf numFmtId="0" fontId="45" fillId="5" borderId="43" xfId="0" applyFont="1" applyFill="1" applyBorder="1" applyAlignment="1">
      <alignment horizontal="center" vertical="center"/>
    </xf>
    <xf numFmtId="0" fontId="45" fillId="5" borderId="44" xfId="0" applyFont="1" applyFill="1" applyBorder="1" applyAlignment="1">
      <alignment horizontal="center" vertical="center"/>
    </xf>
    <xf numFmtId="0" fontId="46" fillId="6" borderId="39" xfId="0" applyFont="1" applyFill="1" applyBorder="1" applyAlignment="1">
      <alignment horizontal="center" vertical="center"/>
    </xf>
    <xf numFmtId="0" fontId="46" fillId="6" borderId="41" xfId="0" applyFont="1" applyFill="1" applyBorder="1" applyAlignment="1">
      <alignment horizontal="center" vertical="center"/>
    </xf>
    <xf numFmtId="0" fontId="46" fillId="6" borderId="42" xfId="0" applyFont="1" applyFill="1" applyBorder="1" applyAlignment="1">
      <alignment horizontal="center" vertical="center"/>
    </xf>
    <xf numFmtId="0" fontId="46" fillId="6" borderId="44" xfId="0" applyFont="1" applyFill="1" applyBorder="1" applyAlignment="1">
      <alignment horizontal="center" vertical="center"/>
    </xf>
    <xf numFmtId="0" fontId="47" fillId="7" borderId="41" xfId="0" applyFont="1" applyFill="1" applyBorder="1" applyAlignment="1">
      <alignment horizontal="center" vertical="center"/>
    </xf>
    <xf numFmtId="0" fontId="47" fillId="7" borderId="46" xfId="0" applyFont="1" applyFill="1" applyBorder="1" applyAlignment="1">
      <alignment horizontal="center" vertical="center"/>
    </xf>
    <xf numFmtId="0" fontId="48" fillId="7" borderId="45" xfId="0" applyFont="1" applyFill="1" applyBorder="1" applyAlignment="1">
      <alignment horizontal="center" vertical="center"/>
    </xf>
    <xf numFmtId="0" fontId="48" fillId="7" borderId="0" xfId="0" applyFont="1" applyFill="1" applyAlignment="1">
      <alignment horizontal="center" vertical="center"/>
    </xf>
    <xf numFmtId="0" fontId="21" fillId="0" borderId="55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0" fontId="38" fillId="0" borderId="0" xfId="0" applyFont="1" applyBorder="1" applyAlignment="1">
      <alignment vertical="center"/>
    </xf>
    <xf numFmtId="20" fontId="39" fillId="0" borderId="0" xfId="0" applyNumberFormat="1" applyFont="1" applyBorder="1" applyAlignment="1">
      <alignment horizontal="center" vertical="center"/>
    </xf>
    <xf numFmtId="20" fontId="11" fillId="0" borderId="0" xfId="0" applyNumberFormat="1" applyFont="1" applyBorder="1" applyAlignment="1">
      <alignment vertical="center"/>
    </xf>
    <xf numFmtId="20" fontId="11" fillId="0" borderId="0" xfId="0" applyNumberFormat="1" applyFont="1" applyBorder="1" applyAlignment="1">
      <alignment horizontal="center" vertical="center"/>
    </xf>
    <xf numFmtId="20" fontId="14" fillId="0" borderId="0" xfId="0" applyNumberFormat="1" applyFont="1" applyBorder="1" applyAlignment="1" applyProtection="1">
      <alignment vertical="center"/>
      <protection locked="0"/>
    </xf>
    <xf numFmtId="1" fontId="14" fillId="0" borderId="0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34" fillId="0" borderId="13" xfId="0" applyFont="1" applyBorder="1" applyAlignment="1">
      <alignment vertical="center"/>
    </xf>
  </cellXfs>
  <cellStyles count="5">
    <cellStyle name="Lien hypertexte 2" xfId="2" xr:uid="{CB9192C5-247C-4657-B0D4-03DB6A1A6610}"/>
    <cellStyle name="Normal" xfId="0" builtinId="0"/>
    <cellStyle name="Normal 2" xfId="1" xr:uid="{06D7257F-227E-451F-9208-6F80BE8BA3D5}"/>
    <cellStyle name="Normal 2 2" xfId="3" xr:uid="{06D3C21D-69BA-429C-A037-C293BC293F29}"/>
    <cellStyle name="Pourcentag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1243853</xdr:colOff>
      <xdr:row>10</xdr:row>
      <xdr:rowOff>196104</xdr:rowOff>
    </xdr:from>
    <xdr:ext cx="3641940" cy="5014631"/>
    <xdr:pic>
      <xdr:nvPicPr>
        <xdr:cNvPr id="2" name="Image 1">
          <a:extLst>
            <a:ext uri="{FF2B5EF4-FFF2-40B4-BE49-F238E27FC236}">
              <a16:creationId xmlns:a16="http://schemas.microsoft.com/office/drawing/2014/main" id="{471EE04F-3EAE-4389-9C4F-4CB45C3BC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26147" y="2515722"/>
          <a:ext cx="3641940" cy="5014631"/>
        </a:xfrm>
        <a:prstGeom prst="rect">
          <a:avLst/>
        </a:prstGeom>
      </xdr:spPr>
    </xdr:pic>
    <xdr:clientData/>
  </xdr:oneCellAnchor>
  <xdr:oneCellAnchor>
    <xdr:from>
      <xdr:col>22</xdr:col>
      <xdr:colOff>185634</xdr:colOff>
      <xdr:row>28</xdr:row>
      <xdr:rowOff>77066</xdr:rowOff>
    </xdr:from>
    <xdr:ext cx="1031180" cy="254493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DB56E8D-4445-464F-AEC3-251764AB4CA1}"/>
            </a:ext>
          </a:extLst>
        </xdr:cNvPr>
        <xdr:cNvSpPr txBox="1"/>
      </xdr:nvSpPr>
      <xdr:spPr>
        <a:xfrm>
          <a:off x="18835584" y="6525491"/>
          <a:ext cx="1031180" cy="2544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latin typeface="Times New Roman" panose="02020603050405020304" pitchFamily="18" charset="0"/>
              <a:cs typeface="Times New Roman" panose="02020603050405020304" pitchFamily="18" charset="0"/>
            </a:rPr>
            <a:t>LABATTOIR</a:t>
          </a:r>
        </a:p>
      </xdr:txBody>
    </xdr:sp>
    <xdr:clientData/>
  </xdr:oneCellAnchor>
  <xdr:oneCellAnchor>
    <xdr:from>
      <xdr:col>21</xdr:col>
      <xdr:colOff>359817</xdr:colOff>
      <xdr:row>22</xdr:row>
      <xdr:rowOff>182444</xdr:rowOff>
    </xdr:from>
    <xdr:ext cx="944939" cy="254493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6394FFE-A1A8-49A4-BCD9-C6FEF955D586}"/>
            </a:ext>
          </a:extLst>
        </xdr:cNvPr>
        <xdr:cNvSpPr txBox="1"/>
      </xdr:nvSpPr>
      <xdr:spPr>
        <a:xfrm>
          <a:off x="17485767" y="5144969"/>
          <a:ext cx="944939" cy="2544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latin typeface="Times New Roman" panose="02020603050405020304" pitchFamily="18" charset="0"/>
              <a:cs typeface="Times New Roman" panose="02020603050405020304" pitchFamily="18" charset="0"/>
            </a:rPr>
            <a:t>DZAOUDZI</a:t>
          </a:r>
        </a:p>
      </xdr:txBody>
    </xdr:sp>
    <xdr:clientData/>
  </xdr:oneCellAnchor>
  <xdr:twoCellAnchor>
    <xdr:from>
      <xdr:col>5</xdr:col>
      <xdr:colOff>1417544</xdr:colOff>
      <xdr:row>13</xdr:row>
      <xdr:rowOff>184897</xdr:rowOff>
    </xdr:from>
    <xdr:to>
      <xdr:col>5</xdr:col>
      <xdr:colOff>1428750</xdr:colOff>
      <xdr:row>27</xdr:row>
      <xdr:rowOff>112058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3A5CD114-4267-4711-89A3-8B2381285BDB}"/>
            </a:ext>
          </a:extLst>
        </xdr:cNvPr>
        <xdr:cNvCxnSpPr/>
      </xdr:nvCxnSpPr>
      <xdr:spPr>
        <a:xfrm flipH="1">
          <a:off x="7171765" y="4050926"/>
          <a:ext cx="11206" cy="3400985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1411941</xdr:colOff>
      <xdr:row>13</xdr:row>
      <xdr:rowOff>112059</xdr:rowOff>
    </xdr:from>
    <xdr:to>
      <xdr:col>8</xdr:col>
      <xdr:colOff>1423147</xdr:colOff>
      <xdr:row>27</xdr:row>
      <xdr:rowOff>123265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768E1F7C-35F1-4D86-A559-003BA6B8E1F3}"/>
            </a:ext>
          </a:extLst>
        </xdr:cNvPr>
        <xdr:cNvCxnSpPr/>
      </xdr:nvCxnSpPr>
      <xdr:spPr>
        <a:xfrm>
          <a:off x="10724029" y="3978088"/>
          <a:ext cx="11206" cy="3485030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1501587</xdr:colOff>
      <xdr:row>41</xdr:row>
      <xdr:rowOff>179294</xdr:rowOff>
    </xdr:from>
    <xdr:to>
      <xdr:col>5</xdr:col>
      <xdr:colOff>1512794</xdr:colOff>
      <xdr:row>55</xdr:row>
      <xdr:rowOff>123264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645DA6EC-4ECA-46DE-80B4-52898F0CBFB1}"/>
            </a:ext>
          </a:extLst>
        </xdr:cNvPr>
        <xdr:cNvCxnSpPr/>
      </xdr:nvCxnSpPr>
      <xdr:spPr>
        <a:xfrm flipH="1">
          <a:off x="7255808" y="12124765"/>
          <a:ext cx="11207" cy="3591485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1414182</xdr:colOff>
      <xdr:row>41</xdr:row>
      <xdr:rowOff>190499</xdr:rowOff>
    </xdr:from>
    <xdr:to>
      <xdr:col>14</xdr:col>
      <xdr:colOff>1428750</xdr:colOff>
      <xdr:row>55</xdr:row>
      <xdr:rowOff>108695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4124BD39-69B6-4D0C-B924-D32918D817BD}"/>
            </a:ext>
          </a:extLst>
        </xdr:cNvPr>
        <xdr:cNvCxnSpPr/>
      </xdr:nvCxnSpPr>
      <xdr:spPr>
        <a:xfrm flipH="1">
          <a:off x="18099741" y="12135970"/>
          <a:ext cx="14568" cy="3565711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1389529</xdr:colOff>
      <xdr:row>41</xdr:row>
      <xdr:rowOff>235323</xdr:rowOff>
    </xdr:from>
    <xdr:to>
      <xdr:col>16</xdr:col>
      <xdr:colOff>1404097</xdr:colOff>
      <xdr:row>55</xdr:row>
      <xdr:rowOff>93008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FD230EBC-55B1-4686-8257-A8C1E694440C}"/>
            </a:ext>
          </a:extLst>
        </xdr:cNvPr>
        <xdr:cNvCxnSpPr/>
      </xdr:nvCxnSpPr>
      <xdr:spPr>
        <a:xfrm>
          <a:off x="23896544" y="12180794"/>
          <a:ext cx="14568" cy="3505200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1484779</xdr:colOff>
      <xdr:row>40</xdr:row>
      <xdr:rowOff>532279</xdr:rowOff>
    </xdr:from>
    <xdr:to>
      <xdr:col>18</xdr:col>
      <xdr:colOff>1507191</xdr:colOff>
      <xdr:row>55</xdr:row>
      <xdr:rowOff>95249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296967F5-5C0F-4DC2-AFCE-1DB657002142}"/>
            </a:ext>
          </a:extLst>
        </xdr:cNvPr>
        <xdr:cNvCxnSpPr/>
      </xdr:nvCxnSpPr>
      <xdr:spPr>
        <a:xfrm>
          <a:off x="31331647" y="11749367"/>
          <a:ext cx="22412" cy="3938868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1495986</xdr:colOff>
      <xdr:row>13</xdr:row>
      <xdr:rowOff>134471</xdr:rowOff>
    </xdr:from>
    <xdr:to>
      <xdr:col>7</xdr:col>
      <xdr:colOff>1497106</xdr:colOff>
      <xdr:row>27</xdr:row>
      <xdr:rowOff>118782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3A1CED2F-5A42-4F91-9C1E-DDD440AF6F16}"/>
            </a:ext>
          </a:extLst>
        </xdr:cNvPr>
        <xdr:cNvCxnSpPr/>
      </xdr:nvCxnSpPr>
      <xdr:spPr>
        <a:xfrm>
          <a:off x="8992721" y="4000500"/>
          <a:ext cx="1120" cy="3458135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1452562</xdr:colOff>
      <xdr:row>12</xdr:row>
      <xdr:rowOff>313765</xdr:rowOff>
    </xdr:from>
    <xdr:to>
      <xdr:col>11</xdr:col>
      <xdr:colOff>1479175</xdr:colOff>
      <xdr:row>27</xdr:row>
      <xdr:rowOff>124944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DDB0BB52-C3C9-458E-BD89-306AF4A0AF73}"/>
            </a:ext>
          </a:extLst>
        </xdr:cNvPr>
        <xdr:cNvCxnSpPr/>
      </xdr:nvCxnSpPr>
      <xdr:spPr>
        <a:xfrm flipV="1">
          <a:off x="16406813" y="3664324"/>
          <a:ext cx="26613" cy="3800473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1484780</xdr:colOff>
      <xdr:row>13</xdr:row>
      <xdr:rowOff>140074</xdr:rowOff>
    </xdr:from>
    <xdr:to>
      <xdr:col>12</xdr:col>
      <xdr:colOff>1507191</xdr:colOff>
      <xdr:row>27</xdr:row>
      <xdr:rowOff>123265</xdr:rowOff>
    </xdr:to>
    <xdr:cxnSp macro="">
      <xdr:nvCxnSpPr>
        <xdr:cNvPr id="18" name="Connecteur droit avec flèche 17">
          <a:extLst>
            <a:ext uri="{FF2B5EF4-FFF2-40B4-BE49-F238E27FC236}">
              <a16:creationId xmlns:a16="http://schemas.microsoft.com/office/drawing/2014/main" id="{DF349B08-D9C5-432C-8B86-4735DF6CAEBE}"/>
            </a:ext>
          </a:extLst>
        </xdr:cNvPr>
        <xdr:cNvCxnSpPr/>
      </xdr:nvCxnSpPr>
      <xdr:spPr>
        <a:xfrm flipH="1" flipV="1">
          <a:off x="20002501" y="4006103"/>
          <a:ext cx="22411" cy="345701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1428749</xdr:colOff>
      <xdr:row>12</xdr:row>
      <xdr:rowOff>403412</xdr:rowOff>
    </xdr:from>
    <xdr:to>
      <xdr:col>9</xdr:col>
      <xdr:colOff>1439955</xdr:colOff>
      <xdr:row>27</xdr:row>
      <xdr:rowOff>89647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00E2AB8E-E86A-441F-B378-2557BE0DFF04}"/>
            </a:ext>
          </a:extLst>
        </xdr:cNvPr>
        <xdr:cNvCxnSpPr/>
      </xdr:nvCxnSpPr>
      <xdr:spPr>
        <a:xfrm flipH="1" flipV="1">
          <a:off x="14253882" y="3753971"/>
          <a:ext cx="11206" cy="3406588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1361514</xdr:colOff>
      <xdr:row>13</xdr:row>
      <xdr:rowOff>156883</xdr:rowOff>
    </xdr:from>
    <xdr:to>
      <xdr:col>10</xdr:col>
      <xdr:colOff>1383926</xdr:colOff>
      <xdr:row>27</xdr:row>
      <xdr:rowOff>85724</xdr:rowOff>
    </xdr:to>
    <xdr:cxnSp macro="">
      <xdr:nvCxnSpPr>
        <xdr:cNvPr id="20" name="Connecteur droit avec flèche 19">
          <a:extLst>
            <a:ext uri="{FF2B5EF4-FFF2-40B4-BE49-F238E27FC236}">
              <a16:creationId xmlns:a16="http://schemas.microsoft.com/office/drawing/2014/main" id="{310FCEB4-D0A6-46C7-ADA0-35041218A6C3}"/>
            </a:ext>
          </a:extLst>
        </xdr:cNvPr>
        <xdr:cNvCxnSpPr/>
      </xdr:nvCxnSpPr>
      <xdr:spPr>
        <a:xfrm>
          <a:off x="14550838" y="4022912"/>
          <a:ext cx="22412" cy="3402665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1383926</xdr:colOff>
      <xdr:row>13</xdr:row>
      <xdr:rowOff>112059</xdr:rowOff>
    </xdr:from>
    <xdr:to>
      <xdr:col>13</xdr:col>
      <xdr:colOff>1417545</xdr:colOff>
      <xdr:row>27</xdr:row>
      <xdr:rowOff>85724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B7E6677D-02A9-433C-92B0-A2F1CF3B406B}"/>
            </a:ext>
          </a:extLst>
        </xdr:cNvPr>
        <xdr:cNvCxnSpPr/>
      </xdr:nvCxnSpPr>
      <xdr:spPr>
        <a:xfrm flipH="1">
          <a:off x="14293102" y="3978088"/>
          <a:ext cx="33619" cy="3447489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1452562</xdr:colOff>
      <xdr:row>13</xdr:row>
      <xdr:rowOff>207309</xdr:rowOff>
    </xdr:from>
    <xdr:to>
      <xdr:col>14</xdr:col>
      <xdr:colOff>1490381</xdr:colOff>
      <xdr:row>27</xdr:row>
      <xdr:rowOff>124944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7E5B9801-FDD8-4E16-BA22-8C3AE78643D7}"/>
            </a:ext>
          </a:extLst>
        </xdr:cNvPr>
        <xdr:cNvCxnSpPr/>
      </xdr:nvCxnSpPr>
      <xdr:spPr>
        <a:xfrm flipV="1">
          <a:off x="23746666" y="4073338"/>
          <a:ext cx="37819" cy="3391459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1497105</xdr:colOff>
      <xdr:row>41</xdr:row>
      <xdr:rowOff>173691</xdr:rowOff>
    </xdr:from>
    <xdr:to>
      <xdr:col>7</xdr:col>
      <xdr:colOff>1518397</xdr:colOff>
      <xdr:row>55</xdr:row>
      <xdr:rowOff>135591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EFFEB571-A7D1-4CD5-A609-DB910FB6EC45}"/>
            </a:ext>
          </a:extLst>
        </xdr:cNvPr>
        <xdr:cNvCxnSpPr/>
      </xdr:nvCxnSpPr>
      <xdr:spPr>
        <a:xfrm flipV="1">
          <a:off x="12854267" y="12119162"/>
          <a:ext cx="21292" cy="360941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1414181</xdr:colOff>
      <xdr:row>41</xdr:row>
      <xdr:rowOff>168088</xdr:rowOff>
    </xdr:from>
    <xdr:to>
      <xdr:col>6</xdr:col>
      <xdr:colOff>1417544</xdr:colOff>
      <xdr:row>55</xdr:row>
      <xdr:rowOff>170329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3631F345-07D9-4B9D-AFF4-BEC9E302DEC4}"/>
            </a:ext>
          </a:extLst>
        </xdr:cNvPr>
        <xdr:cNvCxnSpPr/>
      </xdr:nvCxnSpPr>
      <xdr:spPr>
        <a:xfrm flipV="1">
          <a:off x="10939181" y="12113559"/>
          <a:ext cx="3363" cy="3649756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1456765</xdr:colOff>
      <xdr:row>41</xdr:row>
      <xdr:rowOff>224117</xdr:rowOff>
    </xdr:from>
    <xdr:to>
      <xdr:col>8</xdr:col>
      <xdr:colOff>1465728</xdr:colOff>
      <xdr:row>55</xdr:row>
      <xdr:rowOff>131950</xdr:rowOff>
    </xdr:to>
    <xdr:cxnSp macro="">
      <xdr:nvCxnSpPr>
        <xdr:cNvPr id="27" name="Connecteur droit avec flèche 26">
          <a:extLst>
            <a:ext uri="{FF2B5EF4-FFF2-40B4-BE49-F238E27FC236}">
              <a16:creationId xmlns:a16="http://schemas.microsoft.com/office/drawing/2014/main" id="{9FDBCFA2-46F2-466E-8431-E333ECDF037A}"/>
            </a:ext>
          </a:extLst>
        </xdr:cNvPr>
        <xdr:cNvCxnSpPr/>
      </xdr:nvCxnSpPr>
      <xdr:spPr>
        <a:xfrm>
          <a:off x="9166412" y="12169588"/>
          <a:ext cx="8963" cy="3555348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1518397</xdr:colOff>
      <xdr:row>41</xdr:row>
      <xdr:rowOff>190499</xdr:rowOff>
    </xdr:from>
    <xdr:to>
      <xdr:col>9</xdr:col>
      <xdr:colOff>1525120</xdr:colOff>
      <xdr:row>55</xdr:row>
      <xdr:rowOff>191620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6EBB60FA-E524-4F65-8ECD-E135621A9227}"/>
            </a:ext>
          </a:extLst>
        </xdr:cNvPr>
        <xdr:cNvCxnSpPr/>
      </xdr:nvCxnSpPr>
      <xdr:spPr>
        <a:xfrm flipH="1" flipV="1">
          <a:off x="14707721" y="12135970"/>
          <a:ext cx="6723" cy="3648636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1490381</xdr:colOff>
      <xdr:row>41</xdr:row>
      <xdr:rowOff>156882</xdr:rowOff>
    </xdr:from>
    <xdr:to>
      <xdr:col>10</xdr:col>
      <xdr:colOff>1497105</xdr:colOff>
      <xdr:row>55</xdr:row>
      <xdr:rowOff>135591</xdr:rowOff>
    </xdr:to>
    <xdr:cxnSp macro="">
      <xdr:nvCxnSpPr>
        <xdr:cNvPr id="29" name="Connecteur droit avec flèche 28">
          <a:extLst>
            <a:ext uri="{FF2B5EF4-FFF2-40B4-BE49-F238E27FC236}">
              <a16:creationId xmlns:a16="http://schemas.microsoft.com/office/drawing/2014/main" id="{8C6B98D3-C906-4E88-BD9B-31E24930840F}"/>
            </a:ext>
          </a:extLst>
        </xdr:cNvPr>
        <xdr:cNvCxnSpPr/>
      </xdr:nvCxnSpPr>
      <xdr:spPr>
        <a:xfrm flipH="1" flipV="1">
          <a:off x="16444632" y="12102353"/>
          <a:ext cx="6724" cy="3626224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1497105</xdr:colOff>
      <xdr:row>41</xdr:row>
      <xdr:rowOff>123264</xdr:rowOff>
    </xdr:from>
    <xdr:to>
      <xdr:col>11</xdr:col>
      <xdr:colOff>1512794</xdr:colOff>
      <xdr:row>55</xdr:row>
      <xdr:rowOff>135591</xdr:rowOff>
    </xdr:to>
    <xdr:cxnSp macro="">
      <xdr:nvCxnSpPr>
        <xdr:cNvPr id="30" name="Connecteur droit avec flèche 29">
          <a:extLst>
            <a:ext uri="{FF2B5EF4-FFF2-40B4-BE49-F238E27FC236}">
              <a16:creationId xmlns:a16="http://schemas.microsoft.com/office/drawing/2014/main" id="{45E0BD52-7256-4D9D-B929-CEA6EDC21887}"/>
            </a:ext>
          </a:extLst>
        </xdr:cNvPr>
        <xdr:cNvCxnSpPr/>
      </xdr:nvCxnSpPr>
      <xdr:spPr>
        <a:xfrm flipV="1">
          <a:off x="18339546" y="12068735"/>
          <a:ext cx="15689" cy="3659842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1484779</xdr:colOff>
      <xdr:row>41</xdr:row>
      <xdr:rowOff>212911</xdr:rowOff>
    </xdr:from>
    <xdr:to>
      <xdr:col>12</xdr:col>
      <xdr:colOff>1497105</xdr:colOff>
      <xdr:row>55</xdr:row>
      <xdr:rowOff>135591</xdr:rowOff>
    </xdr:to>
    <xdr:cxnSp macro="">
      <xdr:nvCxnSpPr>
        <xdr:cNvPr id="31" name="Connecteur droit avec flèche 30">
          <a:extLst>
            <a:ext uri="{FF2B5EF4-FFF2-40B4-BE49-F238E27FC236}">
              <a16:creationId xmlns:a16="http://schemas.microsoft.com/office/drawing/2014/main" id="{1860C85A-61C4-4BAD-B514-0572F466DA94}"/>
            </a:ext>
          </a:extLst>
        </xdr:cNvPr>
        <xdr:cNvCxnSpPr/>
      </xdr:nvCxnSpPr>
      <xdr:spPr>
        <a:xfrm flipH="1" flipV="1">
          <a:off x="20215412" y="12158382"/>
          <a:ext cx="12326" cy="357019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1484779</xdr:colOff>
      <xdr:row>41</xdr:row>
      <xdr:rowOff>212911</xdr:rowOff>
    </xdr:from>
    <xdr:to>
      <xdr:col>13</xdr:col>
      <xdr:colOff>1497105</xdr:colOff>
      <xdr:row>55</xdr:row>
      <xdr:rowOff>135591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2EC35176-0114-4D7A-AA30-F6D924BAEBB4}"/>
            </a:ext>
          </a:extLst>
        </xdr:cNvPr>
        <xdr:cNvCxnSpPr/>
      </xdr:nvCxnSpPr>
      <xdr:spPr>
        <a:xfrm flipH="1" flipV="1">
          <a:off x="14393955" y="12158382"/>
          <a:ext cx="12326" cy="357019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1395132</xdr:colOff>
      <xdr:row>12</xdr:row>
      <xdr:rowOff>476250</xdr:rowOff>
    </xdr:from>
    <xdr:to>
      <xdr:col>6</xdr:col>
      <xdr:colOff>1406338</xdr:colOff>
      <xdr:row>27</xdr:row>
      <xdr:rowOff>162485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ECD661F8-B47A-4E29-A22A-29A414C2A4C5}"/>
            </a:ext>
          </a:extLst>
        </xdr:cNvPr>
        <xdr:cNvCxnSpPr/>
      </xdr:nvCxnSpPr>
      <xdr:spPr>
        <a:xfrm flipH="1" flipV="1">
          <a:off x="8891867" y="3826809"/>
          <a:ext cx="11206" cy="3675529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1484779</xdr:colOff>
      <xdr:row>41</xdr:row>
      <xdr:rowOff>212911</xdr:rowOff>
    </xdr:from>
    <xdr:to>
      <xdr:col>15</xdr:col>
      <xdr:colOff>1497105</xdr:colOff>
      <xdr:row>55</xdr:row>
      <xdr:rowOff>135591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4FB175E9-4FEA-4F9A-947C-D9AA992B85CF}"/>
            </a:ext>
          </a:extLst>
        </xdr:cNvPr>
        <xdr:cNvCxnSpPr/>
      </xdr:nvCxnSpPr>
      <xdr:spPr>
        <a:xfrm flipH="1" flipV="1">
          <a:off x="21890691" y="12158382"/>
          <a:ext cx="12326" cy="357019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1484779</xdr:colOff>
      <xdr:row>41</xdr:row>
      <xdr:rowOff>212911</xdr:rowOff>
    </xdr:from>
    <xdr:to>
      <xdr:col>17</xdr:col>
      <xdr:colOff>1497105</xdr:colOff>
      <xdr:row>55</xdr:row>
      <xdr:rowOff>135591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1AA0A884-F612-4A42-B51D-C94892747D9D}"/>
            </a:ext>
          </a:extLst>
        </xdr:cNvPr>
        <xdr:cNvCxnSpPr/>
      </xdr:nvCxnSpPr>
      <xdr:spPr>
        <a:xfrm flipH="1" flipV="1">
          <a:off x="25667073" y="12158382"/>
          <a:ext cx="12326" cy="357019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1484779</xdr:colOff>
      <xdr:row>41</xdr:row>
      <xdr:rowOff>212911</xdr:rowOff>
    </xdr:from>
    <xdr:to>
      <xdr:col>19</xdr:col>
      <xdr:colOff>1497105</xdr:colOff>
      <xdr:row>55</xdr:row>
      <xdr:rowOff>135591</xdr:rowOff>
    </xdr:to>
    <xdr:cxnSp macro="">
      <xdr:nvCxnSpPr>
        <xdr:cNvPr id="32" name="Connecteur droit avec flèche 31">
          <a:extLst>
            <a:ext uri="{FF2B5EF4-FFF2-40B4-BE49-F238E27FC236}">
              <a16:creationId xmlns:a16="http://schemas.microsoft.com/office/drawing/2014/main" id="{3EC4239A-2B64-44E9-92B2-C51B23C2CA1C}"/>
            </a:ext>
          </a:extLst>
        </xdr:cNvPr>
        <xdr:cNvCxnSpPr/>
      </xdr:nvCxnSpPr>
      <xdr:spPr>
        <a:xfrm flipH="1" flipV="1">
          <a:off x="21890691" y="12158382"/>
          <a:ext cx="12326" cy="357019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1484779</xdr:colOff>
      <xdr:row>41</xdr:row>
      <xdr:rowOff>212911</xdr:rowOff>
    </xdr:from>
    <xdr:to>
      <xdr:col>19</xdr:col>
      <xdr:colOff>1497105</xdr:colOff>
      <xdr:row>55</xdr:row>
      <xdr:rowOff>135591</xdr:rowOff>
    </xdr:to>
    <xdr:cxnSp macro="">
      <xdr:nvCxnSpPr>
        <xdr:cNvPr id="33" name="Connecteur droit avec flèche 32">
          <a:extLst>
            <a:ext uri="{FF2B5EF4-FFF2-40B4-BE49-F238E27FC236}">
              <a16:creationId xmlns:a16="http://schemas.microsoft.com/office/drawing/2014/main" id="{9624AE6C-3982-4DD5-AE59-C24839E61498}"/>
            </a:ext>
          </a:extLst>
        </xdr:cNvPr>
        <xdr:cNvCxnSpPr/>
      </xdr:nvCxnSpPr>
      <xdr:spPr>
        <a:xfrm flipH="1" flipV="1">
          <a:off x="25667073" y="12158382"/>
          <a:ext cx="12326" cy="357019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1238250</xdr:colOff>
      <xdr:row>34</xdr:row>
      <xdr:rowOff>138113</xdr:rowOff>
    </xdr:from>
    <xdr:ext cx="4850495" cy="6678705"/>
    <xdr:pic>
      <xdr:nvPicPr>
        <xdr:cNvPr id="2" name="Image 1">
          <a:extLst>
            <a:ext uri="{FF2B5EF4-FFF2-40B4-BE49-F238E27FC236}">
              <a16:creationId xmlns:a16="http://schemas.microsoft.com/office/drawing/2014/main" id="{7BE03F0B-E8C7-4B45-A9CA-D1758629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9444038"/>
          <a:ext cx="4850495" cy="66787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lsalimhamada@hotmail.com" TargetMode="External"/><Relationship Id="rId13" Type="http://schemas.openxmlformats.org/officeDocument/2006/relationships/hyperlink" Target="mailto:aattoumani.bacar@gmail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ambdihoumadi976@gmail.com" TargetMode="External"/><Relationship Id="rId7" Type="http://schemas.openxmlformats.org/officeDocument/2006/relationships/hyperlink" Target="mailto:combosaid5@gmail.cpm" TargetMode="External"/><Relationship Id="rId12" Type="http://schemas.openxmlformats.org/officeDocument/2006/relationships/hyperlink" Target="mailto:achiraffis@gmail.com" TargetMode="External"/><Relationship Id="rId17" Type="http://schemas.openxmlformats.org/officeDocument/2006/relationships/hyperlink" Target="mailto:dhurari.transport@gmail.com" TargetMode="External"/><Relationship Id="rId2" Type="http://schemas.openxmlformats.org/officeDocument/2006/relationships/hyperlink" Target="mailto:zoubert.adinani2@gmail.com" TargetMode="External"/><Relationship Id="rId16" Type="http://schemas.openxmlformats.org/officeDocument/2006/relationships/hyperlink" Target="mailto:maanroufsandi@laposte.net" TargetMode="External"/><Relationship Id="rId1" Type="http://schemas.openxmlformats.org/officeDocument/2006/relationships/hyperlink" Target="mailto:abdouminihadjiamada@hotmail.com" TargetMode="External"/><Relationship Id="rId6" Type="http://schemas.openxmlformats.org/officeDocument/2006/relationships/hyperlink" Target="mailto:wonamaore@gmail.com" TargetMode="External"/><Relationship Id="rId11" Type="http://schemas.openxmlformats.org/officeDocument/2006/relationships/hyperlink" Target="mailto:toumboutoibourani@outlook.fr" TargetMode="External"/><Relationship Id="rId5" Type="http://schemas.openxmlformats.org/officeDocument/2006/relationships/hyperlink" Target="mailto:ambdihoumadi976@gmail.com" TargetMode="External"/><Relationship Id="rId15" Type="http://schemas.openxmlformats.org/officeDocument/2006/relationships/hyperlink" Target="mailto:enlymoissuli@gmail.com" TargetMode="External"/><Relationship Id="rId10" Type="http://schemas.openxmlformats.org/officeDocument/2006/relationships/hyperlink" Target="mailto:soulaousseni415@gmail.com" TargetMode="External"/><Relationship Id="rId4" Type="http://schemas.openxmlformats.org/officeDocument/2006/relationships/hyperlink" Target="mailto:stt653182@hotmail.com" TargetMode="External"/><Relationship Id="rId9" Type="http://schemas.openxmlformats.org/officeDocument/2006/relationships/hyperlink" Target="mailto:Hadhuramimakinedine976@gmail.com" TargetMode="External"/><Relationship Id="rId14" Type="http://schemas.openxmlformats.org/officeDocument/2006/relationships/hyperlink" Target="mailto:madiboinamkidachi@hot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taxi.ahmedabdallah@gmail.com" TargetMode="External"/><Relationship Id="rId13" Type="http://schemas.openxmlformats.org/officeDocument/2006/relationships/hyperlink" Target="mailto:youssoufidahalane@gmail.com" TargetMode="External"/><Relationship Id="rId3" Type="http://schemas.openxmlformats.org/officeDocument/2006/relationships/hyperlink" Target="mailto:monagelika976@gmail.com" TargetMode="External"/><Relationship Id="rId7" Type="http://schemas.openxmlformats.org/officeDocument/2006/relationships/hyperlink" Target="mailto:ahamada.ibrahim1957@gmail.com" TargetMode="External"/><Relationship Id="rId12" Type="http://schemas.openxmlformats.org/officeDocument/2006/relationships/hyperlink" Target="mailto:daouloungouzakaria@gmail.com" TargetMode="External"/><Relationship Id="rId2" Type="http://schemas.openxmlformats.org/officeDocument/2006/relationships/hyperlink" Target="mailto:houmadi.chadhouli@gmail.com" TargetMode="External"/><Relationship Id="rId1" Type="http://schemas.openxmlformats.org/officeDocument/2006/relationships/hyperlink" Target="mailto:raduaahmed07@gmail.com" TargetMode="External"/><Relationship Id="rId6" Type="http://schemas.openxmlformats.org/officeDocument/2006/relationships/hyperlink" Target="mailto:madihamadahairidine@gmail.com" TargetMode="External"/><Relationship Id="rId11" Type="http://schemas.openxmlformats.org/officeDocument/2006/relationships/hyperlink" Target="mailto:artisan97615@gmail.com" TargetMode="External"/><Relationship Id="rId5" Type="http://schemas.openxmlformats.org/officeDocument/2006/relationships/hyperlink" Target="mailto:Ahmedadel97615@gmail.com" TargetMode="External"/><Relationship Id="rId15" Type="http://schemas.openxmlformats.org/officeDocument/2006/relationships/printerSettings" Target="../printerSettings/printerSettings13.bin"/><Relationship Id="rId10" Type="http://schemas.openxmlformats.org/officeDocument/2006/relationships/hyperlink" Target="mailto:ahamadi0303@gmail.com" TargetMode="External"/><Relationship Id="rId4" Type="http://schemas.openxmlformats.org/officeDocument/2006/relationships/hyperlink" Target="mailto:mohamedbacarali@gmail.com" TargetMode="External"/><Relationship Id="rId9" Type="http://schemas.openxmlformats.org/officeDocument/2006/relationships/hyperlink" Target="mailto:saidali.kamile976@gmail.com" TargetMode="External"/><Relationship Id="rId14" Type="http://schemas.openxmlformats.org/officeDocument/2006/relationships/hyperlink" Target="mailto:hassaniattoumani1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taxi.ahmedabdallah@gmail.com" TargetMode="External"/><Relationship Id="rId13" Type="http://schemas.openxmlformats.org/officeDocument/2006/relationships/hyperlink" Target="mailto:hassaniattoumani1@gmail.com" TargetMode="External"/><Relationship Id="rId3" Type="http://schemas.openxmlformats.org/officeDocument/2006/relationships/hyperlink" Target="mailto:monagelika976@gmail.com" TargetMode="External"/><Relationship Id="rId7" Type="http://schemas.openxmlformats.org/officeDocument/2006/relationships/hyperlink" Target="mailto:ahamada.ibrahim1957@gmail.com" TargetMode="External"/><Relationship Id="rId12" Type="http://schemas.openxmlformats.org/officeDocument/2006/relationships/hyperlink" Target="mailto:youssoufidahalane@gmail.com" TargetMode="External"/><Relationship Id="rId2" Type="http://schemas.openxmlformats.org/officeDocument/2006/relationships/hyperlink" Target="mailto:houmadi.chadhouli@gmail.com" TargetMode="External"/><Relationship Id="rId1" Type="http://schemas.openxmlformats.org/officeDocument/2006/relationships/hyperlink" Target="mailto:raduaahmed07@gmail.com" TargetMode="External"/><Relationship Id="rId6" Type="http://schemas.openxmlformats.org/officeDocument/2006/relationships/hyperlink" Target="mailto:madihamadahairidine@gmail.com" TargetMode="External"/><Relationship Id="rId11" Type="http://schemas.openxmlformats.org/officeDocument/2006/relationships/hyperlink" Target="mailto:artisan97615@gmail.com" TargetMode="External"/><Relationship Id="rId5" Type="http://schemas.openxmlformats.org/officeDocument/2006/relationships/hyperlink" Target="mailto:Ahmedadel97615@gmail.com" TargetMode="External"/><Relationship Id="rId15" Type="http://schemas.openxmlformats.org/officeDocument/2006/relationships/printerSettings" Target="../printerSettings/printerSettings14.bin"/><Relationship Id="rId10" Type="http://schemas.openxmlformats.org/officeDocument/2006/relationships/hyperlink" Target="mailto:ahamadi0303@gmail.com" TargetMode="External"/><Relationship Id="rId4" Type="http://schemas.openxmlformats.org/officeDocument/2006/relationships/hyperlink" Target="mailto:mohamedbacarali@gmail.com" TargetMode="External"/><Relationship Id="rId9" Type="http://schemas.openxmlformats.org/officeDocument/2006/relationships/hyperlink" Target="mailto:saidali.kamile976@gmail.com" TargetMode="External"/><Relationship Id="rId14" Type="http://schemas.openxmlformats.org/officeDocument/2006/relationships/hyperlink" Target="mailto:saidali.kamile976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62F8-D110-43B8-A463-D1A8B7712205}">
  <sheetPr>
    <pageSetUpPr fitToPage="1"/>
  </sheetPr>
  <dimension ref="A3:U49"/>
  <sheetViews>
    <sheetView workbookViewId="0">
      <selection activeCell="B3" sqref="B3"/>
    </sheetView>
  </sheetViews>
  <sheetFormatPr baseColWidth="10" defaultRowHeight="14.25" x14ac:dyDescent="0.45"/>
  <cols>
    <col min="1" max="1" width="11.796875" customWidth="1"/>
    <col min="2" max="2" width="13.796875" bestFit="1" customWidth="1"/>
    <col min="8" max="8" width="10.796875" hidden="1" customWidth="1"/>
    <col min="12" max="12" width="10.796875" hidden="1" customWidth="1"/>
    <col min="16" max="16" width="10.796875" hidden="1" customWidth="1"/>
    <col min="18" max="18" width="0" hidden="1" customWidth="1"/>
    <col min="20" max="20" width="34.796875" customWidth="1"/>
  </cols>
  <sheetData>
    <row r="3" spans="1:21" x14ac:dyDescent="0.45">
      <c r="A3" t="s">
        <v>14</v>
      </c>
      <c r="B3" s="63"/>
      <c r="C3" s="20"/>
    </row>
    <row r="4" spans="1:21" x14ac:dyDescent="0.45">
      <c r="A4" t="s">
        <v>13</v>
      </c>
      <c r="B4" s="21"/>
      <c r="C4" s="20"/>
    </row>
    <row r="6" spans="1:21" x14ac:dyDescent="0.45">
      <c r="A6" s="7"/>
      <c r="B6" s="9"/>
      <c r="C6" s="9"/>
      <c r="D6" s="10"/>
      <c r="E6" s="617" t="s">
        <v>2</v>
      </c>
      <c r="F6" s="618"/>
      <c r="G6" s="619"/>
      <c r="H6" s="1"/>
      <c r="I6" s="617" t="s">
        <v>6</v>
      </c>
      <c r="J6" s="618"/>
      <c r="K6" s="619"/>
      <c r="L6" s="1"/>
      <c r="M6" s="617" t="s">
        <v>7</v>
      </c>
      <c r="N6" s="618"/>
      <c r="O6" s="619"/>
      <c r="P6" s="1"/>
      <c r="Q6" s="13" t="s">
        <v>11</v>
      </c>
      <c r="R6" s="12"/>
      <c r="S6" s="10"/>
      <c r="T6" s="7"/>
      <c r="U6" s="5"/>
    </row>
    <row r="7" spans="1:21" ht="42.75" x14ac:dyDescent="0.45">
      <c r="A7" s="8"/>
      <c r="B7" s="3" t="s">
        <v>0</v>
      </c>
      <c r="C7" s="18" t="s">
        <v>1</v>
      </c>
      <c r="D7" s="4" t="s">
        <v>3</v>
      </c>
      <c r="E7" s="2" t="s">
        <v>3</v>
      </c>
      <c r="F7" s="18" t="s">
        <v>4</v>
      </c>
      <c r="G7" s="4" t="s">
        <v>5</v>
      </c>
      <c r="H7" s="3" t="s">
        <v>19</v>
      </c>
      <c r="I7" s="2" t="s">
        <v>3</v>
      </c>
      <c r="J7" s="18" t="s">
        <v>4</v>
      </c>
      <c r="K7" s="4" t="s">
        <v>9</v>
      </c>
      <c r="L7" s="3" t="s">
        <v>19</v>
      </c>
      <c r="M7" s="2" t="s">
        <v>3</v>
      </c>
      <c r="N7" s="18" t="s">
        <v>4</v>
      </c>
      <c r="O7" s="4" t="s">
        <v>10</v>
      </c>
      <c r="P7" s="3" t="s">
        <v>19</v>
      </c>
      <c r="Q7" s="2" t="s">
        <v>4</v>
      </c>
      <c r="R7" s="3"/>
      <c r="S7" s="4" t="s">
        <v>17</v>
      </c>
      <c r="T7" s="8" t="s">
        <v>12</v>
      </c>
      <c r="U7" s="6" t="s">
        <v>20</v>
      </c>
    </row>
    <row r="8" spans="1:21" ht="40.049999999999997" customHeight="1" x14ac:dyDescent="0.45">
      <c r="A8" s="14" t="s">
        <v>8</v>
      </c>
      <c r="B8" s="35">
        <v>0.20833333333333334</v>
      </c>
      <c r="C8" s="36"/>
      <c r="D8" s="40"/>
      <c r="E8" s="26"/>
      <c r="F8" s="27"/>
      <c r="G8" s="44"/>
      <c r="H8" s="35">
        <f>G8-C8</f>
        <v>0</v>
      </c>
      <c r="I8" s="26"/>
      <c r="J8" s="27"/>
      <c r="K8" s="44"/>
      <c r="L8" s="35">
        <f>K8-G8</f>
        <v>0</v>
      </c>
      <c r="M8" s="26"/>
      <c r="N8" s="27"/>
      <c r="O8" s="44"/>
      <c r="P8" s="35">
        <f>O8-K8</f>
        <v>0</v>
      </c>
      <c r="Q8" s="26"/>
      <c r="R8" s="32" t="str">
        <f>IF(D8+E8-F8+I8-J8+M8-N8=Q8,"OK",D8+E8-F8+I8-J8+M8-N8-Q8)</f>
        <v>OK</v>
      </c>
      <c r="S8" s="44"/>
      <c r="T8" s="14"/>
      <c r="U8" s="44">
        <f>S8-C8</f>
        <v>0</v>
      </c>
    </row>
    <row r="9" spans="1:21" ht="40.049999999999997" customHeight="1" x14ac:dyDescent="0.45">
      <c r="A9" s="14" t="s">
        <v>8</v>
      </c>
      <c r="B9" s="35">
        <v>0.21527777777777779</v>
      </c>
      <c r="C9" s="36"/>
      <c r="D9" s="40"/>
      <c r="E9" s="26"/>
      <c r="F9" s="27"/>
      <c r="G9" s="44"/>
      <c r="H9" s="35">
        <f t="shared" ref="H9:H46" si="0">G9-C9</f>
        <v>0</v>
      </c>
      <c r="I9" s="26"/>
      <c r="J9" s="27"/>
      <c r="K9" s="44"/>
      <c r="L9" s="35">
        <f t="shared" ref="L9:L26" si="1">K9-G9</f>
        <v>0</v>
      </c>
      <c r="M9" s="26"/>
      <c r="N9" s="27"/>
      <c r="O9" s="44"/>
      <c r="P9" s="35">
        <f t="shared" ref="P9:P26" si="2">O9-K9</f>
        <v>0</v>
      </c>
      <c r="Q9" s="26"/>
      <c r="R9" s="32"/>
      <c r="S9" s="44"/>
      <c r="T9" s="14"/>
      <c r="U9" s="44">
        <f t="shared" ref="U9:U46" si="3">S9-C9</f>
        <v>0</v>
      </c>
    </row>
    <row r="10" spans="1:21" ht="40.049999999999997" customHeight="1" x14ac:dyDescent="0.45">
      <c r="A10" s="14" t="s">
        <v>8</v>
      </c>
      <c r="B10" s="35">
        <v>0.22222222222222199</v>
      </c>
      <c r="C10" s="36"/>
      <c r="D10" s="40"/>
      <c r="E10" s="26"/>
      <c r="F10" s="27"/>
      <c r="G10" s="44"/>
      <c r="H10" s="35">
        <f t="shared" si="0"/>
        <v>0</v>
      </c>
      <c r="I10" s="26"/>
      <c r="J10" s="27"/>
      <c r="K10" s="44"/>
      <c r="L10" s="35">
        <f t="shared" si="1"/>
        <v>0</v>
      </c>
      <c r="M10" s="26"/>
      <c r="N10" s="27"/>
      <c r="O10" s="44"/>
      <c r="P10" s="35">
        <f t="shared" si="2"/>
        <v>0</v>
      </c>
      <c r="Q10" s="26"/>
      <c r="R10" s="32"/>
      <c r="S10" s="44"/>
      <c r="T10" s="14"/>
      <c r="U10" s="44">
        <f t="shared" si="3"/>
        <v>0</v>
      </c>
    </row>
    <row r="11" spans="1:21" ht="40.049999999999997" customHeight="1" x14ac:dyDescent="0.45">
      <c r="A11" s="14" t="s">
        <v>8</v>
      </c>
      <c r="B11" s="35">
        <v>0.22916666666666699</v>
      </c>
      <c r="C11" s="36"/>
      <c r="D11" s="40"/>
      <c r="E11" s="26"/>
      <c r="F11" s="27"/>
      <c r="G11" s="44"/>
      <c r="H11" s="35">
        <f t="shared" si="0"/>
        <v>0</v>
      </c>
      <c r="I11" s="26"/>
      <c r="J11" s="27"/>
      <c r="K11" s="44"/>
      <c r="L11" s="35">
        <f t="shared" si="1"/>
        <v>0</v>
      </c>
      <c r="M11" s="26"/>
      <c r="N11" s="27"/>
      <c r="O11" s="44"/>
      <c r="P11" s="35">
        <f t="shared" si="2"/>
        <v>0</v>
      </c>
      <c r="Q11" s="26"/>
      <c r="R11" s="32"/>
      <c r="S11" s="44"/>
      <c r="T11" s="14"/>
      <c r="U11" s="44">
        <f t="shared" si="3"/>
        <v>0</v>
      </c>
    </row>
    <row r="12" spans="1:21" ht="40.049999999999997" customHeight="1" x14ac:dyDescent="0.45">
      <c r="A12" s="14" t="s">
        <v>8</v>
      </c>
      <c r="B12" s="35">
        <v>0.23611111111111099</v>
      </c>
      <c r="C12" s="36"/>
      <c r="D12" s="40"/>
      <c r="E12" s="26"/>
      <c r="F12" s="27"/>
      <c r="G12" s="44"/>
      <c r="H12" s="35">
        <f t="shared" si="0"/>
        <v>0</v>
      </c>
      <c r="I12" s="26"/>
      <c r="J12" s="27"/>
      <c r="K12" s="44"/>
      <c r="L12" s="35">
        <f t="shared" si="1"/>
        <v>0</v>
      </c>
      <c r="M12" s="26"/>
      <c r="N12" s="27"/>
      <c r="O12" s="44"/>
      <c r="P12" s="35">
        <f t="shared" si="2"/>
        <v>0</v>
      </c>
      <c r="Q12" s="26"/>
      <c r="R12" s="32"/>
      <c r="S12" s="44"/>
      <c r="T12" s="14"/>
      <c r="U12" s="44">
        <f t="shared" si="3"/>
        <v>0</v>
      </c>
    </row>
    <row r="13" spans="1:21" ht="40.049999999999997" customHeight="1" x14ac:dyDescent="0.45">
      <c r="A13" s="14" t="s">
        <v>8</v>
      </c>
      <c r="B13" s="35">
        <v>0.243055555555556</v>
      </c>
      <c r="C13" s="36"/>
      <c r="D13" s="40"/>
      <c r="E13" s="26"/>
      <c r="F13" s="27"/>
      <c r="G13" s="44"/>
      <c r="H13" s="35">
        <f t="shared" si="0"/>
        <v>0</v>
      </c>
      <c r="I13" s="26"/>
      <c r="J13" s="27"/>
      <c r="K13" s="44"/>
      <c r="L13" s="35">
        <f t="shared" si="1"/>
        <v>0</v>
      </c>
      <c r="M13" s="26"/>
      <c r="N13" s="27"/>
      <c r="O13" s="44"/>
      <c r="P13" s="35">
        <f t="shared" si="2"/>
        <v>0</v>
      </c>
      <c r="Q13" s="26"/>
      <c r="R13" s="32"/>
      <c r="S13" s="44"/>
      <c r="T13" s="14"/>
      <c r="U13" s="44">
        <f t="shared" si="3"/>
        <v>0</v>
      </c>
    </row>
    <row r="14" spans="1:21" ht="40.049999999999997" customHeight="1" x14ac:dyDescent="0.45">
      <c r="A14" s="14" t="s">
        <v>8</v>
      </c>
      <c r="B14" s="35">
        <v>0.25</v>
      </c>
      <c r="C14" s="36"/>
      <c r="D14" s="40"/>
      <c r="E14" s="26"/>
      <c r="F14" s="27"/>
      <c r="G14" s="44"/>
      <c r="H14" s="35">
        <f t="shared" si="0"/>
        <v>0</v>
      </c>
      <c r="I14" s="26"/>
      <c r="J14" s="27"/>
      <c r="K14" s="44"/>
      <c r="L14" s="35">
        <f t="shared" si="1"/>
        <v>0</v>
      </c>
      <c r="M14" s="26"/>
      <c r="N14" s="27"/>
      <c r="O14" s="44"/>
      <c r="P14" s="35">
        <f t="shared" si="2"/>
        <v>0</v>
      </c>
      <c r="Q14" s="26"/>
      <c r="R14" s="32"/>
      <c r="S14" s="44"/>
      <c r="T14" s="14"/>
      <c r="U14" s="44">
        <f t="shared" si="3"/>
        <v>0</v>
      </c>
    </row>
    <row r="15" spans="1:21" ht="40.049999999999997" customHeight="1" x14ac:dyDescent="0.45">
      <c r="A15" s="14" t="s">
        <v>8</v>
      </c>
      <c r="B15" s="35">
        <v>0.25694444444444398</v>
      </c>
      <c r="C15" s="36"/>
      <c r="D15" s="40"/>
      <c r="E15" s="26"/>
      <c r="F15" s="27"/>
      <c r="G15" s="44"/>
      <c r="H15" s="35">
        <f t="shared" si="0"/>
        <v>0</v>
      </c>
      <c r="I15" s="26"/>
      <c r="J15" s="27"/>
      <c r="K15" s="44"/>
      <c r="L15" s="35">
        <f t="shared" si="1"/>
        <v>0</v>
      </c>
      <c r="M15" s="26"/>
      <c r="N15" s="27"/>
      <c r="O15" s="44"/>
      <c r="P15" s="35">
        <f t="shared" si="2"/>
        <v>0</v>
      </c>
      <c r="Q15" s="26"/>
      <c r="R15" s="32"/>
      <c r="S15" s="44"/>
      <c r="T15" s="14"/>
      <c r="U15" s="44">
        <f t="shared" si="3"/>
        <v>0</v>
      </c>
    </row>
    <row r="16" spans="1:21" ht="40.049999999999997" customHeight="1" x14ac:dyDescent="0.45">
      <c r="A16" s="14" t="s">
        <v>8</v>
      </c>
      <c r="B16" s="35">
        <v>0.26388888888888901</v>
      </c>
      <c r="C16" s="36"/>
      <c r="D16" s="40"/>
      <c r="E16" s="26"/>
      <c r="F16" s="27"/>
      <c r="G16" s="44"/>
      <c r="H16" s="35">
        <f t="shared" si="0"/>
        <v>0</v>
      </c>
      <c r="I16" s="26"/>
      <c r="J16" s="27"/>
      <c r="K16" s="44"/>
      <c r="L16" s="35">
        <f t="shared" si="1"/>
        <v>0</v>
      </c>
      <c r="M16" s="26"/>
      <c r="N16" s="27"/>
      <c r="O16" s="44"/>
      <c r="P16" s="35">
        <f t="shared" si="2"/>
        <v>0</v>
      </c>
      <c r="Q16" s="26"/>
      <c r="R16" s="32"/>
      <c r="S16" s="44"/>
      <c r="T16" s="14"/>
      <c r="U16" s="44">
        <f t="shared" si="3"/>
        <v>0</v>
      </c>
    </row>
    <row r="17" spans="1:21" ht="40.049999999999997" customHeight="1" x14ac:dyDescent="0.45">
      <c r="A17" s="14" t="s">
        <v>8</v>
      </c>
      <c r="B17" s="35">
        <v>0.27083333333333298</v>
      </c>
      <c r="C17" s="36"/>
      <c r="D17" s="40"/>
      <c r="E17" s="26"/>
      <c r="F17" s="27"/>
      <c r="G17" s="44"/>
      <c r="H17" s="35">
        <f t="shared" si="0"/>
        <v>0</v>
      </c>
      <c r="I17" s="26"/>
      <c r="J17" s="27"/>
      <c r="K17" s="44"/>
      <c r="L17" s="35">
        <f t="shared" si="1"/>
        <v>0</v>
      </c>
      <c r="M17" s="26"/>
      <c r="N17" s="27"/>
      <c r="O17" s="44"/>
      <c r="P17" s="35">
        <f t="shared" si="2"/>
        <v>0</v>
      </c>
      <c r="Q17" s="26"/>
      <c r="R17" s="32"/>
      <c r="S17" s="44"/>
      <c r="T17" s="14"/>
      <c r="U17" s="44">
        <f t="shared" si="3"/>
        <v>0</v>
      </c>
    </row>
    <row r="18" spans="1:21" ht="40.049999999999997" customHeight="1" x14ac:dyDescent="0.45">
      <c r="A18" s="14" t="s">
        <v>8</v>
      </c>
      <c r="B18" s="35">
        <v>0.27777777777777801</v>
      </c>
      <c r="C18" s="36"/>
      <c r="D18" s="40"/>
      <c r="E18" s="26"/>
      <c r="F18" s="27"/>
      <c r="G18" s="44"/>
      <c r="H18" s="35">
        <f t="shared" si="0"/>
        <v>0</v>
      </c>
      <c r="I18" s="26"/>
      <c r="J18" s="27"/>
      <c r="K18" s="44"/>
      <c r="L18" s="35">
        <f t="shared" si="1"/>
        <v>0</v>
      </c>
      <c r="M18" s="26"/>
      <c r="N18" s="27"/>
      <c r="O18" s="44"/>
      <c r="P18" s="35">
        <f t="shared" si="2"/>
        <v>0</v>
      </c>
      <c r="Q18" s="26"/>
      <c r="R18" s="32"/>
      <c r="S18" s="44"/>
      <c r="T18" s="14"/>
      <c r="U18" s="44">
        <f t="shared" si="3"/>
        <v>0</v>
      </c>
    </row>
    <row r="19" spans="1:21" ht="40.049999999999997" customHeight="1" x14ac:dyDescent="0.45">
      <c r="A19" s="14" t="s">
        <v>8</v>
      </c>
      <c r="B19" s="35">
        <v>0.28472222222222199</v>
      </c>
      <c r="C19" s="36"/>
      <c r="D19" s="40"/>
      <c r="E19" s="26"/>
      <c r="F19" s="27"/>
      <c r="G19" s="44"/>
      <c r="H19" s="35">
        <f t="shared" si="0"/>
        <v>0</v>
      </c>
      <c r="I19" s="26"/>
      <c r="J19" s="27"/>
      <c r="K19" s="44"/>
      <c r="L19" s="35">
        <f t="shared" si="1"/>
        <v>0</v>
      </c>
      <c r="M19" s="26"/>
      <c r="N19" s="27"/>
      <c r="O19" s="44"/>
      <c r="P19" s="35">
        <f t="shared" si="2"/>
        <v>0</v>
      </c>
      <c r="Q19" s="26"/>
      <c r="R19" s="32"/>
      <c r="S19" s="44"/>
      <c r="T19" s="14"/>
      <c r="U19" s="44">
        <f t="shared" si="3"/>
        <v>0</v>
      </c>
    </row>
    <row r="20" spans="1:21" ht="40.049999999999997" customHeight="1" x14ac:dyDescent="0.45">
      <c r="A20" s="14" t="s">
        <v>8</v>
      </c>
      <c r="B20" s="35">
        <v>0.29166666666666702</v>
      </c>
      <c r="C20" s="36"/>
      <c r="D20" s="40"/>
      <c r="E20" s="26"/>
      <c r="F20" s="27"/>
      <c r="G20" s="44"/>
      <c r="H20" s="35">
        <f t="shared" si="0"/>
        <v>0</v>
      </c>
      <c r="I20" s="26"/>
      <c r="J20" s="27"/>
      <c r="K20" s="44"/>
      <c r="L20" s="35">
        <f t="shared" si="1"/>
        <v>0</v>
      </c>
      <c r="M20" s="26"/>
      <c r="N20" s="27"/>
      <c r="O20" s="44"/>
      <c r="P20" s="35">
        <f t="shared" si="2"/>
        <v>0</v>
      </c>
      <c r="Q20" s="26"/>
      <c r="R20" s="32"/>
      <c r="S20" s="44"/>
      <c r="T20" s="14"/>
      <c r="U20" s="44">
        <f t="shared" si="3"/>
        <v>0</v>
      </c>
    </row>
    <row r="21" spans="1:21" ht="40.049999999999997" customHeight="1" x14ac:dyDescent="0.45">
      <c r="A21" s="14" t="s">
        <v>8</v>
      </c>
      <c r="B21" s="35">
        <v>0.29861111111111099</v>
      </c>
      <c r="C21" s="36"/>
      <c r="D21" s="40"/>
      <c r="E21" s="26"/>
      <c r="F21" s="27"/>
      <c r="G21" s="44"/>
      <c r="H21" s="35">
        <f t="shared" si="0"/>
        <v>0</v>
      </c>
      <c r="I21" s="26"/>
      <c r="J21" s="27"/>
      <c r="K21" s="44"/>
      <c r="L21" s="35">
        <f t="shared" si="1"/>
        <v>0</v>
      </c>
      <c r="M21" s="26"/>
      <c r="N21" s="27"/>
      <c r="O21" s="44"/>
      <c r="P21" s="35">
        <f t="shared" si="2"/>
        <v>0</v>
      </c>
      <c r="Q21" s="26"/>
      <c r="R21" s="32"/>
      <c r="S21" s="44"/>
      <c r="T21" s="14"/>
      <c r="U21" s="44">
        <f t="shared" si="3"/>
        <v>0</v>
      </c>
    </row>
    <row r="22" spans="1:21" ht="40.049999999999997" customHeight="1" x14ac:dyDescent="0.45">
      <c r="A22" s="14" t="s">
        <v>8</v>
      </c>
      <c r="B22" s="35">
        <v>0.30555555555555602</v>
      </c>
      <c r="C22" s="36"/>
      <c r="D22" s="40"/>
      <c r="E22" s="26"/>
      <c r="F22" s="27"/>
      <c r="G22" s="44"/>
      <c r="H22" s="35">
        <f t="shared" si="0"/>
        <v>0</v>
      </c>
      <c r="I22" s="26"/>
      <c r="J22" s="27"/>
      <c r="K22" s="44"/>
      <c r="L22" s="35">
        <f t="shared" si="1"/>
        <v>0</v>
      </c>
      <c r="M22" s="26"/>
      <c r="N22" s="27"/>
      <c r="O22" s="44"/>
      <c r="P22" s="35">
        <f t="shared" si="2"/>
        <v>0</v>
      </c>
      <c r="Q22" s="26"/>
      <c r="R22" s="32"/>
      <c r="S22" s="44"/>
      <c r="T22" s="14"/>
      <c r="U22" s="44">
        <f t="shared" si="3"/>
        <v>0</v>
      </c>
    </row>
    <row r="23" spans="1:21" ht="40.049999999999997" customHeight="1" x14ac:dyDescent="0.45">
      <c r="A23" s="14" t="s">
        <v>8</v>
      </c>
      <c r="B23" s="35">
        <v>0.3125</v>
      </c>
      <c r="C23" s="36"/>
      <c r="D23" s="40"/>
      <c r="E23" s="26"/>
      <c r="F23" s="27"/>
      <c r="G23" s="44"/>
      <c r="H23" s="35">
        <f t="shared" si="0"/>
        <v>0</v>
      </c>
      <c r="I23" s="26"/>
      <c r="J23" s="27"/>
      <c r="K23" s="44"/>
      <c r="L23" s="35">
        <f t="shared" si="1"/>
        <v>0</v>
      </c>
      <c r="M23" s="26"/>
      <c r="N23" s="27"/>
      <c r="O23" s="44"/>
      <c r="P23" s="35">
        <f t="shared" si="2"/>
        <v>0</v>
      </c>
      <c r="Q23" s="26"/>
      <c r="R23" s="32"/>
      <c r="S23" s="44"/>
      <c r="T23" s="14"/>
      <c r="U23" s="44">
        <f t="shared" si="3"/>
        <v>0</v>
      </c>
    </row>
    <row r="24" spans="1:21" ht="40.049999999999997" customHeight="1" x14ac:dyDescent="0.45">
      <c r="A24" s="14" t="s">
        <v>8</v>
      </c>
      <c r="B24" s="35">
        <v>0.31944444444444398</v>
      </c>
      <c r="C24" s="36"/>
      <c r="D24" s="40"/>
      <c r="E24" s="26"/>
      <c r="F24" s="27"/>
      <c r="G24" s="44"/>
      <c r="H24" s="35">
        <f t="shared" si="0"/>
        <v>0</v>
      </c>
      <c r="I24" s="26"/>
      <c r="J24" s="27"/>
      <c r="K24" s="44"/>
      <c r="L24" s="35">
        <f t="shared" si="1"/>
        <v>0</v>
      </c>
      <c r="M24" s="26"/>
      <c r="N24" s="27"/>
      <c r="O24" s="44"/>
      <c r="P24" s="35">
        <f t="shared" si="2"/>
        <v>0</v>
      </c>
      <c r="Q24" s="26"/>
      <c r="R24" s="32"/>
      <c r="S24" s="44"/>
      <c r="T24" s="14"/>
      <c r="U24" s="44">
        <f t="shared" si="3"/>
        <v>0</v>
      </c>
    </row>
    <row r="25" spans="1:21" ht="40.049999999999997" customHeight="1" x14ac:dyDescent="0.45">
      <c r="A25" s="14" t="s">
        <v>8</v>
      </c>
      <c r="B25" s="35">
        <v>0.32638888888888901</v>
      </c>
      <c r="C25" s="36"/>
      <c r="D25" s="40"/>
      <c r="E25" s="26"/>
      <c r="F25" s="27"/>
      <c r="G25" s="44"/>
      <c r="H25" s="35">
        <f t="shared" si="0"/>
        <v>0</v>
      </c>
      <c r="I25" s="26"/>
      <c r="J25" s="27"/>
      <c r="K25" s="44"/>
      <c r="L25" s="35">
        <f t="shared" si="1"/>
        <v>0</v>
      </c>
      <c r="M25" s="26"/>
      <c r="N25" s="27"/>
      <c r="O25" s="44"/>
      <c r="P25" s="35">
        <f t="shared" si="2"/>
        <v>0</v>
      </c>
      <c r="Q25" s="26"/>
      <c r="R25" s="32"/>
      <c r="S25" s="44"/>
      <c r="T25" s="14"/>
      <c r="U25" s="44">
        <f t="shared" si="3"/>
        <v>0</v>
      </c>
    </row>
    <row r="26" spans="1:21" ht="40.049999999999997" customHeight="1" x14ac:dyDescent="0.45">
      <c r="A26" s="14" t="s">
        <v>8</v>
      </c>
      <c r="B26" s="35">
        <v>0.33333333333333298</v>
      </c>
      <c r="C26" s="36"/>
      <c r="D26" s="40"/>
      <c r="E26" s="26"/>
      <c r="F26" s="27"/>
      <c r="G26" s="44"/>
      <c r="H26" s="35">
        <f t="shared" si="0"/>
        <v>0</v>
      </c>
      <c r="I26" s="26"/>
      <c r="J26" s="27"/>
      <c r="K26" s="44"/>
      <c r="L26" s="35">
        <f t="shared" si="1"/>
        <v>0</v>
      </c>
      <c r="M26" s="26"/>
      <c r="N26" s="27"/>
      <c r="O26" s="44"/>
      <c r="P26" s="35">
        <f t="shared" si="2"/>
        <v>0</v>
      </c>
      <c r="Q26" s="26"/>
      <c r="R26" s="32"/>
      <c r="S26" s="44"/>
      <c r="T26" s="14"/>
      <c r="U26" s="44">
        <f t="shared" si="3"/>
        <v>0</v>
      </c>
    </row>
    <row r="27" spans="1:21" ht="29.55" customHeight="1" x14ac:dyDescent="0.45">
      <c r="A27" s="16"/>
      <c r="B27" s="17"/>
      <c r="C27" s="39"/>
      <c r="D27" s="41"/>
      <c r="E27" s="16"/>
      <c r="F27" s="43"/>
      <c r="G27" s="45"/>
      <c r="H27" s="48"/>
      <c r="I27" s="28"/>
      <c r="J27" s="29"/>
      <c r="K27" s="45"/>
      <c r="L27" s="17"/>
      <c r="M27" s="28"/>
      <c r="N27" s="29"/>
      <c r="O27" s="45"/>
      <c r="P27" s="17"/>
      <c r="Q27" s="28" t="s">
        <v>8</v>
      </c>
      <c r="R27" s="33"/>
      <c r="S27" s="45"/>
      <c r="T27" s="16"/>
      <c r="U27" s="45">
        <f>SUM(U8:U26)</f>
        <v>0</v>
      </c>
    </row>
    <row r="28" spans="1:21" ht="39.5" customHeight="1" x14ac:dyDescent="0.45">
      <c r="A28" s="22" t="s">
        <v>11</v>
      </c>
      <c r="B28" s="35">
        <v>0.625</v>
      </c>
      <c r="C28" s="36"/>
      <c r="D28" s="24"/>
      <c r="E28" s="14"/>
      <c r="F28" s="25"/>
      <c r="G28" s="44"/>
      <c r="H28" s="35">
        <f t="shared" si="0"/>
        <v>0</v>
      </c>
      <c r="I28" s="26"/>
      <c r="J28" s="27"/>
      <c r="K28" s="44"/>
      <c r="L28" s="35">
        <f t="shared" ref="L28:L46" si="4">K28-G28</f>
        <v>0</v>
      </c>
      <c r="M28" s="26"/>
      <c r="N28" s="27"/>
      <c r="O28" s="44"/>
      <c r="P28" s="35">
        <f t="shared" ref="P28:P46" si="5">O28-K28</f>
        <v>0</v>
      </c>
      <c r="Q28" s="26"/>
      <c r="R28" s="32"/>
      <c r="S28" s="44"/>
      <c r="T28" s="14"/>
      <c r="U28" s="44">
        <f t="shared" si="3"/>
        <v>0</v>
      </c>
    </row>
    <row r="29" spans="1:21" ht="39.5" customHeight="1" x14ac:dyDescent="0.45">
      <c r="A29" s="22" t="s">
        <v>11</v>
      </c>
      <c r="B29" s="35">
        <v>0.63194444444444442</v>
      </c>
      <c r="C29" s="36"/>
      <c r="D29" s="24"/>
      <c r="E29" s="14"/>
      <c r="F29" s="25"/>
      <c r="G29" s="44"/>
      <c r="H29" s="35">
        <f t="shared" si="0"/>
        <v>0</v>
      </c>
      <c r="I29" s="26"/>
      <c r="J29" s="27"/>
      <c r="K29" s="44"/>
      <c r="L29" s="35">
        <f t="shared" si="4"/>
        <v>0</v>
      </c>
      <c r="M29" s="26"/>
      <c r="N29" s="27"/>
      <c r="O29" s="44"/>
      <c r="P29" s="35">
        <f t="shared" si="5"/>
        <v>0</v>
      </c>
      <c r="Q29" s="26"/>
      <c r="R29" s="32"/>
      <c r="S29" s="44"/>
      <c r="T29" s="14"/>
      <c r="U29" s="44">
        <f t="shared" si="3"/>
        <v>0</v>
      </c>
    </row>
    <row r="30" spans="1:21" ht="39.5" customHeight="1" x14ac:dyDescent="0.45">
      <c r="A30" s="22" t="s">
        <v>11</v>
      </c>
      <c r="B30" s="35">
        <v>0.63888888888888895</v>
      </c>
      <c r="C30" s="36"/>
      <c r="D30" s="24"/>
      <c r="E30" s="14"/>
      <c r="F30" s="25"/>
      <c r="G30" s="44"/>
      <c r="H30" s="35">
        <f t="shared" si="0"/>
        <v>0</v>
      </c>
      <c r="I30" s="26"/>
      <c r="J30" s="27"/>
      <c r="K30" s="44"/>
      <c r="L30" s="35">
        <f t="shared" si="4"/>
        <v>0</v>
      </c>
      <c r="M30" s="26"/>
      <c r="N30" s="27"/>
      <c r="O30" s="44"/>
      <c r="P30" s="35">
        <f t="shared" si="5"/>
        <v>0</v>
      </c>
      <c r="Q30" s="26"/>
      <c r="R30" s="32"/>
      <c r="S30" s="44"/>
      <c r="T30" s="14"/>
      <c r="U30" s="44">
        <f t="shared" si="3"/>
        <v>0</v>
      </c>
    </row>
    <row r="31" spans="1:21" ht="39.5" customHeight="1" x14ac:dyDescent="0.45">
      <c r="A31" s="22" t="s">
        <v>11</v>
      </c>
      <c r="B31" s="35">
        <v>0.64583333333333304</v>
      </c>
      <c r="C31" s="36"/>
      <c r="D31" s="24"/>
      <c r="E31" s="14"/>
      <c r="F31" s="25"/>
      <c r="G31" s="44"/>
      <c r="H31" s="35">
        <f t="shared" si="0"/>
        <v>0</v>
      </c>
      <c r="I31" s="26"/>
      <c r="J31" s="27"/>
      <c r="K31" s="44"/>
      <c r="L31" s="35">
        <f t="shared" si="4"/>
        <v>0</v>
      </c>
      <c r="M31" s="26"/>
      <c r="N31" s="27"/>
      <c r="O31" s="44"/>
      <c r="P31" s="35">
        <f t="shared" si="5"/>
        <v>0</v>
      </c>
      <c r="Q31" s="26"/>
      <c r="R31" s="32"/>
      <c r="S31" s="44"/>
      <c r="T31" s="14"/>
      <c r="U31" s="44">
        <f t="shared" si="3"/>
        <v>0</v>
      </c>
    </row>
    <row r="32" spans="1:21" ht="39.5" customHeight="1" x14ac:dyDescent="0.45">
      <c r="A32" s="22" t="s">
        <v>11</v>
      </c>
      <c r="B32" s="35">
        <v>0.65277777777777801</v>
      </c>
      <c r="C32" s="36"/>
      <c r="D32" s="24"/>
      <c r="E32" s="14"/>
      <c r="F32" s="25"/>
      <c r="G32" s="44"/>
      <c r="H32" s="35">
        <f t="shared" si="0"/>
        <v>0</v>
      </c>
      <c r="I32" s="26"/>
      <c r="J32" s="27"/>
      <c r="K32" s="44"/>
      <c r="L32" s="35">
        <f t="shared" si="4"/>
        <v>0</v>
      </c>
      <c r="M32" s="26"/>
      <c r="N32" s="27"/>
      <c r="O32" s="44"/>
      <c r="P32" s="35">
        <f t="shared" si="5"/>
        <v>0</v>
      </c>
      <c r="Q32" s="26"/>
      <c r="R32" s="32"/>
      <c r="S32" s="44"/>
      <c r="T32" s="14"/>
      <c r="U32" s="44">
        <f t="shared" si="3"/>
        <v>0</v>
      </c>
    </row>
    <row r="33" spans="1:21" ht="39.5" customHeight="1" x14ac:dyDescent="0.45">
      <c r="A33" s="22" t="s">
        <v>11</v>
      </c>
      <c r="B33" s="35">
        <v>0.65972222222222199</v>
      </c>
      <c r="C33" s="36"/>
      <c r="D33" s="24"/>
      <c r="E33" s="14"/>
      <c r="F33" s="25"/>
      <c r="G33" s="44"/>
      <c r="H33" s="35">
        <f t="shared" si="0"/>
        <v>0</v>
      </c>
      <c r="I33" s="26"/>
      <c r="J33" s="27"/>
      <c r="K33" s="44"/>
      <c r="L33" s="35">
        <f t="shared" si="4"/>
        <v>0</v>
      </c>
      <c r="M33" s="26"/>
      <c r="N33" s="27"/>
      <c r="O33" s="44"/>
      <c r="P33" s="35">
        <f t="shared" si="5"/>
        <v>0</v>
      </c>
      <c r="Q33" s="26"/>
      <c r="R33" s="32"/>
      <c r="S33" s="44"/>
      <c r="T33" s="14"/>
      <c r="U33" s="44">
        <f t="shared" si="3"/>
        <v>0</v>
      </c>
    </row>
    <row r="34" spans="1:21" ht="39.5" customHeight="1" x14ac:dyDescent="0.45">
      <c r="A34" s="22" t="s">
        <v>11</v>
      </c>
      <c r="B34" s="35">
        <v>0.66666666666666696</v>
      </c>
      <c r="C34" s="36"/>
      <c r="D34" s="24"/>
      <c r="E34" s="14"/>
      <c r="F34" s="25"/>
      <c r="G34" s="44"/>
      <c r="H34" s="35">
        <f t="shared" si="0"/>
        <v>0</v>
      </c>
      <c r="I34" s="26"/>
      <c r="J34" s="27"/>
      <c r="K34" s="44"/>
      <c r="L34" s="35">
        <f t="shared" si="4"/>
        <v>0</v>
      </c>
      <c r="M34" s="26"/>
      <c r="N34" s="27"/>
      <c r="O34" s="44"/>
      <c r="P34" s="35">
        <f t="shared" si="5"/>
        <v>0</v>
      </c>
      <c r="Q34" s="26"/>
      <c r="R34" s="32"/>
      <c r="S34" s="44"/>
      <c r="T34" s="14"/>
      <c r="U34" s="44">
        <f t="shared" si="3"/>
        <v>0</v>
      </c>
    </row>
    <row r="35" spans="1:21" ht="39.5" customHeight="1" x14ac:dyDescent="0.45">
      <c r="A35" s="22" t="s">
        <v>11</v>
      </c>
      <c r="B35" s="35">
        <v>0.67361111111111105</v>
      </c>
      <c r="C35" s="36"/>
      <c r="D35" s="24"/>
      <c r="E35" s="14"/>
      <c r="F35" s="25"/>
      <c r="G35" s="44"/>
      <c r="H35" s="35">
        <f t="shared" si="0"/>
        <v>0</v>
      </c>
      <c r="I35" s="26"/>
      <c r="J35" s="27"/>
      <c r="K35" s="44"/>
      <c r="L35" s="35">
        <f t="shared" si="4"/>
        <v>0</v>
      </c>
      <c r="M35" s="26"/>
      <c r="N35" s="27"/>
      <c r="O35" s="44"/>
      <c r="P35" s="35">
        <f t="shared" si="5"/>
        <v>0</v>
      </c>
      <c r="Q35" s="26"/>
      <c r="R35" s="32"/>
      <c r="S35" s="44"/>
      <c r="T35" s="14"/>
      <c r="U35" s="44">
        <f t="shared" si="3"/>
        <v>0</v>
      </c>
    </row>
    <row r="36" spans="1:21" ht="39.5" customHeight="1" x14ac:dyDescent="0.45">
      <c r="A36" s="22" t="s">
        <v>11</v>
      </c>
      <c r="B36" s="35">
        <v>0.68055555555555503</v>
      </c>
      <c r="C36" s="36"/>
      <c r="D36" s="24"/>
      <c r="E36" s="14"/>
      <c r="F36" s="25"/>
      <c r="G36" s="44"/>
      <c r="H36" s="35">
        <f t="shared" si="0"/>
        <v>0</v>
      </c>
      <c r="I36" s="26"/>
      <c r="J36" s="27"/>
      <c r="K36" s="44"/>
      <c r="L36" s="35">
        <f t="shared" si="4"/>
        <v>0</v>
      </c>
      <c r="M36" s="26"/>
      <c r="N36" s="27"/>
      <c r="O36" s="44"/>
      <c r="P36" s="35">
        <f t="shared" si="5"/>
        <v>0</v>
      </c>
      <c r="Q36" s="26"/>
      <c r="R36" s="32"/>
      <c r="S36" s="44"/>
      <c r="T36" s="14"/>
      <c r="U36" s="44">
        <f t="shared" si="3"/>
        <v>0</v>
      </c>
    </row>
    <row r="37" spans="1:21" ht="39.5" customHeight="1" x14ac:dyDescent="0.45">
      <c r="A37" s="22" t="s">
        <v>11</v>
      </c>
      <c r="B37" s="35">
        <v>0.6875</v>
      </c>
      <c r="C37" s="36"/>
      <c r="D37" s="24"/>
      <c r="E37" s="14"/>
      <c r="F37" s="25"/>
      <c r="G37" s="44"/>
      <c r="H37" s="35">
        <f t="shared" si="0"/>
        <v>0</v>
      </c>
      <c r="I37" s="26"/>
      <c r="J37" s="27"/>
      <c r="K37" s="44"/>
      <c r="L37" s="35">
        <f t="shared" si="4"/>
        <v>0</v>
      </c>
      <c r="M37" s="26"/>
      <c r="N37" s="27"/>
      <c r="O37" s="44"/>
      <c r="P37" s="35">
        <f t="shared" si="5"/>
        <v>0</v>
      </c>
      <c r="Q37" s="26"/>
      <c r="R37" s="32"/>
      <c r="S37" s="44"/>
      <c r="T37" s="14"/>
      <c r="U37" s="44">
        <f t="shared" si="3"/>
        <v>0</v>
      </c>
    </row>
    <row r="38" spans="1:21" ht="39.5" customHeight="1" x14ac:dyDescent="0.45">
      <c r="A38" s="22" t="s">
        <v>11</v>
      </c>
      <c r="B38" s="35">
        <v>0.69444444444444398</v>
      </c>
      <c r="C38" s="36"/>
      <c r="D38" s="24"/>
      <c r="E38" s="14"/>
      <c r="F38" s="25"/>
      <c r="G38" s="44"/>
      <c r="H38" s="35">
        <f t="shared" si="0"/>
        <v>0</v>
      </c>
      <c r="I38" s="26"/>
      <c r="J38" s="27"/>
      <c r="K38" s="44"/>
      <c r="L38" s="35">
        <f t="shared" si="4"/>
        <v>0</v>
      </c>
      <c r="M38" s="26"/>
      <c r="N38" s="27"/>
      <c r="O38" s="44"/>
      <c r="P38" s="35">
        <f t="shared" si="5"/>
        <v>0</v>
      </c>
      <c r="Q38" s="26"/>
      <c r="R38" s="32"/>
      <c r="S38" s="44"/>
      <c r="T38" s="14"/>
      <c r="U38" s="44">
        <f t="shared" si="3"/>
        <v>0</v>
      </c>
    </row>
    <row r="39" spans="1:21" ht="39.5" customHeight="1" x14ac:dyDescent="0.45">
      <c r="A39" s="22" t="s">
        <v>11</v>
      </c>
      <c r="B39" s="35">
        <v>0.70138888888888895</v>
      </c>
      <c r="C39" s="36"/>
      <c r="D39" s="24"/>
      <c r="E39" s="14"/>
      <c r="F39" s="25"/>
      <c r="G39" s="44"/>
      <c r="H39" s="35">
        <f t="shared" si="0"/>
        <v>0</v>
      </c>
      <c r="I39" s="26"/>
      <c r="J39" s="27"/>
      <c r="K39" s="44"/>
      <c r="L39" s="35">
        <f t="shared" si="4"/>
        <v>0</v>
      </c>
      <c r="M39" s="26"/>
      <c r="N39" s="27"/>
      <c r="O39" s="44"/>
      <c r="P39" s="35">
        <f t="shared" si="5"/>
        <v>0</v>
      </c>
      <c r="Q39" s="26"/>
      <c r="R39" s="32"/>
      <c r="S39" s="44"/>
      <c r="T39" s="14"/>
      <c r="U39" s="44">
        <f t="shared" si="3"/>
        <v>0</v>
      </c>
    </row>
    <row r="40" spans="1:21" ht="39.5" customHeight="1" x14ac:dyDescent="0.45">
      <c r="A40" s="22" t="s">
        <v>11</v>
      </c>
      <c r="B40" s="35">
        <v>0.70833333333333304</v>
      </c>
      <c r="C40" s="36"/>
      <c r="D40" s="24"/>
      <c r="E40" s="14"/>
      <c r="F40" s="25"/>
      <c r="G40" s="44"/>
      <c r="H40" s="35">
        <f t="shared" si="0"/>
        <v>0</v>
      </c>
      <c r="I40" s="26"/>
      <c r="J40" s="27"/>
      <c r="K40" s="44"/>
      <c r="L40" s="35">
        <f t="shared" si="4"/>
        <v>0</v>
      </c>
      <c r="M40" s="26"/>
      <c r="N40" s="27"/>
      <c r="O40" s="44"/>
      <c r="P40" s="35">
        <f t="shared" si="5"/>
        <v>0</v>
      </c>
      <c r="Q40" s="26"/>
      <c r="R40" s="32"/>
      <c r="S40" s="44"/>
      <c r="T40" s="14"/>
      <c r="U40" s="44">
        <f t="shared" si="3"/>
        <v>0</v>
      </c>
    </row>
    <row r="41" spans="1:21" ht="39.5" customHeight="1" x14ac:dyDescent="0.45">
      <c r="A41" s="22" t="s">
        <v>11</v>
      </c>
      <c r="B41" s="35">
        <v>0.71527777777777701</v>
      </c>
      <c r="C41" s="36"/>
      <c r="D41" s="24"/>
      <c r="E41" s="14"/>
      <c r="F41" s="25"/>
      <c r="G41" s="44"/>
      <c r="H41" s="35">
        <f t="shared" si="0"/>
        <v>0</v>
      </c>
      <c r="I41" s="26"/>
      <c r="J41" s="27"/>
      <c r="K41" s="44"/>
      <c r="L41" s="35">
        <f t="shared" si="4"/>
        <v>0</v>
      </c>
      <c r="M41" s="26"/>
      <c r="N41" s="27"/>
      <c r="O41" s="44"/>
      <c r="P41" s="35">
        <f t="shared" si="5"/>
        <v>0</v>
      </c>
      <c r="Q41" s="26"/>
      <c r="R41" s="32"/>
      <c r="S41" s="44"/>
      <c r="T41" s="14"/>
      <c r="U41" s="44">
        <f t="shared" si="3"/>
        <v>0</v>
      </c>
    </row>
    <row r="42" spans="1:21" ht="39.5" customHeight="1" x14ac:dyDescent="0.45">
      <c r="A42" s="22" t="s">
        <v>11</v>
      </c>
      <c r="B42" s="35">
        <v>0.72222222222222199</v>
      </c>
      <c r="C42" s="36"/>
      <c r="D42" s="24"/>
      <c r="E42" s="14"/>
      <c r="F42" s="25"/>
      <c r="G42" s="44"/>
      <c r="H42" s="35">
        <f t="shared" si="0"/>
        <v>0</v>
      </c>
      <c r="I42" s="26"/>
      <c r="J42" s="27"/>
      <c r="K42" s="44"/>
      <c r="L42" s="35">
        <f t="shared" si="4"/>
        <v>0</v>
      </c>
      <c r="M42" s="26"/>
      <c r="N42" s="27"/>
      <c r="O42" s="44"/>
      <c r="P42" s="35">
        <f t="shared" si="5"/>
        <v>0</v>
      </c>
      <c r="Q42" s="26"/>
      <c r="R42" s="32"/>
      <c r="S42" s="44"/>
      <c r="T42" s="14"/>
      <c r="U42" s="44">
        <f t="shared" si="3"/>
        <v>0</v>
      </c>
    </row>
    <row r="43" spans="1:21" ht="39.5" customHeight="1" x14ac:dyDescent="0.45">
      <c r="A43" s="22" t="s">
        <v>11</v>
      </c>
      <c r="B43" s="35">
        <v>0.72916666666666596</v>
      </c>
      <c r="C43" s="36"/>
      <c r="D43" s="24"/>
      <c r="E43" s="14"/>
      <c r="F43" s="25"/>
      <c r="G43" s="44"/>
      <c r="H43" s="35">
        <f t="shared" si="0"/>
        <v>0</v>
      </c>
      <c r="I43" s="26"/>
      <c r="J43" s="27"/>
      <c r="K43" s="44"/>
      <c r="L43" s="35">
        <f t="shared" si="4"/>
        <v>0</v>
      </c>
      <c r="M43" s="26"/>
      <c r="N43" s="27"/>
      <c r="O43" s="44"/>
      <c r="P43" s="35">
        <f t="shared" si="5"/>
        <v>0</v>
      </c>
      <c r="Q43" s="26"/>
      <c r="R43" s="32"/>
      <c r="S43" s="44"/>
      <c r="T43" s="14"/>
      <c r="U43" s="44">
        <f t="shared" si="3"/>
        <v>0</v>
      </c>
    </row>
    <row r="44" spans="1:21" ht="39.5" customHeight="1" x14ac:dyDescent="0.45">
      <c r="A44" s="22" t="s">
        <v>11</v>
      </c>
      <c r="B44" s="35">
        <v>0.73611111111111105</v>
      </c>
      <c r="C44" s="36"/>
      <c r="D44" s="24"/>
      <c r="E44" s="14"/>
      <c r="F44" s="25"/>
      <c r="G44" s="44"/>
      <c r="H44" s="35">
        <f t="shared" si="0"/>
        <v>0</v>
      </c>
      <c r="I44" s="26"/>
      <c r="J44" s="27"/>
      <c r="K44" s="44"/>
      <c r="L44" s="35">
        <f t="shared" si="4"/>
        <v>0</v>
      </c>
      <c r="M44" s="26"/>
      <c r="N44" s="27"/>
      <c r="O44" s="44"/>
      <c r="P44" s="35">
        <f t="shared" si="5"/>
        <v>0</v>
      </c>
      <c r="Q44" s="26"/>
      <c r="R44" s="32"/>
      <c r="S44" s="44"/>
      <c r="T44" s="14"/>
      <c r="U44" s="44">
        <f t="shared" si="3"/>
        <v>0</v>
      </c>
    </row>
    <row r="45" spans="1:21" ht="39.5" customHeight="1" x14ac:dyDescent="0.45">
      <c r="A45" s="22" t="s">
        <v>11</v>
      </c>
      <c r="B45" s="35">
        <v>0.74305555555555503</v>
      </c>
      <c r="C45" s="36"/>
      <c r="D45" s="24"/>
      <c r="E45" s="14"/>
      <c r="F45" s="25"/>
      <c r="G45" s="44"/>
      <c r="H45" s="35">
        <f t="shared" si="0"/>
        <v>0</v>
      </c>
      <c r="I45" s="26"/>
      <c r="J45" s="27"/>
      <c r="K45" s="44"/>
      <c r="L45" s="35">
        <f t="shared" si="4"/>
        <v>0</v>
      </c>
      <c r="M45" s="26"/>
      <c r="N45" s="27"/>
      <c r="O45" s="44"/>
      <c r="P45" s="35">
        <f t="shared" si="5"/>
        <v>0</v>
      </c>
      <c r="Q45" s="26"/>
      <c r="R45" s="32"/>
      <c r="S45" s="44"/>
      <c r="T45" s="14"/>
      <c r="U45" s="44">
        <f t="shared" si="3"/>
        <v>0</v>
      </c>
    </row>
    <row r="46" spans="1:21" ht="39.5" customHeight="1" x14ac:dyDescent="0.45">
      <c r="A46" s="23" t="s">
        <v>11</v>
      </c>
      <c r="B46" s="37">
        <v>0.75</v>
      </c>
      <c r="C46" s="38"/>
      <c r="D46" s="42"/>
      <c r="E46" s="8"/>
      <c r="F46" s="19"/>
      <c r="G46" s="46"/>
      <c r="H46" s="35">
        <f t="shared" si="0"/>
        <v>0</v>
      </c>
      <c r="I46" s="30"/>
      <c r="J46" s="31"/>
      <c r="K46" s="46"/>
      <c r="L46" s="35">
        <f t="shared" si="4"/>
        <v>0</v>
      </c>
      <c r="M46" s="30"/>
      <c r="N46" s="31"/>
      <c r="O46" s="46"/>
      <c r="P46" s="35">
        <f t="shared" si="5"/>
        <v>0</v>
      </c>
      <c r="Q46" s="30"/>
      <c r="R46" s="34"/>
      <c r="S46" s="46"/>
      <c r="T46" s="8"/>
      <c r="U46" s="44">
        <f t="shared" si="3"/>
        <v>0</v>
      </c>
    </row>
    <row r="47" spans="1:21" x14ac:dyDescent="0.45">
      <c r="A47" s="8"/>
      <c r="B47" s="15"/>
      <c r="C47" s="19"/>
      <c r="D47" s="42"/>
      <c r="E47" s="8"/>
      <c r="F47" s="19"/>
      <c r="G47" s="46"/>
      <c r="H47" s="11"/>
      <c r="I47" s="30"/>
      <c r="J47" s="31"/>
      <c r="K47" s="46"/>
      <c r="L47" s="11"/>
      <c r="M47" s="30"/>
      <c r="N47" s="31"/>
      <c r="O47" s="46"/>
      <c r="P47" s="11"/>
      <c r="Q47" s="30"/>
      <c r="R47" s="34"/>
      <c r="S47" s="46"/>
      <c r="T47" s="8"/>
      <c r="U47" s="47">
        <f>SUM(U28:U46)</f>
        <v>0</v>
      </c>
    </row>
    <row r="48" spans="1:21" x14ac:dyDescent="0.45">
      <c r="U48" s="35">
        <f>U47+U27</f>
        <v>0</v>
      </c>
    </row>
    <row r="49" spans="3:9" x14ac:dyDescent="0.45">
      <c r="C49" t="s">
        <v>15</v>
      </c>
      <c r="I49" t="s">
        <v>16</v>
      </c>
    </row>
  </sheetData>
  <mergeCells count="3">
    <mergeCell ref="E6:G6"/>
    <mergeCell ref="I6:K6"/>
    <mergeCell ref="M6:O6"/>
  </mergeCells>
  <pageMargins left="0.25" right="0.25" top="0.75" bottom="0.75" header="0.3" footer="0.3"/>
  <pageSetup paperSize="9" scale="2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9EEE-E149-48A7-BC19-5CB134BAF03D}">
  <sheetPr>
    <pageSetUpPr fitToPage="1"/>
  </sheetPr>
  <dimension ref="A1:AW22"/>
  <sheetViews>
    <sheetView topLeftCell="Q1" zoomScale="120" zoomScaleNormal="120" workbookViewId="0">
      <pane ySplit="1" topLeftCell="A3" activePane="bottomLeft" state="frozen"/>
      <selection pane="bottomLeft" activeCell="K9" sqref="K9:U9"/>
    </sheetView>
  </sheetViews>
  <sheetFormatPr baseColWidth="10" defaultColWidth="10.796875" defaultRowHeight="15.75" x14ac:dyDescent="0.5"/>
  <cols>
    <col min="1" max="1" width="3.46484375" style="136" hidden="1" customWidth="1"/>
    <col min="2" max="7" width="0" style="136" hidden="1" customWidth="1"/>
    <col min="8" max="8" width="3.46484375" style="136" bestFit="1" customWidth="1"/>
    <col min="9" max="9" width="11.6640625" style="136" hidden="1" customWidth="1"/>
    <col min="10" max="10" width="11.6640625" style="136" customWidth="1"/>
    <col min="11" max="11" width="24.33203125" style="136" customWidth="1"/>
    <col min="12" max="12" width="14.33203125" style="136" customWidth="1"/>
    <col min="13" max="13" width="16.796875" style="136" customWidth="1"/>
    <col min="14" max="14" width="20.1328125" style="136" customWidth="1"/>
    <col min="15" max="15" width="22.46484375" style="136" customWidth="1"/>
    <col min="16" max="16" width="18.33203125" style="136" customWidth="1"/>
    <col min="17" max="17" width="10.796875" style="136"/>
    <col min="18" max="18" width="11.1328125" style="136" customWidth="1"/>
    <col min="19" max="19" width="11.796875" style="136" customWidth="1"/>
    <col min="20" max="21" width="10.796875" style="136"/>
    <col min="22" max="23" width="11.796875" style="136" customWidth="1"/>
    <col min="24" max="25" width="8.6640625" style="136" customWidth="1"/>
    <col min="26" max="26" width="7.33203125" style="136" customWidth="1"/>
    <col min="27" max="27" width="6.33203125" style="136" customWidth="1"/>
    <col min="28" max="28" width="8.33203125" style="136" customWidth="1"/>
    <col min="29" max="30" width="8.1328125" style="136" customWidth="1"/>
    <col min="31" max="31" width="10.46484375" style="136" customWidth="1"/>
    <col min="32" max="32" width="6.33203125" style="136" customWidth="1"/>
    <col min="33" max="33" width="8" style="136" customWidth="1"/>
    <col min="34" max="38" width="10.796875" style="136"/>
    <col min="39" max="39" width="9.46484375" style="136" customWidth="1"/>
    <col min="40" max="16384" width="10.796875" style="136"/>
  </cols>
  <sheetData>
    <row r="1" spans="1:49" s="68" customFormat="1" ht="52.5" x14ac:dyDescent="0.45">
      <c r="A1" s="64"/>
      <c r="B1" s="65" t="s">
        <v>77</v>
      </c>
      <c r="C1" s="65" t="s">
        <v>78</v>
      </c>
      <c r="D1" s="65" t="s">
        <v>79</v>
      </c>
      <c r="E1" s="65" t="s">
        <v>80</v>
      </c>
      <c r="F1" s="66" t="s">
        <v>81</v>
      </c>
      <c r="G1" s="65" t="s">
        <v>82</v>
      </c>
      <c r="H1" s="65" t="s">
        <v>83</v>
      </c>
      <c r="I1" s="65" t="s">
        <v>84</v>
      </c>
      <c r="J1" s="65" t="s">
        <v>323</v>
      </c>
      <c r="K1" s="65" t="s">
        <v>85</v>
      </c>
      <c r="L1" s="66" t="s">
        <v>86</v>
      </c>
      <c r="M1" s="65" t="s">
        <v>87</v>
      </c>
      <c r="N1" s="66" t="s">
        <v>88</v>
      </c>
      <c r="O1" s="65" t="s">
        <v>89</v>
      </c>
      <c r="P1" s="65" t="s">
        <v>90</v>
      </c>
      <c r="Q1" s="65" t="s">
        <v>91</v>
      </c>
      <c r="R1" s="65" t="s">
        <v>92</v>
      </c>
      <c r="S1" s="65" t="s">
        <v>93</v>
      </c>
      <c r="T1" s="65" t="s">
        <v>94</v>
      </c>
      <c r="U1" s="65" t="s">
        <v>95</v>
      </c>
      <c r="V1" s="65" t="s">
        <v>96</v>
      </c>
      <c r="W1" s="65" t="s">
        <v>97</v>
      </c>
      <c r="X1" s="65" t="s">
        <v>98</v>
      </c>
      <c r="Y1" s="65" t="s">
        <v>99</v>
      </c>
      <c r="Z1" s="67" t="s">
        <v>100</v>
      </c>
      <c r="AA1" s="67" t="s">
        <v>101</v>
      </c>
      <c r="AB1" s="67" t="s">
        <v>102</v>
      </c>
      <c r="AC1" s="65" t="s">
        <v>103</v>
      </c>
      <c r="AD1" s="65" t="s">
        <v>104</v>
      </c>
      <c r="AE1" s="65" t="s">
        <v>105</v>
      </c>
      <c r="AF1" s="65" t="s">
        <v>106</v>
      </c>
      <c r="AG1" s="65" t="s">
        <v>107</v>
      </c>
      <c r="AH1" s="65" t="s">
        <v>108</v>
      </c>
      <c r="AI1" s="65" t="s">
        <v>109</v>
      </c>
      <c r="AJ1" s="65" t="s">
        <v>110</v>
      </c>
      <c r="AK1" s="66" t="s">
        <v>111</v>
      </c>
      <c r="AL1" s="66" t="s">
        <v>112</v>
      </c>
      <c r="AM1" s="65" t="s">
        <v>113</v>
      </c>
      <c r="AN1" s="65" t="s">
        <v>114</v>
      </c>
      <c r="AO1" s="65" t="s">
        <v>115</v>
      </c>
      <c r="AP1" s="65" t="s">
        <v>116</v>
      </c>
      <c r="AQ1" s="65" t="s">
        <v>117</v>
      </c>
      <c r="AR1" s="65" t="s">
        <v>118</v>
      </c>
      <c r="AS1" s="66" t="s">
        <v>119</v>
      </c>
      <c r="AT1" s="66" t="s">
        <v>120</v>
      </c>
      <c r="AU1" s="66" t="s">
        <v>121</v>
      </c>
      <c r="AV1" s="66" t="s">
        <v>122</v>
      </c>
      <c r="AW1" s="65" t="s">
        <v>123</v>
      </c>
    </row>
    <row r="2" spans="1:49" s="83" customFormat="1" ht="47" customHeight="1" x14ac:dyDescent="0.45">
      <c r="A2" s="69">
        <v>1</v>
      </c>
      <c r="B2" s="65">
        <v>11</v>
      </c>
      <c r="C2" s="65" t="s">
        <v>124</v>
      </c>
      <c r="D2" s="65" t="s">
        <v>125</v>
      </c>
      <c r="E2" s="65" t="s">
        <v>126</v>
      </c>
      <c r="F2" s="66" t="s">
        <v>127</v>
      </c>
      <c r="G2" s="65" t="s">
        <v>127</v>
      </c>
      <c r="H2" s="70">
        <v>1</v>
      </c>
      <c r="I2" s="70" t="s">
        <v>48</v>
      </c>
      <c r="J2" s="70" t="s">
        <v>36</v>
      </c>
      <c r="K2" s="70" t="s">
        <v>58</v>
      </c>
      <c r="L2" s="70" t="s">
        <v>59</v>
      </c>
      <c r="M2" s="70" t="s">
        <v>128</v>
      </c>
      <c r="N2" s="71" t="s">
        <v>129</v>
      </c>
      <c r="O2" s="70" t="s">
        <v>130</v>
      </c>
      <c r="P2" s="72" t="s">
        <v>131</v>
      </c>
      <c r="Q2" s="73" t="s">
        <v>132</v>
      </c>
      <c r="R2" s="73">
        <v>505</v>
      </c>
      <c r="S2" s="74">
        <v>45305</v>
      </c>
      <c r="T2" s="75" t="s">
        <v>133</v>
      </c>
      <c r="U2" s="76">
        <v>44279</v>
      </c>
      <c r="V2" s="77">
        <f>2024-YEAR(U2)</f>
        <v>3</v>
      </c>
      <c r="W2" s="70" t="s">
        <v>134</v>
      </c>
      <c r="X2" s="70" t="s">
        <v>135</v>
      </c>
      <c r="Y2" s="70"/>
      <c r="Z2" s="73" t="s">
        <v>136</v>
      </c>
      <c r="AA2" s="73" t="s">
        <v>137</v>
      </c>
      <c r="AB2" s="73" t="s">
        <v>126</v>
      </c>
      <c r="AC2" s="78" t="s">
        <v>136</v>
      </c>
      <c r="AD2" s="70"/>
      <c r="AE2" s="79">
        <v>43262</v>
      </c>
      <c r="AF2" s="65" t="s">
        <v>138</v>
      </c>
      <c r="AG2" s="65" t="s">
        <v>137</v>
      </c>
      <c r="AH2" s="65" t="s">
        <v>126</v>
      </c>
      <c r="AI2" s="65" t="s">
        <v>126</v>
      </c>
      <c r="AJ2" s="65">
        <v>2020</v>
      </c>
      <c r="AK2" s="66"/>
      <c r="AL2" s="66" t="s">
        <v>136</v>
      </c>
      <c r="AM2" s="70" t="s">
        <v>139</v>
      </c>
      <c r="AN2" s="80">
        <v>510</v>
      </c>
      <c r="AO2" s="81">
        <v>43466</v>
      </c>
      <c r="AP2" s="80">
        <v>450</v>
      </c>
      <c r="AQ2" s="80"/>
      <c r="AR2" s="80"/>
      <c r="AS2" s="70">
        <v>64</v>
      </c>
      <c r="AT2" s="70" t="s">
        <v>140</v>
      </c>
      <c r="AU2" s="82">
        <v>97670</v>
      </c>
      <c r="AV2" s="82" t="s">
        <v>141</v>
      </c>
      <c r="AW2" s="70" t="s">
        <v>142</v>
      </c>
    </row>
    <row r="3" spans="1:49" s="83" customFormat="1" ht="47" customHeight="1" x14ac:dyDescent="0.45">
      <c r="A3" s="69">
        <v>33</v>
      </c>
      <c r="B3" s="65">
        <v>17</v>
      </c>
      <c r="C3" s="65" t="s">
        <v>124</v>
      </c>
      <c r="D3" s="65" t="s">
        <v>125</v>
      </c>
      <c r="E3" s="65" t="s">
        <v>126</v>
      </c>
      <c r="F3" s="66" t="s">
        <v>127</v>
      </c>
      <c r="G3" s="65" t="s">
        <v>127</v>
      </c>
      <c r="H3" s="70">
        <v>2</v>
      </c>
      <c r="I3" s="70" t="s">
        <v>50</v>
      </c>
      <c r="J3" s="70" t="s">
        <v>42</v>
      </c>
      <c r="K3" s="70" t="s">
        <v>60</v>
      </c>
      <c r="L3" s="70" t="s">
        <v>61</v>
      </c>
      <c r="M3" s="70" t="s">
        <v>143</v>
      </c>
      <c r="N3" s="84" t="s">
        <v>144</v>
      </c>
      <c r="O3" s="85" t="s">
        <v>145</v>
      </c>
      <c r="P3" s="72" t="s">
        <v>146</v>
      </c>
      <c r="Q3" s="73" t="s">
        <v>147</v>
      </c>
      <c r="R3" s="73">
        <v>1050</v>
      </c>
      <c r="S3" s="74">
        <v>46342</v>
      </c>
      <c r="T3" s="86" t="s">
        <v>148</v>
      </c>
      <c r="U3" s="87">
        <v>45182</v>
      </c>
      <c r="V3" s="77">
        <f>2024-YEAR(U3)</f>
        <v>1</v>
      </c>
      <c r="W3" s="88" t="s">
        <v>134</v>
      </c>
      <c r="X3" s="70" t="s">
        <v>135</v>
      </c>
      <c r="Y3" s="89">
        <v>45406</v>
      </c>
      <c r="Z3" s="90" t="s">
        <v>126</v>
      </c>
      <c r="AA3" s="73" t="s">
        <v>136</v>
      </c>
      <c r="AB3" s="73" t="s">
        <v>126</v>
      </c>
      <c r="AC3" s="91" t="s">
        <v>126</v>
      </c>
      <c r="AD3" s="88" t="s">
        <v>149</v>
      </c>
      <c r="AE3" s="79">
        <v>48415</v>
      </c>
      <c r="AF3" s="65" t="s">
        <v>138</v>
      </c>
      <c r="AG3" s="65" t="s">
        <v>137</v>
      </c>
      <c r="AH3" s="65" t="s">
        <v>136</v>
      </c>
      <c r="AI3" s="65" t="s">
        <v>136</v>
      </c>
      <c r="AJ3" s="65" t="s">
        <v>136</v>
      </c>
      <c r="AK3" s="66" t="s">
        <v>150</v>
      </c>
      <c r="AL3" s="66" t="s">
        <v>136</v>
      </c>
      <c r="AM3" s="70"/>
      <c r="AN3" s="80">
        <v>510</v>
      </c>
      <c r="AO3" s="81">
        <v>43466</v>
      </c>
      <c r="AP3" s="80">
        <v>250</v>
      </c>
      <c r="AQ3" s="80" t="s">
        <v>126</v>
      </c>
      <c r="AR3" s="80" t="s">
        <v>126</v>
      </c>
      <c r="AS3" s="70"/>
      <c r="AT3" s="70" t="s">
        <v>151</v>
      </c>
      <c r="AU3" s="82">
        <v>97640</v>
      </c>
      <c r="AV3" s="82" t="s">
        <v>152</v>
      </c>
      <c r="AW3" s="88" t="s">
        <v>153</v>
      </c>
    </row>
    <row r="4" spans="1:49" s="83" customFormat="1" ht="47" customHeight="1" x14ac:dyDescent="0.45">
      <c r="A4" s="69">
        <v>65</v>
      </c>
      <c r="B4" s="65">
        <v>23</v>
      </c>
      <c r="C4" s="65" t="s">
        <v>124</v>
      </c>
      <c r="D4" s="65" t="s">
        <v>125</v>
      </c>
      <c r="E4" s="65" t="s">
        <v>126</v>
      </c>
      <c r="F4" s="66" t="s">
        <v>127</v>
      </c>
      <c r="G4" s="65" t="s">
        <v>127</v>
      </c>
      <c r="H4" s="70">
        <v>3</v>
      </c>
      <c r="I4" s="70"/>
      <c r="J4" s="70" t="s">
        <v>46</v>
      </c>
      <c r="K4" s="92" t="s">
        <v>154</v>
      </c>
      <c r="L4" s="93" t="s">
        <v>155</v>
      </c>
      <c r="M4" s="92" t="s">
        <v>156</v>
      </c>
      <c r="N4" s="94" t="s">
        <v>157</v>
      </c>
      <c r="O4" s="95" t="s">
        <v>158</v>
      </c>
      <c r="P4" s="96" t="s">
        <v>146</v>
      </c>
      <c r="Q4" s="97" t="s">
        <v>159</v>
      </c>
      <c r="R4" s="97">
        <v>222</v>
      </c>
      <c r="S4" s="98">
        <v>45489</v>
      </c>
      <c r="T4" s="99" t="s">
        <v>160</v>
      </c>
      <c r="U4" s="100">
        <v>43707</v>
      </c>
      <c r="V4" s="98"/>
      <c r="W4" s="93" t="s">
        <v>134</v>
      </c>
      <c r="X4" s="92"/>
      <c r="Y4" s="92"/>
      <c r="Z4" s="101" t="s">
        <v>161</v>
      </c>
      <c r="AA4" s="97" t="s">
        <v>126</v>
      </c>
      <c r="AB4" s="97"/>
      <c r="AC4" s="102" t="s">
        <v>162</v>
      </c>
      <c r="AD4" s="93"/>
      <c r="AE4" s="100">
        <v>45896</v>
      </c>
      <c r="AF4" s="99" t="s">
        <v>138</v>
      </c>
      <c r="AG4" s="99"/>
      <c r="AH4" s="99" t="s">
        <v>126</v>
      </c>
      <c r="AI4" s="99" t="s">
        <v>126</v>
      </c>
      <c r="AJ4" s="99" t="s">
        <v>126</v>
      </c>
      <c r="AK4" s="103" t="s">
        <v>126</v>
      </c>
      <c r="AL4" s="103" t="s">
        <v>136</v>
      </c>
      <c r="AM4" s="92"/>
      <c r="AN4" s="104">
        <v>510</v>
      </c>
      <c r="AO4" s="105">
        <v>43466</v>
      </c>
      <c r="AP4" s="104">
        <v>150</v>
      </c>
      <c r="AQ4" s="104" t="s">
        <v>126</v>
      </c>
      <c r="AR4" s="104" t="s">
        <v>126</v>
      </c>
      <c r="AS4" s="92">
        <v>4</v>
      </c>
      <c r="AT4" s="92" t="s">
        <v>163</v>
      </c>
      <c r="AU4" s="106">
        <v>97640</v>
      </c>
      <c r="AV4" s="106" t="s">
        <v>152</v>
      </c>
      <c r="AW4" s="92" t="s">
        <v>164</v>
      </c>
    </row>
    <row r="5" spans="1:49" s="83" customFormat="1" ht="47" customHeight="1" x14ac:dyDescent="0.45">
      <c r="A5" s="69">
        <v>129</v>
      </c>
      <c r="B5" s="65">
        <v>35</v>
      </c>
      <c r="C5" s="65" t="s">
        <v>124</v>
      </c>
      <c r="D5" s="65" t="s">
        <v>125</v>
      </c>
      <c r="E5" s="65" t="s">
        <v>126</v>
      </c>
      <c r="F5" s="66" t="s">
        <v>127</v>
      </c>
      <c r="G5" s="65" t="s">
        <v>127</v>
      </c>
      <c r="H5" s="70">
        <v>4</v>
      </c>
      <c r="I5" s="70"/>
      <c r="J5" s="70"/>
      <c r="K5" s="70" t="s">
        <v>63</v>
      </c>
      <c r="L5" s="70" t="s">
        <v>62</v>
      </c>
      <c r="M5" s="70" t="s">
        <v>165</v>
      </c>
      <c r="N5" s="107" t="s">
        <v>166</v>
      </c>
      <c r="O5" s="70" t="s">
        <v>167</v>
      </c>
      <c r="P5" s="72" t="s">
        <v>146</v>
      </c>
      <c r="Q5" s="73" t="s">
        <v>168</v>
      </c>
      <c r="R5" s="73">
        <v>1294</v>
      </c>
      <c r="S5" s="74">
        <v>43992</v>
      </c>
      <c r="T5" s="108" t="s">
        <v>169</v>
      </c>
      <c r="U5" s="109">
        <v>44753</v>
      </c>
      <c r="V5" s="77">
        <f t="shared" ref="V5:V12" si="0">2024-YEAR(U5)</f>
        <v>2</v>
      </c>
      <c r="W5" s="70" t="s">
        <v>134</v>
      </c>
      <c r="X5" s="70"/>
      <c r="Y5" s="70" t="s">
        <v>170</v>
      </c>
      <c r="Z5" s="73" t="s">
        <v>126</v>
      </c>
      <c r="AA5" s="73" t="s">
        <v>137</v>
      </c>
      <c r="AB5" s="73" t="s">
        <v>126</v>
      </c>
      <c r="AC5" s="78"/>
      <c r="AD5" s="70"/>
      <c r="AE5" s="79">
        <v>47882</v>
      </c>
      <c r="AF5" s="65" t="s">
        <v>138</v>
      </c>
      <c r="AG5" s="65" t="s">
        <v>137</v>
      </c>
      <c r="AH5" s="65" t="s">
        <v>126</v>
      </c>
      <c r="AI5" s="65" t="s">
        <v>126</v>
      </c>
      <c r="AJ5" s="65" t="s">
        <v>126</v>
      </c>
      <c r="AK5" s="66" t="s">
        <v>126</v>
      </c>
      <c r="AL5" s="66" t="s">
        <v>126</v>
      </c>
      <c r="AM5" s="70" t="s">
        <v>171</v>
      </c>
      <c r="AN5" s="80">
        <v>510</v>
      </c>
      <c r="AO5" s="81">
        <v>43466</v>
      </c>
      <c r="AP5" s="80">
        <v>450</v>
      </c>
      <c r="AQ5" s="80"/>
      <c r="AR5" s="80"/>
      <c r="AS5" s="70">
        <v>85</v>
      </c>
      <c r="AT5" s="70" t="s">
        <v>172</v>
      </c>
      <c r="AU5" s="82">
        <v>97640</v>
      </c>
      <c r="AV5" s="82" t="s">
        <v>152</v>
      </c>
      <c r="AW5" s="70" t="s">
        <v>173</v>
      </c>
    </row>
    <row r="6" spans="1:49" s="83" customFormat="1" ht="47" customHeight="1" x14ac:dyDescent="0.45">
      <c r="A6" s="69">
        <v>161</v>
      </c>
      <c r="B6" s="65">
        <v>41</v>
      </c>
      <c r="C6" s="65" t="s">
        <v>124</v>
      </c>
      <c r="D6" s="65" t="s">
        <v>125</v>
      </c>
      <c r="E6" s="65" t="s">
        <v>126</v>
      </c>
      <c r="F6" s="66" t="s">
        <v>127</v>
      </c>
      <c r="G6" s="65" t="s">
        <v>127</v>
      </c>
      <c r="H6" s="70">
        <v>5</v>
      </c>
      <c r="I6" s="70" t="s">
        <v>174</v>
      </c>
      <c r="J6" s="70"/>
      <c r="K6" s="70" t="s">
        <v>175</v>
      </c>
      <c r="L6" s="70" t="s">
        <v>64</v>
      </c>
      <c r="M6" s="70" t="s">
        <v>176</v>
      </c>
      <c r="N6" s="107" t="s">
        <v>177</v>
      </c>
      <c r="O6" s="70" t="s">
        <v>178</v>
      </c>
      <c r="P6" s="72" t="s">
        <v>131</v>
      </c>
      <c r="Q6" s="73" t="s">
        <v>179</v>
      </c>
      <c r="R6" s="73">
        <v>806</v>
      </c>
      <c r="S6" s="74">
        <v>43222</v>
      </c>
      <c r="T6" s="65" t="s">
        <v>180</v>
      </c>
      <c r="U6" s="79">
        <v>44336</v>
      </c>
      <c r="V6" s="77">
        <f t="shared" si="0"/>
        <v>3</v>
      </c>
      <c r="W6" s="70" t="s">
        <v>134</v>
      </c>
      <c r="X6" s="70" t="s">
        <v>181</v>
      </c>
      <c r="Y6" s="70" t="s">
        <v>170</v>
      </c>
      <c r="Z6" s="73" t="s">
        <v>126</v>
      </c>
      <c r="AA6" s="73"/>
      <c r="AB6" s="73" t="s">
        <v>126</v>
      </c>
      <c r="AC6" s="78" t="s">
        <v>136</v>
      </c>
      <c r="AD6" s="70"/>
      <c r="AE6" s="79">
        <v>46556</v>
      </c>
      <c r="AF6" s="65" t="s">
        <v>138</v>
      </c>
      <c r="AG6" s="65" t="s">
        <v>137</v>
      </c>
      <c r="AH6" s="65" t="s">
        <v>136</v>
      </c>
      <c r="AI6" s="65" t="s">
        <v>136</v>
      </c>
      <c r="AJ6" s="65" t="s">
        <v>136</v>
      </c>
      <c r="AK6" s="66" t="s">
        <v>136</v>
      </c>
      <c r="AL6" s="66" t="s">
        <v>136</v>
      </c>
      <c r="AM6" s="70"/>
      <c r="AN6" s="80">
        <v>510</v>
      </c>
      <c r="AO6" s="81"/>
      <c r="AP6" s="80">
        <v>450</v>
      </c>
      <c r="AQ6" s="80"/>
      <c r="AR6" s="80"/>
      <c r="AS6" s="70"/>
      <c r="AT6" s="70" t="s">
        <v>182</v>
      </c>
      <c r="AU6" s="82">
        <v>97625</v>
      </c>
      <c r="AV6" s="82" t="s">
        <v>183</v>
      </c>
      <c r="AW6" s="70" t="s">
        <v>184</v>
      </c>
    </row>
    <row r="7" spans="1:49" s="83" customFormat="1" ht="47" customHeight="1" x14ac:dyDescent="0.45">
      <c r="A7" s="69">
        <v>129</v>
      </c>
      <c r="B7" s="65">
        <v>35</v>
      </c>
      <c r="C7" s="65" t="s">
        <v>124</v>
      </c>
      <c r="D7" s="65" t="s">
        <v>125</v>
      </c>
      <c r="E7" s="65" t="s">
        <v>126</v>
      </c>
      <c r="F7" s="66" t="s">
        <v>127</v>
      </c>
      <c r="G7" s="65" t="s">
        <v>127</v>
      </c>
      <c r="H7" s="70">
        <v>6</v>
      </c>
      <c r="I7" s="70"/>
      <c r="J7" s="70" t="s">
        <v>50</v>
      </c>
      <c r="K7" s="70" t="s">
        <v>185</v>
      </c>
      <c r="L7" s="70" t="s">
        <v>186</v>
      </c>
      <c r="M7" s="70" t="s">
        <v>187</v>
      </c>
      <c r="N7" s="84" t="s">
        <v>166</v>
      </c>
      <c r="O7" s="110" t="s">
        <v>188</v>
      </c>
      <c r="P7" s="72" t="s">
        <v>189</v>
      </c>
      <c r="Q7" s="73" t="s">
        <v>190</v>
      </c>
      <c r="R7" s="73">
        <v>759</v>
      </c>
      <c r="S7" s="74">
        <v>45639</v>
      </c>
      <c r="T7" s="75" t="s">
        <v>191</v>
      </c>
      <c r="U7" s="76">
        <v>44495</v>
      </c>
      <c r="V7" s="77">
        <f t="shared" si="0"/>
        <v>3</v>
      </c>
      <c r="W7" s="70" t="s">
        <v>134</v>
      </c>
      <c r="X7" s="70" t="s">
        <v>181</v>
      </c>
      <c r="Y7" s="70"/>
      <c r="Z7" s="73" t="s">
        <v>136</v>
      </c>
      <c r="AA7" s="73"/>
      <c r="AB7" s="73" t="s">
        <v>136</v>
      </c>
      <c r="AC7" s="78"/>
      <c r="AD7" s="70" t="s">
        <v>136</v>
      </c>
      <c r="AE7" s="79">
        <v>48640</v>
      </c>
      <c r="AF7" s="65" t="s">
        <v>138</v>
      </c>
      <c r="AG7" s="65" t="s">
        <v>137</v>
      </c>
      <c r="AH7" s="65" t="s">
        <v>136</v>
      </c>
      <c r="AI7" s="65" t="s">
        <v>136</v>
      </c>
      <c r="AJ7" s="65" t="s">
        <v>126</v>
      </c>
      <c r="AK7" s="66" t="s">
        <v>150</v>
      </c>
      <c r="AL7" s="66" t="s">
        <v>136</v>
      </c>
      <c r="AM7" s="70" t="s">
        <v>192</v>
      </c>
      <c r="AN7" s="80">
        <v>510</v>
      </c>
      <c r="AO7" s="81">
        <v>43466</v>
      </c>
      <c r="AP7" s="80">
        <v>250</v>
      </c>
      <c r="AQ7" s="80" t="s">
        <v>126</v>
      </c>
      <c r="AR7" s="80" t="s">
        <v>126</v>
      </c>
      <c r="AS7" s="70"/>
      <c r="AT7" s="70" t="s">
        <v>193</v>
      </c>
      <c r="AU7" s="82">
        <v>97620</v>
      </c>
      <c r="AV7" s="82" t="s">
        <v>194</v>
      </c>
      <c r="AW7" s="70" t="s">
        <v>195</v>
      </c>
    </row>
    <row r="8" spans="1:49" s="83" customFormat="1" ht="47" customHeight="1" x14ac:dyDescent="0.45">
      <c r="A8" s="69">
        <v>193</v>
      </c>
      <c r="B8" s="65">
        <v>47</v>
      </c>
      <c r="C8" s="65" t="s">
        <v>124</v>
      </c>
      <c r="D8" s="65" t="s">
        <v>125</v>
      </c>
      <c r="E8" s="65" t="s">
        <v>126</v>
      </c>
      <c r="F8" s="66" t="s">
        <v>127</v>
      </c>
      <c r="G8" s="65" t="s">
        <v>127</v>
      </c>
      <c r="H8" s="70">
        <v>7</v>
      </c>
      <c r="I8" s="70" t="s">
        <v>41</v>
      </c>
      <c r="J8" s="70" t="s">
        <v>51</v>
      </c>
      <c r="K8" s="70" t="s">
        <v>196</v>
      </c>
      <c r="L8" s="70" t="s">
        <v>66</v>
      </c>
      <c r="M8" s="70" t="s">
        <v>197</v>
      </c>
      <c r="N8" s="71" t="s">
        <v>198</v>
      </c>
      <c r="O8" s="70" t="s">
        <v>199</v>
      </c>
      <c r="P8" s="72" t="s">
        <v>189</v>
      </c>
      <c r="Q8" s="73" t="s">
        <v>200</v>
      </c>
      <c r="R8" s="73">
        <v>1414</v>
      </c>
      <c r="S8" s="74">
        <v>45181</v>
      </c>
      <c r="T8" s="75" t="s">
        <v>201</v>
      </c>
      <c r="U8" s="76">
        <v>44581</v>
      </c>
      <c r="V8" s="77">
        <f t="shared" si="0"/>
        <v>2</v>
      </c>
      <c r="W8" s="70" t="s">
        <v>202</v>
      </c>
      <c r="X8" s="70"/>
      <c r="Y8" s="70"/>
      <c r="Z8" s="73" t="s">
        <v>136</v>
      </c>
      <c r="AA8" s="73" t="s">
        <v>137</v>
      </c>
      <c r="AB8" s="73" t="s">
        <v>136</v>
      </c>
      <c r="AC8" s="78"/>
      <c r="AD8" s="70" t="s">
        <v>136</v>
      </c>
      <c r="AE8" s="79">
        <v>45040</v>
      </c>
      <c r="AF8" s="65" t="s">
        <v>138</v>
      </c>
      <c r="AG8" s="65" t="s">
        <v>137</v>
      </c>
      <c r="AH8" s="65" t="s">
        <v>136</v>
      </c>
      <c r="AI8" s="65">
        <v>2023</v>
      </c>
      <c r="AJ8" s="65" t="s">
        <v>136</v>
      </c>
      <c r="AK8" s="66" t="s">
        <v>150</v>
      </c>
      <c r="AL8" s="66" t="s">
        <v>126</v>
      </c>
      <c r="AM8" s="111" t="s">
        <v>203</v>
      </c>
      <c r="AN8" s="88">
        <v>510</v>
      </c>
      <c r="AO8" s="81">
        <v>44285</v>
      </c>
      <c r="AP8" s="88">
        <v>450</v>
      </c>
      <c r="AQ8" s="88"/>
      <c r="AR8" s="88"/>
      <c r="AS8" s="70">
        <v>8</v>
      </c>
      <c r="AT8" s="70" t="s">
        <v>204</v>
      </c>
      <c r="AU8" s="82">
        <v>97640</v>
      </c>
      <c r="AV8" s="82" t="s">
        <v>205</v>
      </c>
      <c r="AW8" s="70" t="s">
        <v>206</v>
      </c>
    </row>
    <row r="9" spans="1:49" s="83" customFormat="1" ht="47" customHeight="1" x14ac:dyDescent="0.45">
      <c r="A9" s="69">
        <v>225</v>
      </c>
      <c r="B9" s="65">
        <v>53</v>
      </c>
      <c r="C9" s="65" t="s">
        <v>124</v>
      </c>
      <c r="D9" s="65" t="s">
        <v>125</v>
      </c>
      <c r="E9" s="65" t="s">
        <v>126</v>
      </c>
      <c r="F9" s="66" t="s">
        <v>127</v>
      </c>
      <c r="G9" s="65" t="s">
        <v>127</v>
      </c>
      <c r="H9" s="70">
        <v>8</v>
      </c>
      <c r="I9" s="70"/>
      <c r="J9" s="70" t="s">
        <v>44</v>
      </c>
      <c r="K9" s="70" t="s">
        <v>207</v>
      </c>
      <c r="L9" s="70" t="s">
        <v>208</v>
      </c>
      <c r="M9" s="112" t="s">
        <v>209</v>
      </c>
      <c r="N9" s="84" t="s">
        <v>210</v>
      </c>
      <c r="O9" s="70" t="s">
        <v>211</v>
      </c>
      <c r="P9" s="72" t="s">
        <v>131</v>
      </c>
      <c r="Q9" s="73" t="s">
        <v>212</v>
      </c>
      <c r="R9" s="73">
        <v>1000</v>
      </c>
      <c r="S9" s="74">
        <v>44349</v>
      </c>
      <c r="T9" s="113" t="s">
        <v>213</v>
      </c>
      <c r="U9" s="76">
        <v>43573</v>
      </c>
      <c r="V9" s="77">
        <f t="shared" si="0"/>
        <v>5</v>
      </c>
      <c r="W9" s="70" t="s">
        <v>134</v>
      </c>
      <c r="X9" s="70"/>
      <c r="Y9" s="70"/>
      <c r="Z9" s="73" t="s">
        <v>126</v>
      </c>
      <c r="AA9" s="73" t="s">
        <v>137</v>
      </c>
      <c r="AB9" s="73" t="s">
        <v>126</v>
      </c>
      <c r="AC9" s="78"/>
      <c r="AD9" s="70"/>
      <c r="AE9" s="79">
        <v>45177</v>
      </c>
      <c r="AF9" s="65" t="s">
        <v>138</v>
      </c>
      <c r="AG9" s="65" t="s">
        <v>137</v>
      </c>
      <c r="AH9" s="65" t="s">
        <v>136</v>
      </c>
      <c r="AI9" s="65">
        <v>2023</v>
      </c>
      <c r="AJ9" s="65" t="s">
        <v>136</v>
      </c>
      <c r="AK9" s="66" t="s">
        <v>150</v>
      </c>
      <c r="AL9" s="66" t="s">
        <v>136</v>
      </c>
      <c r="AM9" s="70"/>
      <c r="AN9" s="80">
        <v>510</v>
      </c>
      <c r="AO9" s="81">
        <v>43466</v>
      </c>
      <c r="AP9" s="80">
        <v>250</v>
      </c>
      <c r="AQ9" s="80"/>
      <c r="AR9" s="80"/>
      <c r="AS9" s="70">
        <v>97</v>
      </c>
      <c r="AT9" s="70" t="s">
        <v>214</v>
      </c>
      <c r="AU9" s="82">
        <v>97640</v>
      </c>
      <c r="AV9" s="82" t="s">
        <v>152</v>
      </c>
      <c r="AW9" s="70" t="s">
        <v>215</v>
      </c>
    </row>
    <row r="10" spans="1:49" s="83" customFormat="1" ht="47" customHeight="1" x14ac:dyDescent="0.45">
      <c r="A10" s="69">
        <v>257</v>
      </c>
      <c r="B10" s="65">
        <v>59</v>
      </c>
      <c r="C10" s="65" t="s">
        <v>124</v>
      </c>
      <c r="D10" s="65" t="s">
        <v>125</v>
      </c>
      <c r="E10" s="65" t="s">
        <v>126</v>
      </c>
      <c r="F10" s="66" t="s">
        <v>127</v>
      </c>
      <c r="G10" s="65" t="s">
        <v>127</v>
      </c>
      <c r="H10" s="70">
        <v>9</v>
      </c>
      <c r="I10" s="70" t="s">
        <v>27</v>
      </c>
      <c r="J10" s="70" t="s">
        <v>37</v>
      </c>
      <c r="K10" s="70" t="s">
        <v>67</v>
      </c>
      <c r="L10" s="70" t="s">
        <v>68</v>
      </c>
      <c r="M10" s="70" t="s">
        <v>216</v>
      </c>
      <c r="N10" s="84" t="s">
        <v>217</v>
      </c>
      <c r="O10" s="85" t="s">
        <v>218</v>
      </c>
      <c r="P10" s="72" t="s">
        <v>146</v>
      </c>
      <c r="Q10" s="73" t="s">
        <v>219</v>
      </c>
      <c r="R10" s="73">
        <v>920</v>
      </c>
      <c r="S10" s="74">
        <v>44871</v>
      </c>
      <c r="T10" s="108" t="s">
        <v>220</v>
      </c>
      <c r="U10" s="76">
        <v>44419</v>
      </c>
      <c r="V10" s="77">
        <f t="shared" si="0"/>
        <v>3</v>
      </c>
      <c r="W10" s="88" t="s">
        <v>134</v>
      </c>
      <c r="X10" s="70" t="s">
        <v>221</v>
      </c>
      <c r="Y10" s="89">
        <v>45411</v>
      </c>
      <c r="Z10" s="73" t="s">
        <v>126</v>
      </c>
      <c r="AA10" s="73" t="s">
        <v>126</v>
      </c>
      <c r="AB10" s="73" t="s">
        <v>126</v>
      </c>
      <c r="AC10" s="91" t="s">
        <v>126</v>
      </c>
      <c r="AD10" s="88" t="s">
        <v>126</v>
      </c>
      <c r="AE10" s="114">
        <v>49279</v>
      </c>
      <c r="AF10" s="65" t="s">
        <v>138</v>
      </c>
      <c r="AG10" s="65" t="s">
        <v>137</v>
      </c>
      <c r="AH10" s="65" t="s">
        <v>136</v>
      </c>
      <c r="AI10" s="65" t="s">
        <v>136</v>
      </c>
      <c r="AJ10" s="65">
        <v>2024</v>
      </c>
      <c r="AK10" s="66" t="s">
        <v>150</v>
      </c>
      <c r="AL10" s="66" t="s">
        <v>126</v>
      </c>
      <c r="AM10" s="70" t="s">
        <v>222</v>
      </c>
      <c r="AN10" s="80">
        <v>510</v>
      </c>
      <c r="AO10" s="81">
        <v>44295</v>
      </c>
      <c r="AP10" s="80">
        <v>100</v>
      </c>
      <c r="AQ10" s="80" t="s">
        <v>126</v>
      </c>
      <c r="AR10" s="80" t="s">
        <v>126</v>
      </c>
      <c r="AS10" s="70">
        <v>193</v>
      </c>
      <c r="AT10" s="70" t="s">
        <v>223</v>
      </c>
      <c r="AU10" s="82">
        <v>97630</v>
      </c>
      <c r="AV10" s="82" t="s">
        <v>224</v>
      </c>
      <c r="AW10" s="70" t="s">
        <v>225</v>
      </c>
    </row>
    <row r="11" spans="1:49" s="115" customFormat="1" ht="47" customHeight="1" x14ac:dyDescent="0.45">
      <c r="A11" s="69">
        <v>289</v>
      </c>
      <c r="B11" s="65">
        <v>65</v>
      </c>
      <c r="C11" s="65" t="s">
        <v>124</v>
      </c>
      <c r="D11" s="65" t="s">
        <v>125</v>
      </c>
      <c r="E11" s="65" t="s">
        <v>126</v>
      </c>
      <c r="F11" s="66" t="s">
        <v>127</v>
      </c>
      <c r="G11" s="65" t="s">
        <v>127</v>
      </c>
      <c r="H11" s="70">
        <v>10</v>
      </c>
      <c r="I11" s="70" t="s">
        <v>24</v>
      </c>
      <c r="J11" s="70" t="s">
        <v>24</v>
      </c>
      <c r="K11" s="70" t="s">
        <v>226</v>
      </c>
      <c r="L11" s="70" t="s">
        <v>69</v>
      </c>
      <c r="M11" s="70" t="s">
        <v>227</v>
      </c>
      <c r="N11" s="84" t="s">
        <v>228</v>
      </c>
      <c r="O11" s="85" t="s">
        <v>229</v>
      </c>
      <c r="P11" s="72" t="s">
        <v>146</v>
      </c>
      <c r="Q11" s="73" t="s">
        <v>230</v>
      </c>
      <c r="R11" s="73">
        <v>413</v>
      </c>
      <c r="S11" s="74">
        <v>46877</v>
      </c>
      <c r="T11" s="65" t="s">
        <v>231</v>
      </c>
      <c r="U11" s="79">
        <v>45012</v>
      </c>
      <c r="V11" s="77">
        <f t="shared" si="0"/>
        <v>1</v>
      </c>
      <c r="W11" s="88" t="s">
        <v>134</v>
      </c>
      <c r="X11" s="70"/>
      <c r="Y11" s="70"/>
      <c r="Z11" s="73">
        <v>2023</v>
      </c>
      <c r="AA11" s="73" t="s">
        <v>136</v>
      </c>
      <c r="AB11" s="73">
        <v>2023</v>
      </c>
      <c r="AC11" s="91"/>
      <c r="AD11" s="88" t="s">
        <v>136</v>
      </c>
      <c r="AE11" s="114">
        <v>10959</v>
      </c>
      <c r="AF11" s="65" t="s">
        <v>232</v>
      </c>
      <c r="AG11" s="65" t="s">
        <v>137</v>
      </c>
      <c r="AH11" s="65" t="s">
        <v>126</v>
      </c>
      <c r="AI11" s="65" t="s">
        <v>126</v>
      </c>
      <c r="AJ11" s="65" t="s">
        <v>126</v>
      </c>
      <c r="AK11" s="66" t="s">
        <v>126</v>
      </c>
      <c r="AL11" s="66" t="s">
        <v>136</v>
      </c>
      <c r="AM11" s="70" t="s">
        <v>233</v>
      </c>
      <c r="AN11" s="80">
        <v>510</v>
      </c>
      <c r="AO11" s="81">
        <v>43466</v>
      </c>
      <c r="AP11" s="80">
        <v>250</v>
      </c>
      <c r="AQ11" s="80"/>
      <c r="AR11" s="80"/>
      <c r="AS11" s="70">
        <v>8</v>
      </c>
      <c r="AT11" s="70" t="s">
        <v>234</v>
      </c>
      <c r="AU11" s="82">
        <v>97650</v>
      </c>
      <c r="AV11" s="82" t="s">
        <v>235</v>
      </c>
      <c r="AW11" s="88" t="s">
        <v>236</v>
      </c>
    </row>
    <row r="12" spans="1:49" s="115" customFormat="1" ht="47" customHeight="1" x14ac:dyDescent="0.45">
      <c r="A12" s="69">
        <v>353</v>
      </c>
      <c r="B12" s="65">
        <v>77</v>
      </c>
      <c r="C12" s="65" t="s">
        <v>124</v>
      </c>
      <c r="D12" s="65" t="s">
        <v>125</v>
      </c>
      <c r="E12" s="65" t="s">
        <v>126</v>
      </c>
      <c r="F12" s="66" t="s">
        <v>127</v>
      </c>
      <c r="G12" s="65" t="s">
        <v>127</v>
      </c>
      <c r="H12" s="70">
        <v>11</v>
      </c>
      <c r="I12" s="70" t="s">
        <v>49</v>
      </c>
      <c r="J12" s="70" t="s">
        <v>47</v>
      </c>
      <c r="K12" s="70" t="s">
        <v>237</v>
      </c>
      <c r="L12" s="70" t="s">
        <v>238</v>
      </c>
      <c r="M12" s="70" t="s">
        <v>239</v>
      </c>
      <c r="N12" s="71" t="s">
        <v>240</v>
      </c>
      <c r="O12" s="85" t="s">
        <v>241</v>
      </c>
      <c r="P12" s="72" t="s">
        <v>242</v>
      </c>
      <c r="Q12" s="73" t="s">
        <v>243</v>
      </c>
      <c r="R12" s="73">
        <v>150</v>
      </c>
      <c r="S12" s="74">
        <v>45874</v>
      </c>
      <c r="T12" s="75" t="s">
        <v>244</v>
      </c>
      <c r="U12" s="76">
        <v>44362</v>
      </c>
      <c r="V12" s="77">
        <f t="shared" si="0"/>
        <v>3</v>
      </c>
      <c r="W12" s="88" t="s">
        <v>134</v>
      </c>
      <c r="X12" s="70"/>
      <c r="Y12" s="70"/>
      <c r="Z12" s="73" t="s">
        <v>136</v>
      </c>
      <c r="AA12" s="73"/>
      <c r="AB12" s="73" t="s">
        <v>136</v>
      </c>
      <c r="AC12" s="91"/>
      <c r="AD12" s="88" t="s">
        <v>136</v>
      </c>
      <c r="AE12" s="114">
        <v>49522</v>
      </c>
      <c r="AF12" s="65" t="s">
        <v>138</v>
      </c>
      <c r="AG12" s="65" t="s">
        <v>137</v>
      </c>
      <c r="AH12" s="65" t="s">
        <v>136</v>
      </c>
      <c r="AI12" s="65">
        <v>2023</v>
      </c>
      <c r="AJ12" s="65" t="s">
        <v>126</v>
      </c>
      <c r="AK12" s="66" t="s">
        <v>150</v>
      </c>
      <c r="AL12" s="66" t="s">
        <v>136</v>
      </c>
      <c r="AM12" s="70" t="s">
        <v>245</v>
      </c>
      <c r="AN12" s="80">
        <v>510</v>
      </c>
      <c r="AO12" s="81">
        <v>43466</v>
      </c>
      <c r="AP12" s="80">
        <v>550</v>
      </c>
      <c r="AQ12" s="80"/>
      <c r="AR12" s="80"/>
      <c r="AS12" s="70">
        <v>14</v>
      </c>
      <c r="AT12" s="70" t="s">
        <v>246</v>
      </c>
      <c r="AU12" s="82">
        <v>97625</v>
      </c>
      <c r="AV12" s="82" t="s">
        <v>183</v>
      </c>
      <c r="AW12" s="88" t="s">
        <v>247</v>
      </c>
    </row>
    <row r="13" spans="1:49" s="115" customFormat="1" ht="47" customHeight="1" x14ac:dyDescent="0.45">
      <c r="A13" s="69">
        <v>385</v>
      </c>
      <c r="B13" s="65">
        <v>83</v>
      </c>
      <c r="C13" s="65" t="s">
        <v>124</v>
      </c>
      <c r="D13" s="65" t="s">
        <v>125</v>
      </c>
      <c r="E13" s="65" t="s">
        <v>126</v>
      </c>
      <c r="F13" s="66" t="s">
        <v>127</v>
      </c>
      <c r="G13" s="65" t="s">
        <v>127</v>
      </c>
      <c r="H13" s="70">
        <v>12</v>
      </c>
      <c r="I13" s="70"/>
      <c r="J13" s="70" t="s">
        <v>45</v>
      </c>
      <c r="K13" s="92" t="s">
        <v>248</v>
      </c>
      <c r="L13" s="92" t="s">
        <v>249</v>
      </c>
      <c r="M13" s="92" t="s">
        <v>250</v>
      </c>
      <c r="N13" s="94" t="s">
        <v>251</v>
      </c>
      <c r="O13" s="95" t="s">
        <v>252</v>
      </c>
      <c r="P13" s="96" t="s">
        <v>253</v>
      </c>
      <c r="Q13" s="97" t="s">
        <v>254</v>
      </c>
      <c r="R13" s="97">
        <v>985</v>
      </c>
      <c r="S13" s="98">
        <v>44456</v>
      </c>
      <c r="T13" s="99" t="s">
        <v>255</v>
      </c>
      <c r="U13" s="100">
        <v>45273</v>
      </c>
      <c r="V13" s="98"/>
      <c r="W13" s="93" t="s">
        <v>134</v>
      </c>
      <c r="X13" s="92" t="s">
        <v>221</v>
      </c>
      <c r="Y13" s="92" t="s">
        <v>256</v>
      </c>
      <c r="Z13" s="97" t="s">
        <v>126</v>
      </c>
      <c r="AA13" s="97" t="s">
        <v>136</v>
      </c>
      <c r="AB13" s="97" t="s">
        <v>136</v>
      </c>
      <c r="AC13" s="102" t="s">
        <v>126</v>
      </c>
      <c r="AD13" s="93" t="s">
        <v>149</v>
      </c>
      <c r="AE13" s="100">
        <v>45248</v>
      </c>
      <c r="AF13" s="99" t="s">
        <v>138</v>
      </c>
      <c r="AG13" s="99"/>
      <c r="AH13" s="99" t="s">
        <v>126</v>
      </c>
      <c r="AI13" s="99" t="s">
        <v>126</v>
      </c>
      <c r="AJ13" s="99" t="s">
        <v>126</v>
      </c>
      <c r="AK13" s="103" t="s">
        <v>126</v>
      </c>
      <c r="AL13" s="103" t="s">
        <v>126</v>
      </c>
      <c r="AM13" s="92"/>
      <c r="AN13" s="104">
        <v>510</v>
      </c>
      <c r="AO13" s="105">
        <v>43466</v>
      </c>
      <c r="AP13" s="104">
        <v>150</v>
      </c>
      <c r="AQ13" s="104" t="s">
        <v>126</v>
      </c>
      <c r="AR13" s="104" t="s">
        <v>126</v>
      </c>
      <c r="AS13" s="92">
        <v>27</v>
      </c>
      <c r="AT13" s="92" t="s">
        <v>257</v>
      </c>
      <c r="AU13" s="106">
        <v>97650</v>
      </c>
      <c r="AV13" s="106" t="s">
        <v>258</v>
      </c>
      <c r="AW13" s="93"/>
    </row>
    <row r="14" spans="1:49" s="115" customFormat="1" ht="47" customHeight="1" x14ac:dyDescent="0.45">
      <c r="A14" s="69">
        <v>417</v>
      </c>
      <c r="B14" s="65">
        <v>89</v>
      </c>
      <c r="C14" s="65" t="s">
        <v>124</v>
      </c>
      <c r="D14" s="65" t="s">
        <v>125</v>
      </c>
      <c r="E14" s="65" t="s">
        <v>126</v>
      </c>
      <c r="F14" s="66" t="s">
        <v>127</v>
      </c>
      <c r="G14" s="65" t="s">
        <v>127</v>
      </c>
      <c r="H14" s="70">
        <v>13</v>
      </c>
      <c r="I14" s="70" t="s">
        <v>51</v>
      </c>
      <c r="J14" s="70" t="s">
        <v>27</v>
      </c>
      <c r="K14" s="92" t="s">
        <v>259</v>
      </c>
      <c r="L14" s="92" t="s">
        <v>260</v>
      </c>
      <c r="M14" s="92" t="s">
        <v>261</v>
      </c>
      <c r="N14" s="94" t="s">
        <v>262</v>
      </c>
      <c r="O14" s="92" t="s">
        <v>263</v>
      </c>
      <c r="P14" s="96" t="s">
        <v>253</v>
      </c>
      <c r="Q14" s="97" t="s">
        <v>264</v>
      </c>
      <c r="R14" s="97">
        <v>994</v>
      </c>
      <c r="S14" s="98">
        <v>44263</v>
      </c>
      <c r="T14" s="116" t="s">
        <v>265</v>
      </c>
      <c r="U14" s="100">
        <v>45394</v>
      </c>
      <c r="V14" s="98"/>
      <c r="W14" s="92" t="s">
        <v>134</v>
      </c>
      <c r="X14" s="92"/>
      <c r="Y14" s="92" t="s">
        <v>266</v>
      </c>
      <c r="Z14" s="97" t="s">
        <v>126</v>
      </c>
      <c r="AA14" s="97" t="s">
        <v>126</v>
      </c>
      <c r="AB14" s="97" t="s">
        <v>126</v>
      </c>
      <c r="AC14" s="117" t="s">
        <v>126</v>
      </c>
      <c r="AD14" s="92" t="s">
        <v>126</v>
      </c>
      <c r="AE14" s="100">
        <v>47621</v>
      </c>
      <c r="AF14" s="99" t="s">
        <v>138</v>
      </c>
      <c r="AG14" s="99"/>
      <c r="AH14" s="99" t="s">
        <v>126</v>
      </c>
      <c r="AI14" s="99" t="s">
        <v>126</v>
      </c>
      <c r="AJ14" s="99" t="s">
        <v>126</v>
      </c>
      <c r="AK14" s="103" t="s">
        <v>126</v>
      </c>
      <c r="AL14" s="103" t="s">
        <v>136</v>
      </c>
      <c r="AM14" s="92"/>
      <c r="AN14" s="104">
        <v>510</v>
      </c>
      <c r="AO14" s="105">
        <v>43466</v>
      </c>
      <c r="AP14" s="104">
        <v>200</v>
      </c>
      <c r="AQ14" s="104" t="s">
        <v>126</v>
      </c>
      <c r="AR14" s="104" t="s">
        <v>126</v>
      </c>
      <c r="AS14" s="92">
        <v>5</v>
      </c>
      <c r="AT14" s="92" t="s">
        <v>267</v>
      </c>
      <c r="AU14" s="106">
        <v>97630</v>
      </c>
      <c r="AV14" s="106" t="s">
        <v>224</v>
      </c>
      <c r="AW14" s="92" t="s">
        <v>268</v>
      </c>
    </row>
    <row r="15" spans="1:49" s="83" customFormat="1" ht="47" customHeight="1" x14ac:dyDescent="0.45">
      <c r="A15" s="69">
        <v>97</v>
      </c>
      <c r="B15" s="65">
        <v>29</v>
      </c>
      <c r="C15" s="65" t="s">
        <v>124</v>
      </c>
      <c r="D15" s="65" t="s">
        <v>125</v>
      </c>
      <c r="E15" s="65" t="s">
        <v>126</v>
      </c>
      <c r="F15" s="66" t="s">
        <v>127</v>
      </c>
      <c r="G15" s="65" t="s">
        <v>127</v>
      </c>
      <c r="H15" s="70">
        <v>14</v>
      </c>
      <c r="I15" s="70" t="s">
        <v>269</v>
      </c>
      <c r="J15" s="70" t="s">
        <v>48</v>
      </c>
      <c r="K15" s="70" t="s">
        <v>70</v>
      </c>
      <c r="L15" s="70" t="s">
        <v>71</v>
      </c>
      <c r="M15" s="70" t="s">
        <v>270</v>
      </c>
      <c r="N15" s="84" t="s">
        <v>271</v>
      </c>
      <c r="O15" s="70" t="s">
        <v>272</v>
      </c>
      <c r="P15" s="72" t="s">
        <v>273</v>
      </c>
      <c r="Q15" s="73" t="s">
        <v>274</v>
      </c>
      <c r="R15" s="73">
        <v>249</v>
      </c>
      <c r="S15" s="74">
        <v>43132</v>
      </c>
      <c r="T15" s="65" t="s">
        <v>275</v>
      </c>
      <c r="U15" s="79">
        <v>45083</v>
      </c>
      <c r="V15" s="77">
        <f>2024-YEAR(U15)</f>
        <v>1</v>
      </c>
      <c r="W15" s="70" t="s">
        <v>134</v>
      </c>
      <c r="X15" s="70" t="s">
        <v>276</v>
      </c>
      <c r="Y15" s="70"/>
      <c r="Z15" s="73">
        <v>2023</v>
      </c>
      <c r="AA15" s="73" t="s">
        <v>136</v>
      </c>
      <c r="AB15" s="73">
        <v>2023</v>
      </c>
      <c r="AC15" s="78"/>
      <c r="AD15" s="70" t="s">
        <v>136</v>
      </c>
      <c r="AE15" s="118">
        <v>49496</v>
      </c>
      <c r="AF15" s="65" t="s">
        <v>138</v>
      </c>
      <c r="AG15" s="65" t="s">
        <v>137</v>
      </c>
      <c r="AH15" s="65" t="s">
        <v>136</v>
      </c>
      <c r="AI15" s="65" t="s">
        <v>136</v>
      </c>
      <c r="AJ15" s="65" t="s">
        <v>136</v>
      </c>
      <c r="AK15" s="66" t="s">
        <v>136</v>
      </c>
      <c r="AL15" s="66" t="s">
        <v>136</v>
      </c>
      <c r="AM15" s="70" t="s">
        <v>277</v>
      </c>
      <c r="AN15" s="80">
        <v>510</v>
      </c>
      <c r="AO15" s="81">
        <v>43466</v>
      </c>
      <c r="AP15" s="80">
        <v>300</v>
      </c>
      <c r="AQ15" s="80"/>
      <c r="AR15" s="80"/>
      <c r="AS15" s="70">
        <v>2</v>
      </c>
      <c r="AT15" s="70" t="s">
        <v>278</v>
      </c>
      <c r="AU15" s="82">
        <v>97600</v>
      </c>
      <c r="AV15" s="82" t="s">
        <v>146</v>
      </c>
      <c r="AW15" s="70" t="s">
        <v>279</v>
      </c>
    </row>
    <row r="16" spans="1:49" s="115" customFormat="1" ht="47" customHeight="1" x14ac:dyDescent="0.45">
      <c r="A16" s="69">
        <v>321</v>
      </c>
      <c r="B16" s="65">
        <v>71</v>
      </c>
      <c r="C16" s="65" t="s">
        <v>124</v>
      </c>
      <c r="D16" s="65" t="s">
        <v>125</v>
      </c>
      <c r="E16" s="65" t="s">
        <v>126</v>
      </c>
      <c r="F16" s="66" t="s">
        <v>127</v>
      </c>
      <c r="G16" s="65" t="s">
        <v>127</v>
      </c>
      <c r="H16" s="70">
        <v>15</v>
      </c>
      <c r="I16" s="70" t="s">
        <v>37</v>
      </c>
      <c r="J16" s="70" t="s">
        <v>49</v>
      </c>
      <c r="K16" s="70" t="s">
        <v>72</v>
      </c>
      <c r="L16" s="70" t="s">
        <v>73</v>
      </c>
      <c r="M16" s="70" t="s">
        <v>280</v>
      </c>
      <c r="N16" s="70"/>
      <c r="O16" s="70" t="s">
        <v>281</v>
      </c>
      <c r="P16" s="72" t="s">
        <v>253</v>
      </c>
      <c r="Q16" s="73" t="s">
        <v>282</v>
      </c>
      <c r="R16" s="73">
        <v>1337</v>
      </c>
      <c r="S16" s="74">
        <v>45235</v>
      </c>
      <c r="T16" s="108" t="s">
        <v>283</v>
      </c>
      <c r="U16" s="109">
        <v>45219</v>
      </c>
      <c r="V16" s="77">
        <f>2024-YEAR(U16)</f>
        <v>1</v>
      </c>
      <c r="W16" s="70" t="s">
        <v>134</v>
      </c>
      <c r="X16" s="70"/>
      <c r="Y16" s="70"/>
      <c r="Z16" s="73" t="s">
        <v>136</v>
      </c>
      <c r="AA16" s="73"/>
      <c r="AB16" s="73" t="s">
        <v>126</v>
      </c>
      <c r="AC16" s="78"/>
      <c r="AD16" s="70" t="s">
        <v>136</v>
      </c>
      <c r="AE16" s="79">
        <v>48068</v>
      </c>
      <c r="AF16" s="65" t="s">
        <v>138</v>
      </c>
      <c r="AG16" s="65" t="s">
        <v>137</v>
      </c>
      <c r="AH16" s="65" t="s">
        <v>136</v>
      </c>
      <c r="AI16" s="65">
        <v>2023</v>
      </c>
      <c r="AJ16" s="65" t="s">
        <v>136</v>
      </c>
      <c r="AK16" s="66" t="s">
        <v>150</v>
      </c>
      <c r="AL16" s="66"/>
      <c r="AM16" s="70"/>
      <c r="AN16" s="80">
        <v>510</v>
      </c>
      <c r="AO16" s="81">
        <v>44171</v>
      </c>
      <c r="AP16" s="80">
        <v>150</v>
      </c>
      <c r="AQ16" s="80"/>
      <c r="AR16" s="80"/>
      <c r="AS16" s="70">
        <v>32</v>
      </c>
      <c r="AT16" s="70" t="s">
        <v>284</v>
      </c>
      <c r="AU16" s="82">
        <v>97650</v>
      </c>
      <c r="AV16" s="82" t="s">
        <v>258</v>
      </c>
      <c r="AW16" s="70"/>
    </row>
    <row r="17" spans="1:49" s="83" customFormat="1" ht="47" customHeight="1" x14ac:dyDescent="0.45">
      <c r="A17" s="69">
        <v>49</v>
      </c>
      <c r="B17" s="65">
        <v>20</v>
      </c>
      <c r="C17" s="65" t="s">
        <v>124</v>
      </c>
      <c r="D17" s="65"/>
      <c r="E17" s="65" t="s">
        <v>126</v>
      </c>
      <c r="F17" s="66" t="s">
        <v>126</v>
      </c>
      <c r="G17" s="65" t="s">
        <v>126</v>
      </c>
      <c r="H17" s="70">
        <v>16</v>
      </c>
      <c r="I17" s="70"/>
      <c r="J17" s="70" t="s">
        <v>41</v>
      </c>
      <c r="K17" s="92" t="s">
        <v>74</v>
      </c>
      <c r="L17" s="92" t="s">
        <v>75</v>
      </c>
      <c r="M17" s="92" t="s">
        <v>285</v>
      </c>
      <c r="N17" s="94" t="s">
        <v>286</v>
      </c>
      <c r="O17" s="92" t="s">
        <v>287</v>
      </c>
      <c r="P17" s="96" t="s">
        <v>189</v>
      </c>
      <c r="Q17" s="97" t="s">
        <v>288</v>
      </c>
      <c r="R17" s="97">
        <v>1184</v>
      </c>
      <c r="S17" s="98">
        <v>45262</v>
      </c>
      <c r="T17" s="99" t="s">
        <v>289</v>
      </c>
      <c r="U17" s="100">
        <v>45406</v>
      </c>
      <c r="V17" s="98"/>
      <c r="W17" s="92" t="s">
        <v>134</v>
      </c>
      <c r="X17" s="92" t="s">
        <v>221</v>
      </c>
      <c r="Y17" s="92"/>
      <c r="Z17" s="97" t="s">
        <v>126</v>
      </c>
      <c r="AA17" s="97" t="s">
        <v>136</v>
      </c>
      <c r="AB17" s="97" t="s">
        <v>126</v>
      </c>
      <c r="AC17" s="117" t="s">
        <v>126</v>
      </c>
      <c r="AD17" s="92" t="s">
        <v>290</v>
      </c>
      <c r="AE17" s="100">
        <v>46707</v>
      </c>
      <c r="AF17" s="99" t="s">
        <v>138</v>
      </c>
      <c r="AG17" s="99"/>
      <c r="AH17" s="99" t="s">
        <v>136</v>
      </c>
      <c r="AI17" s="99" t="s">
        <v>136</v>
      </c>
      <c r="AJ17" s="99" t="s">
        <v>136</v>
      </c>
      <c r="AK17" s="103" t="s">
        <v>150</v>
      </c>
      <c r="AL17" s="103" t="s">
        <v>126</v>
      </c>
      <c r="AM17" s="92"/>
      <c r="AN17" s="104">
        <v>510</v>
      </c>
      <c r="AO17" s="105">
        <v>43466</v>
      </c>
      <c r="AP17" s="104">
        <v>300</v>
      </c>
      <c r="AQ17" s="104" t="s">
        <v>126</v>
      </c>
      <c r="AR17" s="104" t="s">
        <v>126</v>
      </c>
      <c r="AS17" s="92"/>
      <c r="AT17" s="92" t="s">
        <v>291</v>
      </c>
      <c r="AU17" s="106">
        <v>97620</v>
      </c>
      <c r="AV17" s="106" t="s">
        <v>292</v>
      </c>
      <c r="AW17" s="92" t="s">
        <v>293</v>
      </c>
    </row>
    <row r="18" spans="1:49" s="83" customFormat="1" ht="47" customHeight="1" x14ac:dyDescent="0.45">
      <c r="A18" s="69">
        <v>177</v>
      </c>
      <c r="B18" s="65">
        <v>44</v>
      </c>
      <c r="C18" s="65" t="s">
        <v>124</v>
      </c>
      <c r="D18" s="65"/>
      <c r="E18" s="65" t="s">
        <v>126</v>
      </c>
      <c r="F18" s="66" t="s">
        <v>126</v>
      </c>
      <c r="G18" s="65" t="s">
        <v>126</v>
      </c>
      <c r="H18" s="70">
        <v>17</v>
      </c>
      <c r="I18" s="70" t="s">
        <v>36</v>
      </c>
      <c r="J18" s="70" t="s">
        <v>43</v>
      </c>
      <c r="K18" s="70" t="s">
        <v>294</v>
      </c>
      <c r="L18" s="70" t="s">
        <v>76</v>
      </c>
      <c r="M18" s="70" t="s">
        <v>295</v>
      </c>
      <c r="N18" s="84" t="s">
        <v>296</v>
      </c>
      <c r="O18" s="85" t="s">
        <v>297</v>
      </c>
      <c r="P18" s="72" t="s">
        <v>146</v>
      </c>
      <c r="Q18" s="73" t="s">
        <v>298</v>
      </c>
      <c r="R18" s="73">
        <v>357</v>
      </c>
      <c r="S18" s="74">
        <v>45028</v>
      </c>
      <c r="T18" s="65" t="s">
        <v>299</v>
      </c>
      <c r="U18" s="79">
        <v>44624</v>
      </c>
      <c r="V18" s="77">
        <f>2024-YEAR(U18)</f>
        <v>2</v>
      </c>
      <c r="W18" s="88" t="s">
        <v>134</v>
      </c>
      <c r="X18" s="70" t="s">
        <v>181</v>
      </c>
      <c r="Y18" s="70"/>
      <c r="Z18" s="73">
        <v>2023</v>
      </c>
      <c r="AA18" s="73" t="s">
        <v>136</v>
      </c>
      <c r="AB18" s="73">
        <v>2023</v>
      </c>
      <c r="AC18" s="91"/>
      <c r="AD18" s="88" t="s">
        <v>136</v>
      </c>
      <c r="AE18" s="114">
        <v>45992</v>
      </c>
      <c r="AF18" s="65" t="s">
        <v>138</v>
      </c>
      <c r="AG18" s="65"/>
      <c r="AH18" s="65" t="s">
        <v>136</v>
      </c>
      <c r="AI18" s="65" t="s">
        <v>136</v>
      </c>
      <c r="AJ18" s="65" t="s">
        <v>126</v>
      </c>
      <c r="AK18" s="66" t="s">
        <v>150</v>
      </c>
      <c r="AL18" s="66" t="s">
        <v>136</v>
      </c>
      <c r="AM18" s="70" t="s">
        <v>300</v>
      </c>
      <c r="AN18" s="80">
        <v>510</v>
      </c>
      <c r="AO18" s="81">
        <v>43466</v>
      </c>
      <c r="AP18" s="80">
        <v>350</v>
      </c>
      <c r="AQ18" s="80"/>
      <c r="AR18" s="80"/>
      <c r="AS18" s="70">
        <v>9</v>
      </c>
      <c r="AT18" s="70" t="s">
        <v>301</v>
      </c>
      <c r="AU18" s="82">
        <v>97620</v>
      </c>
      <c r="AV18" s="82" t="s">
        <v>292</v>
      </c>
      <c r="AW18" s="88" t="s">
        <v>302</v>
      </c>
    </row>
    <row r="19" spans="1:49" s="83" customFormat="1" ht="47" customHeight="1" x14ac:dyDescent="0.45">
      <c r="A19" s="69"/>
      <c r="B19" s="119"/>
      <c r="C19" s="119"/>
      <c r="D19" s="119"/>
      <c r="E19" s="119"/>
      <c r="F19" s="120"/>
      <c r="G19" s="119"/>
      <c r="H19" s="121"/>
      <c r="I19" s="121"/>
      <c r="J19" s="121"/>
      <c r="K19" s="122"/>
      <c r="L19" s="122"/>
      <c r="M19" s="122"/>
      <c r="N19" s="123"/>
      <c r="O19" s="124"/>
      <c r="P19" s="125"/>
      <c r="Q19" s="126"/>
      <c r="R19" s="126"/>
      <c r="S19" s="127"/>
      <c r="T19" s="128"/>
      <c r="U19" s="129"/>
      <c r="V19" s="127"/>
      <c r="W19" s="130"/>
      <c r="X19" s="122"/>
      <c r="Y19" s="122"/>
      <c r="Z19" s="126"/>
      <c r="AA19" s="126"/>
      <c r="AB19" s="126"/>
      <c r="AC19" s="131"/>
      <c r="AD19" s="130"/>
      <c r="AE19" s="129"/>
      <c r="AF19" s="128"/>
      <c r="AG19" s="128"/>
      <c r="AH19" s="128"/>
      <c r="AI19" s="128"/>
      <c r="AJ19" s="128"/>
      <c r="AK19" s="132"/>
      <c r="AL19" s="132"/>
      <c r="AM19" s="122"/>
      <c r="AN19" s="133"/>
      <c r="AO19" s="134"/>
      <c r="AP19" s="133"/>
      <c r="AQ19" s="133"/>
      <c r="AR19" s="133"/>
      <c r="AS19" s="122"/>
      <c r="AT19" s="122"/>
      <c r="AU19" s="135"/>
      <c r="AV19" s="135"/>
      <c r="AW19" s="130"/>
    </row>
    <row r="20" spans="1:49" s="83" customFormat="1" ht="47" customHeight="1" x14ac:dyDescent="0.45">
      <c r="A20" s="69"/>
      <c r="B20" s="119"/>
      <c r="C20" s="119"/>
      <c r="D20" s="119"/>
      <c r="E20" s="119"/>
      <c r="F20" s="120"/>
      <c r="G20" s="119"/>
      <c r="H20" s="121"/>
      <c r="I20" s="121"/>
      <c r="J20" s="121"/>
      <c r="K20" s="122"/>
      <c r="L20" s="122"/>
      <c r="M20" s="122"/>
      <c r="N20" s="123"/>
      <c r="O20" s="124"/>
      <c r="P20" s="125"/>
      <c r="Q20" s="126"/>
      <c r="R20" s="126"/>
      <c r="S20" s="127"/>
      <c r="T20" s="128"/>
      <c r="U20" s="129"/>
      <c r="V20" s="127"/>
      <c r="W20" s="130"/>
      <c r="X20" s="122"/>
      <c r="Y20" s="122"/>
      <c r="Z20" s="126"/>
      <c r="AA20" s="126"/>
      <c r="AB20" s="126"/>
      <c r="AC20" s="131"/>
      <c r="AD20" s="130"/>
      <c r="AE20" s="129"/>
      <c r="AF20" s="128"/>
      <c r="AG20" s="128"/>
      <c r="AH20" s="128"/>
      <c r="AI20" s="128"/>
      <c r="AJ20" s="128"/>
      <c r="AK20" s="132"/>
      <c r="AL20" s="132"/>
      <c r="AM20" s="122"/>
      <c r="AN20" s="133"/>
      <c r="AO20" s="134"/>
      <c r="AP20" s="133"/>
      <c r="AQ20" s="133"/>
      <c r="AR20" s="133"/>
      <c r="AS20" s="122"/>
      <c r="AT20" s="122"/>
      <c r="AU20" s="135"/>
      <c r="AV20" s="135"/>
      <c r="AW20" s="130"/>
    </row>
    <row r="22" spans="1:49" s="83" customFormat="1" ht="47" customHeight="1" x14ac:dyDescent="0.45">
      <c r="A22" s="69">
        <v>17</v>
      </c>
      <c r="B22" s="65">
        <v>14</v>
      </c>
      <c r="C22" s="65" t="s">
        <v>124</v>
      </c>
      <c r="D22" s="65"/>
      <c r="E22" s="65" t="s">
        <v>126</v>
      </c>
      <c r="F22" s="66" t="s">
        <v>126</v>
      </c>
      <c r="G22" s="65" t="s">
        <v>126</v>
      </c>
      <c r="H22" s="70">
        <v>2</v>
      </c>
      <c r="I22" s="70"/>
      <c r="J22" s="70"/>
      <c r="K22" s="70" t="s">
        <v>303</v>
      </c>
      <c r="L22" s="70" t="s">
        <v>304</v>
      </c>
      <c r="M22" s="70" t="s">
        <v>305</v>
      </c>
      <c r="N22" s="84" t="s">
        <v>306</v>
      </c>
      <c r="O22" s="70" t="s">
        <v>307</v>
      </c>
      <c r="P22" s="72" t="s">
        <v>146</v>
      </c>
      <c r="Q22" s="73" t="s">
        <v>308</v>
      </c>
      <c r="R22" s="73">
        <v>90</v>
      </c>
      <c r="S22" s="74">
        <v>46916</v>
      </c>
      <c r="T22" s="73" t="s">
        <v>309</v>
      </c>
      <c r="U22" s="87">
        <v>44285</v>
      </c>
      <c r="V22" s="77">
        <f>2024-YEAR(U22)</f>
        <v>3</v>
      </c>
      <c r="W22" s="70" t="s">
        <v>134</v>
      </c>
      <c r="X22" s="70" t="s">
        <v>135</v>
      </c>
      <c r="Y22" s="70"/>
      <c r="Z22" s="73" t="s">
        <v>136</v>
      </c>
      <c r="AA22" s="73" t="s">
        <v>136</v>
      </c>
      <c r="AB22" s="73" t="s">
        <v>136</v>
      </c>
      <c r="AC22" s="78" t="s">
        <v>136</v>
      </c>
      <c r="AD22" s="70" t="s">
        <v>126</v>
      </c>
      <c r="AE22" s="79">
        <v>49237</v>
      </c>
      <c r="AF22" s="65" t="s">
        <v>138</v>
      </c>
      <c r="AG22" s="65" t="s">
        <v>137</v>
      </c>
      <c r="AH22" s="65" t="s">
        <v>136</v>
      </c>
      <c r="AI22" s="65" t="s">
        <v>136</v>
      </c>
      <c r="AJ22" s="65" t="s">
        <v>136</v>
      </c>
      <c r="AK22" s="66" t="s">
        <v>150</v>
      </c>
      <c r="AL22" s="66" t="s">
        <v>136</v>
      </c>
      <c r="AM22" s="70" t="s">
        <v>310</v>
      </c>
      <c r="AN22" s="80">
        <v>510</v>
      </c>
      <c r="AO22" s="81">
        <v>43466</v>
      </c>
      <c r="AP22" s="80">
        <v>450</v>
      </c>
      <c r="AQ22" s="80" t="s">
        <v>126</v>
      </c>
      <c r="AR22" s="80" t="s">
        <v>126</v>
      </c>
      <c r="AS22" s="70">
        <v>474</v>
      </c>
      <c r="AT22" s="70" t="s">
        <v>311</v>
      </c>
      <c r="AU22" s="82">
        <v>97630</v>
      </c>
      <c r="AV22" s="82" t="s">
        <v>312</v>
      </c>
      <c r="AW22" s="70" t="s">
        <v>313</v>
      </c>
    </row>
  </sheetData>
  <autoFilter ref="K1:AW14" xr:uid="{5814C0EE-3C01-8046-B0F7-B40F0F03751B}">
    <sortState xmlns:xlrd2="http://schemas.microsoft.com/office/spreadsheetml/2017/richdata2" ref="K2:AW14">
      <sortCondition ref="K3:K14"/>
      <sortCondition ref="L3:L14"/>
    </sortState>
  </autoFilter>
  <hyperlinks>
    <hyperlink ref="N2" r:id="rId1" xr:uid="{6B7707CF-FCA3-44C0-AD32-2AB56A1FEF22}"/>
    <hyperlink ref="N3" r:id="rId2" xr:uid="{853B27C8-A9E6-46A1-8FE4-6A374655C12F}"/>
    <hyperlink ref="N5" r:id="rId3" xr:uid="{CB565F56-02D0-4774-869B-F184C70EE1B4}"/>
    <hyperlink ref="N6" r:id="rId4" xr:uid="{E44AA1C0-AF07-47E1-BF7D-284C73FD014E}"/>
    <hyperlink ref="N7" r:id="rId5" xr:uid="{4CCA4A99-2B4D-41A7-9DB8-FE93B930F359}"/>
    <hyperlink ref="N8" r:id="rId6" xr:uid="{56F3CCE8-A9DB-44AC-9F1C-B4C2C3EB3BE3}"/>
    <hyperlink ref="N10" r:id="rId7" xr:uid="{F5730EF9-422C-4339-977F-198A2C0F1BA0}"/>
    <hyperlink ref="N11" r:id="rId8" xr:uid="{055990A7-FADD-4289-A21E-24D4B91700CF}"/>
    <hyperlink ref="N12" r:id="rId9" xr:uid="{43F2DB18-1FF0-46D4-8E8B-51EC8FA6A2F8}"/>
    <hyperlink ref="N15" r:id="rId10" xr:uid="{7F240266-6AAE-49E2-BBA6-817F3310851F}"/>
    <hyperlink ref="N18" r:id="rId11" display="toumboutoibourani@outlook.fr" xr:uid="{EB51EB94-813F-4BBD-96B6-25916049DCD7}"/>
    <hyperlink ref="N22" r:id="rId12" xr:uid="{4D2910FD-AA67-48B9-B473-D8FD67BCAF9B}"/>
    <hyperlink ref="N4" r:id="rId13" xr:uid="{9D442F91-59DF-47E4-92F0-7AC8FE0141A6}"/>
    <hyperlink ref="N13" r:id="rId14" xr:uid="{A1405A99-B6C5-4E07-AB62-CAD6411B0235}"/>
    <hyperlink ref="N14" r:id="rId15" xr:uid="{A6292EDC-7FEC-4590-89C3-B7765B75C2C7}"/>
    <hyperlink ref="N17" r:id="rId16" xr:uid="{A3E44C75-EE2B-443B-B9B2-92B011D30D96}"/>
    <hyperlink ref="N9" r:id="rId17" xr:uid="{B0E68496-E8F8-4BB0-83D6-08EAB1141527}"/>
  </hyperlinks>
  <printOptions horizontalCentered="1"/>
  <pageMargins left="0.2" right="0.2" top="0.25" bottom="0.25" header="0.3" footer="0.3"/>
  <pageSetup paperSize="9" scale="35" orientation="landscape"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A00D-9AF4-4172-8F61-B0B32E26AB85}">
  <sheetPr>
    <pageSetUpPr fitToPage="1"/>
  </sheetPr>
  <dimension ref="B1:AA57"/>
  <sheetViews>
    <sheetView zoomScale="85" zoomScaleNormal="85" workbookViewId="0"/>
  </sheetViews>
  <sheetFormatPr baseColWidth="10" defaultRowHeight="14.25" x14ac:dyDescent="0.45"/>
  <cols>
    <col min="1" max="1" width="6.73046875" customWidth="1"/>
    <col min="2" max="2" width="16.86328125" customWidth="1"/>
    <col min="3" max="3" width="42" customWidth="1"/>
    <col min="4" max="5" width="7.46484375" customWidth="1"/>
    <col min="6" max="6" width="24.3984375" customWidth="1"/>
    <col min="7" max="7" width="25.3984375" customWidth="1"/>
    <col min="8" max="9" width="25.6640625" customWidth="1"/>
    <col min="10" max="10" width="24.6640625" customWidth="1"/>
    <col min="11" max="19" width="26.3984375" customWidth="1"/>
    <col min="20" max="20" width="22.86328125" customWidth="1"/>
  </cols>
  <sheetData>
    <row r="1" spans="2:20" ht="14.65" thickBot="1" x14ac:dyDescent="0.5"/>
    <row r="2" spans="2:20" x14ac:dyDescent="0.45">
      <c r="B2" t="s">
        <v>657</v>
      </c>
      <c r="C2" s="625" t="s">
        <v>505</v>
      </c>
      <c r="D2" s="626"/>
      <c r="E2" s="626"/>
      <c r="F2" s="626"/>
      <c r="G2" s="627"/>
    </row>
    <row r="3" spans="2:20" ht="24" customHeight="1" thickBot="1" x14ac:dyDescent="0.5">
      <c r="C3" s="628"/>
      <c r="D3" s="629"/>
      <c r="E3" s="629"/>
      <c r="F3" s="629"/>
      <c r="G3" s="630"/>
    </row>
    <row r="4" spans="2:20" x14ac:dyDescent="0.45"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</row>
    <row r="5" spans="2:20" ht="14.65" thickBot="1" x14ac:dyDescent="0.5"/>
    <row r="6" spans="2:20" ht="19.899999999999999" x14ac:dyDescent="0.45">
      <c r="B6" s="631" t="s">
        <v>506</v>
      </c>
      <c r="C6" s="632"/>
      <c r="D6" s="378"/>
      <c r="E6" s="378"/>
    </row>
    <row r="7" spans="2:20" ht="20.25" thickBot="1" x14ac:dyDescent="0.5">
      <c r="B7" s="633"/>
      <c r="C7" s="634"/>
      <c r="D7" s="378"/>
      <c r="E7" s="378"/>
      <c r="O7" s="582"/>
      <c r="P7" s="582"/>
      <c r="Q7" s="582"/>
      <c r="R7" s="582"/>
      <c r="S7" s="582"/>
    </row>
    <row r="8" spans="2:20" ht="14.45" customHeight="1" x14ac:dyDescent="0.45">
      <c r="B8" s="620" t="s">
        <v>507</v>
      </c>
      <c r="C8" s="635"/>
      <c r="D8" s="379"/>
      <c r="E8" s="379"/>
      <c r="F8" s="637" t="s">
        <v>508</v>
      </c>
      <c r="G8" s="638"/>
      <c r="H8" s="638"/>
      <c r="I8" s="638"/>
      <c r="J8" s="638"/>
      <c r="K8" s="638"/>
      <c r="L8" s="556"/>
      <c r="M8" s="556"/>
      <c r="N8" s="556"/>
      <c r="O8" s="605"/>
      <c r="P8" s="582"/>
      <c r="Q8" s="582"/>
      <c r="R8" s="582"/>
      <c r="S8" s="582"/>
    </row>
    <row r="9" spans="2:20" ht="15" customHeight="1" thickBot="1" x14ac:dyDescent="0.5">
      <c r="B9" s="622"/>
      <c r="C9" s="636"/>
      <c r="D9" s="379"/>
      <c r="E9" s="379"/>
      <c r="F9" s="637"/>
      <c r="G9" s="638"/>
      <c r="H9" s="638"/>
      <c r="I9" s="638"/>
      <c r="J9" s="638"/>
      <c r="K9" s="638"/>
      <c r="L9" s="556"/>
      <c r="M9" s="556"/>
      <c r="N9" s="556"/>
      <c r="O9" s="605"/>
      <c r="P9" s="582"/>
      <c r="Q9" s="582"/>
      <c r="R9" s="582"/>
      <c r="S9" s="582"/>
    </row>
    <row r="10" spans="2:20" ht="32.35" customHeight="1" thickBot="1" x14ac:dyDescent="0.5">
      <c r="B10" s="380"/>
      <c r="C10" s="381" t="s">
        <v>509</v>
      </c>
      <c r="D10" s="381"/>
      <c r="E10" s="381"/>
      <c r="F10" s="381" t="s">
        <v>510</v>
      </c>
      <c r="G10" s="381" t="s">
        <v>703</v>
      </c>
      <c r="H10" s="381" t="s">
        <v>510</v>
      </c>
      <c r="I10" s="381" t="s">
        <v>510</v>
      </c>
      <c r="J10" s="583" t="s">
        <v>671</v>
      </c>
      <c r="K10" s="381" t="s">
        <v>669</v>
      </c>
      <c r="L10" s="583" t="s">
        <v>671</v>
      </c>
      <c r="M10" s="583" t="s">
        <v>673</v>
      </c>
      <c r="N10" s="381" t="s">
        <v>669</v>
      </c>
      <c r="O10" s="583" t="s">
        <v>673</v>
      </c>
      <c r="P10" s="582"/>
      <c r="Q10" s="582"/>
      <c r="R10" s="582"/>
      <c r="S10" s="582"/>
      <c r="T10" s="582"/>
    </row>
    <row r="11" spans="2:20" ht="40.5" customHeight="1" thickBot="1" x14ac:dyDescent="0.5">
      <c r="B11" s="382" t="s">
        <v>511</v>
      </c>
      <c r="C11" s="383" t="s">
        <v>512</v>
      </c>
      <c r="D11" s="393" t="s">
        <v>546</v>
      </c>
      <c r="E11" s="383" t="s">
        <v>545</v>
      </c>
      <c r="F11" s="384" t="s">
        <v>665</v>
      </c>
      <c r="G11" s="384" t="s">
        <v>704</v>
      </c>
      <c r="H11" s="384" t="s">
        <v>667</v>
      </c>
      <c r="I11" s="384" t="s">
        <v>668</v>
      </c>
      <c r="J11" s="384" t="s">
        <v>513</v>
      </c>
      <c r="K11" s="384" t="s">
        <v>670</v>
      </c>
      <c r="L11" s="384" t="s">
        <v>672</v>
      </c>
      <c r="M11" s="384" t="s">
        <v>674</v>
      </c>
      <c r="N11" s="384" t="s">
        <v>675</v>
      </c>
      <c r="O11" s="384" t="s">
        <v>674</v>
      </c>
      <c r="P11" s="582"/>
      <c r="Q11" s="582"/>
      <c r="R11" s="582"/>
      <c r="S11" s="582"/>
      <c r="T11" s="582"/>
    </row>
    <row r="12" spans="2:20" ht="40.5" customHeight="1" thickBot="1" x14ac:dyDescent="0.5">
      <c r="B12" s="543"/>
      <c r="C12" s="545" t="s">
        <v>579</v>
      </c>
      <c r="D12" s="546"/>
      <c r="E12" s="547"/>
      <c r="F12" s="581" t="str">
        <f>'Feuille saisie'!C8</f>
        <v>H1</v>
      </c>
      <c r="G12" s="581" t="str">
        <f>Horaire!H9</f>
        <v>H5</v>
      </c>
      <c r="H12" s="581" t="str">
        <f>'Feuille saisie'!C10</f>
        <v>H3</v>
      </c>
      <c r="I12" s="581" t="str">
        <f>'Feuille saisie'!C11</f>
        <v>H1</v>
      </c>
      <c r="J12" s="581" t="str">
        <f>'Feuille saisie'!C12&amp;"ET"&amp;'Feuille saisie'!C13</f>
        <v>H3ETH5</v>
      </c>
      <c r="K12" s="581" t="str">
        <f>'Feuille saisie'!C14&amp;"ET"&amp;'Feuille saisie'!C15</f>
        <v>H1ETH5</v>
      </c>
      <c r="L12" s="581" t="str">
        <f>'Feuille saisie'!C16</f>
        <v>H3</v>
      </c>
      <c r="M12" s="581" t="str">
        <f>'Feuille saisie'!C17</f>
        <v>H5</v>
      </c>
      <c r="N12" s="581" t="str">
        <f>'Feuille saisie'!C18&amp;" "</f>
        <v xml:space="preserve">H5 </v>
      </c>
      <c r="O12" s="581" t="str">
        <f>'Feuille saisie'!C19</f>
        <v>H1</v>
      </c>
      <c r="P12" s="582"/>
      <c r="Q12" s="582"/>
      <c r="R12" s="582"/>
      <c r="S12" s="582"/>
      <c r="T12" s="582"/>
    </row>
    <row r="13" spans="2:20" ht="40.5" customHeight="1" thickBot="1" x14ac:dyDescent="0.5">
      <c r="B13" s="385" t="s">
        <v>514</v>
      </c>
      <c r="C13" s="387" t="s">
        <v>676</v>
      </c>
      <c r="D13" s="586">
        <v>1.3888888888888889E-3</v>
      </c>
      <c r="E13" s="388">
        <v>1.3888888888888889E-3</v>
      </c>
      <c r="F13" s="544"/>
      <c r="G13" s="544"/>
      <c r="H13" s="544"/>
      <c r="I13" s="544"/>
      <c r="J13" s="590">
        <f>J14+D13</f>
        <v>0.28125</v>
      </c>
      <c r="K13" s="389"/>
      <c r="L13" s="590">
        <f>L14+D13</f>
        <v>0.30555555555555558</v>
      </c>
      <c r="M13" s="389"/>
      <c r="N13" s="389"/>
      <c r="O13" s="389"/>
      <c r="P13" s="582"/>
      <c r="Q13" s="582"/>
      <c r="R13" s="582"/>
      <c r="S13" s="582"/>
      <c r="T13" s="582"/>
    </row>
    <row r="14" spans="2:20" ht="21" customHeight="1" thickBot="1" x14ac:dyDescent="0.5">
      <c r="B14" s="385" t="s">
        <v>514</v>
      </c>
      <c r="C14" s="387" t="s">
        <v>687</v>
      </c>
      <c r="D14" s="387"/>
      <c r="E14" s="388"/>
      <c r="F14" s="587">
        <f>'Feuille saisie'!B8</f>
        <v>0.2326388888888889</v>
      </c>
      <c r="G14" s="604">
        <v>0.25694444444444442</v>
      </c>
      <c r="H14" s="587">
        <f>'Feuille saisie'!B10</f>
        <v>0.25</v>
      </c>
      <c r="I14" s="587">
        <f>'Feuille saisie'!B11</f>
        <v>0.27083333333333331</v>
      </c>
      <c r="J14" s="590">
        <f>J28+$E$29</f>
        <v>0.27986111111111112</v>
      </c>
      <c r="K14" s="588">
        <f>'Feuille saisie'!B14</f>
        <v>0.28819444444444442</v>
      </c>
      <c r="L14" s="590">
        <f>L28+$E$29</f>
        <v>0.3041666666666667</v>
      </c>
      <c r="M14" s="590">
        <f>M28+$E$29</f>
        <v>0.3215277777777778</v>
      </c>
      <c r="N14" s="588">
        <f>'Feuille saisie'!B18</f>
        <v>0.3263888888888889</v>
      </c>
      <c r="O14" s="590">
        <f>O28+$E$29</f>
        <v>0.3354166666666667</v>
      </c>
      <c r="P14" s="582"/>
      <c r="Q14" s="582"/>
      <c r="R14" s="582"/>
      <c r="S14" s="582"/>
      <c r="T14" s="582"/>
    </row>
    <row r="15" spans="2:20" ht="19.5" customHeight="1" thickBot="1" x14ac:dyDescent="0.5">
      <c r="B15" s="385" t="s">
        <v>514</v>
      </c>
      <c r="C15" s="387" t="str">
        <f>UPPER("la poste agence communale")</f>
        <v>LA POSTE AGENCE COMMUNALE</v>
      </c>
      <c r="D15" s="586">
        <v>6.9444444444444447E-4</v>
      </c>
      <c r="E15" s="388">
        <v>6.9444444444444447E-4</v>
      </c>
      <c r="F15" s="544">
        <f>F14+D15</f>
        <v>0.23333333333333334</v>
      </c>
      <c r="G15" s="389">
        <f t="shared" ref="G15:G26" si="0">G16+D16</f>
        <v>0.25624999999999998</v>
      </c>
      <c r="H15" s="544">
        <f t="shared" ref="H15:H28" si="1">H14+D15</f>
        <v>0.25069444444444444</v>
      </c>
      <c r="I15" s="544">
        <f t="shared" ref="I15:I28" si="2">I14+D15</f>
        <v>0.27152777777777776</v>
      </c>
      <c r="J15" s="389"/>
      <c r="K15" s="389"/>
      <c r="L15" s="389"/>
      <c r="M15" s="389"/>
      <c r="N15" s="389"/>
      <c r="O15" s="389"/>
      <c r="P15" s="582"/>
      <c r="Q15" s="582"/>
      <c r="R15" s="582"/>
      <c r="S15" s="582"/>
      <c r="T15" s="582"/>
    </row>
    <row r="16" spans="2:20" ht="19.5" customHeight="1" thickBot="1" x14ac:dyDescent="0.5">
      <c r="B16" s="385" t="s">
        <v>514</v>
      </c>
      <c r="C16" s="386" t="s">
        <v>515</v>
      </c>
      <c r="D16" s="390">
        <v>6.9444444444444447E-4</v>
      </c>
      <c r="E16" s="388">
        <v>6.9444444444444447E-4</v>
      </c>
      <c r="F16" s="389">
        <f>D16+F15</f>
        <v>0.23402777777777778</v>
      </c>
      <c r="G16" s="389">
        <f t="shared" si="0"/>
        <v>0.25555555555555554</v>
      </c>
      <c r="H16" s="389">
        <f t="shared" si="1"/>
        <v>0.25138888888888888</v>
      </c>
      <c r="I16" s="389">
        <f t="shared" si="2"/>
        <v>0.2722222222222222</v>
      </c>
      <c r="J16" s="389"/>
      <c r="K16" s="389"/>
      <c r="L16" s="389"/>
      <c r="M16" s="389"/>
      <c r="N16" s="389"/>
      <c r="O16" s="389"/>
      <c r="P16" s="582"/>
      <c r="Q16" s="582"/>
      <c r="R16" s="582"/>
      <c r="S16" s="582"/>
      <c r="T16" s="582"/>
    </row>
    <row r="17" spans="2:20" ht="19.5" customHeight="1" thickBot="1" x14ac:dyDescent="0.5">
      <c r="B17" s="385" t="s">
        <v>514</v>
      </c>
      <c r="C17" s="386" t="s">
        <v>516</v>
      </c>
      <c r="D17" s="390">
        <v>1.3888888888888889E-3</v>
      </c>
      <c r="E17" s="388">
        <v>6.9444444444444447E-4</v>
      </c>
      <c r="F17" s="389">
        <f t="shared" ref="F17:F28" si="3">D17+F16</f>
        <v>0.23541666666666666</v>
      </c>
      <c r="G17" s="389">
        <f t="shared" si="0"/>
        <v>0.25416666666666665</v>
      </c>
      <c r="H17" s="389">
        <f t="shared" si="1"/>
        <v>0.25277777777777777</v>
      </c>
      <c r="I17" s="389">
        <f t="shared" si="2"/>
        <v>0.27361111111111108</v>
      </c>
      <c r="J17" s="389"/>
      <c r="K17" s="389"/>
      <c r="L17" s="389"/>
      <c r="M17" s="389"/>
      <c r="N17" s="389"/>
      <c r="O17" s="389"/>
      <c r="P17" s="582"/>
      <c r="Q17" s="582"/>
      <c r="R17" s="582"/>
      <c r="S17" s="582"/>
      <c r="T17" s="582"/>
    </row>
    <row r="18" spans="2:20" ht="19.5" customHeight="1" thickBot="1" x14ac:dyDescent="0.5">
      <c r="B18" s="385" t="s">
        <v>514</v>
      </c>
      <c r="C18" s="386" t="s">
        <v>517</v>
      </c>
      <c r="D18" s="390">
        <v>1.3888888888888889E-3</v>
      </c>
      <c r="E18" s="388">
        <v>6.9444444444444447E-4</v>
      </c>
      <c r="F18" s="389">
        <f t="shared" si="3"/>
        <v>0.23680555555555555</v>
      </c>
      <c r="G18" s="389">
        <f t="shared" si="0"/>
        <v>0.25277777777777777</v>
      </c>
      <c r="H18" s="389">
        <f t="shared" si="1"/>
        <v>0.25416666666666665</v>
      </c>
      <c r="I18" s="389">
        <f t="shared" si="2"/>
        <v>0.27499999999999997</v>
      </c>
      <c r="J18" s="389"/>
      <c r="K18" s="389"/>
      <c r="L18" s="389"/>
      <c r="M18" s="389"/>
      <c r="N18" s="389"/>
      <c r="O18" s="389"/>
      <c r="P18" s="582"/>
      <c r="Q18" s="582"/>
      <c r="R18" s="582"/>
      <c r="S18" s="582"/>
      <c r="T18" s="582"/>
    </row>
    <row r="19" spans="2:20" ht="19.5" customHeight="1" thickBot="1" x14ac:dyDescent="0.5">
      <c r="B19" s="385" t="s">
        <v>514</v>
      </c>
      <c r="C19" s="386" t="s">
        <v>518</v>
      </c>
      <c r="D19" s="390">
        <v>1.3888888888888889E-3</v>
      </c>
      <c r="E19" s="388">
        <v>6.9444444444444447E-4</v>
      </c>
      <c r="F19" s="389">
        <f t="shared" si="3"/>
        <v>0.23819444444444443</v>
      </c>
      <c r="G19" s="389">
        <f t="shared" si="0"/>
        <v>0.25138888888888888</v>
      </c>
      <c r="H19" s="389">
        <f t="shared" si="1"/>
        <v>0.25555555555555554</v>
      </c>
      <c r="I19" s="389">
        <f t="shared" si="2"/>
        <v>0.27638888888888885</v>
      </c>
      <c r="J19" s="389"/>
      <c r="K19" s="389"/>
      <c r="L19" s="389"/>
      <c r="M19" s="389"/>
      <c r="N19" s="389"/>
      <c r="O19" s="389"/>
      <c r="P19" s="582"/>
      <c r="Q19" s="582"/>
      <c r="R19" s="582"/>
      <c r="S19" s="582"/>
      <c r="T19" s="582"/>
    </row>
    <row r="20" spans="2:20" ht="19.5" customHeight="1" thickBot="1" x14ac:dyDescent="0.5">
      <c r="B20" s="385" t="s">
        <v>519</v>
      </c>
      <c r="C20" s="386" t="s">
        <v>520</v>
      </c>
      <c r="D20" s="390">
        <v>1.3888888888888889E-3</v>
      </c>
      <c r="E20" s="388">
        <v>6.9444444444444447E-4</v>
      </c>
      <c r="F20" s="389">
        <f t="shared" si="3"/>
        <v>0.23958333333333331</v>
      </c>
      <c r="G20" s="389">
        <f t="shared" si="0"/>
        <v>0.24999999999999997</v>
      </c>
      <c r="H20" s="389">
        <f t="shared" si="1"/>
        <v>0.25694444444444442</v>
      </c>
      <c r="I20" s="389">
        <f t="shared" si="2"/>
        <v>0.27777777777777773</v>
      </c>
      <c r="J20" s="389"/>
      <c r="K20" s="389"/>
      <c r="L20" s="389"/>
      <c r="M20" s="389"/>
      <c r="N20" s="389"/>
      <c r="O20" s="389"/>
      <c r="P20" s="582"/>
      <c r="Q20" s="582"/>
      <c r="R20" s="582"/>
      <c r="S20" s="582"/>
      <c r="T20" s="582"/>
    </row>
    <row r="21" spans="2:20" ht="19.5" customHeight="1" thickBot="1" x14ac:dyDescent="0.5">
      <c r="B21" s="385" t="s">
        <v>519</v>
      </c>
      <c r="C21" s="386" t="s">
        <v>521</v>
      </c>
      <c r="D21" s="390">
        <v>1.3888888888888889E-3</v>
      </c>
      <c r="E21" s="388">
        <v>6.9444444444444447E-4</v>
      </c>
      <c r="F21" s="389">
        <f t="shared" si="3"/>
        <v>0.2409722222222222</v>
      </c>
      <c r="G21" s="389">
        <f t="shared" si="0"/>
        <v>0.24861111111111109</v>
      </c>
      <c r="H21" s="389">
        <f t="shared" si="1"/>
        <v>0.2583333333333333</v>
      </c>
      <c r="I21" s="389">
        <f t="shared" si="2"/>
        <v>0.27916666666666662</v>
      </c>
      <c r="J21" s="389"/>
      <c r="K21" s="389"/>
      <c r="L21" s="389"/>
      <c r="M21" s="389"/>
      <c r="N21" s="389"/>
      <c r="O21" s="389"/>
      <c r="P21" s="582"/>
      <c r="Q21" s="582"/>
      <c r="R21" s="582"/>
      <c r="S21" s="582"/>
      <c r="T21" s="582"/>
    </row>
    <row r="22" spans="2:20" ht="19.5" customHeight="1" thickBot="1" x14ac:dyDescent="0.5">
      <c r="B22" s="385" t="s">
        <v>519</v>
      </c>
      <c r="C22" s="386" t="s">
        <v>522</v>
      </c>
      <c r="D22" s="390">
        <v>1.3888888888888889E-3</v>
      </c>
      <c r="E22" s="388">
        <v>6.9444444444444447E-4</v>
      </c>
      <c r="F22" s="389">
        <f t="shared" si="3"/>
        <v>0.24236111111111108</v>
      </c>
      <c r="G22" s="389">
        <f t="shared" si="0"/>
        <v>0.2472222222222222</v>
      </c>
      <c r="H22" s="389">
        <f t="shared" si="1"/>
        <v>0.25972222222222219</v>
      </c>
      <c r="I22" s="389">
        <f t="shared" si="2"/>
        <v>0.2805555555555555</v>
      </c>
      <c r="J22" s="389"/>
      <c r="K22" s="389"/>
      <c r="L22" s="389"/>
      <c r="M22" s="389"/>
      <c r="N22" s="389"/>
      <c r="O22" s="389"/>
      <c r="P22" s="582"/>
      <c r="Q22" s="582"/>
      <c r="R22" s="582"/>
      <c r="S22" s="582"/>
      <c r="T22" s="582"/>
    </row>
    <row r="23" spans="2:20" ht="19.5" customHeight="1" thickBot="1" x14ac:dyDescent="0.5">
      <c r="B23" s="385" t="s">
        <v>519</v>
      </c>
      <c r="C23" s="386" t="s">
        <v>523</v>
      </c>
      <c r="D23" s="390">
        <v>6.9444444444444447E-4</v>
      </c>
      <c r="E23" s="388">
        <v>6.9444444444444447E-4</v>
      </c>
      <c r="F23" s="389">
        <f t="shared" si="3"/>
        <v>0.24305555555555552</v>
      </c>
      <c r="G23" s="389">
        <f t="shared" si="0"/>
        <v>0.24652777777777776</v>
      </c>
      <c r="H23" s="389">
        <f t="shared" si="1"/>
        <v>0.26041666666666663</v>
      </c>
      <c r="I23" s="389">
        <f t="shared" si="2"/>
        <v>0.28124999999999994</v>
      </c>
      <c r="J23" s="389"/>
      <c r="K23" s="389"/>
      <c r="L23" s="389"/>
      <c r="M23" s="389"/>
      <c r="N23" s="389"/>
      <c r="O23" s="389"/>
      <c r="P23" s="582"/>
      <c r="Q23" s="582"/>
      <c r="R23" s="582"/>
      <c r="S23" s="582"/>
      <c r="T23" s="582"/>
    </row>
    <row r="24" spans="2:20" ht="19.5" customHeight="1" thickBot="1" x14ac:dyDescent="0.5">
      <c r="B24" s="385" t="s">
        <v>519</v>
      </c>
      <c r="C24" s="386" t="s">
        <v>524</v>
      </c>
      <c r="D24" s="390">
        <v>1.3888888888888889E-3</v>
      </c>
      <c r="E24" s="388">
        <v>6.9444444444444447E-4</v>
      </c>
      <c r="F24" s="389">
        <f t="shared" si="3"/>
        <v>0.24444444444444441</v>
      </c>
      <c r="G24" s="389">
        <f t="shared" si="0"/>
        <v>0.24513888888888888</v>
      </c>
      <c r="H24" s="389">
        <f t="shared" si="1"/>
        <v>0.26180555555555551</v>
      </c>
      <c r="I24" s="389">
        <f t="shared" si="2"/>
        <v>0.28263888888888883</v>
      </c>
      <c r="J24" s="389"/>
      <c r="K24" s="389"/>
      <c r="L24" s="389"/>
      <c r="M24" s="389"/>
      <c r="N24" s="389"/>
      <c r="O24" s="389"/>
      <c r="P24" s="582"/>
      <c r="Q24" s="582"/>
      <c r="R24" s="582"/>
      <c r="S24" s="582"/>
      <c r="T24" s="582"/>
    </row>
    <row r="25" spans="2:20" ht="19.5" customHeight="1" thickBot="1" x14ac:dyDescent="0.5">
      <c r="B25" s="385" t="s">
        <v>519</v>
      </c>
      <c r="C25" s="386" t="s">
        <v>525</v>
      </c>
      <c r="D25" s="390">
        <v>1.3888888888888889E-3</v>
      </c>
      <c r="E25" s="388">
        <v>6.9444444444444447E-4</v>
      </c>
      <c r="F25" s="389">
        <f t="shared" si="3"/>
        <v>0.24583333333333329</v>
      </c>
      <c r="G25" s="389">
        <f t="shared" si="0"/>
        <v>0.24374999999999999</v>
      </c>
      <c r="H25" s="389">
        <f t="shared" si="1"/>
        <v>0.2631944444444444</v>
      </c>
      <c r="I25" s="389">
        <f t="shared" si="2"/>
        <v>0.28402777777777771</v>
      </c>
      <c r="J25" s="389"/>
      <c r="K25" s="389"/>
      <c r="L25" s="389"/>
      <c r="M25" s="389"/>
      <c r="N25" s="389"/>
      <c r="O25" s="389"/>
      <c r="P25" s="582"/>
      <c r="Q25" s="582"/>
      <c r="R25" s="582"/>
      <c r="S25" s="582"/>
      <c r="T25" s="582"/>
    </row>
    <row r="26" spans="2:20" ht="19.5" customHeight="1" thickBot="1" x14ac:dyDescent="0.5">
      <c r="B26" s="385" t="s">
        <v>519</v>
      </c>
      <c r="C26" s="386" t="str">
        <f>UPPER("acrinternation allineart tattoo")</f>
        <v>ACRINTERNATION ALLINEART TATTOO</v>
      </c>
      <c r="D26" s="390">
        <v>1.3888888888888889E-3</v>
      </c>
      <c r="E26" s="388">
        <v>0</v>
      </c>
      <c r="F26" s="389">
        <f t="shared" si="3"/>
        <v>0.24722222222222218</v>
      </c>
      <c r="G26" s="389">
        <f t="shared" si="0"/>
        <v>0.24236111111111111</v>
      </c>
      <c r="H26" s="389">
        <f t="shared" si="1"/>
        <v>0.26458333333333328</v>
      </c>
      <c r="I26" s="389">
        <f t="shared" si="2"/>
        <v>0.2854166666666666</v>
      </c>
      <c r="J26" s="389"/>
      <c r="K26" s="389"/>
      <c r="L26" s="389"/>
      <c r="M26" s="389"/>
      <c r="N26" s="389"/>
      <c r="O26" s="389"/>
      <c r="P26" s="582"/>
      <c r="Q26" s="582"/>
      <c r="R26" s="582"/>
      <c r="S26" s="582"/>
      <c r="T26" s="582"/>
    </row>
    <row r="27" spans="2:20" ht="19.5" customHeight="1" thickBot="1" x14ac:dyDescent="0.5">
      <c r="B27" s="391" t="s">
        <v>519</v>
      </c>
      <c r="C27" s="392" t="s">
        <v>526</v>
      </c>
      <c r="D27" s="390">
        <v>1.3888888888888889E-3</v>
      </c>
      <c r="E27" s="388">
        <v>6.9444444444444447E-4</v>
      </c>
      <c r="F27" s="389">
        <f t="shared" si="3"/>
        <v>0.24861111111111106</v>
      </c>
      <c r="G27" s="389">
        <f>G28+D28</f>
        <v>0.24097222222222223</v>
      </c>
      <c r="H27" s="389">
        <f t="shared" si="1"/>
        <v>0.26597222222222217</v>
      </c>
      <c r="I27" s="389">
        <f t="shared" si="2"/>
        <v>0.28680555555555548</v>
      </c>
      <c r="J27" s="389"/>
      <c r="K27" s="389"/>
      <c r="L27" s="389"/>
      <c r="M27" s="389"/>
      <c r="N27" s="389"/>
      <c r="O27" s="389"/>
      <c r="P27" s="582"/>
      <c r="Q27" s="582"/>
      <c r="R27" s="582"/>
      <c r="S27" s="582"/>
      <c r="T27" s="582"/>
    </row>
    <row r="28" spans="2:20" ht="19.5" customHeight="1" x14ac:dyDescent="0.45">
      <c r="B28" s="391" t="s">
        <v>527</v>
      </c>
      <c r="C28" s="392" t="s">
        <v>528</v>
      </c>
      <c r="D28" s="390">
        <v>1.3888888888888889E-3</v>
      </c>
      <c r="E28" s="388">
        <v>6.9444444444444447E-4</v>
      </c>
      <c r="F28" s="590">
        <f t="shared" si="3"/>
        <v>0.24999999999999994</v>
      </c>
      <c r="G28" s="603">
        <v>0.23958333333333334</v>
      </c>
      <c r="H28" s="590">
        <f t="shared" si="1"/>
        <v>0.26736111111111105</v>
      </c>
      <c r="I28" s="590">
        <f t="shared" si="2"/>
        <v>0.28819444444444436</v>
      </c>
      <c r="J28" s="588">
        <f>'Feuille saisie'!B12</f>
        <v>0.27083333333333331</v>
      </c>
      <c r="K28" s="589">
        <f>K14+$E$29</f>
        <v>0.29722222222222222</v>
      </c>
      <c r="L28" s="588">
        <f>'Feuille saisie'!B16</f>
        <v>0.2951388888888889</v>
      </c>
      <c r="M28" s="588">
        <f>'Feuille saisie'!B17</f>
        <v>0.3125</v>
      </c>
      <c r="N28" s="590">
        <f>N14+E29</f>
        <v>0.3354166666666667</v>
      </c>
      <c r="O28" s="588">
        <f>'Feuille saisie'!B19</f>
        <v>0.3263888888888889</v>
      </c>
      <c r="P28" s="582"/>
      <c r="Q28" s="582"/>
      <c r="R28" s="582"/>
      <c r="S28" s="582"/>
      <c r="T28" s="582"/>
    </row>
    <row r="29" spans="2:20" x14ac:dyDescent="0.45">
      <c r="D29" s="35">
        <f>SUM(D15:D28)</f>
        <v>1.7361111111111108E-2</v>
      </c>
      <c r="E29" s="35">
        <f>SUM(E15:E28)</f>
        <v>9.0277777777777769E-3</v>
      </c>
      <c r="G29" s="606" t="s">
        <v>706</v>
      </c>
    </row>
    <row r="33" spans="2:27" ht="14.65" thickBot="1" x14ac:dyDescent="0.5"/>
    <row r="34" spans="2:27" ht="19.899999999999999" x14ac:dyDescent="0.45">
      <c r="B34" s="631" t="s">
        <v>506</v>
      </c>
      <c r="C34" s="632"/>
      <c r="D34" s="378"/>
      <c r="E34" s="378"/>
    </row>
    <row r="35" spans="2:27" ht="20.25" thickBot="1" x14ac:dyDescent="0.5">
      <c r="B35" s="633"/>
      <c r="C35" s="634"/>
      <c r="D35" s="378"/>
      <c r="E35" s="378"/>
    </row>
    <row r="36" spans="2:27" ht="14.25" customHeight="1" x14ac:dyDescent="0.45">
      <c r="B36" s="620" t="s">
        <v>507</v>
      </c>
      <c r="C36" s="621"/>
      <c r="D36" s="379"/>
      <c r="E36" s="379"/>
      <c r="F36" s="624" t="s">
        <v>529</v>
      </c>
      <c r="G36" s="624"/>
      <c r="H36" s="624"/>
      <c r="I36" s="624"/>
      <c r="J36" s="624"/>
      <c r="K36" s="624"/>
      <c r="L36" s="556"/>
      <c r="M36" s="556"/>
      <c r="N36" s="556"/>
      <c r="O36" s="556"/>
      <c r="P36" s="556"/>
    </row>
    <row r="37" spans="2:27" ht="15" customHeight="1" thickBot="1" x14ac:dyDescent="0.5">
      <c r="B37" s="622"/>
      <c r="C37" s="623"/>
      <c r="D37" s="379"/>
      <c r="E37" s="379"/>
      <c r="F37" s="624"/>
      <c r="G37" s="624"/>
      <c r="H37" s="624"/>
      <c r="I37" s="624"/>
      <c r="J37" s="624"/>
      <c r="K37" s="624"/>
      <c r="L37" s="556"/>
      <c r="M37" s="556"/>
      <c r="N37" s="556"/>
      <c r="O37" s="556"/>
      <c r="P37" s="556"/>
    </row>
    <row r="38" spans="2:27" ht="30.85" customHeight="1" thickBot="1" x14ac:dyDescent="0.5">
      <c r="B38" s="380"/>
      <c r="C38" s="381" t="s">
        <v>509</v>
      </c>
      <c r="D38" s="381"/>
      <c r="E38" s="381"/>
      <c r="F38" s="381" t="s">
        <v>530</v>
      </c>
      <c r="G38" s="381" t="s">
        <v>677</v>
      </c>
      <c r="H38" s="381" t="s">
        <v>677</v>
      </c>
      <c r="I38" s="381" t="s">
        <v>530</v>
      </c>
      <c r="J38" s="381" t="s">
        <v>677</v>
      </c>
      <c r="K38" s="381" t="s">
        <v>677</v>
      </c>
      <c r="L38" s="381" t="s">
        <v>677</v>
      </c>
      <c r="M38" s="381" t="s">
        <v>677</v>
      </c>
      <c r="N38" s="381" t="s">
        <v>690</v>
      </c>
      <c r="O38" s="381" t="s">
        <v>530</v>
      </c>
      <c r="P38" s="381" t="s">
        <v>690</v>
      </c>
      <c r="Q38" s="381" t="s">
        <v>530</v>
      </c>
      <c r="R38" s="381" t="s">
        <v>690</v>
      </c>
      <c r="S38" s="583" t="s">
        <v>686</v>
      </c>
      <c r="T38" s="583" t="s">
        <v>690</v>
      </c>
    </row>
    <row r="39" spans="2:27" ht="57.6" customHeight="1" thickBot="1" x14ac:dyDescent="0.5">
      <c r="B39" s="382" t="s">
        <v>511</v>
      </c>
      <c r="C39" s="382" t="s">
        <v>512</v>
      </c>
      <c r="D39" s="393" t="s">
        <v>546</v>
      </c>
      <c r="E39" s="383" t="s">
        <v>545</v>
      </c>
      <c r="F39" s="383" t="s">
        <v>678</v>
      </c>
      <c r="G39" s="393" t="s">
        <v>679</v>
      </c>
      <c r="H39" s="393" t="s">
        <v>680</v>
      </c>
      <c r="I39" s="394" t="s">
        <v>531</v>
      </c>
      <c r="J39" s="394" t="s">
        <v>681</v>
      </c>
      <c r="K39" s="394" t="s">
        <v>682</v>
      </c>
      <c r="L39" s="394" t="s">
        <v>683</v>
      </c>
      <c r="M39" s="394" t="s">
        <v>684</v>
      </c>
      <c r="N39" s="394" t="s">
        <v>689</v>
      </c>
      <c r="O39" s="394" t="s">
        <v>532</v>
      </c>
      <c r="P39" s="394" t="s">
        <v>689</v>
      </c>
      <c r="Q39" s="394" t="s">
        <v>707</v>
      </c>
      <c r="R39" s="394" t="s">
        <v>689</v>
      </c>
      <c r="S39" s="394" t="s">
        <v>685</v>
      </c>
      <c r="T39" s="394" t="s">
        <v>705</v>
      </c>
    </row>
    <row r="40" spans="2:27" ht="57.6" customHeight="1" thickBot="1" x14ac:dyDescent="0.5">
      <c r="B40" s="383"/>
      <c r="C40" s="548" t="s">
        <v>579</v>
      </c>
      <c r="D40" s="549"/>
      <c r="E40" s="550"/>
      <c r="F40" s="551" t="str">
        <f>'Feuille saisie'!C25</f>
        <v>H3</v>
      </c>
      <c r="G40" s="551" t="str">
        <f>'Feuille saisie'!C24</f>
        <v>H1</v>
      </c>
      <c r="H40" s="581" t="str">
        <f>'Feuille saisie'!C26&amp;"ET"&amp;'Feuille saisie'!C27</f>
        <v>H1ETH3</v>
      </c>
      <c r="I40" s="551" t="str">
        <f>'Feuille saisie'!C28</f>
        <v>H5</v>
      </c>
      <c r="J40" s="581" t="str">
        <f>'Feuille saisie'!C29</f>
        <v>H1</v>
      </c>
      <c r="K40" s="581" t="str">
        <f>'Feuille saisie'!C30</f>
        <v>H5</v>
      </c>
      <c r="L40" s="581" t="str">
        <f>'Feuille saisie'!C31</f>
        <v>H5</v>
      </c>
      <c r="M40" s="581" t="str">
        <f>'Feuille saisie'!C32</f>
        <v>H5</v>
      </c>
      <c r="N40" s="581" t="str">
        <f>'Feuille saisie'!C33</f>
        <v>H3</v>
      </c>
      <c r="O40" s="581" t="str">
        <f>'Feuille saisie'!C34</f>
        <v>H1</v>
      </c>
      <c r="P40" s="581" t="str">
        <f>Horaire!H31</f>
        <v>H1</v>
      </c>
      <c r="Q40" s="551" t="str">
        <f>Horaire!H32</f>
        <v>H3</v>
      </c>
      <c r="R40" s="581" t="str">
        <f>Horaire!H33</f>
        <v>H3</v>
      </c>
      <c r="S40" s="551" t="str">
        <f>'Feuille saisie'!C29</f>
        <v>H1</v>
      </c>
      <c r="T40" s="551" t="str">
        <f>Horaire!H35</f>
        <v>H3</v>
      </c>
    </row>
    <row r="41" spans="2:27" ht="57.6" customHeight="1" thickBot="1" x14ac:dyDescent="0.5">
      <c r="B41" s="385" t="s">
        <v>514</v>
      </c>
      <c r="C41" s="386" t="s">
        <v>676</v>
      </c>
      <c r="D41" s="584"/>
      <c r="E41" s="388">
        <v>1.3888888888888889E-3</v>
      </c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588">
        <v>0.80902777777777779</v>
      </c>
      <c r="T41" s="588" t="str">
        <f>'Feuille saisie'!C36</f>
        <v>H3</v>
      </c>
    </row>
    <row r="42" spans="2:27" ht="23.35" customHeight="1" thickBot="1" x14ac:dyDescent="0.5">
      <c r="B42" s="385" t="s">
        <v>514</v>
      </c>
      <c r="C42" s="387" t="s">
        <v>687</v>
      </c>
      <c r="D42" s="584">
        <v>1.3888888888888889E-3</v>
      </c>
      <c r="E42" s="388"/>
      <c r="F42" s="588">
        <f>'Feuille saisie'!B24</f>
        <v>0.58333333333333337</v>
      </c>
      <c r="G42" s="590">
        <f t="shared" ref="G42:G55" si="4">G43+D43</f>
        <v>0.60069444444444442</v>
      </c>
      <c r="H42" s="590">
        <f t="shared" ref="H42:H55" si="5">H43+D43</f>
        <v>0.63194444444444442</v>
      </c>
      <c r="I42" s="588">
        <f>'Feuille saisie'!B28</f>
        <v>0.625</v>
      </c>
      <c r="J42" s="590">
        <f t="shared" ref="J42:J55" si="6">J43+D43</f>
        <v>0.65624999999999989</v>
      </c>
      <c r="K42" s="590">
        <f t="shared" ref="K42:K55" si="7">K43+D43</f>
        <v>0.67708333333333326</v>
      </c>
      <c r="L42" s="590">
        <f t="shared" ref="L42:L55" si="8">L43+D43</f>
        <v>0.70486111111111105</v>
      </c>
      <c r="M42" s="590">
        <f t="shared" ref="M42:M55" si="9">M43+D43</f>
        <v>0.72916666666666663</v>
      </c>
      <c r="N42" s="590">
        <f>N56+$E$57</f>
        <v>0.76944444444444438</v>
      </c>
      <c r="O42" s="588">
        <f>'Feuille saisie'!B33</f>
        <v>0.76041666666666663</v>
      </c>
      <c r="P42" s="590">
        <f t="shared" ref="P42:P55" si="10">P43+D43</f>
        <v>0.79861111111111105</v>
      </c>
      <c r="Q42" s="588">
        <f>'Feuille saisie'!B35</f>
        <v>0.78125</v>
      </c>
      <c r="R42" s="589">
        <f t="shared" ref="R42:R54" si="11">R43+D43</f>
        <v>0.81944444444444442</v>
      </c>
      <c r="S42" s="588">
        <f>S41+D42</f>
        <v>0.81041666666666667</v>
      </c>
      <c r="T42" s="590">
        <f t="shared" ref="T42:T54" si="12">T43+D43</f>
        <v>0.84027777777777768</v>
      </c>
    </row>
    <row r="43" spans="2:27" ht="20.25" customHeight="1" thickBot="1" x14ac:dyDescent="0.5">
      <c r="B43" s="385" t="s">
        <v>514</v>
      </c>
      <c r="C43" s="386" t="str">
        <f>UPPER("la poste agence communale")</f>
        <v>LA POSTE AGENCE COMMUNALE</v>
      </c>
      <c r="D43" s="584">
        <f>D15</f>
        <v>6.9444444444444447E-4</v>
      </c>
      <c r="E43" s="388">
        <f>E15</f>
        <v>6.9444444444444447E-4</v>
      </c>
      <c r="F43" s="389"/>
      <c r="G43" s="389">
        <f t="shared" si="4"/>
        <v>0.6</v>
      </c>
      <c r="H43" s="389">
        <f t="shared" si="5"/>
        <v>0.63124999999999998</v>
      </c>
      <c r="I43" s="389"/>
      <c r="J43" s="389">
        <f t="shared" si="6"/>
        <v>0.65555555555555545</v>
      </c>
      <c r="K43" s="389">
        <f t="shared" si="7"/>
        <v>0.67638888888888882</v>
      </c>
      <c r="L43" s="389">
        <f t="shared" si="8"/>
        <v>0.70416666666666661</v>
      </c>
      <c r="M43" s="389">
        <f t="shared" si="9"/>
        <v>0.72847222222222219</v>
      </c>
      <c r="N43" s="389"/>
      <c r="O43" s="389"/>
      <c r="P43" s="389">
        <f t="shared" si="10"/>
        <v>0.79791666666666661</v>
      </c>
      <c r="Q43" s="389"/>
      <c r="R43" s="389">
        <f t="shared" si="11"/>
        <v>0.81874999999999998</v>
      </c>
      <c r="S43" s="389"/>
      <c r="T43" s="389">
        <f t="shared" si="12"/>
        <v>0.83958333333333324</v>
      </c>
      <c r="U43" s="582"/>
      <c r="V43" s="582"/>
      <c r="W43" s="582"/>
      <c r="X43" s="582"/>
      <c r="Y43" s="582"/>
      <c r="Z43" s="582"/>
      <c r="AA43" s="582"/>
    </row>
    <row r="44" spans="2:27" ht="20.25" customHeight="1" thickBot="1" x14ac:dyDescent="0.5">
      <c r="B44" s="385" t="s">
        <v>514</v>
      </c>
      <c r="C44" s="386" t="s">
        <v>515</v>
      </c>
      <c r="D44" s="584">
        <f t="shared" ref="D44:E56" si="13">D16</f>
        <v>6.9444444444444447E-4</v>
      </c>
      <c r="E44" s="388">
        <f t="shared" si="13"/>
        <v>6.9444444444444447E-4</v>
      </c>
      <c r="F44" s="389"/>
      <c r="G44" s="389">
        <f t="shared" si="4"/>
        <v>0.59930555555555554</v>
      </c>
      <c r="H44" s="389">
        <f t="shared" si="5"/>
        <v>0.63055555555555554</v>
      </c>
      <c r="I44" s="389"/>
      <c r="J44" s="389">
        <f t="shared" si="6"/>
        <v>0.65486111111111101</v>
      </c>
      <c r="K44" s="389">
        <f t="shared" si="7"/>
        <v>0.67569444444444438</v>
      </c>
      <c r="L44" s="389">
        <f t="shared" si="8"/>
        <v>0.70347222222222217</v>
      </c>
      <c r="M44" s="389">
        <f t="shared" si="9"/>
        <v>0.72777777777777775</v>
      </c>
      <c r="N44" s="389"/>
      <c r="O44" s="389"/>
      <c r="P44" s="389">
        <f t="shared" si="10"/>
        <v>0.79722222222222217</v>
      </c>
      <c r="Q44" s="389"/>
      <c r="R44" s="389">
        <f t="shared" si="11"/>
        <v>0.81805555555555554</v>
      </c>
      <c r="S44" s="389"/>
      <c r="T44" s="389">
        <f t="shared" si="12"/>
        <v>0.8388888888888888</v>
      </c>
      <c r="U44" s="582"/>
      <c r="V44" s="582"/>
      <c r="W44" s="582"/>
      <c r="X44" s="582"/>
      <c r="Y44" s="582"/>
      <c r="Z44" s="582"/>
      <c r="AA44" s="582"/>
    </row>
    <row r="45" spans="2:27" ht="20.25" customHeight="1" thickBot="1" x14ac:dyDescent="0.5">
      <c r="B45" s="385" t="s">
        <v>514</v>
      </c>
      <c r="C45" s="386" t="s">
        <v>516</v>
      </c>
      <c r="D45" s="584">
        <f t="shared" si="13"/>
        <v>1.3888888888888889E-3</v>
      </c>
      <c r="E45" s="388">
        <f t="shared" si="13"/>
        <v>6.9444444444444447E-4</v>
      </c>
      <c r="F45" s="389"/>
      <c r="G45" s="389">
        <f t="shared" si="4"/>
        <v>0.59791666666666665</v>
      </c>
      <c r="H45" s="389">
        <f t="shared" si="5"/>
        <v>0.62916666666666665</v>
      </c>
      <c r="I45" s="389"/>
      <c r="J45" s="389">
        <f t="shared" si="6"/>
        <v>0.65347222222222212</v>
      </c>
      <c r="K45" s="389">
        <f t="shared" si="7"/>
        <v>0.67430555555555549</v>
      </c>
      <c r="L45" s="389">
        <f t="shared" si="8"/>
        <v>0.70208333333333328</v>
      </c>
      <c r="M45" s="389">
        <f t="shared" si="9"/>
        <v>0.72638888888888886</v>
      </c>
      <c r="N45" s="389"/>
      <c r="O45" s="389"/>
      <c r="P45" s="389">
        <f t="shared" si="10"/>
        <v>0.79583333333333328</v>
      </c>
      <c r="Q45" s="389"/>
      <c r="R45" s="389">
        <f t="shared" si="11"/>
        <v>0.81666666666666665</v>
      </c>
      <c r="S45" s="389"/>
      <c r="T45" s="389">
        <f t="shared" si="12"/>
        <v>0.83749999999999991</v>
      </c>
      <c r="U45" s="582"/>
      <c r="V45" s="582"/>
      <c r="W45" s="582"/>
      <c r="X45" s="582"/>
      <c r="Y45" s="582"/>
      <c r="Z45" s="582"/>
      <c r="AA45" s="582"/>
    </row>
    <row r="46" spans="2:27" ht="20.25" customHeight="1" thickBot="1" x14ac:dyDescent="0.5">
      <c r="B46" s="385" t="s">
        <v>514</v>
      </c>
      <c r="C46" s="386" t="s">
        <v>517</v>
      </c>
      <c r="D46" s="584">
        <f t="shared" si="13"/>
        <v>1.3888888888888889E-3</v>
      </c>
      <c r="E46" s="388">
        <f t="shared" si="13"/>
        <v>6.9444444444444447E-4</v>
      </c>
      <c r="F46" s="389"/>
      <c r="G46" s="389">
        <f t="shared" si="4"/>
        <v>0.59652777777777777</v>
      </c>
      <c r="H46" s="389">
        <f t="shared" si="5"/>
        <v>0.62777777777777777</v>
      </c>
      <c r="I46" s="389"/>
      <c r="J46" s="389">
        <f t="shared" si="6"/>
        <v>0.65208333333333324</v>
      </c>
      <c r="K46" s="389">
        <f t="shared" si="7"/>
        <v>0.67291666666666661</v>
      </c>
      <c r="L46" s="389">
        <f t="shared" si="8"/>
        <v>0.7006944444444444</v>
      </c>
      <c r="M46" s="389">
        <f t="shared" si="9"/>
        <v>0.72499999999999998</v>
      </c>
      <c r="N46" s="389"/>
      <c r="O46" s="389"/>
      <c r="P46" s="389">
        <f t="shared" si="10"/>
        <v>0.7944444444444444</v>
      </c>
      <c r="Q46" s="389"/>
      <c r="R46" s="389">
        <f t="shared" si="11"/>
        <v>0.81527777777777777</v>
      </c>
      <c r="S46" s="389"/>
      <c r="T46" s="389">
        <f t="shared" si="12"/>
        <v>0.83611111111111103</v>
      </c>
      <c r="U46" s="582"/>
      <c r="V46" s="582"/>
      <c r="W46" s="582"/>
      <c r="X46" s="582"/>
      <c r="Y46" s="582"/>
      <c r="Z46" s="582"/>
      <c r="AA46" s="582"/>
    </row>
    <row r="47" spans="2:27" ht="20.25" customHeight="1" thickBot="1" x14ac:dyDescent="0.5">
      <c r="B47" s="385" t="s">
        <v>514</v>
      </c>
      <c r="C47" s="386" t="s">
        <v>518</v>
      </c>
      <c r="D47" s="584">
        <f t="shared" si="13"/>
        <v>1.3888888888888889E-3</v>
      </c>
      <c r="E47" s="388">
        <f t="shared" si="13"/>
        <v>6.9444444444444447E-4</v>
      </c>
      <c r="F47" s="389"/>
      <c r="G47" s="389">
        <f t="shared" si="4"/>
        <v>0.59513888888888888</v>
      </c>
      <c r="H47" s="389">
        <f t="shared" si="5"/>
        <v>0.62638888888888888</v>
      </c>
      <c r="I47" s="389"/>
      <c r="J47" s="389">
        <f t="shared" si="6"/>
        <v>0.65069444444444435</v>
      </c>
      <c r="K47" s="389">
        <f t="shared" si="7"/>
        <v>0.67152777777777772</v>
      </c>
      <c r="L47" s="389">
        <f t="shared" si="8"/>
        <v>0.69930555555555551</v>
      </c>
      <c r="M47" s="389">
        <f t="shared" si="9"/>
        <v>0.72361111111111109</v>
      </c>
      <c r="N47" s="389"/>
      <c r="O47" s="389"/>
      <c r="P47" s="389">
        <f t="shared" si="10"/>
        <v>0.79305555555555551</v>
      </c>
      <c r="Q47" s="389"/>
      <c r="R47" s="389">
        <f t="shared" si="11"/>
        <v>0.81388888888888888</v>
      </c>
      <c r="S47" s="389"/>
      <c r="T47" s="389">
        <f t="shared" si="12"/>
        <v>0.83472222222222214</v>
      </c>
      <c r="U47" s="582"/>
      <c r="V47" s="582"/>
      <c r="W47" s="582"/>
      <c r="X47" s="582"/>
      <c r="Y47" s="582"/>
      <c r="Z47" s="582"/>
      <c r="AA47" s="582"/>
    </row>
    <row r="48" spans="2:27" ht="20.25" customHeight="1" thickBot="1" x14ac:dyDescent="0.5">
      <c r="B48" s="385" t="s">
        <v>519</v>
      </c>
      <c r="C48" s="386" t="s">
        <v>520</v>
      </c>
      <c r="D48" s="584">
        <f t="shared" si="13"/>
        <v>1.3888888888888889E-3</v>
      </c>
      <c r="E48" s="388">
        <f t="shared" si="13"/>
        <v>6.9444444444444447E-4</v>
      </c>
      <c r="F48" s="389"/>
      <c r="G48" s="389">
        <f t="shared" si="4"/>
        <v>0.59375</v>
      </c>
      <c r="H48" s="389">
        <f t="shared" si="5"/>
        <v>0.625</v>
      </c>
      <c r="I48" s="389"/>
      <c r="J48" s="389">
        <f t="shared" si="6"/>
        <v>0.64930555555555547</v>
      </c>
      <c r="K48" s="389">
        <f t="shared" si="7"/>
        <v>0.67013888888888884</v>
      </c>
      <c r="L48" s="389">
        <f t="shared" si="8"/>
        <v>0.69791666666666663</v>
      </c>
      <c r="M48" s="389">
        <f t="shared" si="9"/>
        <v>0.72222222222222221</v>
      </c>
      <c r="N48" s="389"/>
      <c r="O48" s="389"/>
      <c r="P48" s="389">
        <f t="shared" si="10"/>
        <v>0.79166666666666663</v>
      </c>
      <c r="Q48" s="389"/>
      <c r="R48" s="389">
        <f t="shared" si="11"/>
        <v>0.8125</v>
      </c>
      <c r="S48" s="389"/>
      <c r="T48" s="389">
        <f t="shared" si="12"/>
        <v>0.83333333333333326</v>
      </c>
      <c r="U48" s="582"/>
      <c r="V48" s="582"/>
      <c r="W48" s="582"/>
      <c r="X48" s="582"/>
      <c r="Y48" s="582"/>
      <c r="Z48" s="582"/>
      <c r="AA48" s="582"/>
    </row>
    <row r="49" spans="2:27" ht="20.25" customHeight="1" thickBot="1" x14ac:dyDescent="0.5">
      <c r="B49" s="385" t="s">
        <v>519</v>
      </c>
      <c r="C49" s="386" t="s">
        <v>521</v>
      </c>
      <c r="D49" s="584">
        <f t="shared" si="13"/>
        <v>1.3888888888888889E-3</v>
      </c>
      <c r="E49" s="388">
        <f t="shared" si="13"/>
        <v>6.9444444444444447E-4</v>
      </c>
      <c r="F49" s="389"/>
      <c r="G49" s="389">
        <f t="shared" si="4"/>
        <v>0.59236111111111112</v>
      </c>
      <c r="H49" s="389">
        <f t="shared" si="5"/>
        <v>0.62361111111111112</v>
      </c>
      <c r="I49" s="389"/>
      <c r="J49" s="389">
        <f t="shared" si="6"/>
        <v>0.64791666666666659</v>
      </c>
      <c r="K49" s="389">
        <f t="shared" si="7"/>
        <v>0.66874999999999996</v>
      </c>
      <c r="L49" s="389">
        <f t="shared" si="8"/>
        <v>0.69652777777777775</v>
      </c>
      <c r="M49" s="389">
        <f t="shared" si="9"/>
        <v>0.72083333333333333</v>
      </c>
      <c r="N49" s="389"/>
      <c r="O49" s="389"/>
      <c r="P49" s="389">
        <f t="shared" si="10"/>
        <v>0.79027777777777775</v>
      </c>
      <c r="Q49" s="389"/>
      <c r="R49" s="389">
        <f t="shared" si="11"/>
        <v>0.81111111111111112</v>
      </c>
      <c r="S49" s="389"/>
      <c r="T49" s="389">
        <f t="shared" si="12"/>
        <v>0.83194444444444438</v>
      </c>
      <c r="U49" s="582"/>
      <c r="V49" s="582"/>
      <c r="W49" s="582"/>
      <c r="X49" s="582"/>
      <c r="Y49" s="582"/>
      <c r="Z49" s="582"/>
      <c r="AA49" s="582"/>
    </row>
    <row r="50" spans="2:27" ht="20.25" customHeight="1" thickBot="1" x14ac:dyDescent="0.5">
      <c r="B50" s="385" t="s">
        <v>519</v>
      </c>
      <c r="C50" s="386" t="s">
        <v>522</v>
      </c>
      <c r="D50" s="584">
        <f t="shared" si="13"/>
        <v>1.3888888888888889E-3</v>
      </c>
      <c r="E50" s="388">
        <f t="shared" si="13"/>
        <v>6.9444444444444447E-4</v>
      </c>
      <c r="F50" s="389"/>
      <c r="G50" s="389">
        <f t="shared" si="4"/>
        <v>0.59097222222222223</v>
      </c>
      <c r="H50" s="389">
        <f t="shared" si="5"/>
        <v>0.62222222222222223</v>
      </c>
      <c r="I50" s="389"/>
      <c r="J50" s="389">
        <f t="shared" si="6"/>
        <v>0.6465277777777777</v>
      </c>
      <c r="K50" s="389">
        <f t="shared" si="7"/>
        <v>0.66736111111111107</v>
      </c>
      <c r="L50" s="389">
        <f t="shared" si="8"/>
        <v>0.69513888888888886</v>
      </c>
      <c r="M50" s="389">
        <f t="shared" si="9"/>
        <v>0.71944444444444444</v>
      </c>
      <c r="N50" s="389"/>
      <c r="O50" s="389"/>
      <c r="P50" s="389">
        <f t="shared" si="10"/>
        <v>0.78888888888888886</v>
      </c>
      <c r="Q50" s="389"/>
      <c r="R50" s="389">
        <f t="shared" si="11"/>
        <v>0.80972222222222223</v>
      </c>
      <c r="S50" s="389"/>
      <c r="T50" s="389">
        <f t="shared" si="12"/>
        <v>0.83055555555555549</v>
      </c>
      <c r="U50" s="582"/>
      <c r="V50" s="582"/>
      <c r="W50" s="582"/>
      <c r="X50" s="582"/>
      <c r="Y50" s="582"/>
      <c r="Z50" s="582"/>
      <c r="AA50" s="582"/>
    </row>
    <row r="51" spans="2:27" ht="20.25" customHeight="1" thickBot="1" x14ac:dyDescent="0.5">
      <c r="B51" s="385" t="s">
        <v>519</v>
      </c>
      <c r="C51" s="386" t="s">
        <v>523</v>
      </c>
      <c r="D51" s="584">
        <f t="shared" si="13"/>
        <v>6.9444444444444447E-4</v>
      </c>
      <c r="E51" s="388">
        <f t="shared" si="13"/>
        <v>6.9444444444444447E-4</v>
      </c>
      <c r="F51" s="389"/>
      <c r="G51" s="389">
        <f t="shared" si="4"/>
        <v>0.59027777777777779</v>
      </c>
      <c r="H51" s="389">
        <f t="shared" si="5"/>
        <v>0.62152777777777779</v>
      </c>
      <c r="I51" s="389"/>
      <c r="J51" s="389">
        <f t="shared" si="6"/>
        <v>0.64583333333333326</v>
      </c>
      <c r="K51" s="389">
        <f t="shared" si="7"/>
        <v>0.66666666666666663</v>
      </c>
      <c r="L51" s="389">
        <f t="shared" si="8"/>
        <v>0.69444444444444442</v>
      </c>
      <c r="M51" s="389">
        <f t="shared" si="9"/>
        <v>0.71875</v>
      </c>
      <c r="N51" s="389"/>
      <c r="O51" s="389"/>
      <c r="P51" s="389">
        <f t="shared" si="10"/>
        <v>0.78819444444444442</v>
      </c>
      <c r="Q51" s="389"/>
      <c r="R51" s="389">
        <f t="shared" si="11"/>
        <v>0.80902777777777779</v>
      </c>
      <c r="S51" s="389"/>
      <c r="T51" s="389">
        <f t="shared" si="12"/>
        <v>0.82986111111111105</v>
      </c>
      <c r="U51" s="582"/>
      <c r="V51" s="582"/>
      <c r="W51" s="582"/>
      <c r="X51" s="582"/>
      <c r="Y51" s="582"/>
      <c r="Z51" s="582"/>
      <c r="AA51" s="582"/>
    </row>
    <row r="52" spans="2:27" ht="20.25" customHeight="1" thickBot="1" x14ac:dyDescent="0.5">
      <c r="B52" s="385" t="s">
        <v>519</v>
      </c>
      <c r="C52" s="386" t="s">
        <v>524</v>
      </c>
      <c r="D52" s="584">
        <f t="shared" si="13"/>
        <v>1.3888888888888889E-3</v>
      </c>
      <c r="E52" s="388">
        <f t="shared" si="13"/>
        <v>6.9444444444444447E-4</v>
      </c>
      <c r="F52" s="389"/>
      <c r="G52" s="389">
        <f t="shared" si="4"/>
        <v>0.58888888888888891</v>
      </c>
      <c r="H52" s="389">
        <f t="shared" si="5"/>
        <v>0.62013888888888891</v>
      </c>
      <c r="I52" s="389"/>
      <c r="J52" s="389">
        <f t="shared" si="6"/>
        <v>0.64444444444444438</v>
      </c>
      <c r="K52" s="389">
        <f t="shared" si="7"/>
        <v>0.66527777777777775</v>
      </c>
      <c r="L52" s="389">
        <f t="shared" si="8"/>
        <v>0.69305555555555554</v>
      </c>
      <c r="M52" s="389">
        <f t="shared" si="9"/>
        <v>0.71736111111111112</v>
      </c>
      <c r="N52" s="389"/>
      <c r="O52" s="389"/>
      <c r="P52" s="389">
        <f t="shared" si="10"/>
        <v>0.78680555555555554</v>
      </c>
      <c r="Q52" s="389"/>
      <c r="R52" s="389">
        <f t="shared" si="11"/>
        <v>0.80763888888888891</v>
      </c>
      <c r="S52" s="389"/>
      <c r="T52" s="389">
        <f t="shared" si="12"/>
        <v>0.82847222222222217</v>
      </c>
      <c r="U52" s="582"/>
      <c r="V52" s="582"/>
      <c r="W52" s="582"/>
      <c r="X52" s="582"/>
      <c r="Y52" s="582"/>
      <c r="Z52" s="582"/>
      <c r="AA52" s="582"/>
    </row>
    <row r="53" spans="2:27" ht="20.25" customHeight="1" thickBot="1" x14ac:dyDescent="0.5">
      <c r="B53" s="385" t="s">
        <v>519</v>
      </c>
      <c r="C53" s="386" t="s">
        <v>525</v>
      </c>
      <c r="D53" s="584">
        <f t="shared" si="13"/>
        <v>1.3888888888888889E-3</v>
      </c>
      <c r="E53" s="388">
        <f t="shared" si="13"/>
        <v>6.9444444444444447E-4</v>
      </c>
      <c r="F53" s="389"/>
      <c r="G53" s="389">
        <f t="shared" si="4"/>
        <v>0.58750000000000002</v>
      </c>
      <c r="H53" s="389">
        <f t="shared" si="5"/>
        <v>0.61875000000000002</v>
      </c>
      <c r="I53" s="389"/>
      <c r="J53" s="389">
        <f t="shared" si="6"/>
        <v>0.64305555555555549</v>
      </c>
      <c r="K53" s="389">
        <f t="shared" si="7"/>
        <v>0.66388888888888886</v>
      </c>
      <c r="L53" s="389">
        <f t="shared" si="8"/>
        <v>0.69166666666666665</v>
      </c>
      <c r="M53" s="389">
        <f t="shared" si="9"/>
        <v>0.71597222222222223</v>
      </c>
      <c r="N53" s="389"/>
      <c r="O53" s="389"/>
      <c r="P53" s="389">
        <f t="shared" si="10"/>
        <v>0.78541666666666665</v>
      </c>
      <c r="Q53" s="389"/>
      <c r="R53" s="389">
        <f t="shared" si="11"/>
        <v>0.80625000000000002</v>
      </c>
      <c r="S53" s="389"/>
      <c r="T53" s="389">
        <f t="shared" si="12"/>
        <v>0.82708333333333328</v>
      </c>
      <c r="U53" s="582"/>
      <c r="V53" s="582"/>
      <c r="W53" s="582"/>
      <c r="X53" s="582"/>
      <c r="Y53" s="582"/>
      <c r="Z53" s="582"/>
      <c r="AA53" s="582"/>
    </row>
    <row r="54" spans="2:27" ht="20.25" customHeight="1" thickBot="1" x14ac:dyDescent="0.5">
      <c r="B54" s="385" t="s">
        <v>519</v>
      </c>
      <c r="C54" s="386" t="str">
        <f>UPPER("acrinternation allineart tattoo")</f>
        <v>ACRINTERNATION ALLINEART TATTOO</v>
      </c>
      <c r="D54" s="584">
        <f t="shared" si="13"/>
        <v>1.3888888888888889E-3</v>
      </c>
      <c r="E54" s="388">
        <f t="shared" si="13"/>
        <v>0</v>
      </c>
      <c r="F54" s="389"/>
      <c r="G54" s="389">
        <f t="shared" si="4"/>
        <v>0.58611111111111114</v>
      </c>
      <c r="H54" s="389">
        <f t="shared" si="5"/>
        <v>0.61736111111111114</v>
      </c>
      <c r="I54" s="389"/>
      <c r="J54" s="389">
        <f t="shared" si="6"/>
        <v>0.64166666666666661</v>
      </c>
      <c r="K54" s="389">
        <f t="shared" si="7"/>
        <v>0.66249999999999998</v>
      </c>
      <c r="L54" s="389">
        <f t="shared" si="8"/>
        <v>0.69027777777777777</v>
      </c>
      <c r="M54" s="389">
        <f t="shared" si="9"/>
        <v>0.71458333333333335</v>
      </c>
      <c r="N54" s="389"/>
      <c r="O54" s="389"/>
      <c r="P54" s="389">
        <f t="shared" si="10"/>
        <v>0.78402777777777777</v>
      </c>
      <c r="Q54" s="389"/>
      <c r="R54" s="389">
        <f t="shared" si="11"/>
        <v>0.80486111111111114</v>
      </c>
      <c r="S54" s="389"/>
      <c r="T54" s="389">
        <f t="shared" si="12"/>
        <v>0.8256944444444444</v>
      </c>
      <c r="U54" s="582"/>
      <c r="V54" s="582"/>
      <c r="W54" s="582"/>
      <c r="X54" s="582"/>
      <c r="Y54" s="582"/>
      <c r="Z54" s="582"/>
      <c r="AA54" s="582"/>
    </row>
    <row r="55" spans="2:27" ht="20.25" customHeight="1" thickBot="1" x14ac:dyDescent="0.5">
      <c r="B55" s="391" t="s">
        <v>519</v>
      </c>
      <c r="C55" s="392" t="s">
        <v>526</v>
      </c>
      <c r="D55" s="584">
        <f t="shared" si="13"/>
        <v>1.3888888888888889E-3</v>
      </c>
      <c r="E55" s="388">
        <f t="shared" si="13"/>
        <v>6.9444444444444447E-4</v>
      </c>
      <c r="F55" s="389"/>
      <c r="G55" s="389">
        <f t="shared" si="4"/>
        <v>0.58472222222222225</v>
      </c>
      <c r="H55" s="389">
        <f t="shared" si="5"/>
        <v>0.61597222222222225</v>
      </c>
      <c r="I55" s="389"/>
      <c r="J55" s="389">
        <f t="shared" si="6"/>
        <v>0.64027777777777772</v>
      </c>
      <c r="K55" s="389">
        <f t="shared" si="7"/>
        <v>0.66111111111111109</v>
      </c>
      <c r="L55" s="389">
        <f t="shared" si="8"/>
        <v>0.68888888888888888</v>
      </c>
      <c r="M55" s="389">
        <f t="shared" si="9"/>
        <v>0.71319444444444446</v>
      </c>
      <c r="N55" s="389"/>
      <c r="O55" s="389"/>
      <c r="P55" s="389">
        <f t="shared" si="10"/>
        <v>0.78263888888888888</v>
      </c>
      <c r="Q55" s="389"/>
      <c r="R55" s="389">
        <f>R56+D56</f>
        <v>0.80347222222222225</v>
      </c>
      <c r="S55" s="389"/>
      <c r="T55" s="389">
        <f>T56+D56</f>
        <v>0.82430555555555551</v>
      </c>
      <c r="U55" s="582"/>
      <c r="V55" s="582"/>
      <c r="W55" s="582"/>
      <c r="X55" s="582"/>
      <c r="Y55" s="582"/>
      <c r="Z55" s="582"/>
      <c r="AA55" s="582"/>
    </row>
    <row r="56" spans="2:27" ht="20.25" customHeight="1" x14ac:dyDescent="0.45">
      <c r="B56" s="391" t="s">
        <v>527</v>
      </c>
      <c r="C56" s="392" t="s">
        <v>528</v>
      </c>
      <c r="D56" s="584">
        <f t="shared" si="13"/>
        <v>1.3888888888888889E-3</v>
      </c>
      <c r="E56" s="388">
        <f t="shared" si="13"/>
        <v>6.9444444444444447E-4</v>
      </c>
      <c r="F56" s="590">
        <f>F42+$E$57</f>
        <v>0.59236111111111112</v>
      </c>
      <c r="G56" s="588">
        <f>'Feuille saisie'!B24</f>
        <v>0.58333333333333337</v>
      </c>
      <c r="H56" s="588">
        <f>'Feuille saisie'!B26</f>
        <v>0.61458333333333337</v>
      </c>
      <c r="I56" s="590">
        <f>I42+E57</f>
        <v>0.63402777777777775</v>
      </c>
      <c r="J56" s="588">
        <f>'Feuille saisie'!B29</f>
        <v>0.63888888888888884</v>
      </c>
      <c r="K56" s="588">
        <f>'Feuille saisie'!B30</f>
        <v>0.65972222222222221</v>
      </c>
      <c r="L56" s="588">
        <f>'Feuille saisie'!B31</f>
        <v>0.6875</v>
      </c>
      <c r="M56" s="588">
        <f>'Feuille saisie'!B32</f>
        <v>0.71180555555555558</v>
      </c>
      <c r="N56" s="588">
        <f>'Feuille saisie'!B33</f>
        <v>0.76041666666666663</v>
      </c>
      <c r="O56" s="590">
        <f>O42+$E$57</f>
        <v>0.76944444444444438</v>
      </c>
      <c r="P56" s="588">
        <v>0.78125</v>
      </c>
      <c r="Q56" s="590">
        <f>Q42+$E$57</f>
        <v>0.79027777777777775</v>
      </c>
      <c r="R56" s="588">
        <v>0.80208333333333337</v>
      </c>
      <c r="S56" s="590">
        <f>S42+$E$57</f>
        <v>0.81944444444444442</v>
      </c>
      <c r="T56" s="588">
        <v>0.82291666666666663</v>
      </c>
      <c r="U56" s="582"/>
      <c r="V56" s="582"/>
      <c r="W56" s="582"/>
      <c r="X56" s="582"/>
      <c r="Y56" s="582"/>
      <c r="Z56" s="582"/>
      <c r="AA56" s="582"/>
    </row>
    <row r="57" spans="2:27" x14ac:dyDescent="0.45">
      <c r="D57" s="585">
        <f>SUM(D43:D56)</f>
        <v>1.7361111111111108E-2</v>
      </c>
      <c r="E57" s="585">
        <f>SUM(E43:E56)</f>
        <v>9.0277777777777769E-3</v>
      </c>
    </row>
  </sheetData>
  <mergeCells count="7">
    <mergeCell ref="B36:C37"/>
    <mergeCell ref="F36:K37"/>
    <mergeCell ref="C2:G3"/>
    <mergeCell ref="B6:C7"/>
    <mergeCell ref="B8:C9"/>
    <mergeCell ref="F8:K9"/>
    <mergeCell ref="B34:C35"/>
  </mergeCells>
  <pageMargins left="1.6929133858267718" right="0.11811023622047245" top="0.74803149606299213" bottom="0.74803149606299213" header="0.31496062992125984" footer="0.31496062992125984"/>
  <pageSetup paperSize="9" scale="39" orientation="landscape" r:id="rId1"/>
  <colBreaks count="1" manualBreakCount="1">
    <brk id="1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5951-4437-444F-845C-5FB44122B03C}">
  <sheetPr>
    <pageSetUpPr fitToPage="1"/>
  </sheetPr>
  <dimension ref="B2:J33"/>
  <sheetViews>
    <sheetView showGridLines="0" topLeftCell="A7" workbookViewId="0">
      <selection activeCell="I11" sqref="I11"/>
    </sheetView>
  </sheetViews>
  <sheetFormatPr baseColWidth="10" defaultRowHeight="14.25" x14ac:dyDescent="0.45"/>
  <cols>
    <col min="2" max="2" width="14.3984375" customWidth="1"/>
    <col min="3" max="3" width="22.33203125" customWidth="1"/>
    <col min="7" max="7" width="16.265625" customWidth="1"/>
    <col min="10" max="10" width="13.19921875" customWidth="1"/>
  </cols>
  <sheetData>
    <row r="2" spans="2:10" ht="26.65" x14ac:dyDescent="0.85">
      <c r="D2" s="458" t="s">
        <v>586</v>
      </c>
    </row>
    <row r="3" spans="2:10" ht="26.65" x14ac:dyDescent="0.85">
      <c r="D3" s="458" t="s">
        <v>589</v>
      </c>
    </row>
    <row r="4" spans="2:10" ht="14.65" thickBot="1" x14ac:dyDescent="0.5"/>
    <row r="5" spans="2:10" ht="14.65" thickBot="1" x14ac:dyDescent="0.5">
      <c r="E5" s="453"/>
      <c r="F5" s="454"/>
      <c r="G5" s="454" t="s">
        <v>579</v>
      </c>
      <c r="H5" s="454"/>
      <c r="I5" s="454"/>
      <c r="J5" s="455"/>
    </row>
    <row r="6" spans="2:10" ht="36.4" thickBot="1" x14ac:dyDescent="0.6">
      <c r="B6" s="429" t="s">
        <v>565</v>
      </c>
      <c r="C6" s="430" t="s">
        <v>578</v>
      </c>
      <c r="D6" s="430" t="s">
        <v>504</v>
      </c>
      <c r="E6" s="446" t="s">
        <v>378</v>
      </c>
      <c r="F6" s="437" t="s">
        <v>382</v>
      </c>
      <c r="G6" s="446" t="s">
        <v>384</v>
      </c>
      <c r="H6" s="456" t="s">
        <v>407</v>
      </c>
      <c r="I6" s="456" t="s">
        <v>414</v>
      </c>
      <c r="J6" s="446" t="s">
        <v>421</v>
      </c>
    </row>
    <row r="7" spans="2:10" ht="54" customHeight="1" thickBot="1" x14ac:dyDescent="0.6">
      <c r="B7" s="431"/>
      <c r="C7" s="427"/>
      <c r="D7" s="427"/>
      <c r="E7" s="444" t="s">
        <v>656</v>
      </c>
      <c r="F7" s="438"/>
      <c r="G7" s="443" t="s">
        <v>554</v>
      </c>
      <c r="H7" s="639" t="s">
        <v>564</v>
      </c>
      <c r="I7" s="640"/>
      <c r="J7" s="443" t="s">
        <v>554</v>
      </c>
    </row>
    <row r="8" spans="2:10" ht="18" x14ac:dyDescent="0.55000000000000004">
      <c r="B8" s="431"/>
      <c r="C8" s="427"/>
      <c r="D8" s="427"/>
      <c r="E8" s="439"/>
      <c r="F8" s="439"/>
      <c r="G8" s="439"/>
      <c r="H8" s="427"/>
      <c r="I8" s="427"/>
      <c r="J8" s="432"/>
    </row>
    <row r="9" spans="2:10" ht="18" x14ac:dyDescent="0.55000000000000004">
      <c r="B9" s="441">
        <v>0.23958333333333334</v>
      </c>
      <c r="C9" s="427" t="s">
        <v>566</v>
      </c>
      <c r="D9" s="427" t="s">
        <v>126</v>
      </c>
      <c r="E9" s="440" t="s">
        <v>567</v>
      </c>
      <c r="F9" s="440" t="s">
        <v>567</v>
      </c>
      <c r="G9" s="440" t="s">
        <v>567</v>
      </c>
      <c r="H9" s="428"/>
      <c r="I9" s="428"/>
      <c r="J9" s="433"/>
    </row>
    <row r="10" spans="2:10" ht="18" x14ac:dyDescent="0.55000000000000004">
      <c r="B10" s="441">
        <v>0.26041666666666669</v>
      </c>
      <c r="C10" s="427" t="s">
        <v>568</v>
      </c>
      <c r="D10" s="427" t="s">
        <v>136</v>
      </c>
      <c r="E10" s="440" t="s">
        <v>567</v>
      </c>
      <c r="F10" s="440" t="s">
        <v>567</v>
      </c>
      <c r="G10" s="440" t="s">
        <v>567</v>
      </c>
      <c r="H10" s="428"/>
      <c r="I10" s="428" t="s">
        <v>570</v>
      </c>
      <c r="J10" s="433"/>
    </row>
    <row r="11" spans="2:10" ht="18" x14ac:dyDescent="0.55000000000000004">
      <c r="B11" s="441">
        <v>0.28125</v>
      </c>
      <c r="C11" s="427" t="s">
        <v>566</v>
      </c>
      <c r="D11" s="427" t="s">
        <v>126</v>
      </c>
      <c r="E11" s="440" t="s">
        <v>567</v>
      </c>
      <c r="F11" s="440" t="s">
        <v>567</v>
      </c>
      <c r="G11" s="440" t="s">
        <v>567</v>
      </c>
      <c r="H11" s="428"/>
      <c r="I11" s="428" t="s">
        <v>571</v>
      </c>
      <c r="J11" s="433"/>
    </row>
    <row r="12" spans="2:10" ht="18" x14ac:dyDescent="0.55000000000000004">
      <c r="B12" s="441">
        <v>0.30208333333333331</v>
      </c>
      <c r="C12" s="427" t="s">
        <v>568</v>
      </c>
      <c r="D12" s="427" t="s">
        <v>136</v>
      </c>
      <c r="E12" s="440" t="s">
        <v>567</v>
      </c>
      <c r="F12" s="440" t="s">
        <v>567</v>
      </c>
      <c r="G12" s="440" t="s">
        <v>567</v>
      </c>
      <c r="H12" s="428"/>
      <c r="I12" s="428" t="s">
        <v>572</v>
      </c>
      <c r="J12" s="433"/>
    </row>
    <row r="13" spans="2:10" ht="18" x14ac:dyDescent="0.55000000000000004">
      <c r="B13" s="441">
        <v>0.3125</v>
      </c>
      <c r="C13" s="427" t="s">
        <v>566</v>
      </c>
      <c r="D13" s="427" t="s">
        <v>126</v>
      </c>
      <c r="E13" s="440" t="s">
        <v>567</v>
      </c>
      <c r="F13" s="440" t="s">
        <v>567</v>
      </c>
      <c r="G13" s="440" t="s">
        <v>567</v>
      </c>
      <c r="H13" s="428"/>
      <c r="I13" s="428"/>
      <c r="J13" s="433"/>
    </row>
    <row r="14" spans="2:10" ht="18" x14ac:dyDescent="0.55000000000000004">
      <c r="B14" s="442"/>
      <c r="C14" s="427"/>
      <c r="D14" s="427"/>
      <c r="E14" s="440"/>
      <c r="F14" s="440"/>
      <c r="G14" s="440"/>
      <c r="H14" s="428"/>
      <c r="I14" s="428"/>
      <c r="J14" s="433"/>
    </row>
    <row r="15" spans="2:10" ht="18" x14ac:dyDescent="0.55000000000000004">
      <c r="B15" s="441">
        <v>0.58333333333333337</v>
      </c>
      <c r="C15" s="427" t="s">
        <v>569</v>
      </c>
      <c r="D15" s="427" t="s">
        <v>136</v>
      </c>
      <c r="E15" s="440" t="s">
        <v>567</v>
      </c>
      <c r="F15" s="440" t="s">
        <v>567</v>
      </c>
      <c r="G15" s="440" t="s">
        <v>567</v>
      </c>
      <c r="H15" s="428"/>
      <c r="I15" s="428"/>
      <c r="J15" s="433"/>
    </row>
    <row r="16" spans="2:10" ht="18" x14ac:dyDescent="0.55000000000000004">
      <c r="B16" s="441">
        <v>0.625</v>
      </c>
      <c r="C16" s="427" t="s">
        <v>569</v>
      </c>
      <c r="D16" s="427" t="s">
        <v>136</v>
      </c>
      <c r="E16" s="440" t="s">
        <v>567</v>
      </c>
      <c r="F16" s="440"/>
      <c r="G16" s="440" t="s">
        <v>567</v>
      </c>
      <c r="H16" s="428"/>
      <c r="I16" s="428"/>
      <c r="J16" s="433"/>
    </row>
    <row r="17" spans="2:10" ht="18" x14ac:dyDescent="0.55000000000000004">
      <c r="B17" s="441">
        <v>0.76041666666666663</v>
      </c>
      <c r="C17" s="427" t="s">
        <v>569</v>
      </c>
      <c r="D17" s="427" t="s">
        <v>126</v>
      </c>
      <c r="E17" s="440" t="s">
        <v>567</v>
      </c>
      <c r="F17" s="440"/>
      <c r="G17" s="440" t="s">
        <v>567</v>
      </c>
      <c r="H17" s="428"/>
      <c r="I17" s="428"/>
      <c r="J17" s="433"/>
    </row>
    <row r="18" spans="2:10" ht="18" x14ac:dyDescent="0.55000000000000004">
      <c r="B18" s="441">
        <v>0.78125</v>
      </c>
      <c r="C18" s="427" t="s">
        <v>569</v>
      </c>
      <c r="D18" s="427" t="s">
        <v>126</v>
      </c>
      <c r="E18" s="440"/>
      <c r="F18" s="440" t="s">
        <v>567</v>
      </c>
      <c r="G18" s="440" t="s">
        <v>567</v>
      </c>
      <c r="H18" s="428"/>
      <c r="I18" s="428"/>
      <c r="J18" s="433"/>
    </row>
    <row r="19" spans="2:10" ht="18" x14ac:dyDescent="0.55000000000000004">
      <c r="B19" s="441">
        <v>0.8125</v>
      </c>
      <c r="C19" s="427" t="s">
        <v>569</v>
      </c>
      <c r="D19" s="427" t="s">
        <v>126</v>
      </c>
      <c r="E19" s="440"/>
      <c r="F19" s="440" t="s">
        <v>567</v>
      </c>
      <c r="G19" s="440" t="s">
        <v>567</v>
      </c>
      <c r="H19" s="428"/>
      <c r="I19" s="428"/>
      <c r="J19" s="433"/>
    </row>
    <row r="20" spans="2:10" ht="18.399999999999999" thickBot="1" x14ac:dyDescent="0.6">
      <c r="B20" s="431"/>
      <c r="C20" s="427"/>
      <c r="D20" s="427"/>
      <c r="E20" s="440"/>
      <c r="F20" s="440"/>
      <c r="G20" s="440"/>
      <c r="H20" s="428"/>
      <c r="I20" s="428"/>
      <c r="J20" s="433"/>
    </row>
    <row r="21" spans="2:10" ht="18.399999999999999" thickBot="1" x14ac:dyDescent="0.6">
      <c r="B21" s="431"/>
      <c r="C21" s="435" t="s">
        <v>354</v>
      </c>
      <c r="D21" s="445"/>
      <c r="E21" s="446">
        <v>8</v>
      </c>
      <c r="F21" s="446">
        <v>8</v>
      </c>
      <c r="G21" s="446">
        <v>10</v>
      </c>
      <c r="H21" s="428"/>
      <c r="I21" s="428"/>
      <c r="J21" s="433"/>
    </row>
    <row r="22" spans="2:10" ht="18.399999999999999" thickBot="1" x14ac:dyDescent="0.6">
      <c r="B22" s="431"/>
      <c r="C22" s="435"/>
      <c r="D22" s="445"/>
      <c r="E22" s="446" t="s">
        <v>590</v>
      </c>
      <c r="F22" s="446" t="s">
        <v>590</v>
      </c>
      <c r="G22" s="459" t="s">
        <v>591</v>
      </c>
      <c r="H22" s="427"/>
      <c r="I22" s="427"/>
      <c r="J22" s="432"/>
    </row>
    <row r="23" spans="2:10" ht="18.399999999999999" thickBot="1" x14ac:dyDescent="0.6">
      <c r="B23" s="431"/>
      <c r="C23" s="436" t="s">
        <v>573</v>
      </c>
      <c r="D23" s="447"/>
      <c r="E23" s="448" t="s">
        <v>574</v>
      </c>
      <c r="F23" s="448" t="s">
        <v>574</v>
      </c>
      <c r="G23" s="448" t="s">
        <v>575</v>
      </c>
      <c r="H23" s="427"/>
      <c r="I23" s="427"/>
      <c r="J23" s="432"/>
    </row>
    <row r="24" spans="2:10" ht="36.4" thickBot="1" x14ac:dyDescent="0.6">
      <c r="B24" s="434"/>
      <c r="C24" s="435" t="s">
        <v>576</v>
      </c>
      <c r="D24" s="445"/>
      <c r="E24" s="449">
        <v>12</v>
      </c>
      <c r="F24" s="449">
        <v>12</v>
      </c>
      <c r="G24" s="450" t="s">
        <v>577</v>
      </c>
      <c r="H24" s="451">
        <v>12</v>
      </c>
      <c r="I24" s="451">
        <v>12</v>
      </c>
      <c r="J24" s="452" t="s">
        <v>577</v>
      </c>
    </row>
    <row r="26" spans="2:10" ht="24.85" customHeight="1" x14ac:dyDescent="0.65">
      <c r="D26" s="457" t="s">
        <v>582</v>
      </c>
    </row>
    <row r="27" spans="2:10" ht="24.85" customHeight="1" x14ac:dyDescent="0.65">
      <c r="D27" s="457" t="s">
        <v>587</v>
      </c>
    </row>
    <row r="28" spans="2:10" ht="24.85" customHeight="1" x14ac:dyDescent="0.65">
      <c r="D28" s="457" t="s">
        <v>588</v>
      </c>
    </row>
    <row r="29" spans="2:10" ht="24.85" customHeight="1" x14ac:dyDescent="0.65">
      <c r="D29" s="457" t="s">
        <v>584</v>
      </c>
    </row>
    <row r="30" spans="2:10" ht="24.85" customHeight="1" x14ac:dyDescent="0.65">
      <c r="D30" s="457" t="s">
        <v>583</v>
      </c>
    </row>
    <row r="31" spans="2:10" ht="25.5" customHeight="1" x14ac:dyDescent="0.65">
      <c r="D31" s="457" t="s">
        <v>581</v>
      </c>
    </row>
    <row r="32" spans="2:10" ht="21" x14ac:dyDescent="0.65">
      <c r="D32" s="457" t="s">
        <v>585</v>
      </c>
    </row>
    <row r="33" spans="4:4" ht="21" x14ac:dyDescent="0.65">
      <c r="D33" s="457" t="s">
        <v>580</v>
      </c>
    </row>
  </sheetData>
  <mergeCells count="1">
    <mergeCell ref="H7:I7"/>
  </mergeCells>
  <pageMargins left="0.7" right="0.7" top="0.75" bottom="0.75" header="0.3" footer="0.3"/>
  <pageSetup paperSize="9" scale="5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4841-4BC1-4640-BF85-AAC52139DBFC}">
  <dimension ref="B4:R26"/>
  <sheetViews>
    <sheetView topLeftCell="C6" workbookViewId="0">
      <selection activeCell="P13" sqref="P13"/>
    </sheetView>
  </sheetViews>
  <sheetFormatPr baseColWidth="10" defaultRowHeight="14.25" x14ac:dyDescent="0.45"/>
  <cols>
    <col min="2" max="2" width="16.6640625" customWidth="1"/>
    <col min="5" max="5" width="13.33203125" customWidth="1"/>
    <col min="14" max="14" width="12.33203125" customWidth="1"/>
  </cols>
  <sheetData>
    <row r="4" spans="2:18" x14ac:dyDescent="0.45">
      <c r="B4" t="s">
        <v>536</v>
      </c>
      <c r="C4" s="401">
        <v>46054</v>
      </c>
    </row>
    <row r="6" spans="2:18" ht="42.75" x14ac:dyDescent="0.45">
      <c r="B6" s="403"/>
      <c r="C6" s="405" t="s">
        <v>544</v>
      </c>
      <c r="D6" s="405"/>
      <c r="E6" s="405"/>
      <c r="F6" s="406" t="s">
        <v>537</v>
      </c>
      <c r="G6" s="406" t="s">
        <v>558</v>
      </c>
      <c r="H6" s="406" t="s">
        <v>538</v>
      </c>
      <c r="I6" s="405" t="s">
        <v>540</v>
      </c>
      <c r="J6" s="403" t="s">
        <v>541</v>
      </c>
      <c r="K6" s="403" t="s">
        <v>547</v>
      </c>
      <c r="L6" s="403" t="s">
        <v>548</v>
      </c>
      <c r="N6" s="21" t="s">
        <v>333</v>
      </c>
      <c r="O6" s="404" t="s">
        <v>552</v>
      </c>
      <c r="P6" s="403" t="s">
        <v>553</v>
      </c>
      <c r="Q6" s="403" t="s">
        <v>540</v>
      </c>
      <c r="R6" s="403" t="s">
        <v>541</v>
      </c>
    </row>
    <row r="7" spans="2:18" ht="55.15" customHeight="1" x14ac:dyDescent="0.45">
      <c r="B7" s="412" t="s">
        <v>556</v>
      </c>
      <c r="C7" s="9" t="s">
        <v>542</v>
      </c>
      <c r="D7" s="9"/>
      <c r="E7" s="9"/>
      <c r="F7" s="1">
        <v>3</v>
      </c>
      <c r="G7" s="1">
        <v>2</v>
      </c>
      <c r="H7" s="642">
        <f>28-H12-H17</f>
        <v>20</v>
      </c>
      <c r="I7" s="407">
        <v>15.85</v>
      </c>
      <c r="J7" s="408">
        <f>F7*H7*I7*G7</f>
        <v>1902</v>
      </c>
      <c r="K7" s="413">
        <v>12</v>
      </c>
      <c r="L7" s="413">
        <f>F7*H7*K7*G7</f>
        <v>1440</v>
      </c>
      <c r="N7" s="7" t="s">
        <v>378</v>
      </c>
      <c r="O7" s="5"/>
      <c r="P7" s="5"/>
      <c r="Q7" s="5"/>
      <c r="R7" s="5"/>
    </row>
    <row r="8" spans="2:18" x14ac:dyDescent="0.45">
      <c r="B8" s="61"/>
      <c r="C8" t="s">
        <v>543</v>
      </c>
      <c r="F8" s="32">
        <v>2</v>
      </c>
      <c r="G8" s="32">
        <v>2</v>
      </c>
      <c r="H8" s="643"/>
      <c r="I8" s="402">
        <v>15.06</v>
      </c>
      <c r="J8" s="409">
        <f>F8*H$7*I8*G8</f>
        <v>1204.8</v>
      </c>
      <c r="K8" s="413">
        <v>12</v>
      </c>
      <c r="L8" s="413">
        <f>F8*H$7*K8*G8</f>
        <v>960</v>
      </c>
      <c r="N8" s="14" t="s">
        <v>562</v>
      </c>
      <c r="O8" s="61">
        <v>8</v>
      </c>
      <c r="P8" s="61">
        <v>12</v>
      </c>
      <c r="Q8" s="413">
        <f>K7</f>
        <v>12</v>
      </c>
      <c r="R8" s="413">
        <f>O8*P8*Q8</f>
        <v>1152</v>
      </c>
    </row>
    <row r="9" spans="2:18" x14ac:dyDescent="0.45">
      <c r="B9" s="61"/>
      <c r="C9" t="s">
        <v>560</v>
      </c>
      <c r="F9" s="32">
        <v>1</v>
      </c>
      <c r="G9" s="32">
        <v>2</v>
      </c>
      <c r="H9" s="643"/>
      <c r="I9" s="402">
        <v>15.06</v>
      </c>
      <c r="J9" s="409">
        <f t="shared" ref="J9:J10" si="0">F9*H$7*I9*G9</f>
        <v>602.4</v>
      </c>
      <c r="K9" s="413">
        <v>12</v>
      </c>
      <c r="L9" s="413">
        <f t="shared" ref="L9:L10" si="1">F9*H$7*K9*G9</f>
        <v>480</v>
      </c>
      <c r="N9" s="14" t="s">
        <v>563</v>
      </c>
      <c r="O9" s="61">
        <v>8</v>
      </c>
      <c r="P9" s="61">
        <v>12</v>
      </c>
      <c r="Q9" s="413">
        <f>K7</f>
        <v>12</v>
      </c>
      <c r="R9" s="413">
        <f>O9*P9*Q9</f>
        <v>1152</v>
      </c>
    </row>
    <row r="10" spans="2:18" x14ac:dyDescent="0.45">
      <c r="B10" s="61"/>
      <c r="C10" t="s">
        <v>559</v>
      </c>
      <c r="F10" s="32">
        <v>4</v>
      </c>
      <c r="G10" s="32">
        <v>1</v>
      </c>
      <c r="H10" s="644"/>
      <c r="I10" s="402">
        <v>15.06</v>
      </c>
      <c r="J10" s="409">
        <f t="shared" si="0"/>
        <v>1204.8</v>
      </c>
      <c r="K10" s="413">
        <v>12</v>
      </c>
      <c r="L10" s="413">
        <f t="shared" si="1"/>
        <v>960</v>
      </c>
      <c r="N10" s="21"/>
      <c r="O10" s="403"/>
      <c r="P10" s="403"/>
      <c r="Q10" s="403"/>
      <c r="R10" s="417">
        <f>SUM(R8:R9)</f>
        <v>2304</v>
      </c>
    </row>
    <row r="11" spans="2:18" x14ac:dyDescent="0.45">
      <c r="B11" s="403"/>
      <c r="C11" s="405"/>
      <c r="D11" s="405"/>
      <c r="E11" s="405"/>
      <c r="F11" s="641">
        <f>F7*G7+F8*G8+F9*G9+F10*G10</f>
        <v>16</v>
      </c>
      <c r="G11" s="641"/>
      <c r="H11" s="425">
        <f>F11*H7</f>
        <v>320</v>
      </c>
      <c r="I11" s="424" t="s">
        <v>561</v>
      </c>
      <c r="J11" s="410"/>
      <c r="K11" s="414"/>
      <c r="L11" s="414"/>
      <c r="N11" s="7" t="s">
        <v>382</v>
      </c>
      <c r="O11" s="5"/>
      <c r="P11" s="5"/>
      <c r="Q11" s="421"/>
      <c r="R11" s="421"/>
    </row>
    <row r="12" spans="2:18" x14ac:dyDescent="0.45">
      <c r="B12" s="61" t="s">
        <v>557</v>
      </c>
      <c r="C12" s="9" t="s">
        <v>542</v>
      </c>
      <c r="D12" s="9"/>
      <c r="E12" s="9"/>
      <c r="F12" s="1">
        <v>3</v>
      </c>
      <c r="G12" s="1">
        <v>2</v>
      </c>
      <c r="H12" s="642">
        <v>4</v>
      </c>
      <c r="I12" s="407">
        <v>15.85</v>
      </c>
      <c r="J12" s="408">
        <f>F12*H$12*I12*G12</f>
        <v>380.4</v>
      </c>
      <c r="K12" s="413">
        <v>12</v>
      </c>
      <c r="L12" s="413">
        <f>F12*H$12*K12*G12</f>
        <v>288</v>
      </c>
      <c r="N12" s="14" t="s">
        <v>562</v>
      </c>
      <c r="O12" s="61">
        <v>8</v>
      </c>
      <c r="P12" s="61">
        <v>12</v>
      </c>
      <c r="Q12" s="413">
        <f>K8</f>
        <v>12</v>
      </c>
      <c r="R12" s="413">
        <f>O12*P12*Q12</f>
        <v>1152</v>
      </c>
    </row>
    <row r="13" spans="2:18" x14ac:dyDescent="0.45">
      <c r="B13" s="61"/>
      <c r="C13" t="s">
        <v>543</v>
      </c>
      <c r="F13" s="32">
        <v>2</v>
      </c>
      <c r="G13" s="32">
        <v>2</v>
      </c>
      <c r="H13" s="643"/>
      <c r="I13" s="402">
        <v>15.06</v>
      </c>
      <c r="J13" s="409">
        <f t="shared" ref="J13:J15" si="2">F13*H$12*I13*G13</f>
        <v>240.96</v>
      </c>
      <c r="K13" s="413">
        <v>12</v>
      </c>
      <c r="L13" s="413">
        <f t="shared" ref="L13:L15" si="3">F13*H$12*K13*G13</f>
        <v>192</v>
      </c>
      <c r="N13" s="14" t="s">
        <v>563</v>
      </c>
      <c r="O13" s="61">
        <v>8</v>
      </c>
      <c r="P13" s="61">
        <v>12</v>
      </c>
      <c r="Q13" s="413">
        <f>K7</f>
        <v>12</v>
      </c>
      <c r="R13" s="413">
        <f>O13*P13*Q13</f>
        <v>1152</v>
      </c>
    </row>
    <row r="14" spans="2:18" x14ac:dyDescent="0.45">
      <c r="B14" s="61"/>
      <c r="C14" t="s">
        <v>560</v>
      </c>
      <c r="F14" s="32">
        <v>1</v>
      </c>
      <c r="G14" s="32">
        <v>2</v>
      </c>
      <c r="H14" s="643"/>
      <c r="I14" s="402">
        <v>15.06</v>
      </c>
      <c r="J14" s="409">
        <f t="shared" si="2"/>
        <v>120.48</v>
      </c>
      <c r="K14" s="413">
        <v>12</v>
      </c>
      <c r="L14" s="413">
        <f t="shared" si="3"/>
        <v>96</v>
      </c>
      <c r="N14" s="8"/>
      <c r="O14" s="6"/>
      <c r="P14" s="6"/>
      <c r="Q14" s="6"/>
      <c r="R14" s="417">
        <f>SUM(R11:R13)</f>
        <v>2304</v>
      </c>
    </row>
    <row r="15" spans="2:18" x14ac:dyDescent="0.45">
      <c r="B15" s="61"/>
      <c r="C15" t="s">
        <v>559</v>
      </c>
      <c r="F15" s="32">
        <v>4</v>
      </c>
      <c r="G15" s="32">
        <v>1</v>
      </c>
      <c r="H15" s="644"/>
      <c r="I15" s="402">
        <v>15.06</v>
      </c>
      <c r="J15" s="409">
        <f t="shared" si="2"/>
        <v>240.96</v>
      </c>
      <c r="K15" s="413">
        <v>12</v>
      </c>
      <c r="L15" s="413">
        <f t="shared" si="3"/>
        <v>192</v>
      </c>
      <c r="N15" s="7" t="s">
        <v>384</v>
      </c>
      <c r="O15" s="5"/>
      <c r="P15" s="5"/>
      <c r="Q15" s="5"/>
      <c r="R15" s="5"/>
    </row>
    <row r="16" spans="2:18" x14ac:dyDescent="0.45">
      <c r="B16" s="403"/>
      <c r="C16" s="405"/>
      <c r="D16" s="405"/>
      <c r="E16" s="405"/>
      <c r="F16" s="641">
        <f>F12*G12+F13*G13+F14*G14+F15*G15</f>
        <v>16</v>
      </c>
      <c r="G16" s="641"/>
      <c r="H16" s="425">
        <f>F16*H12</f>
        <v>64</v>
      </c>
      <c r="I16" s="424" t="s">
        <v>561</v>
      </c>
      <c r="J16" s="410"/>
      <c r="K16" s="414"/>
      <c r="L16" s="414"/>
      <c r="N16" s="14"/>
      <c r="O16" s="61"/>
      <c r="P16" s="61"/>
      <c r="Q16" s="413"/>
      <c r="R16" s="413"/>
    </row>
    <row r="17" spans="2:18" ht="42.75" customHeight="1" x14ac:dyDescent="0.45">
      <c r="B17" s="412" t="s">
        <v>539</v>
      </c>
      <c r="C17" s="9" t="s">
        <v>542</v>
      </c>
      <c r="D17" s="9"/>
      <c r="E17" s="9"/>
      <c r="F17" s="1">
        <v>3</v>
      </c>
      <c r="G17" s="1">
        <v>1</v>
      </c>
      <c r="H17" s="642">
        <v>4</v>
      </c>
      <c r="I17" s="407">
        <v>17.39</v>
      </c>
      <c r="J17" s="408">
        <f>F17*H$17*I17*G17</f>
        <v>208.68</v>
      </c>
      <c r="K17" s="413">
        <v>14</v>
      </c>
      <c r="L17" s="413">
        <f>F17*H$17*K17*G17</f>
        <v>168</v>
      </c>
      <c r="N17" s="14" t="s">
        <v>554</v>
      </c>
      <c r="O17" s="61">
        <v>10</v>
      </c>
      <c r="P17" s="61">
        <v>4</v>
      </c>
      <c r="Q17" s="413">
        <f>K17</f>
        <v>14</v>
      </c>
      <c r="R17" s="413">
        <f>O17*P17*Q17</f>
        <v>560</v>
      </c>
    </row>
    <row r="18" spans="2:18" x14ac:dyDescent="0.45">
      <c r="B18" s="61"/>
      <c r="C18" t="s">
        <v>543</v>
      </c>
      <c r="F18" s="32">
        <v>2</v>
      </c>
      <c r="G18" s="32">
        <v>1</v>
      </c>
      <c r="H18" s="643"/>
      <c r="I18" s="402">
        <v>16.61</v>
      </c>
      <c r="J18" s="409">
        <f t="shared" ref="J18:J20" si="4">F18*H$17*I18*G18</f>
        <v>132.88</v>
      </c>
      <c r="K18" s="413">
        <v>14</v>
      </c>
      <c r="L18" s="413">
        <f t="shared" ref="L18:L20" si="5">F18*H$17*K18*G18</f>
        <v>112</v>
      </c>
      <c r="N18" s="8"/>
      <c r="O18" s="6"/>
      <c r="P18" s="6"/>
      <c r="Q18" s="6"/>
      <c r="R18" s="417">
        <f>SUM(R16:R17)</f>
        <v>560</v>
      </c>
    </row>
    <row r="19" spans="2:18" x14ac:dyDescent="0.45">
      <c r="B19" s="61"/>
      <c r="C19" t="s">
        <v>560</v>
      </c>
      <c r="F19" s="32">
        <v>1</v>
      </c>
      <c r="G19" s="32">
        <v>1</v>
      </c>
      <c r="H19" s="643"/>
      <c r="I19" s="402">
        <v>16.61</v>
      </c>
      <c r="J19" s="409">
        <f t="shared" si="4"/>
        <v>66.44</v>
      </c>
      <c r="K19" s="413">
        <v>14</v>
      </c>
      <c r="L19" s="413">
        <f t="shared" si="5"/>
        <v>56</v>
      </c>
      <c r="N19" s="21"/>
      <c r="O19" s="405"/>
      <c r="P19" s="405"/>
      <c r="Q19" s="405"/>
      <c r="R19" s="423">
        <f>R10+R14+R18</f>
        <v>5168</v>
      </c>
    </row>
    <row r="20" spans="2:18" x14ac:dyDescent="0.45">
      <c r="B20" s="61"/>
      <c r="C20" t="s">
        <v>559</v>
      </c>
      <c r="D20" s="11"/>
      <c r="E20" s="11"/>
      <c r="F20" s="32">
        <v>4</v>
      </c>
      <c r="G20" s="32">
        <v>1</v>
      </c>
      <c r="H20" s="644"/>
      <c r="I20" s="402">
        <f>I19</f>
        <v>16.61</v>
      </c>
      <c r="J20" s="409">
        <f t="shared" si="4"/>
        <v>265.76</v>
      </c>
      <c r="K20" s="415">
        <v>14</v>
      </c>
      <c r="L20" s="415">
        <f t="shared" si="5"/>
        <v>224</v>
      </c>
    </row>
    <row r="21" spans="2:18" x14ac:dyDescent="0.45">
      <c r="B21" s="403"/>
      <c r="C21" s="405"/>
      <c r="D21" s="405"/>
      <c r="E21" s="405"/>
      <c r="F21" s="641">
        <f>F17*G17+F18*G18+F19*G19+F20*G20</f>
        <v>10</v>
      </c>
      <c r="G21" s="641"/>
      <c r="H21" s="425">
        <f>F21*H17</f>
        <v>40</v>
      </c>
      <c r="I21" s="405" t="s">
        <v>561</v>
      </c>
      <c r="J21" s="403"/>
      <c r="K21" s="21"/>
      <c r="L21" s="416"/>
    </row>
    <row r="22" spans="2:18" x14ac:dyDescent="0.45">
      <c r="B22" s="403"/>
      <c r="C22" s="405" t="s">
        <v>555</v>
      </c>
      <c r="D22" s="405"/>
      <c r="E22" s="405"/>
      <c r="F22" s="422"/>
      <c r="G22" s="422"/>
      <c r="H22" s="405">
        <f>H11+H16+H21</f>
        <v>424</v>
      </c>
      <c r="I22" s="405" t="s">
        <v>561</v>
      </c>
      <c r="J22" s="411">
        <f>SUM(J7:J21)</f>
        <v>6570.5599999999995</v>
      </c>
      <c r="K22" s="403"/>
      <c r="L22" s="417">
        <f>SUM(L7:L21)</f>
        <v>5168</v>
      </c>
    </row>
    <row r="24" spans="2:18" x14ac:dyDescent="0.45">
      <c r="K24" s="419" t="s">
        <v>551</v>
      </c>
      <c r="L24" s="411">
        <f>J22-L22</f>
        <v>1402.5599999999995</v>
      </c>
      <c r="M24" s="420">
        <f>L24/J22</f>
        <v>0.21346125748794617</v>
      </c>
    </row>
    <row r="25" spans="2:18" x14ac:dyDescent="0.45">
      <c r="K25" t="s">
        <v>550</v>
      </c>
      <c r="L25" s="418">
        <f>500*1</f>
        <v>500</v>
      </c>
    </row>
    <row r="26" spans="2:18" x14ac:dyDescent="0.45">
      <c r="K26" s="419" t="s">
        <v>549</v>
      </c>
      <c r="L26" s="411">
        <f>L24-L25</f>
        <v>902.55999999999949</v>
      </c>
      <c r="M26" s="426">
        <f>L26/J22</f>
        <v>0.13736424292602145</v>
      </c>
    </row>
  </sheetData>
  <mergeCells count="6">
    <mergeCell ref="F11:G11"/>
    <mergeCell ref="F16:G16"/>
    <mergeCell ref="F21:G21"/>
    <mergeCell ref="H7:H10"/>
    <mergeCell ref="H12:H15"/>
    <mergeCell ref="H17:H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8B67-2F51-480F-A74F-AA01FD45523A}">
  <sheetPr filterMode="1">
    <pageSetUpPr fitToPage="1"/>
  </sheetPr>
  <dimension ref="A1:S54"/>
  <sheetViews>
    <sheetView showGridLines="0" topLeftCell="A4" workbookViewId="0">
      <selection activeCell="A6" sqref="A6:N41"/>
    </sheetView>
  </sheetViews>
  <sheetFormatPr baseColWidth="10" defaultColWidth="10.796875" defaultRowHeight="14.25" outlineLevelCol="1" x14ac:dyDescent="0.45"/>
  <cols>
    <col min="1" max="1" width="11.796875" style="137" customWidth="1"/>
    <col min="2" max="2" width="11" style="137" customWidth="1"/>
    <col min="3" max="3" width="10.796875" style="137" customWidth="1" outlineLevel="1"/>
    <col min="4" max="4" width="28.9296875" style="137" customWidth="1" outlineLevel="1"/>
    <col min="5" max="5" width="11.86328125" style="137" customWidth="1" outlineLevel="1"/>
    <col min="6" max="6" width="10.796875" style="137"/>
    <col min="7" max="8" width="10.796875" style="137" customWidth="1"/>
    <col min="9" max="9" width="10.796875" style="137"/>
    <col min="10" max="11" width="10.796875" style="137" hidden="1" customWidth="1"/>
    <col min="12" max="12" width="10.796875" style="137" customWidth="1"/>
    <col min="13" max="13" width="13.1328125" style="137" customWidth="1"/>
    <col min="14" max="14" width="34.796875" style="137" customWidth="1"/>
    <col min="15" max="18" width="10.796875" style="137" customWidth="1"/>
    <col min="19" max="16384" width="10.796875" style="137"/>
  </cols>
  <sheetData>
    <row r="1" spans="1:19" x14ac:dyDescent="0.45">
      <c r="G1" s="137" t="s">
        <v>658</v>
      </c>
    </row>
    <row r="2" spans="1:19" ht="23.25" x14ac:dyDescent="0.45">
      <c r="A2" s="137" t="s">
        <v>18</v>
      </c>
      <c r="B2" s="260" t="s">
        <v>414</v>
      </c>
      <c r="C2" s="241"/>
      <c r="D2" s="241"/>
      <c r="E2" s="241"/>
    </row>
    <row r="3" spans="1:19" ht="22.5" hidden="1" customHeight="1" x14ac:dyDescent="0.45">
      <c r="A3" s="137" t="s">
        <v>14</v>
      </c>
      <c r="B3" s="615">
        <v>45627</v>
      </c>
      <c r="C3" s="616"/>
      <c r="D3" s="616"/>
      <c r="E3" s="252"/>
      <c r="F3" s="252"/>
      <c r="G3" s="252"/>
      <c r="H3" s="252"/>
      <c r="I3" s="140"/>
    </row>
    <row r="4" spans="1:19" ht="28.5" customHeight="1" x14ac:dyDescent="0.45">
      <c r="A4" s="137" t="s">
        <v>13</v>
      </c>
      <c r="B4" s="320" t="str">
        <f>VLOOKUP(B2,'Liste chauffeur'!$B$5:$L$19,2,TRUE)&amp;" "&amp;VLOOKUP(B2,'Liste chauffeur'!$B$5:$L$19,3,TRUE)</f>
        <v>ATTOUMANI Kamaldine</v>
      </c>
      <c r="C4" s="254"/>
      <c r="D4" s="254"/>
      <c r="E4" s="254"/>
      <c r="F4" s="139"/>
      <c r="G4" s="139"/>
      <c r="H4" s="139"/>
      <c r="I4" s="140"/>
      <c r="K4" s="279"/>
    </row>
    <row r="6" spans="1:19" x14ac:dyDescent="0.45">
      <c r="A6" s="141"/>
      <c r="B6" s="142"/>
      <c r="C6" s="142"/>
      <c r="D6" s="142"/>
      <c r="E6" s="142"/>
      <c r="F6" s="142"/>
      <c r="G6" s="142"/>
      <c r="H6" s="142"/>
      <c r="I6" s="142"/>
      <c r="J6" s="645" t="s">
        <v>2</v>
      </c>
      <c r="K6" s="646"/>
      <c r="L6" s="319"/>
      <c r="M6" s="319" t="s">
        <v>337</v>
      </c>
      <c r="N6" s="294"/>
      <c r="O6" s="294"/>
      <c r="P6" s="294"/>
      <c r="Q6" s="294">
        <v>8</v>
      </c>
      <c r="R6" s="294"/>
    </row>
    <row r="7" spans="1:19" ht="63" x14ac:dyDescent="0.45">
      <c r="A7" s="297" t="s">
        <v>534</v>
      </c>
      <c r="B7" s="298" t="s">
        <v>0</v>
      </c>
      <c r="C7" s="298" t="s">
        <v>332</v>
      </c>
      <c r="D7" s="298" t="s">
        <v>333</v>
      </c>
      <c r="E7" s="298" t="s">
        <v>535</v>
      </c>
      <c r="F7" s="298" t="s">
        <v>1</v>
      </c>
      <c r="G7" s="298" t="s">
        <v>334</v>
      </c>
      <c r="H7" s="298" t="s">
        <v>335</v>
      </c>
      <c r="I7" s="298" t="s">
        <v>23</v>
      </c>
      <c r="J7" s="299" t="s">
        <v>127</v>
      </c>
      <c r="K7" s="299" t="s">
        <v>325</v>
      </c>
      <c r="L7" s="300" t="s">
        <v>22</v>
      </c>
      <c r="M7" s="298" t="s">
        <v>17</v>
      </c>
      <c r="N7" s="301" t="s">
        <v>12</v>
      </c>
      <c r="O7" s="297" t="s">
        <v>20</v>
      </c>
      <c r="P7" s="302" t="s">
        <v>38</v>
      </c>
      <c r="Q7" s="302" t="s">
        <v>39</v>
      </c>
      <c r="R7" s="302" t="s">
        <v>40</v>
      </c>
      <c r="S7" s="297"/>
    </row>
    <row r="8" spans="1:19" ht="33" customHeight="1" x14ac:dyDescent="0.45">
      <c r="A8" s="344" t="str">
        <f>'Horaire dimanche2'!A8</f>
        <v>CHM</v>
      </c>
      <c r="B8" s="345">
        <f>'Horaire dimanche2'!E8</f>
        <v>0.2326388888888889</v>
      </c>
      <c r="C8" s="345" t="str">
        <f>'Horaire dimanche2'!H8</f>
        <v>H1</v>
      </c>
      <c r="D8" s="304" t="str">
        <f>VLOOKUP(C8,'Liste chauffeur'!$B$5:$L$19,2,TRUE)&amp;" "&amp;VLOOKUP(C8,'Liste chauffeur'!$B$5:$L$19,3,TRUE)</f>
        <v>CHADHOULI Houmadi</v>
      </c>
      <c r="E8" s="377" t="str">
        <f>'Horaire dimanche2'!C8</f>
        <v>13 ARRETS</v>
      </c>
      <c r="F8" s="362"/>
      <c r="G8" s="368">
        <f t="shared" ref="G8:G17" si="0">COUNTBLANK(F8)</f>
        <v>1</v>
      </c>
      <c r="H8" s="363"/>
      <c r="I8" s="362"/>
      <c r="J8" s="364"/>
      <c r="K8" s="364"/>
      <c r="L8" s="365"/>
      <c r="M8" s="362"/>
      <c r="N8" s="366"/>
      <c r="O8" s="307" t="str">
        <f t="shared" ref="O8:O16" si="1">IF(G8=1,"",M8-F8)</f>
        <v/>
      </c>
      <c r="P8" s="306">
        <f t="shared" ref="P8:P17" si="2">I8+K8-J8</f>
        <v>0</v>
      </c>
      <c r="Q8" s="306">
        <f t="shared" ref="Q8:Q17" si="3">IF(G8=1,0,Q$6)</f>
        <v>0</v>
      </c>
      <c r="R8" s="308">
        <f t="shared" ref="R8:R35" si="4">IF(Q8=0,0,P8/Q8)</f>
        <v>0</v>
      </c>
      <c r="S8" s="297"/>
    </row>
    <row r="9" spans="1:19" ht="29" hidden="1" customHeight="1" x14ac:dyDescent="0.45">
      <c r="A9" s="344" t="str">
        <f>'Horaire dimanche2'!A9</f>
        <v>CHM</v>
      </c>
      <c r="B9" s="345">
        <f>'Horaire dimanche2'!E9</f>
        <v>0.25</v>
      </c>
      <c r="C9" s="345" t="str">
        <f>'Horaire dimanche2'!H9</f>
        <v>H3</v>
      </c>
      <c r="D9" s="304" t="str">
        <f>VLOOKUP(C9,'Liste chauffeur'!$B$5:$L$19,2,TRUE)&amp;" "&amp;VLOOKUP(C9,'Liste chauffeur'!$B$5:$L$19,3,TRUE)</f>
        <v>SAID ALI Kamile</v>
      </c>
      <c r="E9" s="377" t="str">
        <f>'Horaire dimanche2'!C9</f>
        <v>13 ARRETS</v>
      </c>
      <c r="F9" s="362"/>
      <c r="G9" s="368">
        <f t="shared" si="0"/>
        <v>1</v>
      </c>
      <c r="H9" s="363"/>
      <c r="I9" s="362"/>
      <c r="J9" s="364"/>
      <c r="K9" s="364"/>
      <c r="L9" s="365"/>
      <c r="M9" s="362"/>
      <c r="N9" s="366"/>
      <c r="O9" s="307" t="str">
        <f t="shared" si="1"/>
        <v/>
      </c>
      <c r="P9" s="306">
        <f t="shared" si="2"/>
        <v>0</v>
      </c>
      <c r="Q9" s="306">
        <f t="shared" si="3"/>
        <v>0</v>
      </c>
      <c r="R9" s="308">
        <f t="shared" si="4"/>
        <v>0</v>
      </c>
      <c r="S9" s="297"/>
    </row>
    <row r="10" spans="1:19" ht="35.25" customHeight="1" x14ac:dyDescent="0.45">
      <c r="A10" s="344" t="str">
        <f>'Horaire dimanche2'!A10</f>
        <v>CHM</v>
      </c>
      <c r="B10" s="345">
        <f>'Horaire dimanche2'!E10</f>
        <v>0.27083333333333331</v>
      </c>
      <c r="C10" s="345" t="str">
        <f>'Horaire dimanche2'!H10</f>
        <v>H1</v>
      </c>
      <c r="D10" s="304" t="str">
        <f>VLOOKUP(C10,'Liste chauffeur'!$B$5:$L$19,2,TRUE)&amp;" "&amp;VLOOKUP(C10,'Liste chauffeur'!$B$5:$L$19,3,TRUE)</f>
        <v>CHADHOULI Houmadi</v>
      </c>
      <c r="E10" s="377" t="str">
        <f>'Horaire dimanche2'!C10</f>
        <v>13 ARRETS</v>
      </c>
      <c r="F10" s="362"/>
      <c r="G10" s="368">
        <f t="shared" si="0"/>
        <v>1</v>
      </c>
      <c r="H10" s="363"/>
      <c r="I10" s="362"/>
      <c r="J10" s="364"/>
      <c r="K10" s="364"/>
      <c r="L10" s="365"/>
      <c r="M10" s="362"/>
      <c r="N10" s="366"/>
      <c r="O10" s="307" t="str">
        <f t="shared" si="1"/>
        <v/>
      </c>
      <c r="P10" s="306">
        <f t="shared" si="2"/>
        <v>0</v>
      </c>
      <c r="Q10" s="306">
        <f t="shared" si="3"/>
        <v>0</v>
      </c>
      <c r="R10" s="308">
        <f t="shared" si="4"/>
        <v>0</v>
      </c>
      <c r="S10" s="297"/>
    </row>
    <row r="11" spans="1:19" ht="40.049999999999997" hidden="1" customHeight="1" x14ac:dyDescent="0.45">
      <c r="A11" s="344" t="str">
        <f>'Horaire dimanche2'!A11</f>
        <v>LA BARGE</v>
      </c>
      <c r="B11" s="345">
        <f>'Horaire dimanche2'!E11</f>
        <v>0.27083333333333331</v>
      </c>
      <c r="C11" s="345" t="str">
        <f>'Horaire dimanche2'!H11</f>
        <v>H3</v>
      </c>
      <c r="D11" s="304" t="str">
        <f>VLOOKUP(C11,'Liste chauffeur'!$B$5:$L$19,2,TRUE)&amp;" "&amp;VLOOKUP(C11,'Liste chauffeur'!$B$5:$L$19,3,TRUE)</f>
        <v>SAID ALI Kamile</v>
      </c>
      <c r="E11" s="377" t="str">
        <f>'Horaire dimanche2'!C11</f>
        <v>DIRECT</v>
      </c>
      <c r="F11" s="367"/>
      <c r="G11" s="368">
        <f t="shared" si="0"/>
        <v>1</v>
      </c>
      <c r="H11" s="368"/>
      <c r="I11" s="369"/>
      <c r="J11" s="369"/>
      <c r="K11" s="369"/>
      <c r="L11" s="369"/>
      <c r="M11" s="367"/>
      <c r="N11" s="370"/>
      <c r="O11" s="307" t="str">
        <f t="shared" si="1"/>
        <v/>
      </c>
      <c r="P11" s="306">
        <f t="shared" si="2"/>
        <v>0</v>
      </c>
      <c r="Q11" s="306">
        <f t="shared" si="3"/>
        <v>0</v>
      </c>
      <c r="R11" s="308">
        <f t="shared" si="4"/>
        <v>0</v>
      </c>
      <c r="S11" s="297"/>
    </row>
    <row r="12" spans="1:19" ht="40.049999999999997" customHeight="1" x14ac:dyDescent="0.45">
      <c r="A12" s="344" t="str">
        <f>'Horaire dimanche2'!A12</f>
        <v>CHM</v>
      </c>
      <c r="B12" s="345">
        <f>'Horaire dimanche2'!E12</f>
        <v>0.28819444444444442</v>
      </c>
      <c r="C12" s="345" t="str">
        <f>'Horaire dimanche2'!H12</f>
        <v>H1</v>
      </c>
      <c r="D12" s="304" t="str">
        <f>VLOOKUP(C12,'Liste chauffeur'!$B$5:$L$19,2,TRUE)&amp;" "&amp;VLOOKUP(C12,'Liste chauffeur'!$B$5:$L$19,3,TRUE)</f>
        <v>CHADHOULI Houmadi</v>
      </c>
      <c r="E12" s="377" t="str">
        <f>'Horaire dimanche2'!C12</f>
        <v>DIRECT</v>
      </c>
      <c r="F12" s="367"/>
      <c r="G12" s="368">
        <f t="shared" si="0"/>
        <v>1</v>
      </c>
      <c r="H12" s="368"/>
      <c r="I12" s="369"/>
      <c r="J12" s="369"/>
      <c r="K12" s="369"/>
      <c r="L12" s="369"/>
      <c r="M12" s="367"/>
      <c r="N12" s="370"/>
      <c r="O12" s="307" t="str">
        <f t="shared" si="1"/>
        <v/>
      </c>
      <c r="P12" s="306">
        <f t="shared" si="2"/>
        <v>0</v>
      </c>
      <c r="Q12" s="306">
        <f t="shared" si="3"/>
        <v>0</v>
      </c>
      <c r="R12" s="309">
        <f t="shared" si="4"/>
        <v>0</v>
      </c>
      <c r="S12" s="297"/>
    </row>
    <row r="13" spans="1:19" ht="40.049999999999997" hidden="1" customHeight="1" x14ac:dyDescent="0.45">
      <c r="A13" s="344" t="str">
        <f>'Horaire dimanche2'!A13</f>
        <v>LA BARGE</v>
      </c>
      <c r="B13" s="345">
        <f>'Horaire dimanche2'!E13</f>
        <v>0.2951388888888889</v>
      </c>
      <c r="C13" s="345" t="str">
        <f>'Horaire dimanche2'!H13</f>
        <v>H3</v>
      </c>
      <c r="D13" s="304" t="str">
        <f>VLOOKUP(C13,'Liste chauffeur'!$B$5:$L$19,2,TRUE)&amp;" "&amp;VLOOKUP(C13,'Liste chauffeur'!$B$5:$L$19,3,TRUE)</f>
        <v>SAID ALI Kamile</v>
      </c>
      <c r="E13" s="377" t="str">
        <f>'Horaire dimanche2'!C13</f>
        <v>DIRECT</v>
      </c>
      <c r="F13" s="367"/>
      <c r="G13" s="368">
        <f t="shared" si="0"/>
        <v>1</v>
      </c>
      <c r="H13" s="368"/>
      <c r="I13" s="369"/>
      <c r="J13" s="369"/>
      <c r="K13" s="369"/>
      <c r="L13" s="369"/>
      <c r="M13" s="367"/>
      <c r="N13" s="370"/>
      <c r="O13" s="307" t="str">
        <f t="shared" si="1"/>
        <v/>
      </c>
      <c r="P13" s="306">
        <f t="shared" si="2"/>
        <v>0</v>
      </c>
      <c r="Q13" s="306">
        <f t="shared" si="3"/>
        <v>0</v>
      </c>
      <c r="R13" s="309">
        <f t="shared" si="4"/>
        <v>0</v>
      </c>
      <c r="S13" s="297"/>
    </row>
    <row r="14" spans="1:19" ht="32.25" hidden="1" customHeight="1" x14ac:dyDescent="0.45">
      <c r="A14" s="344" t="str">
        <f>'Horaire dimanche2'!A14</f>
        <v>LA BARGE</v>
      </c>
      <c r="B14" s="345">
        <f>'Horaire dimanche2'!E14</f>
        <v>0.3125</v>
      </c>
      <c r="C14" s="345" t="str">
        <f>'Horaire dimanche2'!H14</f>
        <v>H5</v>
      </c>
      <c r="D14" s="304" t="str">
        <f>VLOOKUP(C14,'Liste chauffeur'!$B$5:$L$19,2,TRUE)&amp;" "&amp;VLOOKUP(C14,'Liste chauffeur'!$B$5:$L$19,3,TRUE)</f>
        <v>ATTOUMANI Kamaldine</v>
      </c>
      <c r="E14" s="377" t="str">
        <f>'Horaire dimanche2'!C14</f>
        <v>DIRECT</v>
      </c>
      <c r="F14" s="367"/>
      <c r="G14" s="368">
        <f t="shared" si="0"/>
        <v>1</v>
      </c>
      <c r="H14" s="368"/>
      <c r="I14" s="369"/>
      <c r="J14" s="369"/>
      <c r="K14" s="369"/>
      <c r="L14" s="369"/>
      <c r="M14" s="367"/>
      <c r="N14" s="370"/>
      <c r="O14" s="307" t="str">
        <f t="shared" si="1"/>
        <v/>
      </c>
      <c r="P14" s="306">
        <f t="shared" si="2"/>
        <v>0</v>
      </c>
      <c r="Q14" s="306">
        <f t="shared" si="3"/>
        <v>0</v>
      </c>
      <c r="R14" s="309">
        <f t="shared" si="4"/>
        <v>0</v>
      </c>
      <c r="S14" s="297"/>
    </row>
    <row r="15" spans="1:19" ht="40.049999999999997" hidden="1" customHeight="1" x14ac:dyDescent="0.45">
      <c r="A15" s="344" t="str">
        <f>'Horaire dimanche2'!A15</f>
        <v>LA BARGE</v>
      </c>
      <c r="B15" s="345">
        <f>'Horaire dimanche2'!E15</f>
        <v>0.3263888888888889</v>
      </c>
      <c r="C15" s="345" t="str">
        <f>'Horaire dimanche2'!H15</f>
        <v>H5</v>
      </c>
      <c r="D15" s="304" t="str">
        <f>VLOOKUP(C15,'Liste chauffeur'!$B$5:$L$19,2,TRUE)&amp;" "&amp;VLOOKUP(C15,'Liste chauffeur'!$B$5:$L$19,3,TRUE)</f>
        <v>ATTOUMANI Kamaldine</v>
      </c>
      <c r="E15" s="377" t="str">
        <f>'Horaire dimanche2'!C15</f>
        <v>DIRECT</v>
      </c>
      <c r="F15" s="367"/>
      <c r="G15" s="368">
        <f t="shared" si="0"/>
        <v>1</v>
      </c>
      <c r="H15" s="368"/>
      <c r="I15" s="369"/>
      <c r="J15" s="369"/>
      <c r="K15" s="369"/>
      <c r="L15" s="369"/>
      <c r="M15" s="367"/>
      <c r="N15" s="370"/>
      <c r="O15" s="307" t="str">
        <f t="shared" si="1"/>
        <v/>
      </c>
      <c r="P15" s="306">
        <f t="shared" si="2"/>
        <v>0</v>
      </c>
      <c r="Q15" s="306">
        <f t="shared" si="3"/>
        <v>0</v>
      </c>
      <c r="R15" s="309">
        <f t="shared" si="4"/>
        <v>0</v>
      </c>
      <c r="S15" s="297"/>
    </row>
    <row r="16" spans="1:19" ht="40.049999999999997" hidden="1" customHeight="1" x14ac:dyDescent="0.45">
      <c r="A16" s="344"/>
      <c r="B16" s="579" t="s">
        <v>666</v>
      </c>
      <c r="C16" s="345"/>
      <c r="D16" s="304"/>
      <c r="E16" s="377"/>
      <c r="F16" s="367"/>
      <c r="G16" s="368">
        <f t="shared" si="0"/>
        <v>1</v>
      </c>
      <c r="H16" s="368"/>
      <c r="I16" s="369"/>
      <c r="J16" s="369"/>
      <c r="K16" s="369"/>
      <c r="L16" s="369"/>
      <c r="M16" s="367"/>
      <c r="N16" s="370"/>
      <c r="O16" s="307" t="str">
        <f t="shared" si="1"/>
        <v/>
      </c>
      <c r="P16" s="306">
        <f t="shared" si="2"/>
        <v>0</v>
      </c>
      <c r="Q16" s="306">
        <f t="shared" si="3"/>
        <v>0</v>
      </c>
      <c r="R16" s="309">
        <f t="shared" si="4"/>
        <v>0</v>
      </c>
      <c r="S16" s="297"/>
    </row>
    <row r="17" spans="1:19" ht="40.049999999999997" hidden="1" customHeight="1" x14ac:dyDescent="0.45">
      <c r="A17" s="344"/>
      <c r="B17" s="579" t="s">
        <v>666</v>
      </c>
      <c r="C17" s="345"/>
      <c r="D17" s="304"/>
      <c r="E17" s="377"/>
      <c r="F17" s="367"/>
      <c r="G17" s="368">
        <f t="shared" si="0"/>
        <v>1</v>
      </c>
      <c r="H17" s="368"/>
      <c r="I17" s="369"/>
      <c r="J17" s="369"/>
      <c r="K17" s="369"/>
      <c r="L17" s="369"/>
      <c r="M17" s="367"/>
      <c r="N17" s="370"/>
      <c r="O17" s="307"/>
      <c r="P17" s="306">
        <f t="shared" si="2"/>
        <v>0</v>
      </c>
      <c r="Q17" s="306">
        <f t="shared" si="3"/>
        <v>0</v>
      </c>
      <c r="R17" s="309">
        <f t="shared" si="4"/>
        <v>0</v>
      </c>
      <c r="S17" s="297"/>
    </row>
    <row r="18" spans="1:19" ht="26" hidden="1" customHeight="1" x14ac:dyDescent="0.45">
      <c r="A18" s="310">
        <f>'Horaire dimanche'!A18</f>
        <v>0</v>
      </c>
      <c r="B18" s="310">
        <f>'Horaire dimanche'!E18</f>
        <v>0</v>
      </c>
      <c r="C18" s="310">
        <f>'Horaire dimanche'!H18</f>
        <v>0</v>
      </c>
      <c r="D18" s="310" t="e">
        <f>VLOOKUP(C18,'Liste chauffeur'!$B$5:$L$19,2,TRUE)&amp;" "&amp;VLOOKUP(C18,'Liste chauffeur'!$B$5:$L$19,3,TRUE)</f>
        <v>#N/A</v>
      </c>
      <c r="E18" s="295">
        <f>'Horaire dimanche'!C18</f>
        <v>0</v>
      </c>
      <c r="F18" s="311"/>
      <c r="G18" s="348">
        <f>SUM(G8:G17)</f>
        <v>10</v>
      </c>
      <c r="H18" s="348">
        <f>SUM(H8:H17)</f>
        <v>0</v>
      </c>
      <c r="I18" s="310"/>
      <c r="J18" s="310"/>
      <c r="K18" s="310"/>
      <c r="L18" s="295"/>
      <c r="M18" s="311"/>
      <c r="N18" s="310"/>
      <c r="O18" s="312" t="e">
        <f>AVERAGE(O8:O17)</f>
        <v>#DIV/0!</v>
      </c>
      <c r="P18" s="295">
        <f>SUM(P8:P17)</f>
        <v>0</v>
      </c>
      <c r="Q18" s="295">
        <f>SUM(Q8:Q17)</f>
        <v>0</v>
      </c>
      <c r="R18" s="296" t="e">
        <f>P18/Q18</f>
        <v>#DIV/0!</v>
      </c>
      <c r="S18" s="297"/>
    </row>
    <row r="19" spans="1:19" ht="26" customHeight="1" x14ac:dyDescent="0.45">
      <c r="A19" s="344" t="str">
        <f>'Horaire dimanche2'!A16</f>
        <v>LA BARGE</v>
      </c>
      <c r="B19" s="345">
        <f>'Horaire dimanche2'!E16</f>
        <v>0.58333333333333337</v>
      </c>
      <c r="C19" s="345" t="str">
        <f>'Horaire dimanche2'!H16</f>
        <v>H1</v>
      </c>
      <c r="D19" s="304" t="str">
        <f>VLOOKUP(C19,'Liste chauffeur'!$B$5:$L$19,2,TRUE)&amp;" "&amp;VLOOKUP(C19,'Liste chauffeur'!$B$5:$L$19,3,TRUE)</f>
        <v>CHADHOULI Houmadi</v>
      </c>
      <c r="E19" s="377" t="str">
        <f>'Horaire dimanche2'!C16</f>
        <v>13 ARRETS</v>
      </c>
      <c r="F19" s="362"/>
      <c r="G19" s="368">
        <f t="shared" ref="G19:G33" si="5">COUNTBLANK(F19)</f>
        <v>1</v>
      </c>
      <c r="H19" s="363"/>
      <c r="I19" s="362"/>
      <c r="J19" s="364"/>
      <c r="K19" s="364"/>
      <c r="L19" s="365"/>
      <c r="M19" s="362"/>
      <c r="N19" s="366"/>
      <c r="O19" s="307" t="str">
        <f t="shared" ref="O19:O26" si="6">IF(G19=1,"",M19-F19)</f>
        <v/>
      </c>
      <c r="P19" s="306">
        <f t="shared" ref="P19:P26" si="7">I19+K19-J19</f>
        <v>0</v>
      </c>
      <c r="Q19" s="306">
        <f t="shared" ref="Q19:Q26" si="8">IF(G19=1,0,Q$6)</f>
        <v>0</v>
      </c>
      <c r="R19" s="308">
        <f t="shared" ref="R19:R33" si="9">IF(Q19=0,0,P19/Q19)</f>
        <v>0</v>
      </c>
      <c r="S19" s="297"/>
    </row>
    <row r="20" spans="1:19" ht="26" hidden="1" customHeight="1" x14ac:dyDescent="0.45">
      <c r="A20" s="344" t="str">
        <f>'Horaire dimanche2'!A17</f>
        <v>CHM</v>
      </c>
      <c r="B20" s="345">
        <f>'Horaire dimanche2'!E17</f>
        <v>0.58333333333333337</v>
      </c>
      <c r="C20" s="345" t="str">
        <f>'Horaire dimanche2'!H17</f>
        <v>H3</v>
      </c>
      <c r="D20" s="304" t="str">
        <f>VLOOKUP(C20,'Liste chauffeur'!$B$5:$L$19,2,TRUE)&amp;" "&amp;VLOOKUP(C20,'Liste chauffeur'!$B$5:$L$19,3,TRUE)</f>
        <v>SAID ALI Kamile</v>
      </c>
      <c r="E20" s="377" t="str">
        <f>'Horaire dimanche2'!C17</f>
        <v>DIRECT</v>
      </c>
      <c r="F20" s="362"/>
      <c r="G20" s="368">
        <f t="shared" si="5"/>
        <v>1</v>
      </c>
      <c r="H20" s="363"/>
      <c r="I20" s="362"/>
      <c r="J20" s="364"/>
      <c r="K20" s="364"/>
      <c r="L20" s="365"/>
      <c r="M20" s="362"/>
      <c r="N20" s="366"/>
      <c r="O20" s="307" t="str">
        <f t="shared" si="6"/>
        <v/>
      </c>
      <c r="P20" s="306">
        <f t="shared" si="7"/>
        <v>0</v>
      </c>
      <c r="Q20" s="306">
        <f t="shared" si="8"/>
        <v>0</v>
      </c>
      <c r="R20" s="308">
        <f t="shared" si="9"/>
        <v>0</v>
      </c>
      <c r="S20" s="297"/>
    </row>
    <row r="21" spans="1:19" ht="26" customHeight="1" x14ac:dyDescent="0.45">
      <c r="A21" s="344" t="str">
        <f>'Horaire dimanche2'!A18</f>
        <v>LA BARGE</v>
      </c>
      <c r="B21" s="345">
        <f>'Horaire dimanche2'!E18</f>
        <v>0.61458333333333337</v>
      </c>
      <c r="C21" s="345" t="str">
        <f>'Horaire dimanche2'!H18</f>
        <v>H1</v>
      </c>
      <c r="D21" s="304" t="str">
        <f>VLOOKUP(C21,'Liste chauffeur'!$B$5:$L$19,2,TRUE)&amp;" "&amp;VLOOKUP(C21,'Liste chauffeur'!$B$5:$L$19,3,TRUE)</f>
        <v>CHADHOULI Houmadi</v>
      </c>
      <c r="E21" s="377" t="str">
        <f>'Horaire dimanche2'!C18</f>
        <v>13 ARRETS</v>
      </c>
      <c r="F21" s="362"/>
      <c r="G21" s="368">
        <f t="shared" si="5"/>
        <v>1</v>
      </c>
      <c r="H21" s="363"/>
      <c r="I21" s="362"/>
      <c r="J21" s="364"/>
      <c r="K21" s="364"/>
      <c r="L21" s="365"/>
      <c r="M21" s="362"/>
      <c r="N21" s="366"/>
      <c r="O21" s="307" t="str">
        <f t="shared" si="6"/>
        <v/>
      </c>
      <c r="P21" s="306">
        <f t="shared" si="7"/>
        <v>0</v>
      </c>
      <c r="Q21" s="306">
        <f t="shared" si="8"/>
        <v>0</v>
      </c>
      <c r="R21" s="308">
        <f t="shared" si="9"/>
        <v>0</v>
      </c>
      <c r="S21" s="297"/>
    </row>
    <row r="22" spans="1:19" ht="26" hidden="1" customHeight="1" x14ac:dyDescent="0.45">
      <c r="A22" s="344" t="str">
        <f>'Horaire dimanche2'!A19</f>
        <v>CHM</v>
      </c>
      <c r="B22" s="345">
        <f>'Horaire dimanche2'!E19</f>
        <v>0.625</v>
      </c>
      <c r="C22" s="345" t="str">
        <f>'Horaire dimanche2'!H19</f>
        <v>H3</v>
      </c>
      <c r="D22" s="304" t="str">
        <f>VLOOKUP(C22,'Liste chauffeur'!$B$5:$L$19,2,TRUE)&amp;" "&amp;VLOOKUP(C22,'Liste chauffeur'!$B$5:$L$19,3,TRUE)</f>
        <v>SAID ALI Kamile</v>
      </c>
      <c r="E22" s="377" t="str">
        <f>'Horaire dimanche2'!C19</f>
        <v>DIRECT</v>
      </c>
      <c r="F22" s="367"/>
      <c r="G22" s="368">
        <f t="shared" si="5"/>
        <v>1</v>
      </c>
      <c r="H22" s="368"/>
      <c r="I22" s="369"/>
      <c r="J22" s="369"/>
      <c r="K22" s="369"/>
      <c r="L22" s="369"/>
      <c r="M22" s="367"/>
      <c r="N22" s="370"/>
      <c r="O22" s="307" t="str">
        <f t="shared" si="6"/>
        <v/>
      </c>
      <c r="P22" s="306">
        <f t="shared" si="7"/>
        <v>0</v>
      </c>
      <c r="Q22" s="306">
        <f t="shared" si="8"/>
        <v>0</v>
      </c>
      <c r="R22" s="308">
        <f t="shared" si="9"/>
        <v>0</v>
      </c>
      <c r="S22" s="297"/>
    </row>
    <row r="23" spans="1:19" ht="26" customHeight="1" x14ac:dyDescent="0.45">
      <c r="A23" s="344" t="str">
        <f>'Horaire dimanche2'!A20</f>
        <v>LA BARGE</v>
      </c>
      <c r="B23" s="345">
        <f>'Horaire dimanche2'!E20</f>
        <v>0.63888888888888884</v>
      </c>
      <c r="C23" s="345" t="str">
        <f>'Horaire dimanche2'!H20</f>
        <v>H1</v>
      </c>
      <c r="D23" s="304" t="str">
        <f>VLOOKUP(C23,'Liste chauffeur'!$B$5:$L$19,2,TRUE)&amp;" "&amp;VLOOKUP(C23,'Liste chauffeur'!$B$5:$L$19,3,TRUE)</f>
        <v>CHADHOULI Houmadi</v>
      </c>
      <c r="E23" s="377" t="str">
        <f>'Horaire dimanche2'!C20</f>
        <v>13 ARRETS</v>
      </c>
      <c r="F23" s="367"/>
      <c r="G23" s="368">
        <f t="shared" si="5"/>
        <v>1</v>
      </c>
      <c r="H23" s="368"/>
      <c r="I23" s="369"/>
      <c r="J23" s="369"/>
      <c r="K23" s="369"/>
      <c r="L23" s="369"/>
      <c r="M23" s="367"/>
      <c r="N23" s="370"/>
      <c r="O23" s="307" t="str">
        <f t="shared" si="6"/>
        <v/>
      </c>
      <c r="P23" s="306">
        <f t="shared" si="7"/>
        <v>0</v>
      </c>
      <c r="Q23" s="306">
        <f t="shared" si="8"/>
        <v>0</v>
      </c>
      <c r="R23" s="309">
        <f t="shared" si="9"/>
        <v>0</v>
      </c>
      <c r="S23" s="297"/>
    </row>
    <row r="24" spans="1:19" ht="26" hidden="1" customHeight="1" x14ac:dyDescent="0.45">
      <c r="A24" s="344" t="str">
        <f>'Horaire dimanche2'!A21</f>
        <v>LA BARGE</v>
      </c>
      <c r="B24" s="345">
        <f>'Horaire dimanche2'!E21</f>
        <v>0.65972222222222221</v>
      </c>
      <c r="C24" s="345" t="str">
        <f>'Horaire dimanche2'!H21</f>
        <v>H5</v>
      </c>
      <c r="D24" s="304" t="str">
        <f>VLOOKUP(C24,'Liste chauffeur'!$B$5:$L$19,2,TRUE)&amp;" "&amp;VLOOKUP(C24,'Liste chauffeur'!$B$5:$L$19,3,TRUE)</f>
        <v>ATTOUMANI Kamaldine</v>
      </c>
      <c r="E24" s="377" t="str">
        <f>'Horaire dimanche2'!C21</f>
        <v>13 ARRETS</v>
      </c>
      <c r="F24" s="367"/>
      <c r="G24" s="368">
        <f t="shared" si="5"/>
        <v>1</v>
      </c>
      <c r="H24" s="368"/>
      <c r="I24" s="369"/>
      <c r="J24" s="369"/>
      <c r="K24" s="369"/>
      <c r="L24" s="369"/>
      <c r="M24" s="367"/>
      <c r="N24" s="370"/>
      <c r="O24" s="307" t="str">
        <f t="shared" si="6"/>
        <v/>
      </c>
      <c r="P24" s="306">
        <f t="shared" si="7"/>
        <v>0</v>
      </c>
      <c r="Q24" s="306">
        <f t="shared" si="8"/>
        <v>0</v>
      </c>
      <c r="R24" s="309">
        <f t="shared" si="9"/>
        <v>0</v>
      </c>
      <c r="S24" s="297"/>
    </row>
    <row r="25" spans="1:19" ht="26" hidden="1" customHeight="1" x14ac:dyDescent="0.45">
      <c r="A25" s="344" t="str">
        <f>'Horaire dimanche2'!A22</f>
        <v>LA BARGE</v>
      </c>
      <c r="B25" s="345">
        <f>'Horaire dimanche2'!E22</f>
        <v>0.6875</v>
      </c>
      <c r="C25" s="345" t="str">
        <f>'Horaire dimanche2'!H22</f>
        <v>H5</v>
      </c>
      <c r="D25" s="304" t="str">
        <f>VLOOKUP(C25,'Liste chauffeur'!$B$5:$L$19,2,TRUE)&amp;" "&amp;VLOOKUP(C25,'Liste chauffeur'!$B$5:$L$19,3,TRUE)</f>
        <v>ATTOUMANI Kamaldine</v>
      </c>
      <c r="E25" s="377" t="str">
        <f>'Horaire dimanche2'!C22</f>
        <v>13 ARRETS</v>
      </c>
      <c r="F25" s="367"/>
      <c r="G25" s="368">
        <f t="shared" si="5"/>
        <v>1</v>
      </c>
      <c r="H25" s="368"/>
      <c r="I25" s="369"/>
      <c r="J25" s="369"/>
      <c r="K25" s="369"/>
      <c r="L25" s="369"/>
      <c r="M25" s="367"/>
      <c r="N25" s="370"/>
      <c r="O25" s="307" t="str">
        <f t="shared" si="6"/>
        <v/>
      </c>
      <c r="P25" s="306">
        <f t="shared" si="7"/>
        <v>0</v>
      </c>
      <c r="Q25" s="306">
        <f t="shared" si="8"/>
        <v>0</v>
      </c>
      <c r="R25" s="309">
        <f t="shared" si="9"/>
        <v>0</v>
      </c>
      <c r="S25" s="297"/>
    </row>
    <row r="26" spans="1:19" ht="26" hidden="1" customHeight="1" x14ac:dyDescent="0.45">
      <c r="A26" s="344" t="str">
        <f>'Horaire dimanche2'!A23</f>
        <v>CHM</v>
      </c>
      <c r="B26" s="345">
        <f>'Horaire dimanche2'!E23</f>
        <v>0.76041666666666663</v>
      </c>
      <c r="C26" s="345" t="str">
        <f>'Horaire dimanche2'!H23</f>
        <v>H3</v>
      </c>
      <c r="D26" s="304" t="str">
        <f>VLOOKUP(C26,'Liste chauffeur'!$B$5:$L$19,2,TRUE)&amp;" "&amp;VLOOKUP(C26,'Liste chauffeur'!$B$5:$L$19,3,TRUE)</f>
        <v>SAID ALI Kamile</v>
      </c>
      <c r="E26" s="377" t="str">
        <f>'Horaire dimanche2'!C23</f>
        <v>DIRECT</v>
      </c>
      <c r="F26" s="367"/>
      <c r="G26" s="368">
        <f t="shared" si="5"/>
        <v>1</v>
      </c>
      <c r="H26" s="368"/>
      <c r="I26" s="369"/>
      <c r="J26" s="369"/>
      <c r="K26" s="369"/>
      <c r="L26" s="369"/>
      <c r="M26" s="367"/>
      <c r="N26" s="370"/>
      <c r="O26" s="307" t="str">
        <f t="shared" si="6"/>
        <v/>
      </c>
      <c r="P26" s="306">
        <f t="shared" si="7"/>
        <v>0</v>
      </c>
      <c r="Q26" s="306">
        <f t="shared" si="8"/>
        <v>0</v>
      </c>
      <c r="R26" s="309">
        <f t="shared" si="9"/>
        <v>0</v>
      </c>
      <c r="S26" s="297"/>
    </row>
    <row r="27" spans="1:19" ht="26" hidden="1" customHeight="1" x14ac:dyDescent="0.45">
      <c r="A27" s="344" t="str">
        <f>'Horaire dimanche2'!A24</f>
        <v>LA BARGE</v>
      </c>
      <c r="B27" s="345">
        <f>'Horaire dimanche2'!E24</f>
        <v>0.76041666666666663</v>
      </c>
      <c r="C27" s="345" t="str">
        <f>'Horaire dimanche2'!H24</f>
        <v>H5</v>
      </c>
      <c r="D27" s="304" t="str">
        <f>VLOOKUP(C27,'Liste chauffeur'!$B$5:$L$19,2,TRUE)&amp;" "&amp;VLOOKUP(C27,'Liste chauffeur'!$B$5:$L$19,3,TRUE)</f>
        <v>ATTOUMANI Kamaldine</v>
      </c>
      <c r="E27" s="377" t="str">
        <f>'Horaire dimanche2'!C24</f>
        <v>13 ARRETS</v>
      </c>
      <c r="F27" s="367"/>
      <c r="G27" s="368"/>
      <c r="H27" s="368"/>
      <c r="I27" s="369"/>
      <c r="J27" s="369"/>
      <c r="K27" s="369"/>
      <c r="L27" s="369"/>
      <c r="M27" s="367"/>
      <c r="N27" s="370"/>
      <c r="O27" s="307"/>
      <c r="P27" s="306"/>
      <c r="Q27" s="306"/>
      <c r="R27" s="309"/>
      <c r="S27" s="297"/>
    </row>
    <row r="28" spans="1:19" ht="26" hidden="1" customHeight="1" x14ac:dyDescent="0.45">
      <c r="A28" s="344" t="str">
        <f>'Horaire dimanche2'!A25</f>
        <v>CHM</v>
      </c>
      <c r="B28" s="345">
        <f>'Horaire dimanche2'!E25</f>
        <v>0.78125</v>
      </c>
      <c r="C28" s="345" t="str">
        <f>'Horaire dimanche2'!H25</f>
        <v>H5</v>
      </c>
      <c r="D28" s="304" t="str">
        <f>VLOOKUP(C28,'Liste chauffeur'!$B$5:$L$19,2,TRUE)&amp;" "&amp;VLOOKUP(C28,'Liste chauffeur'!$B$5:$L$19,3,TRUE)</f>
        <v>ATTOUMANI Kamaldine</v>
      </c>
      <c r="E28" s="377" t="str">
        <f>'Horaire dimanche2'!C25</f>
        <v>DIRECT</v>
      </c>
      <c r="F28" s="367"/>
      <c r="G28" s="368"/>
      <c r="H28" s="368"/>
      <c r="I28" s="369"/>
      <c r="J28" s="369"/>
      <c r="K28" s="369"/>
      <c r="L28" s="369"/>
      <c r="M28" s="367"/>
      <c r="N28" s="370"/>
      <c r="O28" s="307"/>
      <c r="P28" s="306"/>
      <c r="Q28" s="306"/>
      <c r="R28" s="309"/>
      <c r="S28" s="297"/>
    </row>
    <row r="29" spans="1:19" ht="26" hidden="1" customHeight="1" x14ac:dyDescent="0.45">
      <c r="A29" s="344" t="str">
        <f>'Horaire dimanche2'!A26</f>
        <v>LA BARGE</v>
      </c>
      <c r="B29" s="345">
        <f>'Horaire dimanche2'!E26</f>
        <v>0.78125</v>
      </c>
      <c r="C29" s="345" t="str">
        <f>'Horaire dimanche2'!H26</f>
        <v>H3</v>
      </c>
      <c r="D29" s="304" t="str">
        <f>VLOOKUP(C29,'Liste chauffeur'!$B$5:$L$19,2,TRUE)&amp;" "&amp;VLOOKUP(C29,'Liste chauffeur'!$B$5:$L$19,3,TRUE)</f>
        <v>SAID ALI Kamile</v>
      </c>
      <c r="E29" s="377" t="str">
        <f>'Horaire dimanche2'!C26</f>
        <v>13 ARRETS</v>
      </c>
      <c r="F29" s="367"/>
      <c r="G29" s="368">
        <f t="shared" si="5"/>
        <v>1</v>
      </c>
      <c r="H29" s="368"/>
      <c r="I29" s="369"/>
      <c r="J29" s="369"/>
      <c r="K29" s="369"/>
      <c r="L29" s="369"/>
      <c r="M29" s="367"/>
      <c r="N29" s="370"/>
      <c r="O29" s="307"/>
      <c r="P29" s="306"/>
      <c r="Q29" s="306"/>
      <c r="R29" s="309"/>
      <c r="S29" s="297"/>
    </row>
    <row r="30" spans="1:19" ht="26" hidden="1" customHeight="1" x14ac:dyDescent="0.45">
      <c r="A30" s="344" t="str">
        <f>'Horaire dimanche2'!A27</f>
        <v>CRA+CHM</v>
      </c>
      <c r="B30" s="345">
        <f>'Horaire dimanche2'!E27</f>
        <v>0.80902777777777779</v>
      </c>
      <c r="C30" s="345" t="str">
        <f>'Horaire dimanche2'!H27</f>
        <v>H5</v>
      </c>
      <c r="D30" s="304" t="str">
        <f>VLOOKUP(C30,'Liste chauffeur'!$B$5:$L$19,2,TRUE)&amp;" "&amp;VLOOKUP(C30,'Liste chauffeur'!$B$5:$L$19,3,TRUE)</f>
        <v>ATTOUMANI Kamaldine</v>
      </c>
      <c r="E30" s="377" t="str">
        <f>'Horaire dimanche2'!C27</f>
        <v>DIRECT</v>
      </c>
      <c r="F30" s="367"/>
      <c r="G30" s="368"/>
      <c r="H30" s="368"/>
      <c r="I30" s="369"/>
      <c r="J30" s="369"/>
      <c r="K30" s="369"/>
      <c r="L30" s="369"/>
      <c r="M30" s="367"/>
      <c r="N30" s="370"/>
      <c r="O30" s="307"/>
      <c r="P30" s="306"/>
      <c r="Q30" s="306"/>
      <c r="R30" s="309"/>
      <c r="S30" s="297"/>
    </row>
    <row r="31" spans="1:19" ht="26" hidden="1" customHeight="1" x14ac:dyDescent="0.45">
      <c r="A31" s="344" t="str">
        <f>'Horaire dimanche2'!A28</f>
        <v>LA BARGE</v>
      </c>
      <c r="B31" s="345">
        <f>'Horaire dimanche2'!E28</f>
        <v>0.82291666666666663</v>
      </c>
      <c r="C31" s="345" t="str">
        <f>'Horaire dimanche2'!H28</f>
        <v>H5</v>
      </c>
      <c r="D31" s="304" t="str">
        <f>VLOOKUP(C31,'Liste chauffeur'!$B$5:$L$19,2,TRUE)&amp;" "&amp;VLOOKUP(C31,'Liste chauffeur'!$B$5:$L$19,3,TRUE)</f>
        <v>ATTOUMANI Kamaldine</v>
      </c>
      <c r="E31" s="377" t="str">
        <f>'Horaire dimanche2'!C28</f>
        <v>13 ARRETS</v>
      </c>
      <c r="F31" s="367"/>
      <c r="G31" s="368"/>
      <c r="H31" s="368"/>
      <c r="I31" s="369"/>
      <c r="J31" s="369"/>
      <c r="K31" s="369"/>
      <c r="L31" s="369"/>
      <c r="M31" s="367"/>
      <c r="N31" s="370"/>
      <c r="O31" s="307"/>
      <c r="P31" s="306"/>
      <c r="Q31" s="306"/>
      <c r="R31" s="309"/>
      <c r="S31" s="297"/>
    </row>
    <row r="32" spans="1:19" ht="26" hidden="1" customHeight="1" x14ac:dyDescent="0.45">
      <c r="A32" s="344"/>
      <c r="B32" s="579" t="s">
        <v>666</v>
      </c>
      <c r="C32" s="345"/>
      <c r="D32" s="304"/>
      <c r="E32" s="377"/>
      <c r="F32" s="367"/>
      <c r="G32" s="368">
        <f t="shared" si="5"/>
        <v>1</v>
      </c>
      <c r="H32" s="368"/>
      <c r="I32" s="369"/>
      <c r="J32" s="369"/>
      <c r="K32" s="369"/>
      <c r="L32" s="369"/>
      <c r="M32" s="367"/>
      <c r="N32" s="370"/>
      <c r="O32" s="307" t="str">
        <f>IF(G32=1,"",M32-F32)</f>
        <v/>
      </c>
      <c r="P32" s="306">
        <f>I32+K32-J32</f>
        <v>0</v>
      </c>
      <c r="Q32" s="306">
        <f>IF(G32=1,0,Q$6)</f>
        <v>0</v>
      </c>
      <c r="R32" s="309">
        <f t="shared" si="9"/>
        <v>0</v>
      </c>
      <c r="S32" s="297"/>
    </row>
    <row r="33" spans="1:19" ht="26" hidden="1" customHeight="1" x14ac:dyDescent="0.45">
      <c r="A33" s="344"/>
      <c r="B33" s="579" t="s">
        <v>666</v>
      </c>
      <c r="C33" s="345"/>
      <c r="D33" s="304"/>
      <c r="E33" s="377"/>
      <c r="F33" s="367"/>
      <c r="G33" s="368">
        <f t="shared" si="5"/>
        <v>1</v>
      </c>
      <c r="H33" s="368"/>
      <c r="I33" s="369"/>
      <c r="J33" s="369"/>
      <c r="K33" s="369"/>
      <c r="L33" s="369"/>
      <c r="M33" s="367"/>
      <c r="N33" s="370"/>
      <c r="O33" s="307"/>
      <c r="P33" s="306">
        <f>I33+K33-J33</f>
        <v>0</v>
      </c>
      <c r="Q33" s="306">
        <f>IF(G33=1,0,Q$6)</f>
        <v>0</v>
      </c>
      <c r="R33" s="309">
        <f t="shared" si="9"/>
        <v>0</v>
      </c>
      <c r="S33" s="297"/>
    </row>
    <row r="34" spans="1:19" ht="15" hidden="1" customHeight="1" x14ac:dyDescent="0.45">
      <c r="A34" s="316"/>
      <c r="B34" s="317" t="s">
        <v>340</v>
      </c>
      <c r="C34" s="317" t="s">
        <v>338</v>
      </c>
      <c r="D34" s="318"/>
      <c r="E34" s="318"/>
      <c r="F34" s="311"/>
      <c r="G34" s="348" t="e">
        <f>SUM(#REF!)</f>
        <v>#REF!</v>
      </c>
      <c r="H34" s="348"/>
      <c r="I34" s="295"/>
      <c r="J34" s="295"/>
      <c r="K34" s="295"/>
      <c r="L34" s="295"/>
      <c r="M34" s="311"/>
      <c r="N34" s="310"/>
      <c r="O34" s="312" t="e">
        <f>AVERAGE(#REF!)</f>
        <v>#REF!</v>
      </c>
      <c r="P34" s="295" t="e">
        <f>SUM(#REF!)</f>
        <v>#REF!</v>
      </c>
      <c r="Q34" s="295" t="e">
        <f>SUM(#REF!)</f>
        <v>#REF!</v>
      </c>
      <c r="R34" s="314" t="e">
        <f t="shared" si="4"/>
        <v>#REF!</v>
      </c>
      <c r="S34" s="297"/>
    </row>
    <row r="35" spans="1:19" ht="21" x14ac:dyDescent="0.45">
      <c r="A35" s="315" t="s">
        <v>336</v>
      </c>
      <c r="B35" s="303"/>
      <c r="C35" s="303" t="s">
        <v>660</v>
      </c>
      <c r="D35" s="304"/>
      <c r="E35" s="304"/>
      <c r="F35" s="305"/>
      <c r="G35" s="306"/>
      <c r="H35" s="306"/>
      <c r="I35" s="306"/>
      <c r="J35" s="306"/>
      <c r="K35" s="313"/>
      <c r="L35" s="297"/>
      <c r="M35" s="305"/>
      <c r="N35" s="297"/>
      <c r="O35" s="307" t="e">
        <f>AVERAGE(O8:O17,#REF!)</f>
        <v>#REF!</v>
      </c>
      <c r="P35" s="306" t="e">
        <f>P18+P34</f>
        <v>#REF!</v>
      </c>
      <c r="Q35" s="306" t="e">
        <f>Q18+Q34</f>
        <v>#REF!</v>
      </c>
      <c r="R35" s="309" t="e">
        <f t="shared" si="4"/>
        <v>#REF!</v>
      </c>
      <c r="S35" s="297"/>
    </row>
    <row r="36" spans="1:19" ht="21" x14ac:dyDescent="0.45">
      <c r="A36" s="315" t="s">
        <v>336</v>
      </c>
      <c r="B36" s="303"/>
      <c r="C36" s="303" t="s">
        <v>660</v>
      </c>
      <c r="D36" s="304"/>
      <c r="E36" s="304"/>
      <c r="F36" s="305"/>
      <c r="G36" s="306"/>
      <c r="H36" s="306"/>
      <c r="I36" s="306"/>
      <c r="J36" s="306"/>
      <c r="K36" s="313"/>
      <c r="L36" s="297"/>
      <c r="M36" s="305"/>
      <c r="N36" s="297"/>
      <c r="O36" s="307"/>
      <c r="P36" s="306"/>
      <c r="Q36" s="306"/>
      <c r="R36" s="309"/>
      <c r="S36" s="297"/>
    </row>
    <row r="37" spans="1:19" ht="21" x14ac:dyDescent="0.45">
      <c r="A37" s="315" t="s">
        <v>336</v>
      </c>
      <c r="B37" s="303"/>
      <c r="C37" s="303" t="s">
        <v>660</v>
      </c>
      <c r="D37" s="304"/>
      <c r="E37" s="304"/>
      <c r="F37" s="305"/>
      <c r="G37" s="306"/>
      <c r="H37" s="306"/>
      <c r="I37" s="306"/>
      <c r="J37" s="306"/>
      <c r="K37" s="313"/>
      <c r="L37" s="297"/>
      <c r="M37" s="305"/>
      <c r="N37" s="297"/>
      <c r="O37" s="307"/>
      <c r="P37" s="306"/>
      <c r="Q37" s="306"/>
      <c r="R37" s="309"/>
      <c r="S37" s="297"/>
    </row>
    <row r="38" spans="1:19" ht="21" x14ac:dyDescent="0.45">
      <c r="A38" s="315" t="s">
        <v>336</v>
      </c>
      <c r="B38" s="303"/>
      <c r="C38" s="303" t="s">
        <v>660</v>
      </c>
      <c r="D38" s="304"/>
      <c r="E38" s="304"/>
      <c r="F38" s="305"/>
      <c r="G38" s="306"/>
      <c r="H38" s="306"/>
      <c r="I38" s="306"/>
      <c r="J38" s="306"/>
      <c r="K38" s="313"/>
      <c r="L38" s="297"/>
      <c r="M38" s="305"/>
      <c r="N38" s="297"/>
      <c r="O38" s="307"/>
      <c r="P38" s="306"/>
      <c r="Q38" s="306"/>
      <c r="R38" s="309"/>
      <c r="S38" s="297"/>
    </row>
    <row r="39" spans="1:19" ht="21" x14ac:dyDescent="0.45">
      <c r="A39" s="315" t="s">
        <v>336</v>
      </c>
      <c r="B39" s="303"/>
      <c r="C39" s="303" t="s">
        <v>660</v>
      </c>
      <c r="D39" s="304"/>
      <c r="E39" s="304"/>
      <c r="F39" s="305"/>
      <c r="G39" s="306"/>
      <c r="H39" s="306"/>
      <c r="I39" s="306"/>
      <c r="J39" s="306"/>
      <c r="K39" s="313"/>
      <c r="L39" s="297"/>
      <c r="M39" s="305"/>
      <c r="N39" s="297"/>
      <c r="O39" s="307"/>
      <c r="P39" s="306"/>
      <c r="Q39" s="306"/>
      <c r="R39" s="309"/>
      <c r="S39" s="297"/>
    </row>
    <row r="40" spans="1:19" hidden="1" x14ac:dyDescent="0.45"/>
    <row r="41" spans="1:19" x14ac:dyDescent="0.45">
      <c r="C41" s="190" t="s">
        <v>691</v>
      </c>
      <c r="F41" s="137" t="s">
        <v>15</v>
      </c>
      <c r="J41" s="137" t="s">
        <v>16</v>
      </c>
    </row>
    <row r="43" spans="1:19" x14ac:dyDescent="0.45">
      <c r="C43" s="279"/>
    </row>
    <row r="44" spans="1:19" x14ac:dyDescent="0.45">
      <c r="B44" s="137" t="s">
        <v>358</v>
      </c>
      <c r="C44" s="137" t="s">
        <v>359</v>
      </c>
      <c r="D44" s="137" t="s">
        <v>360</v>
      </c>
      <c r="F44" s="137" t="s">
        <v>361</v>
      </c>
    </row>
    <row r="45" spans="1:19" x14ac:dyDescent="0.45">
      <c r="B45" s="137" t="s">
        <v>378</v>
      </c>
      <c r="C45" s="347">
        <f>COUNTIF($B$8:$C$17,B45)</f>
        <v>3</v>
      </c>
      <c r="D45" s="347">
        <f t="shared" ref="D45:D52" si="10">C45-(COUNTIFS(C$8:C$17,B45,N$8:N$17,""))</f>
        <v>0</v>
      </c>
      <c r="E45" s="347"/>
      <c r="F45" s="137">
        <f t="shared" ref="F45:F52" si="11">COUNTIFS(N$8:N$17,$B45)</f>
        <v>0</v>
      </c>
    </row>
    <row r="46" spans="1:19" x14ac:dyDescent="0.45">
      <c r="B46" s="137" t="s">
        <v>382</v>
      </c>
      <c r="C46" s="347">
        <f t="shared" ref="C46:C52" si="12">COUNTIF($B$8:$C$17,B46)</f>
        <v>0</v>
      </c>
      <c r="D46" s="347">
        <f t="shared" si="10"/>
        <v>0</v>
      </c>
      <c r="E46" s="347"/>
      <c r="F46" s="137">
        <f t="shared" si="11"/>
        <v>0</v>
      </c>
    </row>
    <row r="47" spans="1:19" x14ac:dyDescent="0.45">
      <c r="B47" s="137" t="s">
        <v>384</v>
      </c>
      <c r="C47" s="347">
        <f t="shared" si="12"/>
        <v>3</v>
      </c>
      <c r="D47" s="347">
        <f t="shared" si="10"/>
        <v>0</v>
      </c>
      <c r="E47" s="347"/>
      <c r="F47" s="137">
        <f t="shared" si="11"/>
        <v>0</v>
      </c>
    </row>
    <row r="48" spans="1:19" x14ac:dyDescent="0.45">
      <c r="B48" s="137" t="s">
        <v>407</v>
      </c>
      <c r="C48" s="347">
        <f t="shared" si="12"/>
        <v>0</v>
      </c>
      <c r="D48" s="347">
        <f t="shared" si="10"/>
        <v>0</v>
      </c>
      <c r="E48" s="347"/>
      <c r="F48" s="137">
        <f t="shared" si="11"/>
        <v>0</v>
      </c>
    </row>
    <row r="49" spans="2:7" x14ac:dyDescent="0.45">
      <c r="B49" s="137" t="s">
        <v>414</v>
      </c>
      <c r="C49" s="347">
        <f t="shared" si="12"/>
        <v>2</v>
      </c>
      <c r="D49" s="347">
        <f t="shared" si="10"/>
        <v>0</v>
      </c>
      <c r="E49" s="347"/>
      <c r="F49" s="137">
        <f t="shared" si="11"/>
        <v>0</v>
      </c>
    </row>
    <row r="50" spans="2:7" x14ac:dyDescent="0.45">
      <c r="B50" s="137" t="s">
        <v>421</v>
      </c>
      <c r="C50" s="347">
        <f t="shared" si="12"/>
        <v>0</v>
      </c>
      <c r="D50" s="347">
        <f t="shared" si="10"/>
        <v>0</v>
      </c>
      <c r="E50" s="347"/>
      <c r="F50" s="137">
        <f t="shared" si="11"/>
        <v>0</v>
      </c>
    </row>
    <row r="51" spans="2:7" x14ac:dyDescent="0.45">
      <c r="B51" s="137" t="s">
        <v>426</v>
      </c>
      <c r="C51" s="347">
        <f t="shared" si="12"/>
        <v>0</v>
      </c>
      <c r="D51" s="347">
        <f t="shared" si="10"/>
        <v>0</v>
      </c>
      <c r="E51" s="347"/>
      <c r="F51" s="137">
        <f t="shared" si="11"/>
        <v>0</v>
      </c>
    </row>
    <row r="52" spans="2:7" x14ac:dyDescent="0.45">
      <c r="B52" s="137" t="s">
        <v>433</v>
      </c>
      <c r="C52" s="347">
        <f t="shared" si="12"/>
        <v>0</v>
      </c>
      <c r="D52" s="347">
        <f t="shared" si="10"/>
        <v>0</v>
      </c>
      <c r="E52" s="347"/>
      <c r="F52" s="137">
        <f t="shared" si="11"/>
        <v>0</v>
      </c>
    </row>
    <row r="53" spans="2:7" x14ac:dyDescent="0.45">
      <c r="C53" s="347">
        <f>SUM(C45:C52)</f>
        <v>8</v>
      </c>
      <c r="D53" s="137">
        <f>SUM(D45:D52)</f>
        <v>0</v>
      </c>
      <c r="F53" s="137">
        <f>SUM(F45:F52)</f>
        <v>0</v>
      </c>
      <c r="G53" s="347" t="e">
        <f>G18+#REF!+G34</f>
        <v>#REF!</v>
      </c>
    </row>
    <row r="54" spans="2:7" x14ac:dyDescent="0.45">
      <c r="F54" s="137">
        <f>D53-F53</f>
        <v>0</v>
      </c>
      <c r="G54" s="137" t="e">
        <f>IF(F54=G53,"OK","ERREUR")</f>
        <v>#REF!</v>
      </c>
    </row>
  </sheetData>
  <sheetProtection formatCells="0" formatColumns="0" formatRows="0" autoFilter="0"/>
  <autoFilter ref="A7:R41" xr:uid="{5B5BBBDE-33E3-4462-B288-63EC9F5FA152}">
    <filterColumn colId="2">
      <filters>
        <filter val="H"/>
        <filter val="H1"/>
        <filter val="S"/>
      </filters>
    </filterColumn>
  </autoFilter>
  <mergeCells count="2">
    <mergeCell ref="B3:D3"/>
    <mergeCell ref="J6:K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2" orientation="landscape" copies="1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BBDE-33E3-4462-B288-63EC9F5FA152}">
  <sheetPr>
    <pageSetUpPr fitToPage="1"/>
  </sheetPr>
  <dimension ref="A1:Q63"/>
  <sheetViews>
    <sheetView showGridLines="0" topLeftCell="A32" workbookViewId="0">
      <selection activeCell="A6" sqref="A6:L50"/>
    </sheetView>
  </sheetViews>
  <sheetFormatPr baseColWidth="10" defaultColWidth="10.796875" defaultRowHeight="14.25" outlineLevelCol="1" x14ac:dyDescent="0.45"/>
  <cols>
    <col min="1" max="1" width="11.796875" style="137" customWidth="1"/>
    <col min="2" max="2" width="11" style="137" customWidth="1"/>
    <col min="3" max="3" width="10.796875" style="137" customWidth="1" outlineLevel="1"/>
    <col min="4" max="4" width="28.9296875" style="137" customWidth="1" outlineLevel="1"/>
    <col min="5" max="5" width="11.86328125" style="137" customWidth="1" outlineLevel="1"/>
    <col min="6" max="6" width="10.796875" style="137"/>
    <col min="7" max="8" width="10.796875" style="137" customWidth="1"/>
    <col min="9" max="9" width="10.796875" style="137"/>
    <col min="10" max="10" width="10.796875" style="137" customWidth="1"/>
    <col min="11" max="11" width="13.1328125" style="137" customWidth="1"/>
    <col min="12" max="12" width="34.796875" style="137" customWidth="1"/>
    <col min="13" max="16" width="10.796875" style="137" customWidth="1"/>
    <col min="17" max="16384" width="10.796875" style="137"/>
  </cols>
  <sheetData>
    <row r="1" spans="1:17" x14ac:dyDescent="0.45">
      <c r="G1" s="137" t="s">
        <v>658</v>
      </c>
    </row>
    <row r="2" spans="1:17" ht="23.25" x14ac:dyDescent="0.45">
      <c r="A2" s="137" t="s">
        <v>18</v>
      </c>
      <c r="B2" s="260" t="s">
        <v>378</v>
      </c>
      <c r="C2" s="241"/>
      <c r="D2" s="241"/>
      <c r="E2" s="241"/>
    </row>
    <row r="3" spans="1:17" ht="22.5" hidden="1" customHeight="1" x14ac:dyDescent="0.45">
      <c r="A3" s="137" t="s">
        <v>14</v>
      </c>
      <c r="B3" s="615">
        <v>45627</v>
      </c>
      <c r="C3" s="616"/>
      <c r="D3" s="616"/>
      <c r="E3" s="252"/>
      <c r="F3" s="252"/>
      <c r="G3" s="252"/>
      <c r="H3" s="252"/>
      <c r="I3" s="140"/>
    </row>
    <row r="4" spans="1:17" ht="28.5" customHeight="1" x14ac:dyDescent="0.45">
      <c r="A4" s="137" t="s">
        <v>13</v>
      </c>
      <c r="B4" s="320" t="str">
        <f>VLOOKUP(B2,'Liste chauffeur'!$B$5:$L$19,2,TRUE)&amp;" "&amp;VLOOKUP(B2,'Liste chauffeur'!$B$5:$L$19,3,TRUE)</f>
        <v>CHADHOULI Houmadi</v>
      </c>
      <c r="C4" s="254"/>
      <c r="D4" s="254"/>
      <c r="E4" s="254"/>
      <c r="F4" s="139"/>
      <c r="G4" s="139"/>
      <c r="H4" s="139"/>
      <c r="I4" s="140"/>
    </row>
    <row r="6" spans="1:17" x14ac:dyDescent="0.45">
      <c r="A6" s="141"/>
      <c r="B6" s="142"/>
      <c r="C6" s="142"/>
      <c r="D6" s="142"/>
      <c r="E6" s="142"/>
      <c r="F6" s="142"/>
      <c r="G6" s="142"/>
      <c r="H6" s="142"/>
      <c r="I6" s="142"/>
      <c r="J6" s="319"/>
      <c r="K6" s="319" t="s">
        <v>337</v>
      </c>
      <c r="L6" s="294"/>
      <c r="M6" s="294"/>
      <c r="N6" s="294"/>
      <c r="O6" s="294">
        <v>8</v>
      </c>
      <c r="P6" s="294"/>
    </row>
    <row r="7" spans="1:17" ht="63" x14ac:dyDescent="0.45">
      <c r="A7" s="297" t="s">
        <v>534</v>
      </c>
      <c r="B7" s="298" t="s">
        <v>0</v>
      </c>
      <c r="C7" s="298" t="s">
        <v>332</v>
      </c>
      <c r="D7" s="298" t="s">
        <v>333</v>
      </c>
      <c r="E7" s="298" t="s">
        <v>535</v>
      </c>
      <c r="F7" s="298" t="s">
        <v>1</v>
      </c>
      <c r="G7" s="298" t="s">
        <v>334</v>
      </c>
      <c r="H7" s="298" t="s">
        <v>335</v>
      </c>
      <c r="I7" s="298" t="s">
        <v>23</v>
      </c>
      <c r="J7" s="300" t="s">
        <v>22</v>
      </c>
      <c r="K7" s="298" t="s">
        <v>17</v>
      </c>
      <c r="L7" s="301" t="s">
        <v>12</v>
      </c>
      <c r="M7" s="297" t="s">
        <v>20</v>
      </c>
      <c r="N7" s="302" t="s">
        <v>38</v>
      </c>
      <c r="O7" s="302" t="s">
        <v>39</v>
      </c>
      <c r="P7" s="302" t="s">
        <v>40</v>
      </c>
      <c r="Q7" s="297"/>
    </row>
    <row r="8" spans="1:17" ht="33" customHeight="1" x14ac:dyDescent="0.45">
      <c r="A8" s="344" t="str">
        <f>Horaire!A8</f>
        <v>CHM</v>
      </c>
      <c r="B8" s="345">
        <f>Horaire!E8</f>
        <v>0.2326388888888889</v>
      </c>
      <c r="C8" s="345" t="str">
        <f>Horaire!H8</f>
        <v>H1</v>
      </c>
      <c r="D8" s="304" t="str">
        <f>VLOOKUP(C8,'Liste chauffeur'!$B$5:$L$19,2,TRUE)&amp;" "&amp;VLOOKUP(C8,'Liste chauffeur'!$B$5:$L$19,3,TRUE)</f>
        <v>CHADHOULI Houmadi</v>
      </c>
      <c r="E8" s="377" t="str">
        <f>Horaire!C8</f>
        <v>13 ARRETS</v>
      </c>
      <c r="F8" s="580"/>
      <c r="G8" s="368">
        <f t="shared" ref="G8:G11" si="0">COUNTBLANK(F8)</f>
        <v>1</v>
      </c>
      <c r="H8" s="363"/>
      <c r="I8" s="580"/>
      <c r="J8" s="365"/>
      <c r="K8" s="580"/>
      <c r="L8" s="366"/>
      <c r="M8" s="307" t="str">
        <f t="shared" ref="M8:M17" si="1">IF(G8=1,"",K8-F8)</f>
        <v/>
      </c>
      <c r="N8" s="306">
        <f>J8</f>
        <v>0</v>
      </c>
      <c r="O8" s="306">
        <f t="shared" ref="O8:O19" si="2">IF(G8=1,0,O$6)</f>
        <v>0</v>
      </c>
      <c r="P8" s="308">
        <f t="shared" ref="P8:P11" si="3">IF(O8=0,0,N8/O8)</f>
        <v>0</v>
      </c>
      <c r="Q8" s="297"/>
    </row>
    <row r="9" spans="1:17" ht="33" customHeight="1" x14ac:dyDescent="0.45">
      <c r="A9" s="344" t="str">
        <f>Horaire!A9</f>
        <v>LA BARGE</v>
      </c>
      <c r="B9" s="345">
        <f>Horaire!E9</f>
        <v>0.23958333333333334</v>
      </c>
      <c r="C9" s="345" t="str">
        <f>Horaire!H9</f>
        <v>H5</v>
      </c>
      <c r="D9" s="304" t="str">
        <f>VLOOKUP(C9,'Liste chauffeur'!$B$5:$L$19,2,TRUE)&amp;" "&amp;VLOOKUP(C9,'Liste chauffeur'!$B$5:$L$19,3,TRUE)</f>
        <v>ATTOUMANI Kamaldine</v>
      </c>
      <c r="E9" s="377" t="str">
        <f>Horaire!C9</f>
        <v>13 ARRETS</v>
      </c>
      <c r="F9" s="580"/>
      <c r="G9" s="368">
        <f t="shared" ref="G9" si="4">COUNTBLANK(F9)</f>
        <v>1</v>
      </c>
      <c r="H9" s="363"/>
      <c r="I9" s="580"/>
      <c r="J9" s="365"/>
      <c r="K9" s="580"/>
      <c r="L9" s="366"/>
      <c r="M9" s="307" t="str">
        <f t="shared" ref="M9" si="5">IF(G9=1,"",K9-F9)</f>
        <v/>
      </c>
      <c r="N9" s="306">
        <f>J9</f>
        <v>0</v>
      </c>
      <c r="O9" s="306">
        <f t="shared" ref="O9" si="6">IF(G9=1,0,O$6)</f>
        <v>0</v>
      </c>
      <c r="P9" s="308">
        <f t="shared" ref="P9" si="7">IF(O9=0,0,N9/O9)</f>
        <v>0</v>
      </c>
      <c r="Q9" s="297"/>
    </row>
    <row r="10" spans="1:17" ht="29" customHeight="1" x14ac:dyDescent="0.45">
      <c r="A10" s="344" t="str">
        <f>Horaire!A10</f>
        <v>CHM</v>
      </c>
      <c r="B10" s="345">
        <f>Horaire!E10</f>
        <v>0.25</v>
      </c>
      <c r="C10" s="345" t="str">
        <f>Horaire!H10</f>
        <v>H3</v>
      </c>
      <c r="D10" s="304" t="str">
        <f>VLOOKUP(C10,'Liste chauffeur'!$B$5:$L$19,2,TRUE)&amp;" "&amp;VLOOKUP(C10,'Liste chauffeur'!$B$5:$L$19,3,TRUE)</f>
        <v>SAID ALI Kamile</v>
      </c>
      <c r="E10" s="377" t="str">
        <f>Horaire!C10</f>
        <v>13 ARRETS</v>
      </c>
      <c r="F10" s="580"/>
      <c r="G10" s="368">
        <f t="shared" si="0"/>
        <v>1</v>
      </c>
      <c r="H10" s="363"/>
      <c r="I10" s="580"/>
      <c r="J10" s="365"/>
      <c r="K10" s="580"/>
      <c r="L10" s="366"/>
      <c r="M10" s="307" t="str">
        <f t="shared" si="1"/>
        <v/>
      </c>
      <c r="N10" s="306">
        <f t="shared" ref="N10:N22" si="8">J10</f>
        <v>0</v>
      </c>
      <c r="O10" s="306">
        <f t="shared" si="2"/>
        <v>0</v>
      </c>
      <c r="P10" s="308">
        <f t="shared" si="3"/>
        <v>0</v>
      </c>
      <c r="Q10" s="297"/>
    </row>
    <row r="11" spans="1:17" ht="35.25" customHeight="1" x14ac:dyDescent="0.45">
      <c r="A11" s="344" t="str">
        <f>Horaire!A11</f>
        <v>CHM</v>
      </c>
      <c r="B11" s="345">
        <f>Horaire!E11</f>
        <v>0.27083333333333331</v>
      </c>
      <c r="C11" s="345" t="str">
        <f>Horaire!H11</f>
        <v>H1</v>
      </c>
      <c r="D11" s="304" t="str">
        <f>VLOOKUP(C11,'Liste chauffeur'!$B$5:$L$19,2,TRUE)&amp;" "&amp;VLOOKUP(C11,'Liste chauffeur'!$B$5:$L$19,3,TRUE)</f>
        <v>CHADHOULI Houmadi</v>
      </c>
      <c r="E11" s="377" t="str">
        <f>Horaire!C11</f>
        <v>13 ARRETS</v>
      </c>
      <c r="F11" s="580"/>
      <c r="G11" s="368">
        <f t="shared" si="0"/>
        <v>1</v>
      </c>
      <c r="H11" s="363"/>
      <c r="I11" s="580"/>
      <c r="J11" s="365"/>
      <c r="K11" s="580"/>
      <c r="L11" s="366"/>
      <c r="M11" s="307" t="str">
        <f t="shared" si="1"/>
        <v/>
      </c>
      <c r="N11" s="306">
        <f t="shared" si="8"/>
        <v>0</v>
      </c>
      <c r="O11" s="306">
        <f t="shared" si="2"/>
        <v>0</v>
      </c>
      <c r="P11" s="308">
        <f t="shared" si="3"/>
        <v>0</v>
      </c>
      <c r="Q11" s="297"/>
    </row>
    <row r="12" spans="1:17" ht="40.049999999999997" customHeight="1" x14ac:dyDescent="0.45">
      <c r="A12" s="344" t="str">
        <f>Horaire!A12</f>
        <v>LA BARGE</v>
      </c>
      <c r="B12" s="345">
        <f>Horaire!E12</f>
        <v>0.27083333333333331</v>
      </c>
      <c r="C12" s="345" t="str">
        <f>Horaire!H12</f>
        <v>H3</v>
      </c>
      <c r="D12" s="304" t="str">
        <f>VLOOKUP(C12,'Liste chauffeur'!$B$5:$L$19,2,TRUE)&amp;" "&amp;VLOOKUP(C12,'Liste chauffeur'!$B$5:$L$19,3,TRUE)</f>
        <v>SAID ALI Kamile</v>
      </c>
      <c r="E12" s="377" t="str">
        <f>Horaire!C12</f>
        <v>DIRECT</v>
      </c>
      <c r="F12" s="367"/>
      <c r="G12" s="368">
        <f t="shared" ref="G12:G33" si="9">COUNTBLANK(F12)</f>
        <v>1</v>
      </c>
      <c r="H12" s="368"/>
      <c r="I12" s="370"/>
      <c r="J12" s="370"/>
      <c r="K12" s="367"/>
      <c r="L12" s="370"/>
      <c r="M12" s="307" t="str">
        <f t="shared" si="1"/>
        <v/>
      </c>
      <c r="N12" s="306">
        <f t="shared" si="8"/>
        <v>0</v>
      </c>
      <c r="O12" s="306">
        <f t="shared" si="2"/>
        <v>0</v>
      </c>
      <c r="P12" s="308">
        <f t="shared" ref="P12:P44" si="10">IF(O12=0,0,N12/O12)</f>
        <v>0</v>
      </c>
      <c r="Q12" s="297"/>
    </row>
    <row r="13" spans="1:17" ht="40.049999999999997" customHeight="1" x14ac:dyDescent="0.45">
      <c r="A13" s="344" t="str">
        <f>Horaire!A13</f>
        <v>LA BARGE</v>
      </c>
      <c r="B13" s="345">
        <f>Horaire!E13</f>
        <v>0.27083333333333331</v>
      </c>
      <c r="C13" s="345" t="str">
        <f>Horaire!H13</f>
        <v>H5</v>
      </c>
      <c r="D13" s="304" t="str">
        <f>VLOOKUP(C13,'Liste chauffeur'!$B$5:$L$19,2,TRUE)&amp;" "&amp;VLOOKUP(C13,'Liste chauffeur'!$B$5:$L$19,3,TRUE)</f>
        <v>ATTOUMANI Kamaldine</v>
      </c>
      <c r="E13" s="377" t="str">
        <f>Horaire!C13</f>
        <v>DIRECT+CRA</v>
      </c>
      <c r="F13" s="367"/>
      <c r="G13" s="368">
        <f t="shared" si="9"/>
        <v>1</v>
      </c>
      <c r="H13" s="368"/>
      <c r="I13" s="370"/>
      <c r="J13" s="370"/>
      <c r="K13" s="367"/>
      <c r="L13" s="370"/>
      <c r="M13" s="307" t="str">
        <f t="shared" si="1"/>
        <v/>
      </c>
      <c r="N13" s="306">
        <f t="shared" si="8"/>
        <v>0</v>
      </c>
      <c r="O13" s="306">
        <f t="shared" si="2"/>
        <v>0</v>
      </c>
      <c r="P13" s="309">
        <f t="shared" si="10"/>
        <v>0</v>
      </c>
      <c r="Q13" s="297"/>
    </row>
    <row r="14" spans="1:17" ht="40.049999999999997" customHeight="1" x14ac:dyDescent="0.45">
      <c r="A14" s="344" t="str">
        <f>Horaire!A14</f>
        <v>CHM</v>
      </c>
      <c r="B14" s="345">
        <f>Horaire!E14</f>
        <v>0.28819444444444442</v>
      </c>
      <c r="C14" s="345" t="str">
        <f>Horaire!H14</f>
        <v>H1</v>
      </c>
      <c r="D14" s="304" t="str">
        <f>VLOOKUP(C14,'Liste chauffeur'!$B$5:$L$19,2,TRUE)&amp;" "&amp;VLOOKUP(C14,'Liste chauffeur'!$B$5:$L$19,3,TRUE)</f>
        <v>CHADHOULI Houmadi</v>
      </c>
      <c r="E14" s="377" t="str">
        <f>Horaire!C14</f>
        <v>DIRECT</v>
      </c>
      <c r="F14" s="367"/>
      <c r="G14" s="368">
        <f t="shared" si="9"/>
        <v>1</v>
      </c>
      <c r="H14" s="368"/>
      <c r="I14" s="370"/>
      <c r="J14" s="370"/>
      <c r="K14" s="367"/>
      <c r="L14" s="370"/>
      <c r="M14" s="307" t="str">
        <f t="shared" si="1"/>
        <v/>
      </c>
      <c r="N14" s="306">
        <f t="shared" si="8"/>
        <v>0</v>
      </c>
      <c r="O14" s="306">
        <f t="shared" si="2"/>
        <v>0</v>
      </c>
      <c r="P14" s="309">
        <f t="shared" si="10"/>
        <v>0</v>
      </c>
      <c r="Q14" s="297"/>
    </row>
    <row r="15" spans="1:17" ht="32.25" customHeight="1" x14ac:dyDescent="0.45">
      <c r="A15" s="344" t="str">
        <f>Horaire!A15</f>
        <v xml:space="preserve">CHM </v>
      </c>
      <c r="B15" s="345">
        <f>Horaire!E15</f>
        <v>0.28472222222222221</v>
      </c>
      <c r="C15" s="345" t="str">
        <f>Horaire!H15</f>
        <v>H5</v>
      </c>
      <c r="D15" s="304" t="str">
        <f>VLOOKUP(C15,'Liste chauffeur'!$B$5:$L$19,2,TRUE)&amp;" "&amp;VLOOKUP(C15,'Liste chauffeur'!$B$5:$L$19,3,TRUE)</f>
        <v>ATTOUMANI Kamaldine</v>
      </c>
      <c r="E15" s="377" t="str">
        <f>Horaire!C15</f>
        <v>DIRECT</v>
      </c>
      <c r="F15" s="367"/>
      <c r="G15" s="368">
        <f t="shared" si="9"/>
        <v>1</v>
      </c>
      <c r="H15" s="368"/>
      <c r="I15" s="370"/>
      <c r="J15" s="370"/>
      <c r="K15" s="367"/>
      <c r="L15" s="370"/>
      <c r="M15" s="307" t="str">
        <f t="shared" si="1"/>
        <v/>
      </c>
      <c r="N15" s="306">
        <f t="shared" si="8"/>
        <v>0</v>
      </c>
      <c r="O15" s="306">
        <f t="shared" si="2"/>
        <v>0</v>
      </c>
      <c r="P15" s="309">
        <f t="shared" si="10"/>
        <v>0</v>
      </c>
      <c r="Q15" s="297"/>
    </row>
    <row r="16" spans="1:17" ht="40.049999999999997" customHeight="1" x14ac:dyDescent="0.45">
      <c r="A16" s="344" t="str">
        <f>Horaire!A16</f>
        <v>LA BARGE</v>
      </c>
      <c r="B16" s="345">
        <f>Horaire!E16</f>
        <v>0.2951388888888889</v>
      </c>
      <c r="C16" s="345" t="str">
        <f>Horaire!H16</f>
        <v>H3</v>
      </c>
      <c r="D16" s="304" t="str">
        <f>VLOOKUP(C16,'Liste chauffeur'!$B$5:$L$19,2,TRUE)&amp;" "&amp;VLOOKUP(C16,'Liste chauffeur'!$B$5:$L$19,3,TRUE)</f>
        <v>SAID ALI Kamile</v>
      </c>
      <c r="E16" s="377" t="str">
        <f>Horaire!C16</f>
        <v>DIRECT+CRA</v>
      </c>
      <c r="F16" s="367"/>
      <c r="G16" s="368">
        <f t="shared" si="9"/>
        <v>1</v>
      </c>
      <c r="H16" s="368"/>
      <c r="I16" s="370"/>
      <c r="J16" s="370"/>
      <c r="K16" s="367"/>
      <c r="L16" s="370"/>
      <c r="M16" s="307" t="str">
        <f t="shared" si="1"/>
        <v/>
      </c>
      <c r="N16" s="306">
        <f t="shared" si="8"/>
        <v>0</v>
      </c>
      <c r="O16" s="306">
        <f t="shared" si="2"/>
        <v>0</v>
      </c>
      <c r="P16" s="309">
        <f t="shared" si="10"/>
        <v>0</v>
      </c>
      <c r="Q16" s="297"/>
    </row>
    <row r="17" spans="1:17" ht="40.049999999999997" customHeight="1" x14ac:dyDescent="0.45">
      <c r="A17" s="344" t="str">
        <f>Horaire!A17</f>
        <v>LA BARGE</v>
      </c>
      <c r="B17" s="345">
        <f>Horaire!E17</f>
        <v>0.3125</v>
      </c>
      <c r="C17" s="345" t="str">
        <f>Horaire!H17</f>
        <v>H5</v>
      </c>
      <c r="D17" s="304" t="str">
        <f>VLOOKUP(C17,'Liste chauffeur'!$B$5:$L$19,2,TRUE)&amp;" "&amp;VLOOKUP(C17,'Liste chauffeur'!$B$5:$L$19,3,TRUE)</f>
        <v>ATTOUMANI Kamaldine</v>
      </c>
      <c r="E17" s="377" t="str">
        <f>Horaire!C17</f>
        <v>DIRECT</v>
      </c>
      <c r="F17" s="367"/>
      <c r="G17" s="368">
        <f t="shared" si="9"/>
        <v>1</v>
      </c>
      <c r="H17" s="368"/>
      <c r="I17" s="370"/>
      <c r="J17" s="370"/>
      <c r="K17" s="367"/>
      <c r="L17" s="370"/>
      <c r="M17" s="307" t="str">
        <f t="shared" si="1"/>
        <v/>
      </c>
      <c r="N17" s="306">
        <f t="shared" si="8"/>
        <v>0</v>
      </c>
      <c r="O17" s="306">
        <f t="shared" si="2"/>
        <v>0</v>
      </c>
      <c r="P17" s="309">
        <f t="shared" si="10"/>
        <v>0</v>
      </c>
      <c r="Q17" s="297"/>
    </row>
    <row r="18" spans="1:17" ht="40.049999999999997" customHeight="1" x14ac:dyDescent="0.45">
      <c r="A18" s="344" t="str">
        <f>Horaire!A18</f>
        <v>CHM</v>
      </c>
      <c r="B18" s="345">
        <f>Horaire!E18</f>
        <v>0.3263888888888889</v>
      </c>
      <c r="C18" s="345" t="str">
        <f>Horaire!H18</f>
        <v>H5</v>
      </c>
      <c r="D18" s="304" t="str">
        <f>VLOOKUP(C18,'Liste chauffeur'!$B$5:$L$19,2,TRUE)&amp;" "&amp;VLOOKUP(C18,'Liste chauffeur'!$B$5:$L$19,3,TRUE)</f>
        <v>ATTOUMANI Kamaldine</v>
      </c>
      <c r="E18" s="377" t="str">
        <f>Horaire!C18</f>
        <v>DIRECT</v>
      </c>
      <c r="F18" s="367"/>
      <c r="G18" s="368">
        <f t="shared" si="9"/>
        <v>1</v>
      </c>
      <c r="H18" s="368"/>
      <c r="I18" s="370"/>
      <c r="J18" s="370"/>
      <c r="K18" s="367"/>
      <c r="L18" s="370"/>
      <c r="M18" s="307"/>
      <c r="N18" s="306">
        <f t="shared" si="8"/>
        <v>0</v>
      </c>
      <c r="O18" s="306">
        <f t="shared" si="2"/>
        <v>0</v>
      </c>
      <c r="P18" s="309">
        <f t="shared" ref="P18:P19" si="11">IF(O18=0,0,N18/O18)</f>
        <v>0</v>
      </c>
      <c r="Q18" s="297"/>
    </row>
    <row r="19" spans="1:17" ht="40.049999999999997" customHeight="1" x14ac:dyDescent="0.45">
      <c r="A19" s="344" t="str">
        <f>Horaire!A19</f>
        <v>LA BARGE</v>
      </c>
      <c r="B19" s="345">
        <f>Horaire!E19</f>
        <v>0.3263888888888889</v>
      </c>
      <c r="C19" s="345" t="str">
        <f>Horaire!H19</f>
        <v>H1</v>
      </c>
      <c r="D19" s="304" t="str">
        <f>VLOOKUP(C19,'Liste chauffeur'!$B$5:$L$19,2,TRUE)&amp;" "&amp;VLOOKUP(C19,'Liste chauffeur'!$B$5:$L$19,3,TRUE)</f>
        <v>CHADHOULI Houmadi</v>
      </c>
      <c r="E19" s="377" t="str">
        <f>Horaire!C19</f>
        <v>DIRECT</v>
      </c>
      <c r="F19" s="367"/>
      <c r="G19" s="368">
        <f t="shared" si="9"/>
        <v>1</v>
      </c>
      <c r="H19" s="368"/>
      <c r="I19" s="370"/>
      <c r="J19" s="370"/>
      <c r="K19" s="367"/>
      <c r="L19" s="370"/>
      <c r="M19" s="307"/>
      <c r="N19" s="306">
        <f t="shared" si="8"/>
        <v>0</v>
      </c>
      <c r="O19" s="306">
        <f t="shared" si="2"/>
        <v>0</v>
      </c>
      <c r="P19" s="309">
        <f t="shared" si="11"/>
        <v>0</v>
      </c>
      <c r="Q19" s="297"/>
    </row>
    <row r="20" spans="1:17" ht="40.049999999999997" customHeight="1" x14ac:dyDescent="0.45">
      <c r="A20" s="344"/>
      <c r="B20" s="579" t="s">
        <v>666</v>
      </c>
      <c r="C20" s="345"/>
      <c r="D20" s="304"/>
      <c r="E20" s="377"/>
      <c r="F20" s="367"/>
      <c r="G20" s="368">
        <f t="shared" si="9"/>
        <v>1</v>
      </c>
      <c r="H20" s="368"/>
      <c r="I20" s="370"/>
      <c r="J20" s="370"/>
      <c r="K20" s="367"/>
      <c r="L20" s="370"/>
      <c r="M20" s="307"/>
      <c r="N20" s="306">
        <f t="shared" si="8"/>
        <v>0</v>
      </c>
      <c r="O20" s="306">
        <f t="shared" ref="O20:O22" si="12">IF(G20=1,0,O$6)</f>
        <v>0</v>
      </c>
      <c r="P20" s="308">
        <f t="shared" ref="P20:P22" si="13">IF(O20=0,0,N20/O20)</f>
        <v>0</v>
      </c>
      <c r="Q20" s="297"/>
    </row>
    <row r="21" spans="1:17" ht="40.049999999999997" customHeight="1" x14ac:dyDescent="0.45">
      <c r="A21" s="344"/>
      <c r="B21" s="579" t="s">
        <v>666</v>
      </c>
      <c r="C21" s="345"/>
      <c r="D21" s="304"/>
      <c r="E21" s="377"/>
      <c r="F21" s="367"/>
      <c r="G21" s="368">
        <f t="shared" si="9"/>
        <v>1</v>
      </c>
      <c r="H21" s="368"/>
      <c r="I21" s="370"/>
      <c r="J21" s="370"/>
      <c r="K21" s="367"/>
      <c r="L21" s="370"/>
      <c r="M21" s="307"/>
      <c r="N21" s="306">
        <f t="shared" si="8"/>
        <v>0</v>
      </c>
      <c r="O21" s="306">
        <f t="shared" si="12"/>
        <v>0</v>
      </c>
      <c r="P21" s="308">
        <f t="shared" si="13"/>
        <v>0</v>
      </c>
      <c r="Q21" s="297"/>
    </row>
    <row r="22" spans="1:17" ht="40.049999999999997" customHeight="1" x14ac:dyDescent="0.45">
      <c r="A22" s="344"/>
      <c r="B22" s="579" t="s">
        <v>666</v>
      </c>
      <c r="C22" s="552"/>
      <c r="D22" s="553"/>
      <c r="E22" s="377"/>
      <c r="F22" s="367"/>
      <c r="G22" s="368">
        <f t="shared" si="9"/>
        <v>1</v>
      </c>
      <c r="H22" s="368"/>
      <c r="I22" s="370"/>
      <c r="J22" s="370"/>
      <c r="K22" s="367"/>
      <c r="L22" s="370"/>
      <c r="M22" s="307"/>
      <c r="N22" s="306">
        <f t="shared" si="8"/>
        <v>0</v>
      </c>
      <c r="O22" s="306">
        <f t="shared" si="12"/>
        <v>0</v>
      </c>
      <c r="P22" s="308">
        <f t="shared" si="13"/>
        <v>0</v>
      </c>
      <c r="Q22" s="297"/>
    </row>
    <row r="23" spans="1:17" ht="26" customHeight="1" x14ac:dyDescent="0.45">
      <c r="A23" s="310"/>
      <c r="B23" s="310" t="s">
        <v>339</v>
      </c>
      <c r="C23" s="310"/>
      <c r="D23" s="310"/>
      <c r="E23" s="295"/>
      <c r="F23" s="311"/>
      <c r="G23" s="348">
        <f>SUM(G8:G19)</f>
        <v>12</v>
      </c>
      <c r="H23" s="348">
        <f>SUM(H8:H18)</f>
        <v>0</v>
      </c>
      <c r="I23" s="310"/>
      <c r="J23" s="310"/>
      <c r="K23" s="311"/>
      <c r="L23" s="310"/>
      <c r="M23" s="312" t="e">
        <f>AVERAGE(M8:M18)</f>
        <v>#DIV/0!</v>
      </c>
      <c r="N23" s="295">
        <f>SUM(N8:N22)</f>
        <v>0</v>
      </c>
      <c r="O23" s="295">
        <f>SUM(O8:O22)</f>
        <v>0</v>
      </c>
      <c r="P23" s="296" t="e">
        <f>N23/O23</f>
        <v>#DIV/0!</v>
      </c>
      <c r="Q23" s="297"/>
    </row>
    <row r="24" spans="1:17" ht="40.049999999999997" customHeight="1" x14ac:dyDescent="0.45">
      <c r="A24" s="344" t="str">
        <f>Horaire!A20</f>
        <v>LA BARGE</v>
      </c>
      <c r="B24" s="303">
        <f>Horaire!E20</f>
        <v>0.58333333333333337</v>
      </c>
      <c r="C24" s="303" t="str">
        <f>Horaire!H20</f>
        <v>H1</v>
      </c>
      <c r="D24" s="304" t="str">
        <f>VLOOKUP(C24,'Liste chauffeur'!$B$5:$L$19,2,TRUE)&amp;" "&amp;VLOOKUP(C24,'Liste chauffeur'!$B$5:$L$19,3,TRUE)</f>
        <v>CHADHOULI Houmadi</v>
      </c>
      <c r="E24" s="377" t="str">
        <f>Horaire!C20</f>
        <v>13 ARRETS</v>
      </c>
      <c r="F24" s="367"/>
      <c r="G24" s="368">
        <f t="shared" si="9"/>
        <v>1</v>
      </c>
      <c r="H24" s="368"/>
      <c r="I24" s="370"/>
      <c r="J24" s="370"/>
      <c r="K24" s="367"/>
      <c r="L24" s="370"/>
      <c r="M24" s="307" t="str">
        <f t="shared" ref="M24:M29" si="14">IF(G24=1,"",K24-F24)</f>
        <v/>
      </c>
      <c r="N24" s="306">
        <f t="shared" ref="N24:N39" si="15">J24</f>
        <v>0</v>
      </c>
      <c r="O24" s="306">
        <f t="shared" ref="O24:O39" si="16">IF(G24=1,0,O$6)</f>
        <v>0</v>
      </c>
      <c r="P24" s="308">
        <f t="shared" ref="P24:P39" si="17">IF(O24=0,0,N24/O24)</f>
        <v>0</v>
      </c>
      <c r="Q24" s="297"/>
    </row>
    <row r="25" spans="1:17" ht="40.049999999999997" customHeight="1" x14ac:dyDescent="0.45">
      <c r="A25" s="344" t="str">
        <f>Horaire!A21</f>
        <v>CHM</v>
      </c>
      <c r="B25" s="303">
        <f>Horaire!E21</f>
        <v>0.58333333333333337</v>
      </c>
      <c r="C25" s="303" t="str">
        <f>Horaire!H21</f>
        <v>H3</v>
      </c>
      <c r="D25" s="304" t="str">
        <f>VLOOKUP(C25,'Liste chauffeur'!$B$5:$L$19,2,TRUE)&amp;" "&amp;VLOOKUP(C25,'Liste chauffeur'!$B$5:$L$19,3,TRUE)</f>
        <v>SAID ALI Kamile</v>
      </c>
      <c r="E25" s="377" t="str">
        <f>Horaire!C21</f>
        <v>DIRECT</v>
      </c>
      <c r="F25" s="367"/>
      <c r="G25" s="368">
        <f t="shared" si="9"/>
        <v>1</v>
      </c>
      <c r="H25" s="368"/>
      <c r="I25" s="370"/>
      <c r="J25" s="370"/>
      <c r="K25" s="367"/>
      <c r="L25" s="370"/>
      <c r="M25" s="307" t="str">
        <f t="shared" si="14"/>
        <v/>
      </c>
      <c r="N25" s="306">
        <f t="shared" si="15"/>
        <v>0</v>
      </c>
      <c r="O25" s="306">
        <f t="shared" si="16"/>
        <v>0</v>
      </c>
      <c r="P25" s="308">
        <f t="shared" si="17"/>
        <v>0</v>
      </c>
      <c r="Q25" s="297"/>
    </row>
    <row r="26" spans="1:17" ht="40.049999999999997" customHeight="1" x14ac:dyDescent="0.45">
      <c r="A26" s="344" t="str">
        <f>Horaire!A22</f>
        <v>LA BARGE</v>
      </c>
      <c r="B26" s="303">
        <f>Horaire!E22</f>
        <v>0.61458333333333337</v>
      </c>
      <c r="C26" s="303" t="str">
        <f>Horaire!H22</f>
        <v>H1</v>
      </c>
      <c r="D26" s="304" t="str">
        <f>VLOOKUP(C26,'Liste chauffeur'!$B$5:$L$19,2,TRUE)&amp;" "&amp;VLOOKUP(C26,'Liste chauffeur'!$B$5:$L$19,3,TRUE)</f>
        <v>CHADHOULI Houmadi</v>
      </c>
      <c r="E26" s="377" t="str">
        <f>Horaire!C22</f>
        <v>13 ARRETS</v>
      </c>
      <c r="F26" s="367"/>
      <c r="G26" s="368">
        <f t="shared" si="9"/>
        <v>1</v>
      </c>
      <c r="H26" s="368"/>
      <c r="I26" s="370"/>
      <c r="J26" s="370"/>
      <c r="K26" s="367"/>
      <c r="L26" s="370"/>
      <c r="M26" s="307" t="str">
        <f t="shared" si="14"/>
        <v/>
      </c>
      <c r="N26" s="306">
        <f t="shared" si="15"/>
        <v>0</v>
      </c>
      <c r="O26" s="306">
        <f t="shared" si="16"/>
        <v>0</v>
      </c>
      <c r="P26" s="308">
        <f t="shared" si="17"/>
        <v>0</v>
      </c>
      <c r="Q26" s="297"/>
    </row>
    <row r="27" spans="1:17" ht="40.049999999999997" customHeight="1" x14ac:dyDescent="0.45">
      <c r="A27" s="344" t="str">
        <f>Horaire!A23</f>
        <v>LA BARGE</v>
      </c>
      <c r="B27" s="303">
        <f>Horaire!E23</f>
        <v>0.61805555555555558</v>
      </c>
      <c r="C27" s="303" t="str">
        <f>Horaire!H23</f>
        <v>H3</v>
      </c>
      <c r="D27" s="304" t="str">
        <f>VLOOKUP(C27,'Liste chauffeur'!$B$5:$L$19,2,TRUE)&amp;" "&amp;VLOOKUP(C27,'Liste chauffeur'!$B$5:$L$19,3,TRUE)</f>
        <v>SAID ALI Kamile</v>
      </c>
      <c r="E27" s="377" t="str">
        <f>Horaire!C23</f>
        <v>13 ARRETS</v>
      </c>
      <c r="F27" s="367"/>
      <c r="G27" s="368">
        <f t="shared" si="9"/>
        <v>1</v>
      </c>
      <c r="H27" s="368"/>
      <c r="I27" s="370"/>
      <c r="J27" s="370"/>
      <c r="K27" s="367"/>
      <c r="L27" s="370"/>
      <c r="M27" s="307" t="str">
        <f t="shared" si="14"/>
        <v/>
      </c>
      <c r="N27" s="306">
        <f t="shared" si="15"/>
        <v>0</v>
      </c>
      <c r="O27" s="306">
        <f t="shared" si="16"/>
        <v>0</v>
      </c>
      <c r="P27" s="308">
        <f t="shared" si="17"/>
        <v>0</v>
      </c>
      <c r="Q27" s="297"/>
    </row>
    <row r="28" spans="1:17" ht="40.049999999999997" customHeight="1" x14ac:dyDescent="0.45">
      <c r="A28" s="344" t="str">
        <f>Horaire!A24</f>
        <v>CHM</v>
      </c>
      <c r="B28" s="303">
        <f>Horaire!E24</f>
        <v>0.625</v>
      </c>
      <c r="C28" s="303" t="str">
        <f>Horaire!H24</f>
        <v>H5</v>
      </c>
      <c r="D28" s="304" t="str">
        <f>VLOOKUP(C28,'Liste chauffeur'!$B$5:$L$19,2,TRUE)&amp;" "&amp;VLOOKUP(C28,'Liste chauffeur'!$B$5:$L$19,3,TRUE)</f>
        <v>ATTOUMANI Kamaldine</v>
      </c>
      <c r="E28" s="377" t="str">
        <f>Horaire!C24</f>
        <v>DIRECT</v>
      </c>
      <c r="F28" s="367"/>
      <c r="G28" s="368">
        <f t="shared" ref="G28" si="18">COUNTBLANK(F28)</f>
        <v>1</v>
      </c>
      <c r="H28" s="368"/>
      <c r="I28" s="370"/>
      <c r="J28" s="370"/>
      <c r="K28" s="367"/>
      <c r="L28" s="370"/>
      <c r="M28" s="307" t="str">
        <f t="shared" si="14"/>
        <v/>
      </c>
      <c r="N28" s="306">
        <f t="shared" si="15"/>
        <v>0</v>
      </c>
      <c r="O28" s="306">
        <f t="shared" si="16"/>
        <v>0</v>
      </c>
      <c r="P28" s="308">
        <f t="shared" si="17"/>
        <v>0</v>
      </c>
      <c r="Q28" s="297"/>
    </row>
    <row r="29" spans="1:17" ht="40.049999999999997" customHeight="1" x14ac:dyDescent="0.45">
      <c r="A29" s="344" t="str">
        <f>Horaire!A25</f>
        <v>LA BARGE</v>
      </c>
      <c r="B29" s="303">
        <f>Horaire!E25</f>
        <v>0.63888888888888884</v>
      </c>
      <c r="C29" s="303" t="str">
        <f>Horaire!H25</f>
        <v>H1</v>
      </c>
      <c r="D29" s="304" t="str">
        <f>VLOOKUP(C29,'Liste chauffeur'!$B$5:$L$19,2,TRUE)&amp;" "&amp;VLOOKUP(C29,'Liste chauffeur'!$B$5:$L$19,3,TRUE)</f>
        <v>CHADHOULI Houmadi</v>
      </c>
      <c r="E29" s="377" t="str">
        <f>Horaire!C25</f>
        <v>13 ARRETS</v>
      </c>
      <c r="F29" s="367"/>
      <c r="G29" s="368">
        <f t="shared" si="9"/>
        <v>1</v>
      </c>
      <c r="H29" s="368"/>
      <c r="I29" s="370"/>
      <c r="J29" s="370"/>
      <c r="K29" s="367"/>
      <c r="L29" s="370"/>
      <c r="M29" s="307" t="str">
        <f t="shared" si="14"/>
        <v/>
      </c>
      <c r="N29" s="306">
        <f t="shared" si="15"/>
        <v>0</v>
      </c>
      <c r="O29" s="306">
        <f t="shared" si="16"/>
        <v>0</v>
      </c>
      <c r="P29" s="308">
        <f t="shared" si="17"/>
        <v>0</v>
      </c>
      <c r="Q29" s="297"/>
    </row>
    <row r="30" spans="1:17" ht="40.049999999999997" customHeight="1" x14ac:dyDescent="0.45">
      <c r="A30" s="344" t="str">
        <f>Horaire!A26</f>
        <v>LA BARGE</v>
      </c>
      <c r="B30" s="303">
        <f>Horaire!E26</f>
        <v>0.65972222222222221</v>
      </c>
      <c r="C30" s="303" t="str">
        <f>Horaire!H26</f>
        <v>H5</v>
      </c>
      <c r="D30" s="304" t="str">
        <f>VLOOKUP(C30,'Liste chauffeur'!$B$5:$L$19,2,TRUE)&amp;" "&amp;VLOOKUP(C30,'Liste chauffeur'!$B$5:$L$19,3,TRUE)</f>
        <v>ATTOUMANI Kamaldine</v>
      </c>
      <c r="E30" s="377" t="str">
        <f>Horaire!C26</f>
        <v>13 ARRETS</v>
      </c>
      <c r="F30" s="367"/>
      <c r="G30" s="368">
        <f t="shared" si="9"/>
        <v>1</v>
      </c>
      <c r="H30" s="368"/>
      <c r="I30" s="370"/>
      <c r="J30" s="370"/>
      <c r="K30" s="367"/>
      <c r="L30" s="370"/>
      <c r="M30" s="307"/>
      <c r="N30" s="306">
        <f t="shared" si="15"/>
        <v>0</v>
      </c>
      <c r="O30" s="306">
        <f t="shared" si="16"/>
        <v>0</v>
      </c>
      <c r="P30" s="308">
        <f t="shared" si="17"/>
        <v>0</v>
      </c>
      <c r="Q30" s="297"/>
    </row>
    <row r="31" spans="1:17" ht="40.049999999999997" customHeight="1" x14ac:dyDescent="0.45">
      <c r="A31" s="344" t="str">
        <f>Horaire!A27</f>
        <v>LA BARGE</v>
      </c>
      <c r="B31" s="303">
        <f>Horaire!E27</f>
        <v>0.6875</v>
      </c>
      <c r="C31" s="303" t="str">
        <f>Horaire!H27</f>
        <v>H5</v>
      </c>
      <c r="D31" s="304" t="str">
        <f>VLOOKUP(C31,'Liste chauffeur'!$B$5:$L$19,2,TRUE)&amp;" "&amp;VLOOKUP(C31,'Liste chauffeur'!$B$5:$L$19,3,TRUE)</f>
        <v>ATTOUMANI Kamaldine</v>
      </c>
      <c r="E31" s="377" t="str">
        <f>Horaire!C27</f>
        <v>13 ARRETS</v>
      </c>
      <c r="F31" s="367"/>
      <c r="G31" s="368">
        <f t="shared" si="9"/>
        <v>1</v>
      </c>
      <c r="H31" s="368"/>
      <c r="I31" s="370"/>
      <c r="J31" s="370"/>
      <c r="K31" s="367"/>
      <c r="L31" s="370"/>
      <c r="M31" s="307"/>
      <c r="N31" s="306">
        <f t="shared" si="15"/>
        <v>0</v>
      </c>
      <c r="O31" s="306">
        <f t="shared" si="16"/>
        <v>0</v>
      </c>
      <c r="P31" s="308">
        <f t="shared" si="17"/>
        <v>0</v>
      </c>
      <c r="Q31" s="297"/>
    </row>
    <row r="32" spans="1:17" ht="40.049999999999997" customHeight="1" x14ac:dyDescent="0.45">
      <c r="A32" s="344" t="str">
        <f>Horaire!A28</f>
        <v>LA BARGE</v>
      </c>
      <c r="B32" s="303">
        <f>Horaire!E28</f>
        <v>0.71180555555555558</v>
      </c>
      <c r="C32" s="303" t="str">
        <f>Horaire!H28</f>
        <v>H5</v>
      </c>
      <c r="D32" s="304" t="str">
        <f>VLOOKUP(C32,'Liste chauffeur'!$B$5:$L$19,2,TRUE)&amp;" "&amp;VLOOKUP(C32,'Liste chauffeur'!$B$5:$L$19,3,TRUE)</f>
        <v>ATTOUMANI Kamaldine</v>
      </c>
      <c r="E32" s="377" t="str">
        <f>Horaire!C28</f>
        <v>13 ARRETS</v>
      </c>
      <c r="F32" s="367"/>
      <c r="G32" s="368">
        <f t="shared" si="9"/>
        <v>1</v>
      </c>
      <c r="H32" s="368"/>
      <c r="I32" s="370"/>
      <c r="J32" s="370"/>
      <c r="K32" s="367"/>
      <c r="L32" s="370"/>
      <c r="M32" s="307"/>
      <c r="N32" s="306">
        <f t="shared" si="15"/>
        <v>0</v>
      </c>
      <c r="O32" s="306">
        <f t="shared" si="16"/>
        <v>0</v>
      </c>
      <c r="P32" s="308">
        <f t="shared" si="17"/>
        <v>0</v>
      </c>
      <c r="Q32" s="297"/>
    </row>
    <row r="33" spans="1:17" ht="40.049999999999997" customHeight="1" x14ac:dyDescent="0.45">
      <c r="A33" s="344" t="str">
        <f>Horaire!A29</f>
        <v>LA BARGE</v>
      </c>
      <c r="B33" s="303">
        <f>Horaire!E29</f>
        <v>0.76041666666666663</v>
      </c>
      <c r="C33" s="303" t="str">
        <f>Horaire!H29</f>
        <v>H3</v>
      </c>
      <c r="D33" s="304" t="str">
        <f>VLOOKUP(C33,'Liste chauffeur'!$B$5:$L$19,2,TRUE)&amp;" "&amp;VLOOKUP(C33,'Liste chauffeur'!$B$5:$L$19,3,TRUE)</f>
        <v>SAID ALI Kamile</v>
      </c>
      <c r="E33" s="377" t="str">
        <f>Horaire!C29</f>
        <v>DIRECT</v>
      </c>
      <c r="F33" s="367"/>
      <c r="G33" s="368">
        <f t="shared" si="9"/>
        <v>1</v>
      </c>
      <c r="H33" s="368"/>
      <c r="I33" s="370"/>
      <c r="J33" s="370"/>
      <c r="K33" s="367"/>
      <c r="L33" s="370"/>
      <c r="M33" s="307"/>
      <c r="N33" s="306">
        <f t="shared" si="15"/>
        <v>0</v>
      </c>
      <c r="O33" s="306">
        <f t="shared" si="16"/>
        <v>0</v>
      </c>
      <c r="P33" s="308">
        <f t="shared" si="17"/>
        <v>0</v>
      </c>
      <c r="Q33" s="297"/>
    </row>
    <row r="34" spans="1:17" ht="40.049999999999997" customHeight="1" x14ac:dyDescent="0.45">
      <c r="A34" s="344" t="str">
        <f>Horaire!A30</f>
        <v>CHM</v>
      </c>
      <c r="B34" s="303">
        <f>Horaire!E30</f>
        <v>0.76041666666666663</v>
      </c>
      <c r="C34" s="303" t="str">
        <f>Horaire!H30</f>
        <v>H1</v>
      </c>
      <c r="D34" s="304" t="str">
        <f>VLOOKUP(C34,'Liste chauffeur'!$B$5:$L$19,2,TRUE)&amp;" "&amp;VLOOKUP(C34,'Liste chauffeur'!$B$5:$L$19,3,TRUE)</f>
        <v>CHADHOULI Houmadi</v>
      </c>
      <c r="E34" s="377" t="str">
        <f>Horaire!C30</f>
        <v>DIRECT</v>
      </c>
      <c r="F34" s="367"/>
      <c r="G34" s="368">
        <f t="shared" ref="G34:G39" si="19">COUNTBLANK(F34)</f>
        <v>1</v>
      </c>
      <c r="H34" s="368"/>
      <c r="I34" s="370"/>
      <c r="J34" s="370"/>
      <c r="K34" s="367"/>
      <c r="L34" s="370"/>
      <c r="M34" s="307"/>
      <c r="N34" s="306">
        <f t="shared" si="15"/>
        <v>0</v>
      </c>
      <c r="O34" s="306">
        <f t="shared" si="16"/>
        <v>0</v>
      </c>
      <c r="P34" s="308">
        <f t="shared" si="17"/>
        <v>0</v>
      </c>
      <c r="Q34" s="297"/>
    </row>
    <row r="35" spans="1:17" ht="40.049999999999997" customHeight="1" x14ac:dyDescent="0.45">
      <c r="A35" s="344" t="str">
        <f>Horaire!A31</f>
        <v>LA BARGE</v>
      </c>
      <c r="B35" s="303">
        <f>Horaire!E31</f>
        <v>0.78125</v>
      </c>
      <c r="C35" s="303" t="str">
        <f>Horaire!H31</f>
        <v>H1</v>
      </c>
      <c r="D35" s="304" t="str">
        <f>VLOOKUP(C35,'Liste chauffeur'!$B$5:$L$19,2,TRUE)&amp;" "&amp;VLOOKUP(C35,'Liste chauffeur'!$B$5:$L$19,3,TRUE)</f>
        <v>CHADHOULI Houmadi</v>
      </c>
      <c r="E35" s="377" t="str">
        <f>Horaire!C31</f>
        <v>13 ARRETS</v>
      </c>
      <c r="F35" s="367"/>
      <c r="G35" s="368">
        <f t="shared" si="19"/>
        <v>1</v>
      </c>
      <c r="H35" s="368"/>
      <c r="I35" s="370"/>
      <c r="J35" s="370"/>
      <c r="K35" s="367"/>
      <c r="L35" s="370"/>
      <c r="M35" s="307"/>
      <c r="N35" s="306">
        <f t="shared" si="15"/>
        <v>0</v>
      </c>
      <c r="O35" s="306">
        <f t="shared" si="16"/>
        <v>0</v>
      </c>
      <c r="P35" s="308">
        <f t="shared" si="17"/>
        <v>0</v>
      </c>
      <c r="Q35" s="297"/>
    </row>
    <row r="36" spans="1:17" ht="40.049999999999997" customHeight="1" x14ac:dyDescent="0.45">
      <c r="A36" s="344" t="str">
        <f>Horaire!A32</f>
        <v>CHM</v>
      </c>
      <c r="B36" s="303">
        <f>Horaire!E32</f>
        <v>0.78125</v>
      </c>
      <c r="C36" s="303" t="str">
        <f>Horaire!H32</f>
        <v>H3</v>
      </c>
      <c r="D36" s="304" t="str">
        <f>VLOOKUP(C36,'Liste chauffeur'!$B$5:$L$19,2,TRUE)&amp;" "&amp;VLOOKUP(C36,'Liste chauffeur'!$B$5:$L$19,3,TRUE)</f>
        <v>SAID ALI Kamile</v>
      </c>
      <c r="E36" s="377" t="str">
        <f>Horaire!C32</f>
        <v>DIRECT</v>
      </c>
      <c r="F36" s="367"/>
      <c r="G36" s="368">
        <f t="shared" si="19"/>
        <v>1</v>
      </c>
      <c r="H36" s="368"/>
      <c r="I36" s="370"/>
      <c r="J36" s="370"/>
      <c r="K36" s="367"/>
      <c r="L36" s="370"/>
      <c r="M36" s="307"/>
      <c r="N36" s="306">
        <f t="shared" si="15"/>
        <v>0</v>
      </c>
      <c r="O36" s="306">
        <f t="shared" si="16"/>
        <v>0</v>
      </c>
      <c r="P36" s="308">
        <f t="shared" si="17"/>
        <v>0</v>
      </c>
      <c r="Q36" s="297"/>
    </row>
    <row r="37" spans="1:17" ht="40.049999999999997" customHeight="1" x14ac:dyDescent="0.45">
      <c r="A37" s="344" t="str">
        <f>Horaire!A33</f>
        <v>LA BARGE</v>
      </c>
      <c r="B37" s="303">
        <f>Horaire!E33</f>
        <v>0.80208333333333337</v>
      </c>
      <c r="C37" s="303" t="str">
        <f>Horaire!H33</f>
        <v>H3</v>
      </c>
      <c r="D37" s="304" t="str">
        <f>VLOOKUP(C37,'Liste chauffeur'!$B$5:$L$19,2,TRUE)&amp;" "&amp;VLOOKUP(C37,'Liste chauffeur'!$B$5:$L$19,3,TRUE)</f>
        <v>SAID ALI Kamile</v>
      </c>
      <c r="E37" s="377" t="str">
        <f>Horaire!C33</f>
        <v>13 ARRETS</v>
      </c>
      <c r="F37" s="367"/>
      <c r="G37" s="368">
        <f t="shared" si="19"/>
        <v>1</v>
      </c>
      <c r="H37" s="368"/>
      <c r="I37" s="370"/>
      <c r="J37" s="370"/>
      <c r="K37" s="367"/>
      <c r="L37" s="370"/>
      <c r="M37" s="307"/>
      <c r="N37" s="306">
        <f t="shared" si="15"/>
        <v>0</v>
      </c>
      <c r="O37" s="306">
        <f t="shared" si="16"/>
        <v>0</v>
      </c>
      <c r="P37" s="308">
        <f t="shared" si="17"/>
        <v>0</v>
      </c>
      <c r="Q37" s="297"/>
    </row>
    <row r="38" spans="1:17" ht="40.049999999999997" customHeight="1" x14ac:dyDescent="0.45">
      <c r="A38" s="344" t="str">
        <f>Horaire!A34</f>
        <v>CRA+CHM</v>
      </c>
      <c r="B38" s="303">
        <f>Horaire!E34</f>
        <v>0.80902777777777779</v>
      </c>
      <c r="C38" s="303" t="str">
        <f>Horaire!H34</f>
        <v>H1</v>
      </c>
      <c r="D38" s="304" t="str">
        <f>VLOOKUP(C38,'Liste chauffeur'!$B$5:$L$19,2,TRUE)&amp;" "&amp;VLOOKUP(C38,'Liste chauffeur'!$B$5:$L$19,3,TRUE)</f>
        <v>CHADHOULI Houmadi</v>
      </c>
      <c r="E38" s="377" t="str">
        <f>Horaire!C34</f>
        <v>DIRECT+CRA</v>
      </c>
      <c r="F38" s="367"/>
      <c r="G38" s="368">
        <f t="shared" si="19"/>
        <v>1</v>
      </c>
      <c r="H38" s="368"/>
      <c r="I38" s="370"/>
      <c r="J38" s="370"/>
      <c r="K38" s="367"/>
      <c r="L38" s="370"/>
      <c r="M38" s="307"/>
      <c r="N38" s="306">
        <f t="shared" si="15"/>
        <v>0</v>
      </c>
      <c r="O38" s="306">
        <f t="shared" si="16"/>
        <v>0</v>
      </c>
      <c r="P38" s="308">
        <f t="shared" si="17"/>
        <v>0</v>
      </c>
      <c r="Q38" s="297"/>
    </row>
    <row r="39" spans="1:17" ht="40.049999999999997" customHeight="1" x14ac:dyDescent="0.45">
      <c r="A39" s="344" t="str">
        <f>Horaire!A35</f>
        <v>LA BARGE</v>
      </c>
      <c r="B39" s="303">
        <f>Horaire!E35</f>
        <v>0.82291666666666663</v>
      </c>
      <c r="C39" s="303" t="str">
        <f>Horaire!H35</f>
        <v>H3</v>
      </c>
      <c r="D39" s="304" t="str">
        <f>VLOOKUP(C39,'Liste chauffeur'!$B$5:$L$19,2,TRUE)&amp;" "&amp;VLOOKUP(C39,'Liste chauffeur'!$B$5:$L$19,3,TRUE)</f>
        <v>SAID ALI Kamile</v>
      </c>
      <c r="E39" s="377" t="str">
        <f>Horaire!C35</f>
        <v>13 ARRETS</v>
      </c>
      <c r="F39" s="367"/>
      <c r="G39" s="368">
        <f t="shared" si="19"/>
        <v>1</v>
      </c>
      <c r="H39" s="368"/>
      <c r="I39" s="370"/>
      <c r="J39" s="370"/>
      <c r="K39" s="367"/>
      <c r="L39" s="370"/>
      <c r="M39" s="307"/>
      <c r="N39" s="306">
        <f t="shared" si="15"/>
        <v>0</v>
      </c>
      <c r="O39" s="306">
        <f t="shared" si="16"/>
        <v>0</v>
      </c>
      <c r="P39" s="308">
        <f t="shared" si="17"/>
        <v>0</v>
      </c>
      <c r="Q39" s="297"/>
    </row>
    <row r="40" spans="1:17" ht="40.049999999999997" customHeight="1" x14ac:dyDescent="0.45">
      <c r="A40" s="344"/>
      <c r="B40" s="579" t="s">
        <v>666</v>
      </c>
      <c r="C40" s="303"/>
      <c r="D40" s="304"/>
      <c r="E40" s="377"/>
      <c r="F40" s="367"/>
      <c r="G40" s="368"/>
      <c r="H40" s="368"/>
      <c r="I40" s="370"/>
      <c r="J40" s="370"/>
      <c r="K40" s="367"/>
      <c r="L40" s="370"/>
      <c r="M40" s="307"/>
      <c r="N40" s="306"/>
      <c r="O40" s="306"/>
      <c r="P40" s="309"/>
      <c r="Q40" s="297"/>
    </row>
    <row r="41" spans="1:17" ht="40.049999999999997" customHeight="1" x14ac:dyDescent="0.45">
      <c r="A41" s="344"/>
      <c r="B41" s="579" t="s">
        <v>666</v>
      </c>
      <c r="C41" s="303"/>
      <c r="D41" s="304"/>
      <c r="E41" s="377"/>
      <c r="F41" s="367"/>
      <c r="G41" s="368"/>
      <c r="H41" s="368"/>
      <c r="I41" s="370"/>
      <c r="J41" s="370"/>
      <c r="K41" s="367"/>
      <c r="L41" s="370"/>
      <c r="M41" s="307"/>
      <c r="N41" s="306"/>
      <c r="O41" s="306"/>
      <c r="P41" s="309"/>
      <c r="Q41" s="297"/>
    </row>
    <row r="42" spans="1:17" ht="40.049999999999997" customHeight="1" x14ac:dyDescent="0.45">
      <c r="A42" s="344"/>
      <c r="B42" s="579" t="s">
        <v>666</v>
      </c>
      <c r="C42" s="303"/>
      <c r="D42" s="304"/>
      <c r="E42" s="377"/>
      <c r="F42" s="367"/>
      <c r="G42" s="368"/>
      <c r="H42" s="368"/>
      <c r="I42" s="370"/>
      <c r="J42" s="370"/>
      <c r="K42" s="367"/>
      <c r="L42" s="370"/>
      <c r="M42" s="307"/>
      <c r="N42" s="306"/>
      <c r="O42" s="306"/>
      <c r="P42" s="309"/>
      <c r="Q42" s="297"/>
    </row>
    <row r="43" spans="1:17" ht="15" customHeight="1" x14ac:dyDescent="0.45">
      <c r="A43" s="316"/>
      <c r="B43" s="317" t="s">
        <v>340</v>
      </c>
      <c r="C43" s="317" t="s">
        <v>338</v>
      </c>
      <c r="D43" s="318"/>
      <c r="E43" s="318"/>
      <c r="F43" s="311"/>
      <c r="G43" s="348">
        <f>SUM(G24:G29)</f>
        <v>6</v>
      </c>
      <c r="H43" s="348"/>
      <c r="I43" s="310"/>
      <c r="J43" s="310"/>
      <c r="K43" s="311"/>
      <c r="L43" s="310"/>
      <c r="M43" s="312" t="e">
        <f>AVERAGE(M24:M29)</f>
        <v>#DIV/0!</v>
      </c>
      <c r="N43" s="295">
        <f>SUM(N24:N29)</f>
        <v>0</v>
      </c>
      <c r="O43" s="295">
        <f>SUM(O24:O29)</f>
        <v>0</v>
      </c>
      <c r="P43" s="314">
        <f t="shared" ref="P43" si="20">IF(O43=0,0,N43/O43)</f>
        <v>0</v>
      </c>
      <c r="Q43" s="297"/>
    </row>
    <row r="44" spans="1:17" ht="21" x14ac:dyDescent="0.45">
      <c r="A44" s="315" t="s">
        <v>336</v>
      </c>
      <c r="B44" s="303"/>
      <c r="C44" s="303" t="s">
        <v>660</v>
      </c>
      <c r="D44" s="304"/>
      <c r="E44" s="304"/>
      <c r="F44" s="305"/>
      <c r="G44" s="306"/>
      <c r="H44" s="306"/>
      <c r="I44" s="306"/>
      <c r="J44" s="297"/>
      <c r="K44" s="305"/>
      <c r="L44" s="297"/>
      <c r="M44" s="307" t="e">
        <f>AVERAGE(M8:M18,M24:M29)</f>
        <v>#DIV/0!</v>
      </c>
      <c r="N44" s="306">
        <f>N23+N43</f>
        <v>0</v>
      </c>
      <c r="O44" s="306">
        <f>O23+O43</f>
        <v>0</v>
      </c>
      <c r="P44" s="309">
        <f t="shared" si="10"/>
        <v>0</v>
      </c>
      <c r="Q44" s="297"/>
    </row>
    <row r="45" spans="1:17" ht="21" x14ac:dyDescent="0.45">
      <c r="A45" s="315" t="s">
        <v>336</v>
      </c>
      <c r="B45" s="303"/>
      <c r="C45" s="303" t="s">
        <v>660</v>
      </c>
      <c r="D45" s="304"/>
      <c r="E45" s="304"/>
      <c r="F45" s="305"/>
      <c r="G45" s="306"/>
      <c r="H45" s="306"/>
      <c r="I45" s="306"/>
      <c r="J45" s="297"/>
      <c r="K45" s="305"/>
      <c r="L45" s="297"/>
      <c r="M45" s="307"/>
      <c r="N45" s="306"/>
      <c r="O45" s="306"/>
      <c r="P45" s="309"/>
      <c r="Q45" s="297"/>
    </row>
    <row r="46" spans="1:17" ht="21" x14ac:dyDescent="0.45">
      <c r="A46" s="315" t="s">
        <v>336</v>
      </c>
      <c r="B46" s="303"/>
      <c r="C46" s="303" t="s">
        <v>660</v>
      </c>
      <c r="D46" s="304"/>
      <c r="E46" s="304"/>
      <c r="F46" s="305"/>
      <c r="G46" s="306"/>
      <c r="H46" s="306"/>
      <c r="I46" s="306"/>
      <c r="J46" s="297"/>
      <c r="K46" s="305"/>
      <c r="L46" s="297"/>
      <c r="M46" s="307"/>
      <c r="N46" s="306"/>
      <c r="O46" s="306"/>
      <c r="P46" s="309"/>
      <c r="Q46" s="297"/>
    </row>
    <row r="47" spans="1:17" ht="21" x14ac:dyDescent="0.45">
      <c r="A47" s="315" t="s">
        <v>336</v>
      </c>
      <c r="B47" s="303"/>
      <c r="C47" s="303" t="s">
        <v>660</v>
      </c>
      <c r="D47" s="304"/>
      <c r="E47" s="304"/>
      <c r="F47" s="305"/>
      <c r="G47" s="306"/>
      <c r="H47" s="306"/>
      <c r="I47" s="306"/>
      <c r="J47" s="297"/>
      <c r="K47" s="305"/>
      <c r="L47" s="297"/>
      <c r="M47" s="307"/>
      <c r="N47" s="306"/>
      <c r="O47" s="306"/>
      <c r="P47" s="309"/>
      <c r="Q47" s="297"/>
    </row>
    <row r="48" spans="1:17" ht="21" x14ac:dyDescent="0.45">
      <c r="A48" s="315" t="s">
        <v>336</v>
      </c>
      <c r="B48" s="303"/>
      <c r="C48" s="303" t="s">
        <v>660</v>
      </c>
      <c r="D48" s="304"/>
      <c r="E48" s="304"/>
      <c r="F48" s="305"/>
      <c r="G48" s="306"/>
      <c r="H48" s="306"/>
      <c r="I48" s="306"/>
      <c r="J48" s="297"/>
      <c r="K48" s="305"/>
      <c r="L48" s="297"/>
      <c r="M48" s="307"/>
      <c r="N48" s="306"/>
      <c r="O48" s="306"/>
      <c r="P48" s="309"/>
      <c r="Q48" s="297"/>
    </row>
    <row r="50" spans="2:7" x14ac:dyDescent="0.45">
      <c r="C50" s="190" t="s">
        <v>691</v>
      </c>
      <c r="F50" s="137" t="s">
        <v>15</v>
      </c>
    </row>
    <row r="52" spans="2:7" x14ac:dyDescent="0.45">
      <c r="C52" s="279"/>
    </row>
    <row r="53" spans="2:7" x14ac:dyDescent="0.45">
      <c r="B53" s="137" t="s">
        <v>358</v>
      </c>
      <c r="C53" s="137" t="s">
        <v>359</v>
      </c>
      <c r="D53" s="137" t="s">
        <v>360</v>
      </c>
      <c r="F53" s="137" t="s">
        <v>361</v>
      </c>
    </row>
    <row r="54" spans="2:7" x14ac:dyDescent="0.45">
      <c r="B54" s="137" t="s">
        <v>378</v>
      </c>
      <c r="C54" s="347">
        <f>COUNTIF($B$8:$C$19,B54)+COUNTIF($B$24:$C$39,B54)</f>
        <v>10</v>
      </c>
      <c r="D54" s="347">
        <f>C54-(COUNTIFS(C$8:C$19,B54,L$8:L$19,"")+COUNTIFS(C$24:C$39,B54,L$24:L$39,""))</f>
        <v>0</v>
      </c>
      <c r="E54" s="347"/>
      <c r="F54" s="137">
        <f>COUNTIFS(L$8:L$22,$B54)+COUNTIFS(L$24:L$42,$B54)</f>
        <v>0</v>
      </c>
    </row>
    <row r="55" spans="2:7" x14ac:dyDescent="0.45">
      <c r="B55" s="137" t="s">
        <v>382</v>
      </c>
      <c r="C55" s="347">
        <f t="shared" ref="C55:C61" si="21">COUNTIF($B$8:$C$19,B55)+COUNTIF($B$24:$C$39,B55)</f>
        <v>0</v>
      </c>
      <c r="D55" s="347">
        <f t="shared" ref="D55:D61" si="22">C55-(COUNTIFS(C$8:C$19,B55,L$8:L$19,"")+COUNTIFS(C$24:C$39,B55,L$24:L$39,""))</f>
        <v>0</v>
      </c>
      <c r="E55" s="347"/>
      <c r="F55" s="137">
        <f t="shared" ref="F55:F61" si="23">COUNTIFS(L$8:L$22,$B55)+COUNTIFS(L$24:L$42,$B55)</f>
        <v>0</v>
      </c>
    </row>
    <row r="56" spans="2:7" x14ac:dyDescent="0.45">
      <c r="B56" s="137" t="s">
        <v>384</v>
      </c>
      <c r="C56" s="347">
        <f t="shared" si="21"/>
        <v>9</v>
      </c>
      <c r="D56" s="347">
        <f t="shared" si="22"/>
        <v>0</v>
      </c>
      <c r="E56" s="347"/>
      <c r="F56" s="137">
        <f t="shared" si="23"/>
        <v>0</v>
      </c>
    </row>
    <row r="57" spans="2:7" x14ac:dyDescent="0.45">
      <c r="B57" s="137" t="s">
        <v>407</v>
      </c>
      <c r="C57" s="347">
        <f t="shared" si="21"/>
        <v>0</v>
      </c>
      <c r="D57" s="347">
        <f t="shared" si="22"/>
        <v>0</v>
      </c>
      <c r="E57" s="347"/>
      <c r="F57" s="137">
        <f t="shared" si="23"/>
        <v>0</v>
      </c>
    </row>
    <row r="58" spans="2:7" x14ac:dyDescent="0.45">
      <c r="B58" s="137" t="s">
        <v>414</v>
      </c>
      <c r="C58" s="347">
        <f t="shared" si="21"/>
        <v>9</v>
      </c>
      <c r="D58" s="347">
        <f t="shared" si="22"/>
        <v>0</v>
      </c>
      <c r="E58" s="347"/>
      <c r="F58" s="137">
        <f t="shared" si="23"/>
        <v>0</v>
      </c>
    </row>
    <row r="59" spans="2:7" x14ac:dyDescent="0.45">
      <c r="B59" s="137" t="s">
        <v>421</v>
      </c>
      <c r="C59" s="347">
        <f t="shared" si="21"/>
        <v>0</v>
      </c>
      <c r="D59" s="347">
        <f t="shared" si="22"/>
        <v>0</v>
      </c>
      <c r="E59" s="347"/>
      <c r="F59" s="137">
        <f t="shared" si="23"/>
        <v>0</v>
      </c>
    </row>
    <row r="60" spans="2:7" x14ac:dyDescent="0.45">
      <c r="B60" s="137" t="s">
        <v>426</v>
      </c>
      <c r="C60" s="347">
        <f t="shared" si="21"/>
        <v>0</v>
      </c>
      <c r="D60" s="347">
        <f t="shared" si="22"/>
        <v>0</v>
      </c>
      <c r="E60" s="347"/>
      <c r="F60" s="137">
        <f t="shared" si="23"/>
        <v>0</v>
      </c>
    </row>
    <row r="61" spans="2:7" x14ac:dyDescent="0.45">
      <c r="B61" s="137" t="s">
        <v>433</v>
      </c>
      <c r="C61" s="347">
        <f t="shared" si="21"/>
        <v>0</v>
      </c>
      <c r="D61" s="347">
        <f t="shared" si="22"/>
        <v>0</v>
      </c>
      <c r="E61" s="347"/>
      <c r="F61" s="137">
        <f t="shared" si="23"/>
        <v>0</v>
      </c>
    </row>
    <row r="62" spans="2:7" x14ac:dyDescent="0.45">
      <c r="C62" s="347">
        <f>SUM(C54:C61)</f>
        <v>28</v>
      </c>
      <c r="D62" s="137">
        <f>SUM(D54:D61)</f>
        <v>0</v>
      </c>
      <c r="F62" s="137">
        <f>SUM(F54:F61)</f>
        <v>0</v>
      </c>
      <c r="G62" s="347" t="e">
        <f>G23+#REF!+G43</f>
        <v>#REF!</v>
      </c>
    </row>
    <row r="63" spans="2:7" x14ac:dyDescent="0.45">
      <c r="F63" s="137">
        <f>D62-F62</f>
        <v>0</v>
      </c>
      <c r="G63" s="137" t="e">
        <f>IF(F63=G62,"OK","ERREUR")</f>
        <v>#REF!</v>
      </c>
    </row>
  </sheetData>
  <sheetProtection formatCells="0" formatColumns="0" formatRows="0" autoFilter="0"/>
  <autoFilter ref="A7:P50" xr:uid="{5B5BBBDE-33E3-4462-B288-63EC9F5FA152}"/>
  <mergeCells count="1">
    <mergeCell ref="B3:D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copies="1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8EE5-6755-4208-9379-793F5B4DD0D2}">
  <dimension ref="A1:Q624"/>
  <sheetViews>
    <sheetView showGridLines="0" view="pageBreakPreview" topLeftCell="A4" zoomScale="60" zoomScaleNormal="85" workbookViewId="0">
      <selection activeCell="A14" sqref="A14:L19"/>
    </sheetView>
  </sheetViews>
  <sheetFormatPr baseColWidth="10" defaultColWidth="10.796875" defaultRowHeight="14.25" outlineLevelCol="1" x14ac:dyDescent="0.45"/>
  <cols>
    <col min="1" max="1" width="16.1328125" style="137" customWidth="1"/>
    <col min="2" max="2" width="11" style="137" customWidth="1"/>
    <col min="3" max="3" width="10.796875" style="137" customWidth="1" outlineLevel="1"/>
    <col min="4" max="4" width="28.9296875" style="137" customWidth="1" outlineLevel="1"/>
    <col min="5" max="5" width="11.86328125" style="137" customWidth="1" outlineLevel="1"/>
    <col min="6" max="6" width="10.796875" style="137"/>
    <col min="7" max="8" width="10.796875" style="137" hidden="1" customWidth="1"/>
    <col min="9" max="9" width="11.73046875" style="137" customWidth="1"/>
    <col min="10" max="10" width="10.796875" style="137" customWidth="1"/>
    <col min="11" max="11" width="13.1328125" style="137" customWidth="1"/>
    <col min="12" max="12" width="34.796875" style="137" customWidth="1"/>
    <col min="13" max="16" width="10.796875" style="137" hidden="1" customWidth="1"/>
    <col min="17" max="17" width="0" style="137" hidden="1" customWidth="1"/>
    <col min="18" max="16384" width="10.796875" style="137"/>
  </cols>
  <sheetData>
    <row r="1" spans="1:17" x14ac:dyDescent="0.45">
      <c r="G1" s="137" t="s">
        <v>658</v>
      </c>
    </row>
    <row r="2" spans="1:17" ht="23.25" x14ac:dyDescent="0.45">
      <c r="A2" s="137" t="s">
        <v>18</v>
      </c>
      <c r="B2" s="260" t="s">
        <v>378</v>
      </c>
      <c r="C2" s="241"/>
      <c r="D2" s="241"/>
      <c r="E2" s="241"/>
    </row>
    <row r="3" spans="1:17" ht="22.5" hidden="1" customHeight="1" x14ac:dyDescent="0.45">
      <c r="A3" s="137" t="s">
        <v>14</v>
      </c>
      <c r="B3" s="615">
        <v>45627</v>
      </c>
      <c r="C3" s="616"/>
      <c r="D3" s="616"/>
      <c r="E3" s="252"/>
      <c r="F3" s="599"/>
      <c r="G3" s="599"/>
      <c r="H3" s="599"/>
      <c r="I3" s="143"/>
    </row>
    <row r="4" spans="1:17" ht="28.5" customHeight="1" x14ac:dyDescent="0.45">
      <c r="A4" s="137" t="s">
        <v>13</v>
      </c>
      <c r="B4" s="320" t="str">
        <f>VLOOKUP(B2,'Liste chauffeur'!$B$5:$L$19,2,TRUE)&amp;" "&amp;VLOOKUP(B2,'Liste chauffeur'!$B$5:$L$19,3,TRUE)</f>
        <v>CHADHOULI Houmadi</v>
      </c>
      <c r="C4" s="254"/>
      <c r="D4" s="254"/>
      <c r="E4" s="598"/>
      <c r="J4" s="600"/>
      <c r="L4" s="607">
        <v>46143</v>
      </c>
    </row>
    <row r="6" spans="1:17" x14ac:dyDescent="0.45">
      <c r="A6" s="141"/>
      <c r="B6" s="142"/>
      <c r="C6" s="142"/>
      <c r="D6" s="142"/>
      <c r="E6" s="142"/>
      <c r="F6" s="142"/>
      <c r="G6" s="142"/>
      <c r="H6" s="142"/>
      <c r="I6" s="142"/>
      <c r="J6" s="319"/>
      <c r="K6" s="319" t="s">
        <v>337</v>
      </c>
      <c r="L6" s="294"/>
      <c r="M6" s="294"/>
      <c r="N6" s="294"/>
      <c r="O6" s="294">
        <v>8</v>
      </c>
      <c r="P6" s="294"/>
    </row>
    <row r="7" spans="1:17" ht="63" x14ac:dyDescent="0.45">
      <c r="A7" s="297" t="s">
        <v>534</v>
      </c>
      <c r="B7" s="298" t="s">
        <v>0</v>
      </c>
      <c r="C7" s="298" t="s">
        <v>332</v>
      </c>
      <c r="D7" s="298" t="s">
        <v>333</v>
      </c>
      <c r="E7" s="298" t="s">
        <v>535</v>
      </c>
      <c r="F7" s="298" t="s">
        <v>1</v>
      </c>
      <c r="G7" s="298" t="s">
        <v>334</v>
      </c>
      <c r="H7" s="298" t="s">
        <v>335</v>
      </c>
      <c r="I7" s="298" t="s">
        <v>23</v>
      </c>
      <c r="J7" s="300" t="s">
        <v>22</v>
      </c>
      <c r="K7" s="298" t="s">
        <v>17</v>
      </c>
      <c r="L7" s="301" t="s">
        <v>12</v>
      </c>
      <c r="M7" s="297" t="s">
        <v>20</v>
      </c>
      <c r="N7" s="302" t="s">
        <v>38</v>
      </c>
      <c r="O7" s="302" t="s">
        <v>39</v>
      </c>
      <c r="P7" s="302" t="s">
        <v>40</v>
      </c>
      <c r="Q7" s="297"/>
    </row>
    <row r="8" spans="1:17" ht="33" customHeight="1" x14ac:dyDescent="0.45">
      <c r="A8" s="344" t="s">
        <v>501</v>
      </c>
      <c r="B8" s="345">
        <v>0.2326388888888889</v>
      </c>
      <c r="C8" s="345" t="s">
        <v>378</v>
      </c>
      <c r="D8" s="304" t="s">
        <v>700</v>
      </c>
      <c r="E8" s="377" t="s">
        <v>503</v>
      </c>
      <c r="F8" s="580"/>
      <c r="G8" s="368">
        <v>1</v>
      </c>
      <c r="H8" s="363"/>
      <c r="I8" s="580"/>
      <c r="J8" s="365"/>
      <c r="K8" s="580"/>
      <c r="L8" s="366"/>
      <c r="M8" s="307" t="str">
        <f t="shared" ref="M8:M16" si="0">IF(G8=1,"",K8-F8)</f>
        <v/>
      </c>
      <c r="N8" s="306">
        <f>J8</f>
        <v>0</v>
      </c>
      <c r="O8" s="306">
        <f t="shared" ref="O8:O18" si="1">IF(G8=1,0,O$6)</f>
        <v>0</v>
      </c>
      <c r="P8" s="308">
        <f t="shared" ref="P8:P17" si="2">IF(O8=0,0,N8/O8)</f>
        <v>0</v>
      </c>
      <c r="Q8" s="297"/>
    </row>
    <row r="9" spans="1:17" ht="29" customHeight="1" x14ac:dyDescent="0.45">
      <c r="A9" s="344" t="s">
        <v>501</v>
      </c>
      <c r="B9" s="345">
        <v>0.27083333333333331</v>
      </c>
      <c r="C9" s="345" t="s">
        <v>378</v>
      </c>
      <c r="D9" s="304" t="s">
        <v>700</v>
      </c>
      <c r="E9" s="377" t="s">
        <v>503</v>
      </c>
      <c r="F9" s="580"/>
      <c r="G9" s="368">
        <v>1</v>
      </c>
      <c r="H9" s="363"/>
      <c r="I9" s="580"/>
      <c r="J9" s="365"/>
      <c r="K9" s="580"/>
      <c r="L9" s="366"/>
      <c r="M9" s="307" t="str">
        <f t="shared" si="0"/>
        <v/>
      </c>
      <c r="N9" s="306">
        <f t="shared" ref="N9:N18" si="3">J9</f>
        <v>0</v>
      </c>
      <c r="O9" s="306">
        <f t="shared" si="1"/>
        <v>0</v>
      </c>
      <c r="P9" s="308">
        <f t="shared" si="2"/>
        <v>0</v>
      </c>
      <c r="Q9" s="297"/>
    </row>
    <row r="10" spans="1:17" ht="35.25" customHeight="1" x14ac:dyDescent="0.45">
      <c r="A10" s="344" t="s">
        <v>501</v>
      </c>
      <c r="B10" s="345">
        <v>0.28819444444444442</v>
      </c>
      <c r="C10" s="345" t="s">
        <v>378</v>
      </c>
      <c r="D10" s="304" t="s">
        <v>700</v>
      </c>
      <c r="E10" s="377" t="s">
        <v>504</v>
      </c>
      <c r="F10" s="580"/>
      <c r="G10" s="368">
        <v>1</v>
      </c>
      <c r="H10" s="363"/>
      <c r="I10" s="580"/>
      <c r="J10" s="365"/>
      <c r="K10" s="580"/>
      <c r="L10" s="366"/>
      <c r="M10" s="307" t="str">
        <f t="shared" si="0"/>
        <v/>
      </c>
      <c r="N10" s="306">
        <f t="shared" si="3"/>
        <v>0</v>
      </c>
      <c r="O10" s="306">
        <f t="shared" si="1"/>
        <v>0</v>
      </c>
      <c r="P10" s="308">
        <f t="shared" si="2"/>
        <v>0</v>
      </c>
      <c r="Q10" s="297"/>
    </row>
    <row r="11" spans="1:17" ht="40.049999999999997" customHeight="1" x14ac:dyDescent="0.45">
      <c r="A11" s="344" t="s">
        <v>376</v>
      </c>
      <c r="B11" s="345">
        <v>0.58333333333333337</v>
      </c>
      <c r="C11" s="345" t="s">
        <v>378</v>
      </c>
      <c r="D11" s="304" t="s">
        <v>700</v>
      </c>
      <c r="E11" s="377" t="s">
        <v>503</v>
      </c>
      <c r="F11" s="367"/>
      <c r="G11" s="368">
        <v>1</v>
      </c>
      <c r="H11" s="368"/>
      <c r="I11" s="370"/>
      <c r="J11" s="370"/>
      <c r="K11" s="367"/>
      <c r="L11" s="370"/>
      <c r="M11" s="307" t="str">
        <f t="shared" si="0"/>
        <v/>
      </c>
      <c r="N11" s="306">
        <f t="shared" si="3"/>
        <v>0</v>
      </c>
      <c r="O11" s="306">
        <f t="shared" si="1"/>
        <v>0</v>
      </c>
      <c r="P11" s="308">
        <f t="shared" si="2"/>
        <v>0</v>
      </c>
      <c r="Q11" s="297"/>
    </row>
    <row r="12" spans="1:17" ht="40.049999999999997" customHeight="1" x14ac:dyDescent="0.45">
      <c r="A12" s="344" t="s">
        <v>376</v>
      </c>
      <c r="B12" s="345">
        <v>0.61458333333333337</v>
      </c>
      <c r="C12" s="345" t="s">
        <v>378</v>
      </c>
      <c r="D12" s="304" t="s">
        <v>700</v>
      </c>
      <c r="E12" s="377" t="s">
        <v>503</v>
      </c>
      <c r="F12" s="367"/>
      <c r="G12" s="368">
        <v>1</v>
      </c>
      <c r="H12" s="368"/>
      <c r="I12" s="370"/>
      <c r="J12" s="370"/>
      <c r="K12" s="367"/>
      <c r="L12" s="370"/>
      <c r="M12" s="307" t="str">
        <f t="shared" si="0"/>
        <v/>
      </c>
      <c r="N12" s="306">
        <f t="shared" si="3"/>
        <v>0</v>
      </c>
      <c r="O12" s="306">
        <f t="shared" si="1"/>
        <v>0</v>
      </c>
      <c r="P12" s="309">
        <f t="shared" si="2"/>
        <v>0</v>
      </c>
      <c r="Q12" s="297"/>
    </row>
    <row r="13" spans="1:17" ht="40.049999999999997" customHeight="1" x14ac:dyDescent="0.45">
      <c r="A13" s="344" t="s">
        <v>376</v>
      </c>
      <c r="B13" s="345">
        <v>0.63888888888888884</v>
      </c>
      <c r="C13" s="345" t="s">
        <v>378</v>
      </c>
      <c r="D13" s="304" t="s">
        <v>700</v>
      </c>
      <c r="E13" s="377" t="s">
        <v>503</v>
      </c>
      <c r="F13" s="367"/>
      <c r="G13" s="368">
        <v>1</v>
      </c>
      <c r="H13" s="368"/>
      <c r="I13" s="370"/>
      <c r="J13" s="370"/>
      <c r="K13" s="367"/>
      <c r="L13" s="370"/>
      <c r="M13" s="307" t="str">
        <f t="shared" si="0"/>
        <v/>
      </c>
      <c r="N13" s="306">
        <f t="shared" si="3"/>
        <v>0</v>
      </c>
      <c r="O13" s="306">
        <f t="shared" si="1"/>
        <v>0</v>
      </c>
      <c r="P13" s="309">
        <f t="shared" si="2"/>
        <v>0</v>
      </c>
      <c r="Q13" s="297"/>
    </row>
    <row r="14" spans="1:17" ht="32.25" customHeight="1" x14ac:dyDescent="0.45">
      <c r="A14" s="344" t="s">
        <v>336</v>
      </c>
      <c r="B14" s="345"/>
      <c r="C14" s="345" t="s">
        <v>660</v>
      </c>
      <c r="D14" s="304"/>
      <c r="E14" s="377"/>
      <c r="F14" s="367"/>
      <c r="G14" s="368"/>
      <c r="H14" s="368"/>
      <c r="I14" s="370"/>
      <c r="J14" s="370"/>
      <c r="K14" s="367"/>
      <c r="L14" s="370"/>
      <c r="M14" s="307">
        <f t="shared" si="0"/>
        <v>0</v>
      </c>
      <c r="N14" s="306">
        <f t="shared" si="3"/>
        <v>0</v>
      </c>
      <c r="O14" s="306">
        <f t="shared" si="1"/>
        <v>8</v>
      </c>
      <c r="P14" s="309">
        <f t="shared" si="2"/>
        <v>0</v>
      </c>
      <c r="Q14" s="297"/>
    </row>
    <row r="15" spans="1:17" ht="40.049999999999997" customHeight="1" x14ac:dyDescent="0.45">
      <c r="A15" s="344" t="s">
        <v>336</v>
      </c>
      <c r="B15" s="345"/>
      <c r="C15" s="345" t="s">
        <v>660</v>
      </c>
      <c r="D15" s="304"/>
      <c r="E15" s="377"/>
      <c r="F15" s="367"/>
      <c r="G15" s="368"/>
      <c r="H15" s="368"/>
      <c r="I15" s="370"/>
      <c r="J15" s="370"/>
      <c r="K15" s="367"/>
      <c r="L15" s="370"/>
      <c r="M15" s="307">
        <f t="shared" si="0"/>
        <v>0</v>
      </c>
      <c r="N15" s="306">
        <f t="shared" si="3"/>
        <v>0</v>
      </c>
      <c r="O15" s="306">
        <f t="shared" si="1"/>
        <v>8</v>
      </c>
      <c r="P15" s="309">
        <f t="shared" si="2"/>
        <v>0</v>
      </c>
      <c r="Q15" s="297"/>
    </row>
    <row r="16" spans="1:17" ht="40.049999999999997" customHeight="1" x14ac:dyDescent="0.45">
      <c r="A16" s="344" t="s">
        <v>336</v>
      </c>
      <c r="B16" s="345"/>
      <c r="C16" s="345" t="s">
        <v>660</v>
      </c>
      <c r="D16" s="304"/>
      <c r="E16" s="377"/>
      <c r="F16" s="367"/>
      <c r="G16" s="368"/>
      <c r="H16" s="368"/>
      <c r="I16" s="370"/>
      <c r="J16" s="370"/>
      <c r="K16" s="367"/>
      <c r="L16" s="370"/>
      <c r="M16" s="307">
        <f t="shared" si="0"/>
        <v>0</v>
      </c>
      <c r="N16" s="306">
        <f t="shared" si="3"/>
        <v>0</v>
      </c>
      <c r="O16" s="306">
        <f t="shared" si="1"/>
        <v>8</v>
      </c>
      <c r="P16" s="309">
        <f t="shared" si="2"/>
        <v>0</v>
      </c>
      <c r="Q16" s="297"/>
    </row>
    <row r="17" spans="1:17" ht="40.049999999999997" customHeight="1" x14ac:dyDescent="0.45">
      <c r="A17" s="344" t="s">
        <v>336</v>
      </c>
      <c r="B17" s="345"/>
      <c r="C17" s="345" t="s">
        <v>660</v>
      </c>
      <c r="D17" s="304"/>
      <c r="E17" s="377"/>
      <c r="F17" s="367"/>
      <c r="G17" s="368"/>
      <c r="H17" s="368"/>
      <c r="I17" s="370"/>
      <c r="J17" s="370"/>
      <c r="K17" s="367"/>
      <c r="L17" s="370"/>
      <c r="M17" s="307"/>
      <c r="N17" s="306">
        <f t="shared" si="3"/>
        <v>0</v>
      </c>
      <c r="O17" s="306">
        <f t="shared" si="1"/>
        <v>8</v>
      </c>
      <c r="P17" s="309">
        <f t="shared" si="2"/>
        <v>0</v>
      </c>
      <c r="Q17" s="297"/>
    </row>
    <row r="18" spans="1:17" ht="40.049999999999997" customHeight="1" x14ac:dyDescent="0.45">
      <c r="A18" s="344" t="s">
        <v>336</v>
      </c>
      <c r="B18" s="345"/>
      <c r="C18" s="345" t="s">
        <v>660</v>
      </c>
      <c r="D18" s="304"/>
      <c r="E18" s="377"/>
      <c r="F18" s="367"/>
      <c r="G18" s="368"/>
      <c r="H18" s="368"/>
      <c r="I18" s="370"/>
      <c r="J18" s="370"/>
      <c r="K18" s="367"/>
      <c r="L18" s="370"/>
      <c r="M18" s="307"/>
      <c r="N18" s="306">
        <f t="shared" si="3"/>
        <v>0</v>
      </c>
      <c r="O18" s="306">
        <f t="shared" si="1"/>
        <v>8</v>
      </c>
      <c r="P18" s="309"/>
      <c r="Q18" s="297"/>
    </row>
    <row r="19" spans="1:17" x14ac:dyDescent="0.45">
      <c r="C19" s="190" t="s">
        <v>691</v>
      </c>
      <c r="F19" s="137" t="s">
        <v>15</v>
      </c>
    </row>
    <row r="21" spans="1:17" ht="23.25" x14ac:dyDescent="0.45">
      <c r="A21" s="137" t="s">
        <v>18</v>
      </c>
      <c r="B21" s="260" t="s">
        <v>378</v>
      </c>
      <c r="C21" s="241"/>
      <c r="D21" s="241"/>
      <c r="E21" s="241"/>
    </row>
    <row r="22" spans="1:17" ht="21" x14ac:dyDescent="0.45">
      <c r="A22" s="137" t="s">
        <v>13</v>
      </c>
      <c r="B22" s="320" t="s">
        <v>700</v>
      </c>
      <c r="C22" s="254"/>
      <c r="D22" s="254"/>
      <c r="E22" s="598"/>
      <c r="J22" s="600"/>
      <c r="L22" s="600">
        <f>L4+1</f>
        <v>46144</v>
      </c>
    </row>
    <row r="24" spans="1:17" x14ac:dyDescent="0.45">
      <c r="A24" s="141"/>
      <c r="B24" s="142"/>
      <c r="C24" s="142"/>
      <c r="D24" s="142"/>
      <c r="E24" s="142"/>
      <c r="F24" s="142"/>
      <c r="G24" s="142"/>
      <c r="H24" s="142"/>
      <c r="I24" s="142"/>
      <c r="J24" s="319"/>
      <c r="K24" s="319" t="s">
        <v>337</v>
      </c>
      <c r="L24" s="294"/>
    </row>
    <row r="25" spans="1:17" ht="63" x14ac:dyDescent="0.45">
      <c r="A25" s="297" t="s">
        <v>534</v>
      </c>
      <c r="B25" s="298" t="s">
        <v>0</v>
      </c>
      <c r="C25" s="298" t="s">
        <v>332</v>
      </c>
      <c r="D25" s="298" t="s">
        <v>333</v>
      </c>
      <c r="E25" s="298" t="s">
        <v>535</v>
      </c>
      <c r="F25" s="298" t="s">
        <v>1</v>
      </c>
      <c r="G25" s="298" t="s">
        <v>334</v>
      </c>
      <c r="H25" s="298" t="s">
        <v>335</v>
      </c>
      <c r="I25" s="298" t="s">
        <v>23</v>
      </c>
      <c r="J25" s="300" t="s">
        <v>22</v>
      </c>
      <c r="K25" s="298" t="s">
        <v>17</v>
      </c>
      <c r="L25" s="301" t="s">
        <v>12</v>
      </c>
    </row>
    <row r="26" spans="1:17" ht="33.85" customHeight="1" x14ac:dyDescent="0.45">
      <c r="A26" s="344" t="s">
        <v>501</v>
      </c>
      <c r="B26" s="345">
        <v>0.2326388888888889</v>
      </c>
      <c r="C26" s="345" t="s">
        <v>378</v>
      </c>
      <c r="D26" s="304" t="s">
        <v>700</v>
      </c>
      <c r="E26" s="377" t="s">
        <v>503</v>
      </c>
      <c r="F26" s="580"/>
      <c r="G26" s="368">
        <v>1</v>
      </c>
      <c r="H26" s="363"/>
      <c r="I26" s="580"/>
      <c r="J26" s="365"/>
      <c r="K26" s="580"/>
      <c r="L26" s="366"/>
    </row>
    <row r="27" spans="1:17" ht="33.85" customHeight="1" x14ac:dyDescent="0.45">
      <c r="A27" s="344" t="s">
        <v>501</v>
      </c>
      <c r="B27" s="345">
        <v>0.27083333333333331</v>
      </c>
      <c r="C27" s="345" t="s">
        <v>378</v>
      </c>
      <c r="D27" s="304" t="s">
        <v>700</v>
      </c>
      <c r="E27" s="377" t="s">
        <v>503</v>
      </c>
      <c r="F27" s="580"/>
      <c r="G27" s="368">
        <v>1</v>
      </c>
      <c r="H27" s="363"/>
      <c r="I27" s="580"/>
      <c r="J27" s="365"/>
      <c r="K27" s="580"/>
      <c r="L27" s="366"/>
    </row>
    <row r="28" spans="1:17" ht="33.85" customHeight="1" x14ac:dyDescent="0.45">
      <c r="A28" s="344" t="s">
        <v>501</v>
      </c>
      <c r="B28" s="345">
        <v>0.28819444444444442</v>
      </c>
      <c r="C28" s="345" t="s">
        <v>378</v>
      </c>
      <c r="D28" s="304" t="s">
        <v>700</v>
      </c>
      <c r="E28" s="377" t="s">
        <v>504</v>
      </c>
      <c r="F28" s="367"/>
      <c r="G28" s="368">
        <v>1</v>
      </c>
      <c r="H28" s="368"/>
      <c r="I28" s="370"/>
      <c r="J28" s="370"/>
      <c r="K28" s="367"/>
      <c r="L28" s="370"/>
    </row>
    <row r="29" spans="1:17" ht="33.85" customHeight="1" x14ac:dyDescent="0.45">
      <c r="A29" s="344" t="s">
        <v>376</v>
      </c>
      <c r="B29" s="345">
        <v>0.3263888888888889</v>
      </c>
      <c r="C29" s="345" t="s">
        <v>378</v>
      </c>
      <c r="D29" s="304" t="s">
        <v>700</v>
      </c>
      <c r="E29" s="377" t="s">
        <v>504</v>
      </c>
      <c r="F29" s="367"/>
      <c r="G29" s="368">
        <v>1</v>
      </c>
      <c r="H29" s="368"/>
      <c r="I29" s="370"/>
      <c r="J29" s="370"/>
      <c r="K29" s="367"/>
      <c r="L29" s="370"/>
    </row>
    <row r="30" spans="1:17" ht="33.85" customHeight="1" x14ac:dyDescent="0.45">
      <c r="A30" s="344" t="s">
        <v>376</v>
      </c>
      <c r="B30" s="303">
        <v>0.58333333333333337</v>
      </c>
      <c r="C30" s="303" t="s">
        <v>378</v>
      </c>
      <c r="D30" s="304" t="s">
        <v>700</v>
      </c>
      <c r="E30" s="377" t="s">
        <v>503</v>
      </c>
      <c r="F30" s="367"/>
      <c r="G30" s="368">
        <v>1</v>
      </c>
      <c r="H30" s="368"/>
      <c r="I30" s="370"/>
      <c r="J30" s="370"/>
      <c r="K30" s="367"/>
      <c r="L30" s="370"/>
    </row>
    <row r="31" spans="1:17" ht="33.85" customHeight="1" x14ac:dyDescent="0.45">
      <c r="A31" s="344" t="s">
        <v>376</v>
      </c>
      <c r="B31" s="303">
        <v>0.61458333333333337</v>
      </c>
      <c r="C31" s="303" t="s">
        <v>378</v>
      </c>
      <c r="D31" s="304" t="s">
        <v>700</v>
      </c>
      <c r="E31" s="377" t="s">
        <v>503</v>
      </c>
      <c r="F31" s="367"/>
      <c r="G31" s="368">
        <v>1</v>
      </c>
      <c r="H31" s="368"/>
      <c r="I31" s="370"/>
      <c r="J31" s="370"/>
      <c r="K31" s="367"/>
      <c r="L31" s="370"/>
    </row>
    <row r="32" spans="1:17" ht="33.85" customHeight="1" x14ac:dyDescent="0.45">
      <c r="A32" s="344" t="s">
        <v>376</v>
      </c>
      <c r="B32" s="303">
        <v>0.63888888888888884</v>
      </c>
      <c r="C32" s="303" t="s">
        <v>378</v>
      </c>
      <c r="D32" s="304" t="s">
        <v>700</v>
      </c>
      <c r="E32" s="377" t="s">
        <v>503</v>
      </c>
      <c r="F32" s="367"/>
      <c r="G32" s="368">
        <v>1</v>
      </c>
      <c r="H32" s="368"/>
      <c r="I32" s="370"/>
      <c r="J32" s="370"/>
      <c r="K32" s="367"/>
      <c r="L32" s="370"/>
    </row>
    <row r="33" spans="1:12" ht="33.85" customHeight="1" x14ac:dyDescent="0.45">
      <c r="A33" s="344" t="s">
        <v>501</v>
      </c>
      <c r="B33" s="303">
        <v>0.76041666666666663</v>
      </c>
      <c r="C33" s="303" t="s">
        <v>378</v>
      </c>
      <c r="D33" s="304" t="s">
        <v>700</v>
      </c>
      <c r="E33" s="377" t="s">
        <v>504</v>
      </c>
      <c r="F33" s="367"/>
      <c r="G33" s="368">
        <v>1</v>
      </c>
      <c r="H33" s="368"/>
      <c r="I33" s="370"/>
      <c r="J33" s="370"/>
      <c r="K33" s="367"/>
      <c r="L33" s="370"/>
    </row>
    <row r="34" spans="1:12" ht="33.85" customHeight="1" x14ac:dyDescent="0.45">
      <c r="A34" s="344" t="s">
        <v>376</v>
      </c>
      <c r="B34" s="303">
        <v>0.78125</v>
      </c>
      <c r="C34" s="303" t="s">
        <v>378</v>
      </c>
      <c r="D34" s="304" t="s">
        <v>700</v>
      </c>
      <c r="E34" s="377" t="s">
        <v>503</v>
      </c>
      <c r="F34" s="367"/>
      <c r="G34" s="368">
        <v>1</v>
      </c>
      <c r="H34" s="368"/>
      <c r="I34" s="370"/>
      <c r="J34" s="370"/>
      <c r="K34" s="367"/>
      <c r="L34" s="370"/>
    </row>
    <row r="35" spans="1:12" ht="33.85" customHeight="1" x14ac:dyDescent="0.45">
      <c r="A35" s="601" t="s">
        <v>663</v>
      </c>
      <c r="B35" s="303">
        <v>0.80902777777777779</v>
      </c>
      <c r="C35" s="303" t="s">
        <v>378</v>
      </c>
      <c r="D35" s="304" t="s">
        <v>700</v>
      </c>
      <c r="E35" s="304" t="s">
        <v>688</v>
      </c>
      <c r="F35" s="305"/>
      <c r="G35" s="306">
        <v>1</v>
      </c>
      <c r="H35" s="306"/>
      <c r="I35" s="306"/>
      <c r="J35" s="297"/>
      <c r="K35" s="305"/>
      <c r="L35" s="297"/>
    </row>
    <row r="36" spans="1:12" ht="33.85" customHeight="1" x14ac:dyDescent="0.45">
      <c r="A36" s="601" t="s">
        <v>336</v>
      </c>
      <c r="B36" s="303"/>
      <c r="C36" s="303" t="s">
        <v>660</v>
      </c>
      <c r="D36" s="304"/>
      <c r="E36" s="304"/>
      <c r="F36" s="305"/>
      <c r="G36" s="306"/>
      <c r="H36" s="306"/>
      <c r="I36" s="306"/>
      <c r="J36" s="297"/>
      <c r="K36" s="305"/>
      <c r="L36" s="297"/>
    </row>
    <row r="37" spans="1:12" ht="33.85" customHeight="1" x14ac:dyDescent="0.45">
      <c r="A37" s="601" t="s">
        <v>336</v>
      </c>
      <c r="B37" s="303"/>
      <c r="C37" s="303" t="s">
        <v>660</v>
      </c>
      <c r="D37" s="304"/>
      <c r="E37" s="304"/>
      <c r="F37" s="305"/>
      <c r="G37" s="306"/>
      <c r="H37" s="306"/>
      <c r="I37" s="306"/>
      <c r="J37" s="297"/>
      <c r="K37" s="305"/>
      <c r="L37" s="297"/>
    </row>
    <row r="38" spans="1:12" ht="33.85" customHeight="1" x14ac:dyDescent="0.45">
      <c r="A38" s="601" t="s">
        <v>336</v>
      </c>
      <c r="B38" s="303"/>
      <c r="C38" s="303" t="s">
        <v>660</v>
      </c>
      <c r="D38" s="304"/>
      <c r="E38" s="304"/>
      <c r="F38" s="305"/>
      <c r="G38" s="306"/>
      <c r="H38" s="306"/>
      <c r="I38" s="306"/>
      <c r="J38" s="297"/>
      <c r="K38" s="305"/>
      <c r="L38" s="297"/>
    </row>
    <row r="39" spans="1:12" ht="33.85" customHeight="1" x14ac:dyDescent="0.45">
      <c r="A39" s="601" t="s">
        <v>336</v>
      </c>
      <c r="B39" s="303"/>
      <c r="C39" s="303" t="s">
        <v>660</v>
      </c>
      <c r="D39" s="304"/>
      <c r="E39" s="304"/>
      <c r="F39" s="305"/>
      <c r="G39" s="306"/>
      <c r="H39" s="306"/>
      <c r="I39" s="306"/>
      <c r="J39" s="297"/>
      <c r="K39" s="305"/>
      <c r="L39" s="297"/>
    </row>
    <row r="40" spans="1:12" x14ac:dyDescent="0.45">
      <c r="C40" s="190"/>
    </row>
    <row r="41" spans="1:12" x14ac:dyDescent="0.45">
      <c r="C41" s="190" t="s">
        <v>691</v>
      </c>
      <c r="F41" s="137" t="s">
        <v>15</v>
      </c>
    </row>
    <row r="42" spans="1:12" ht="23.25" x14ac:dyDescent="0.45">
      <c r="A42" s="137" t="s">
        <v>18</v>
      </c>
      <c r="B42" s="260" t="s">
        <v>378</v>
      </c>
      <c r="C42" s="241"/>
      <c r="D42" s="241"/>
      <c r="E42" s="241"/>
    </row>
    <row r="43" spans="1:12" ht="21" x14ac:dyDescent="0.45">
      <c r="A43" s="137" t="s">
        <v>13</v>
      </c>
      <c r="B43" s="320" t="s">
        <v>700</v>
      </c>
      <c r="C43" s="254"/>
      <c r="D43" s="254"/>
      <c r="E43" s="598"/>
      <c r="J43" s="600"/>
      <c r="L43" s="607">
        <f>L22+1</f>
        <v>46145</v>
      </c>
    </row>
    <row r="45" spans="1:12" x14ac:dyDescent="0.45">
      <c r="A45" s="141"/>
      <c r="B45" s="142"/>
      <c r="C45" s="142"/>
      <c r="D45" s="142"/>
      <c r="E45" s="142"/>
      <c r="F45" s="142"/>
      <c r="G45" s="142"/>
      <c r="H45" s="142"/>
      <c r="I45" s="142"/>
      <c r="J45" s="319"/>
      <c r="K45" s="319" t="s">
        <v>337</v>
      </c>
      <c r="L45" s="294"/>
    </row>
    <row r="46" spans="1:12" ht="63" x14ac:dyDescent="0.45">
      <c r="A46" s="297" t="s">
        <v>534</v>
      </c>
      <c r="B46" s="298" t="s">
        <v>0</v>
      </c>
      <c r="C46" s="298" t="s">
        <v>332</v>
      </c>
      <c r="D46" s="298" t="s">
        <v>333</v>
      </c>
      <c r="E46" s="298" t="s">
        <v>535</v>
      </c>
      <c r="F46" s="298" t="s">
        <v>1</v>
      </c>
      <c r="G46" s="298" t="s">
        <v>334</v>
      </c>
      <c r="H46" s="298" t="s">
        <v>335</v>
      </c>
      <c r="I46" s="298" t="s">
        <v>23</v>
      </c>
      <c r="J46" s="300" t="s">
        <v>22</v>
      </c>
      <c r="K46" s="298" t="s">
        <v>17</v>
      </c>
      <c r="L46" s="301" t="s">
        <v>12</v>
      </c>
    </row>
    <row r="47" spans="1:12" ht="33.4" customHeight="1" x14ac:dyDescent="0.45">
      <c r="A47" s="344" t="s">
        <v>501</v>
      </c>
      <c r="B47" s="345">
        <v>0.2326388888888889</v>
      </c>
      <c r="C47" s="345" t="s">
        <v>378</v>
      </c>
      <c r="D47" s="304" t="s">
        <v>700</v>
      </c>
      <c r="E47" s="377" t="s">
        <v>503</v>
      </c>
      <c r="F47" s="580"/>
      <c r="G47" s="368">
        <v>1</v>
      </c>
      <c r="H47" s="363"/>
      <c r="I47" s="580"/>
      <c r="J47" s="365"/>
      <c r="K47" s="580"/>
      <c r="L47" s="366"/>
    </row>
    <row r="48" spans="1:12" ht="33.4" customHeight="1" x14ac:dyDescent="0.45">
      <c r="A48" s="344" t="s">
        <v>501</v>
      </c>
      <c r="B48" s="345">
        <v>0.27083333333333331</v>
      </c>
      <c r="C48" s="345" t="s">
        <v>378</v>
      </c>
      <c r="D48" s="304" t="s">
        <v>700</v>
      </c>
      <c r="E48" s="377" t="s">
        <v>503</v>
      </c>
      <c r="F48" s="580"/>
      <c r="G48" s="368">
        <v>1</v>
      </c>
      <c r="H48" s="363"/>
      <c r="I48" s="580"/>
      <c r="J48" s="365"/>
      <c r="K48" s="580"/>
      <c r="L48" s="366"/>
    </row>
    <row r="49" spans="1:12" ht="33.4" customHeight="1" x14ac:dyDescent="0.45">
      <c r="A49" s="344" t="s">
        <v>501</v>
      </c>
      <c r="B49" s="345">
        <v>0.28819444444444442</v>
      </c>
      <c r="C49" s="345" t="s">
        <v>378</v>
      </c>
      <c r="D49" s="304" t="s">
        <v>700</v>
      </c>
      <c r="E49" s="377" t="s">
        <v>504</v>
      </c>
      <c r="F49" s="580"/>
      <c r="G49" s="368">
        <v>1</v>
      </c>
      <c r="H49" s="363"/>
      <c r="I49" s="580"/>
      <c r="J49" s="365"/>
      <c r="K49" s="580"/>
      <c r="L49" s="366"/>
    </row>
    <row r="50" spans="1:12" ht="33.4" customHeight="1" x14ac:dyDescent="0.45">
      <c r="A50" s="344" t="s">
        <v>376</v>
      </c>
      <c r="B50" s="345">
        <v>0.58333333333333337</v>
      </c>
      <c r="C50" s="345" t="s">
        <v>378</v>
      </c>
      <c r="D50" s="304" t="s">
        <v>700</v>
      </c>
      <c r="E50" s="377" t="s">
        <v>503</v>
      </c>
      <c r="F50" s="367"/>
      <c r="G50" s="368">
        <v>1</v>
      </c>
      <c r="H50" s="368"/>
      <c r="I50" s="370"/>
      <c r="J50" s="370"/>
      <c r="K50" s="367"/>
      <c r="L50" s="370"/>
    </row>
    <row r="51" spans="1:12" ht="33.4" customHeight="1" x14ac:dyDescent="0.45">
      <c r="A51" s="344" t="s">
        <v>376</v>
      </c>
      <c r="B51" s="345">
        <v>0.61458333333333337</v>
      </c>
      <c r="C51" s="345" t="s">
        <v>378</v>
      </c>
      <c r="D51" s="304" t="s">
        <v>700</v>
      </c>
      <c r="E51" s="377" t="s">
        <v>503</v>
      </c>
      <c r="F51" s="367"/>
      <c r="G51" s="368">
        <v>1</v>
      </c>
      <c r="H51" s="368"/>
      <c r="I51" s="370"/>
      <c r="J51" s="370"/>
      <c r="K51" s="367"/>
      <c r="L51" s="370"/>
    </row>
    <row r="52" spans="1:12" ht="33.4" customHeight="1" x14ac:dyDescent="0.45">
      <c r="A52" s="344" t="s">
        <v>376</v>
      </c>
      <c r="B52" s="345">
        <v>0.63888888888888884</v>
      </c>
      <c r="C52" s="345" t="s">
        <v>378</v>
      </c>
      <c r="D52" s="304" t="s">
        <v>700</v>
      </c>
      <c r="E52" s="377" t="s">
        <v>503</v>
      </c>
      <c r="F52" s="367"/>
      <c r="G52" s="368">
        <v>1</v>
      </c>
      <c r="H52" s="368"/>
      <c r="I52" s="370"/>
      <c r="J52" s="370"/>
      <c r="K52" s="367"/>
      <c r="L52" s="370"/>
    </row>
    <row r="53" spans="1:12" ht="33.4" customHeight="1" x14ac:dyDescent="0.45">
      <c r="A53" s="344" t="s">
        <v>336</v>
      </c>
      <c r="B53" s="345"/>
      <c r="C53" s="345" t="s">
        <v>660</v>
      </c>
      <c r="D53" s="304"/>
      <c r="E53" s="377"/>
      <c r="F53" s="367"/>
      <c r="G53" s="368"/>
      <c r="H53" s="368"/>
      <c r="I53" s="370"/>
      <c r="J53" s="370"/>
      <c r="K53" s="367"/>
      <c r="L53" s="370"/>
    </row>
    <row r="54" spans="1:12" ht="33.4" customHeight="1" x14ac:dyDescent="0.45">
      <c r="A54" s="344" t="s">
        <v>336</v>
      </c>
      <c r="B54" s="345"/>
      <c r="C54" s="345" t="s">
        <v>660</v>
      </c>
      <c r="D54" s="304"/>
      <c r="E54" s="377"/>
      <c r="F54" s="367"/>
      <c r="G54" s="368"/>
      <c r="H54" s="368"/>
      <c r="I54" s="370"/>
      <c r="J54" s="370"/>
      <c r="K54" s="367"/>
      <c r="L54" s="370"/>
    </row>
    <row r="55" spans="1:12" ht="33.4" customHeight="1" x14ac:dyDescent="0.45">
      <c r="A55" s="344" t="s">
        <v>336</v>
      </c>
      <c r="B55" s="345"/>
      <c r="C55" s="345" t="s">
        <v>660</v>
      </c>
      <c r="D55" s="304"/>
      <c r="E55" s="377"/>
      <c r="F55" s="367"/>
      <c r="G55" s="368"/>
      <c r="H55" s="368"/>
      <c r="I55" s="370"/>
      <c r="J55" s="370"/>
      <c r="K55" s="367"/>
      <c r="L55" s="370"/>
    </row>
    <row r="56" spans="1:12" ht="33.4" customHeight="1" x14ac:dyDescent="0.45">
      <c r="A56" s="344" t="s">
        <v>336</v>
      </c>
      <c r="B56" s="345"/>
      <c r="C56" s="345" t="s">
        <v>660</v>
      </c>
      <c r="D56" s="304"/>
      <c r="E56" s="377"/>
      <c r="F56" s="367"/>
      <c r="G56" s="368"/>
      <c r="H56" s="368"/>
      <c r="I56" s="370"/>
      <c r="J56" s="370"/>
      <c r="K56" s="367"/>
      <c r="L56" s="370"/>
    </row>
    <row r="57" spans="1:12" ht="33.4" customHeight="1" x14ac:dyDescent="0.45">
      <c r="A57" s="344" t="s">
        <v>336</v>
      </c>
      <c r="B57" s="345"/>
      <c r="C57" s="345" t="s">
        <v>660</v>
      </c>
      <c r="D57" s="304"/>
      <c r="E57" s="377"/>
      <c r="F57" s="367"/>
      <c r="G57" s="368"/>
      <c r="H57" s="368"/>
      <c r="I57" s="370"/>
      <c r="J57" s="370"/>
      <c r="K57" s="367"/>
      <c r="L57" s="370"/>
    </row>
    <row r="58" spans="1:12" ht="33.4" customHeight="1" x14ac:dyDescent="0.45">
      <c r="C58" s="190" t="s">
        <v>691</v>
      </c>
      <c r="F58" s="137" t="s">
        <v>15</v>
      </c>
    </row>
    <row r="60" spans="1:12" ht="23.25" x14ac:dyDescent="0.45">
      <c r="A60" s="137" t="s">
        <v>18</v>
      </c>
      <c r="B60" s="260" t="s">
        <v>378</v>
      </c>
      <c r="C60" s="241"/>
      <c r="D60" s="241"/>
      <c r="E60" s="241"/>
    </row>
    <row r="61" spans="1:12" ht="21" x14ac:dyDescent="0.45">
      <c r="A61" s="137" t="s">
        <v>13</v>
      </c>
      <c r="B61" s="320" t="s">
        <v>700</v>
      </c>
      <c r="C61" s="254"/>
      <c r="D61" s="254"/>
      <c r="E61" s="598"/>
      <c r="J61" s="600"/>
      <c r="L61" s="600">
        <f>L43+1</f>
        <v>46146</v>
      </c>
    </row>
    <row r="63" spans="1:12" x14ac:dyDescent="0.45">
      <c r="A63" s="141"/>
      <c r="B63" s="142"/>
      <c r="C63" s="142"/>
      <c r="D63" s="142"/>
      <c r="E63" s="142"/>
      <c r="F63" s="142"/>
      <c r="G63" s="142"/>
      <c r="H63" s="142"/>
      <c r="I63" s="142"/>
      <c r="J63" s="319"/>
      <c r="K63" s="319" t="s">
        <v>337</v>
      </c>
      <c r="L63" s="294"/>
    </row>
    <row r="64" spans="1:12" ht="63" x14ac:dyDescent="0.45">
      <c r="A64" s="297" t="s">
        <v>534</v>
      </c>
      <c r="B64" s="298" t="s">
        <v>0</v>
      </c>
      <c r="C64" s="298" t="s">
        <v>332</v>
      </c>
      <c r="D64" s="298" t="s">
        <v>333</v>
      </c>
      <c r="E64" s="298" t="s">
        <v>535</v>
      </c>
      <c r="F64" s="298" t="s">
        <v>1</v>
      </c>
      <c r="G64" s="298" t="s">
        <v>334</v>
      </c>
      <c r="H64" s="298" t="s">
        <v>335</v>
      </c>
      <c r="I64" s="298" t="s">
        <v>23</v>
      </c>
      <c r="J64" s="300" t="s">
        <v>22</v>
      </c>
      <c r="K64" s="298" t="s">
        <v>17</v>
      </c>
      <c r="L64" s="301" t="s">
        <v>12</v>
      </c>
    </row>
    <row r="65" spans="1:12" ht="33" customHeight="1" x14ac:dyDescent="0.45">
      <c r="A65" s="344" t="s">
        <v>501</v>
      </c>
      <c r="B65" s="345">
        <v>0.2326388888888889</v>
      </c>
      <c r="C65" s="345" t="s">
        <v>378</v>
      </c>
      <c r="D65" s="304" t="s">
        <v>700</v>
      </c>
      <c r="E65" s="377" t="s">
        <v>503</v>
      </c>
      <c r="F65" s="580"/>
      <c r="G65" s="368">
        <v>1</v>
      </c>
      <c r="H65" s="363"/>
      <c r="I65" s="580"/>
      <c r="J65" s="365"/>
      <c r="K65" s="580"/>
      <c r="L65" s="366"/>
    </row>
    <row r="66" spans="1:12" ht="33" customHeight="1" x14ac:dyDescent="0.45">
      <c r="A66" s="344" t="s">
        <v>501</v>
      </c>
      <c r="B66" s="345">
        <v>0.27083333333333331</v>
      </c>
      <c r="C66" s="345" t="s">
        <v>378</v>
      </c>
      <c r="D66" s="304" t="s">
        <v>700</v>
      </c>
      <c r="E66" s="377" t="s">
        <v>503</v>
      </c>
      <c r="F66" s="580"/>
      <c r="G66" s="368">
        <v>1</v>
      </c>
      <c r="H66" s="363"/>
      <c r="I66" s="580"/>
      <c r="J66" s="365"/>
      <c r="K66" s="580"/>
      <c r="L66" s="366"/>
    </row>
    <row r="67" spans="1:12" ht="33" customHeight="1" x14ac:dyDescent="0.45">
      <c r="A67" s="344" t="s">
        <v>501</v>
      </c>
      <c r="B67" s="345">
        <v>0.28819444444444442</v>
      </c>
      <c r="C67" s="345" t="s">
        <v>378</v>
      </c>
      <c r="D67" s="304" t="s">
        <v>700</v>
      </c>
      <c r="E67" s="377" t="s">
        <v>504</v>
      </c>
      <c r="F67" s="367"/>
      <c r="G67" s="368">
        <v>1</v>
      </c>
      <c r="H67" s="368"/>
      <c r="I67" s="370"/>
      <c r="J67" s="370"/>
      <c r="K67" s="367"/>
      <c r="L67" s="370"/>
    </row>
    <row r="68" spans="1:12" ht="33" customHeight="1" x14ac:dyDescent="0.45">
      <c r="A68" s="344" t="s">
        <v>376</v>
      </c>
      <c r="B68" s="345">
        <v>0.3263888888888889</v>
      </c>
      <c r="C68" s="345" t="s">
        <v>378</v>
      </c>
      <c r="D68" s="304" t="s">
        <v>700</v>
      </c>
      <c r="E68" s="377" t="s">
        <v>504</v>
      </c>
      <c r="F68" s="367"/>
      <c r="G68" s="368">
        <v>1</v>
      </c>
      <c r="H68" s="368"/>
      <c r="I68" s="370"/>
      <c r="J68" s="370"/>
      <c r="K68" s="367"/>
      <c r="L68" s="370"/>
    </row>
    <row r="69" spans="1:12" ht="33" customHeight="1" x14ac:dyDescent="0.45">
      <c r="A69" s="344" t="s">
        <v>376</v>
      </c>
      <c r="B69" s="303">
        <v>0.58333333333333337</v>
      </c>
      <c r="C69" s="303" t="s">
        <v>378</v>
      </c>
      <c r="D69" s="304" t="s">
        <v>700</v>
      </c>
      <c r="E69" s="377" t="s">
        <v>503</v>
      </c>
      <c r="F69" s="367"/>
      <c r="G69" s="368">
        <v>1</v>
      </c>
      <c r="H69" s="368"/>
      <c r="I69" s="370"/>
      <c r="J69" s="370"/>
      <c r="K69" s="367"/>
      <c r="L69" s="370"/>
    </row>
    <row r="70" spans="1:12" ht="33" customHeight="1" x14ac:dyDescent="0.45">
      <c r="A70" s="344" t="s">
        <v>376</v>
      </c>
      <c r="B70" s="303">
        <v>0.61458333333333337</v>
      </c>
      <c r="C70" s="303" t="s">
        <v>378</v>
      </c>
      <c r="D70" s="304" t="s">
        <v>700</v>
      </c>
      <c r="E70" s="377" t="s">
        <v>503</v>
      </c>
      <c r="F70" s="367"/>
      <c r="G70" s="368">
        <v>1</v>
      </c>
      <c r="H70" s="368"/>
      <c r="I70" s="370"/>
      <c r="J70" s="370"/>
      <c r="K70" s="367"/>
      <c r="L70" s="370"/>
    </row>
    <row r="71" spans="1:12" ht="33" customHeight="1" x14ac:dyDescent="0.45">
      <c r="A71" s="344" t="s">
        <v>376</v>
      </c>
      <c r="B71" s="303">
        <v>0.63888888888888884</v>
      </c>
      <c r="C71" s="303" t="s">
        <v>378</v>
      </c>
      <c r="D71" s="304" t="s">
        <v>700</v>
      </c>
      <c r="E71" s="377" t="s">
        <v>503</v>
      </c>
      <c r="F71" s="367"/>
      <c r="G71" s="368">
        <v>1</v>
      </c>
      <c r="H71" s="368"/>
      <c r="I71" s="370"/>
      <c r="J71" s="370"/>
      <c r="K71" s="367"/>
      <c r="L71" s="370"/>
    </row>
    <row r="72" spans="1:12" ht="33" customHeight="1" x14ac:dyDescent="0.45">
      <c r="A72" s="344" t="s">
        <v>501</v>
      </c>
      <c r="B72" s="303">
        <v>0.76041666666666663</v>
      </c>
      <c r="C72" s="303" t="s">
        <v>378</v>
      </c>
      <c r="D72" s="304" t="s">
        <v>700</v>
      </c>
      <c r="E72" s="377" t="s">
        <v>504</v>
      </c>
      <c r="F72" s="367"/>
      <c r="G72" s="368">
        <v>1</v>
      </c>
      <c r="H72" s="368"/>
      <c r="I72" s="370"/>
      <c r="J72" s="370"/>
      <c r="K72" s="367"/>
      <c r="L72" s="370"/>
    </row>
    <row r="73" spans="1:12" ht="33" customHeight="1" x14ac:dyDescent="0.45">
      <c r="A73" s="344" t="s">
        <v>376</v>
      </c>
      <c r="B73" s="303">
        <v>0.78125</v>
      </c>
      <c r="C73" s="303" t="s">
        <v>378</v>
      </c>
      <c r="D73" s="304" t="s">
        <v>700</v>
      </c>
      <c r="E73" s="377" t="s">
        <v>503</v>
      </c>
      <c r="F73" s="367"/>
      <c r="G73" s="368">
        <v>1</v>
      </c>
      <c r="H73" s="368"/>
      <c r="I73" s="370"/>
      <c r="J73" s="370"/>
      <c r="K73" s="367"/>
      <c r="L73" s="370"/>
    </row>
    <row r="74" spans="1:12" ht="33" customHeight="1" x14ac:dyDescent="0.45">
      <c r="A74" s="601" t="s">
        <v>663</v>
      </c>
      <c r="B74" s="303">
        <v>0.80902777777777779</v>
      </c>
      <c r="C74" s="303" t="s">
        <v>378</v>
      </c>
      <c r="D74" s="304" t="s">
        <v>700</v>
      </c>
      <c r="E74" s="304" t="s">
        <v>688</v>
      </c>
      <c r="F74" s="305"/>
      <c r="G74" s="306">
        <v>1</v>
      </c>
      <c r="H74" s="306"/>
      <c r="I74" s="306"/>
      <c r="J74" s="297"/>
      <c r="K74" s="305"/>
      <c r="L74" s="297"/>
    </row>
    <row r="75" spans="1:12" ht="33" customHeight="1" x14ac:dyDescent="0.45">
      <c r="A75" s="601" t="s">
        <v>336</v>
      </c>
      <c r="B75" s="303"/>
      <c r="C75" s="303" t="s">
        <v>660</v>
      </c>
      <c r="D75" s="304"/>
      <c r="E75" s="304"/>
      <c r="F75" s="305"/>
      <c r="G75" s="306"/>
      <c r="H75" s="306"/>
      <c r="I75" s="306"/>
      <c r="J75" s="297"/>
      <c r="K75" s="305"/>
      <c r="L75" s="297"/>
    </row>
    <row r="76" spans="1:12" ht="33" customHeight="1" x14ac:dyDescent="0.45">
      <c r="A76" s="601" t="s">
        <v>336</v>
      </c>
      <c r="B76" s="303"/>
      <c r="C76" s="303" t="s">
        <v>660</v>
      </c>
      <c r="D76" s="304"/>
      <c r="E76" s="304"/>
      <c r="F76" s="305"/>
      <c r="G76" s="306"/>
      <c r="H76" s="306"/>
      <c r="I76" s="306"/>
      <c r="J76" s="297"/>
      <c r="K76" s="305"/>
      <c r="L76" s="297"/>
    </row>
    <row r="77" spans="1:12" ht="33" customHeight="1" x14ac:dyDescent="0.45">
      <c r="A77" s="601" t="s">
        <v>336</v>
      </c>
      <c r="B77" s="303"/>
      <c r="C77" s="303" t="s">
        <v>660</v>
      </c>
      <c r="D77" s="304"/>
      <c r="E77" s="304"/>
      <c r="F77" s="305"/>
      <c r="G77" s="306"/>
      <c r="H77" s="306"/>
      <c r="I77" s="306"/>
      <c r="J77" s="297"/>
      <c r="K77" s="305"/>
      <c r="L77" s="297"/>
    </row>
    <row r="78" spans="1:12" ht="33" customHeight="1" x14ac:dyDescent="0.45">
      <c r="A78" s="601" t="s">
        <v>336</v>
      </c>
      <c r="B78" s="303"/>
      <c r="C78" s="303" t="s">
        <v>660</v>
      </c>
      <c r="D78" s="304"/>
      <c r="E78" s="304"/>
      <c r="F78" s="305"/>
      <c r="G78" s="306"/>
      <c r="H78" s="306"/>
      <c r="I78" s="306"/>
      <c r="J78" s="297"/>
      <c r="K78" s="305"/>
      <c r="L78" s="297"/>
    </row>
    <row r="79" spans="1:12" ht="33" customHeight="1" x14ac:dyDescent="0.45">
      <c r="C79" s="190"/>
    </row>
    <row r="80" spans="1:12" x14ac:dyDescent="0.45">
      <c r="C80" s="190" t="s">
        <v>691</v>
      </c>
      <c r="F80" s="137" t="s">
        <v>15</v>
      </c>
    </row>
    <row r="81" spans="1:14" ht="23.25" x14ac:dyDescent="0.45">
      <c r="A81" s="137" t="s">
        <v>18</v>
      </c>
      <c r="B81" s="260" t="s">
        <v>378</v>
      </c>
      <c r="C81" s="241"/>
      <c r="D81" s="241"/>
      <c r="E81" s="241"/>
      <c r="L81" s="600">
        <f>L61+1</f>
        <v>46147</v>
      </c>
    </row>
    <row r="82" spans="1:14" ht="21" x14ac:dyDescent="0.45">
      <c r="A82" s="137" t="s">
        <v>13</v>
      </c>
      <c r="B82" s="320" t="s">
        <v>700</v>
      </c>
      <c r="C82" s="254"/>
      <c r="D82" s="254"/>
      <c r="E82" s="598"/>
      <c r="J82" s="600"/>
      <c r="L82" s="600"/>
    </row>
    <row r="84" spans="1:14" x14ac:dyDescent="0.45">
      <c r="A84" s="141"/>
      <c r="B84" s="142"/>
      <c r="C84" s="142"/>
      <c r="D84" s="142"/>
      <c r="E84" s="142"/>
      <c r="F84" s="142"/>
      <c r="G84" s="142"/>
      <c r="H84" s="142"/>
      <c r="I84" s="142"/>
      <c r="J84" s="319"/>
      <c r="K84" s="319" t="s">
        <v>337</v>
      </c>
      <c r="L84" s="294"/>
      <c r="M84" s="137" t="s">
        <v>337</v>
      </c>
    </row>
    <row r="85" spans="1:14" ht="63" x14ac:dyDescent="0.45">
      <c r="A85" s="297" t="s">
        <v>534</v>
      </c>
      <c r="B85" s="298" t="s">
        <v>0</v>
      </c>
      <c r="C85" s="298" t="s">
        <v>332</v>
      </c>
      <c r="D85" s="298" t="s">
        <v>333</v>
      </c>
      <c r="E85" s="298" t="s">
        <v>535</v>
      </c>
      <c r="F85" s="298" t="s">
        <v>1</v>
      </c>
      <c r="G85" s="298" t="s">
        <v>334</v>
      </c>
      <c r="H85" s="298" t="s">
        <v>335</v>
      </c>
      <c r="I85" s="298" t="s">
        <v>23</v>
      </c>
      <c r="J85" s="300" t="s">
        <v>22</v>
      </c>
      <c r="K85" s="298" t="s">
        <v>17</v>
      </c>
      <c r="L85" s="301" t="s">
        <v>12</v>
      </c>
      <c r="M85" s="137" t="s">
        <v>17</v>
      </c>
      <c r="N85" s="137" t="s">
        <v>12</v>
      </c>
    </row>
    <row r="86" spans="1:14" ht="33" customHeight="1" x14ac:dyDescent="0.45">
      <c r="A86" s="344" t="s">
        <v>501</v>
      </c>
      <c r="B86" s="345">
        <v>0.2326388888888889</v>
      </c>
      <c r="C86" s="345" t="s">
        <v>378</v>
      </c>
      <c r="D86" s="304" t="s">
        <v>700</v>
      </c>
      <c r="E86" s="377" t="s">
        <v>503</v>
      </c>
      <c r="F86" s="580"/>
      <c r="G86" s="368">
        <v>1</v>
      </c>
      <c r="H86" s="363"/>
      <c r="I86" s="580"/>
      <c r="J86" s="365"/>
      <c r="K86" s="580"/>
      <c r="L86" s="366"/>
    </row>
    <row r="87" spans="1:14" ht="33" customHeight="1" x14ac:dyDescent="0.45">
      <c r="A87" s="344" t="s">
        <v>501</v>
      </c>
      <c r="B87" s="345">
        <v>0.27083333333333331</v>
      </c>
      <c r="C87" s="345" t="s">
        <v>378</v>
      </c>
      <c r="D87" s="304" t="s">
        <v>700</v>
      </c>
      <c r="E87" s="377" t="s">
        <v>503</v>
      </c>
      <c r="F87" s="580"/>
      <c r="G87" s="368">
        <v>1</v>
      </c>
      <c r="H87" s="363"/>
      <c r="I87" s="580"/>
      <c r="J87" s="365"/>
      <c r="K87" s="580"/>
      <c r="L87" s="366"/>
    </row>
    <row r="88" spans="1:14" ht="33" customHeight="1" x14ac:dyDescent="0.45">
      <c r="A88" s="344" t="s">
        <v>501</v>
      </c>
      <c r="B88" s="345">
        <v>0.28819444444444442</v>
      </c>
      <c r="C88" s="345" t="s">
        <v>378</v>
      </c>
      <c r="D88" s="304" t="s">
        <v>700</v>
      </c>
      <c r="E88" s="377" t="s">
        <v>504</v>
      </c>
      <c r="F88" s="367"/>
      <c r="G88" s="368">
        <v>1</v>
      </c>
      <c r="H88" s="368"/>
      <c r="I88" s="370"/>
      <c r="J88" s="370"/>
      <c r="K88" s="367"/>
      <c r="L88" s="370"/>
    </row>
    <row r="89" spans="1:14" ht="33" customHeight="1" x14ac:dyDescent="0.45">
      <c r="A89" s="344" t="s">
        <v>376</v>
      </c>
      <c r="B89" s="345">
        <v>0.3263888888888889</v>
      </c>
      <c r="C89" s="345" t="s">
        <v>378</v>
      </c>
      <c r="D89" s="304" t="s">
        <v>700</v>
      </c>
      <c r="E89" s="377" t="s">
        <v>504</v>
      </c>
      <c r="F89" s="367"/>
      <c r="G89" s="368">
        <v>1</v>
      </c>
      <c r="H89" s="368"/>
      <c r="I89" s="370"/>
      <c r="J89" s="370"/>
      <c r="K89" s="367"/>
      <c r="L89" s="370"/>
    </row>
    <row r="90" spans="1:14" ht="33" customHeight="1" x14ac:dyDescent="0.45">
      <c r="A90" s="344" t="s">
        <v>376</v>
      </c>
      <c r="B90" s="303">
        <v>0.58333333333333337</v>
      </c>
      <c r="C90" s="303" t="s">
        <v>378</v>
      </c>
      <c r="D90" s="304" t="s">
        <v>700</v>
      </c>
      <c r="E90" s="377" t="s">
        <v>503</v>
      </c>
      <c r="F90" s="367"/>
      <c r="G90" s="368">
        <v>1</v>
      </c>
      <c r="H90" s="368"/>
      <c r="I90" s="370"/>
      <c r="J90" s="370"/>
      <c r="K90" s="367"/>
      <c r="L90" s="370"/>
    </row>
    <row r="91" spans="1:14" ht="33" customHeight="1" x14ac:dyDescent="0.45">
      <c r="A91" s="344" t="s">
        <v>376</v>
      </c>
      <c r="B91" s="303">
        <v>0.61458333333333337</v>
      </c>
      <c r="C91" s="303" t="s">
        <v>378</v>
      </c>
      <c r="D91" s="304" t="s">
        <v>700</v>
      </c>
      <c r="E91" s="377" t="s">
        <v>503</v>
      </c>
      <c r="F91" s="367"/>
      <c r="G91" s="368">
        <v>1</v>
      </c>
      <c r="H91" s="368"/>
      <c r="I91" s="370"/>
      <c r="J91" s="370"/>
      <c r="K91" s="367"/>
      <c r="L91" s="370"/>
    </row>
    <row r="92" spans="1:14" ht="33" customHeight="1" x14ac:dyDescent="0.45">
      <c r="A92" s="344" t="s">
        <v>376</v>
      </c>
      <c r="B92" s="303">
        <v>0.63888888888888884</v>
      </c>
      <c r="C92" s="303" t="s">
        <v>378</v>
      </c>
      <c r="D92" s="304" t="s">
        <v>700</v>
      </c>
      <c r="E92" s="377" t="s">
        <v>503</v>
      </c>
      <c r="F92" s="367"/>
      <c r="G92" s="368">
        <v>1</v>
      </c>
      <c r="H92" s="368"/>
      <c r="I92" s="370"/>
      <c r="J92" s="370"/>
      <c r="K92" s="367"/>
      <c r="L92" s="370"/>
    </row>
    <row r="93" spans="1:14" ht="33" customHeight="1" x14ac:dyDescent="0.45">
      <c r="A93" s="344" t="s">
        <v>501</v>
      </c>
      <c r="B93" s="303">
        <v>0.76041666666666663</v>
      </c>
      <c r="C93" s="303" t="s">
        <v>378</v>
      </c>
      <c r="D93" s="304" t="s">
        <v>700</v>
      </c>
      <c r="E93" s="377" t="s">
        <v>504</v>
      </c>
      <c r="F93" s="367"/>
      <c r="G93" s="368">
        <v>1</v>
      </c>
      <c r="H93" s="368"/>
      <c r="I93" s="370"/>
      <c r="J93" s="370"/>
      <c r="K93" s="367"/>
      <c r="L93" s="370"/>
    </row>
    <row r="94" spans="1:14" ht="33" customHeight="1" x14ac:dyDescent="0.45">
      <c r="A94" s="344" t="s">
        <v>376</v>
      </c>
      <c r="B94" s="303">
        <v>0.78125</v>
      </c>
      <c r="C94" s="303" t="s">
        <v>378</v>
      </c>
      <c r="D94" s="304" t="s">
        <v>700</v>
      </c>
      <c r="E94" s="377" t="s">
        <v>503</v>
      </c>
      <c r="F94" s="367"/>
      <c r="G94" s="368">
        <v>1</v>
      </c>
      <c r="H94" s="368"/>
      <c r="I94" s="370"/>
      <c r="J94" s="370"/>
      <c r="K94" s="367"/>
      <c r="L94" s="370"/>
    </row>
    <row r="95" spans="1:14" ht="33" customHeight="1" x14ac:dyDescent="0.45">
      <c r="A95" s="601" t="s">
        <v>663</v>
      </c>
      <c r="B95" s="303">
        <v>0.80902777777777779</v>
      </c>
      <c r="C95" s="303" t="s">
        <v>378</v>
      </c>
      <c r="D95" s="304" t="s">
        <v>700</v>
      </c>
      <c r="E95" s="304" t="s">
        <v>688</v>
      </c>
      <c r="F95" s="305"/>
      <c r="G95" s="306">
        <v>1</v>
      </c>
      <c r="H95" s="306"/>
      <c r="I95" s="306"/>
      <c r="J95" s="297"/>
      <c r="K95" s="305"/>
      <c r="L95" s="297"/>
    </row>
    <row r="96" spans="1:14" ht="33" customHeight="1" x14ac:dyDescent="0.45">
      <c r="A96" s="601" t="s">
        <v>336</v>
      </c>
      <c r="B96" s="303"/>
      <c r="C96" s="303" t="s">
        <v>660</v>
      </c>
      <c r="D96" s="304"/>
      <c r="E96" s="304"/>
      <c r="F96" s="305"/>
      <c r="G96" s="306"/>
      <c r="H96" s="306"/>
      <c r="I96" s="306"/>
      <c r="J96" s="297"/>
      <c r="K96" s="305"/>
      <c r="L96" s="297"/>
    </row>
    <row r="97" spans="1:12" ht="33" customHeight="1" x14ac:dyDescent="0.45">
      <c r="A97" s="601" t="s">
        <v>336</v>
      </c>
      <c r="B97" s="303"/>
      <c r="C97" s="303" t="s">
        <v>660</v>
      </c>
      <c r="D97" s="304"/>
      <c r="E97" s="304"/>
      <c r="F97" s="305"/>
      <c r="G97" s="306"/>
      <c r="H97" s="306"/>
      <c r="I97" s="306"/>
      <c r="J97" s="297"/>
      <c r="K97" s="305"/>
      <c r="L97" s="297"/>
    </row>
    <row r="98" spans="1:12" ht="33" customHeight="1" x14ac:dyDescent="0.45">
      <c r="A98" s="601" t="s">
        <v>336</v>
      </c>
      <c r="B98" s="303"/>
      <c r="C98" s="303" t="s">
        <v>660</v>
      </c>
      <c r="D98" s="304"/>
      <c r="E98" s="304"/>
      <c r="F98" s="305"/>
      <c r="G98" s="306"/>
      <c r="H98" s="306"/>
      <c r="I98" s="306"/>
      <c r="J98" s="297"/>
      <c r="K98" s="305"/>
      <c r="L98" s="297"/>
    </row>
    <row r="99" spans="1:12" ht="33" customHeight="1" x14ac:dyDescent="0.45">
      <c r="A99" s="601" t="s">
        <v>336</v>
      </c>
      <c r="B99" s="303"/>
      <c r="C99" s="303" t="s">
        <v>660</v>
      </c>
      <c r="D99" s="304"/>
      <c r="E99" s="304"/>
      <c r="F99" s="305"/>
      <c r="G99" s="306"/>
      <c r="H99" s="306"/>
      <c r="I99" s="306"/>
      <c r="J99" s="297"/>
      <c r="K99" s="305"/>
      <c r="L99" s="297"/>
    </row>
    <row r="100" spans="1:12" x14ac:dyDescent="0.45">
      <c r="C100" s="190"/>
    </row>
    <row r="101" spans="1:12" x14ac:dyDescent="0.45">
      <c r="C101" s="190" t="s">
        <v>691</v>
      </c>
      <c r="F101" s="137" t="s">
        <v>15</v>
      </c>
    </row>
    <row r="102" spans="1:12" ht="21" x14ac:dyDescent="0.45">
      <c r="A102" s="137" t="s">
        <v>13</v>
      </c>
      <c r="B102" s="320" t="s">
        <v>700</v>
      </c>
      <c r="C102" s="254"/>
      <c r="D102" s="254"/>
      <c r="E102" s="598"/>
      <c r="J102" s="600"/>
      <c r="L102" s="600">
        <f>L81+1</f>
        <v>46148</v>
      </c>
    </row>
    <row r="104" spans="1:12" x14ac:dyDescent="0.45">
      <c r="A104" s="141"/>
      <c r="B104" s="142"/>
      <c r="C104" s="142"/>
      <c r="D104" s="142"/>
      <c r="E104" s="142"/>
      <c r="F104" s="142"/>
      <c r="G104" s="142"/>
      <c r="H104" s="142"/>
      <c r="I104" s="142"/>
      <c r="J104" s="319"/>
      <c r="K104" s="319" t="s">
        <v>337</v>
      </c>
      <c r="L104" s="294"/>
    </row>
    <row r="105" spans="1:12" ht="63" x14ac:dyDescent="0.45">
      <c r="A105" s="297" t="s">
        <v>534</v>
      </c>
      <c r="B105" s="298" t="s">
        <v>0</v>
      </c>
      <c r="C105" s="298" t="s">
        <v>332</v>
      </c>
      <c r="D105" s="298" t="s">
        <v>333</v>
      </c>
      <c r="E105" s="298" t="s">
        <v>535</v>
      </c>
      <c r="F105" s="298" t="s">
        <v>1</v>
      </c>
      <c r="G105" s="298" t="s">
        <v>334</v>
      </c>
      <c r="H105" s="298" t="s">
        <v>335</v>
      </c>
      <c r="I105" s="298" t="s">
        <v>23</v>
      </c>
      <c r="J105" s="300" t="s">
        <v>22</v>
      </c>
      <c r="K105" s="298" t="s">
        <v>17</v>
      </c>
      <c r="L105" s="301" t="s">
        <v>12</v>
      </c>
    </row>
    <row r="106" spans="1:12" ht="32.75" customHeight="1" x14ac:dyDescent="0.45">
      <c r="A106" s="344" t="s">
        <v>501</v>
      </c>
      <c r="B106" s="345">
        <v>0.2326388888888889</v>
      </c>
      <c r="C106" s="345" t="s">
        <v>378</v>
      </c>
      <c r="D106" s="304" t="s">
        <v>700</v>
      </c>
      <c r="E106" s="377" t="s">
        <v>503</v>
      </c>
      <c r="F106" s="580"/>
      <c r="G106" s="368">
        <v>1</v>
      </c>
      <c r="H106" s="363"/>
      <c r="I106" s="580"/>
      <c r="J106" s="365"/>
      <c r="K106" s="580"/>
      <c r="L106" s="366"/>
    </row>
    <row r="107" spans="1:12" ht="32.75" customHeight="1" x14ac:dyDescent="0.45">
      <c r="A107" s="344" t="s">
        <v>501</v>
      </c>
      <c r="B107" s="345">
        <v>0.27083333333333331</v>
      </c>
      <c r="C107" s="345" t="s">
        <v>378</v>
      </c>
      <c r="D107" s="304" t="s">
        <v>700</v>
      </c>
      <c r="E107" s="377" t="s">
        <v>503</v>
      </c>
      <c r="F107" s="580"/>
      <c r="G107" s="368">
        <v>1</v>
      </c>
      <c r="H107" s="363"/>
      <c r="I107" s="580"/>
      <c r="J107" s="365"/>
      <c r="K107" s="580"/>
      <c r="L107" s="366"/>
    </row>
    <row r="108" spans="1:12" ht="32.75" customHeight="1" x14ac:dyDescent="0.45">
      <c r="A108" s="344" t="s">
        <v>501</v>
      </c>
      <c r="B108" s="345">
        <v>0.28819444444444442</v>
      </c>
      <c r="C108" s="345" t="s">
        <v>378</v>
      </c>
      <c r="D108" s="304" t="s">
        <v>700</v>
      </c>
      <c r="E108" s="377" t="s">
        <v>504</v>
      </c>
      <c r="F108" s="367"/>
      <c r="G108" s="368">
        <v>1</v>
      </c>
      <c r="H108" s="368"/>
      <c r="I108" s="370"/>
      <c r="J108" s="370"/>
      <c r="K108" s="367"/>
      <c r="L108" s="370"/>
    </row>
    <row r="109" spans="1:12" ht="32.75" customHeight="1" x14ac:dyDescent="0.45">
      <c r="A109" s="344" t="s">
        <v>376</v>
      </c>
      <c r="B109" s="345">
        <v>0.3263888888888889</v>
      </c>
      <c r="C109" s="345" t="s">
        <v>378</v>
      </c>
      <c r="D109" s="304" t="s">
        <v>700</v>
      </c>
      <c r="E109" s="377" t="s">
        <v>504</v>
      </c>
      <c r="F109" s="367"/>
      <c r="G109" s="368">
        <v>1</v>
      </c>
      <c r="H109" s="368"/>
      <c r="I109" s="370"/>
      <c r="J109" s="370"/>
      <c r="K109" s="367"/>
      <c r="L109" s="370"/>
    </row>
    <row r="110" spans="1:12" ht="32.75" customHeight="1" x14ac:dyDescent="0.45">
      <c r="A110" s="344" t="s">
        <v>376</v>
      </c>
      <c r="B110" s="303">
        <v>0.58333333333333337</v>
      </c>
      <c r="C110" s="303" t="s">
        <v>378</v>
      </c>
      <c r="D110" s="304" t="s">
        <v>700</v>
      </c>
      <c r="E110" s="377" t="s">
        <v>503</v>
      </c>
      <c r="F110" s="367"/>
      <c r="G110" s="368">
        <v>1</v>
      </c>
      <c r="H110" s="368"/>
      <c r="I110" s="370"/>
      <c r="J110" s="370"/>
      <c r="K110" s="367"/>
      <c r="L110" s="370"/>
    </row>
    <row r="111" spans="1:12" ht="32.75" customHeight="1" x14ac:dyDescent="0.45">
      <c r="A111" s="344" t="s">
        <v>376</v>
      </c>
      <c r="B111" s="303">
        <v>0.61458333333333337</v>
      </c>
      <c r="C111" s="303" t="s">
        <v>378</v>
      </c>
      <c r="D111" s="304" t="s">
        <v>700</v>
      </c>
      <c r="E111" s="377" t="s">
        <v>503</v>
      </c>
      <c r="F111" s="367"/>
      <c r="G111" s="368">
        <v>1</v>
      </c>
      <c r="H111" s="368"/>
      <c r="I111" s="370"/>
      <c r="J111" s="370"/>
      <c r="K111" s="367"/>
      <c r="L111" s="370"/>
    </row>
    <row r="112" spans="1:12" ht="32.75" customHeight="1" x14ac:dyDescent="0.45">
      <c r="A112" s="344" t="s">
        <v>376</v>
      </c>
      <c r="B112" s="303">
        <v>0.63888888888888884</v>
      </c>
      <c r="C112" s="303" t="s">
        <v>378</v>
      </c>
      <c r="D112" s="304" t="s">
        <v>700</v>
      </c>
      <c r="E112" s="377" t="s">
        <v>503</v>
      </c>
      <c r="F112" s="367"/>
      <c r="G112" s="368">
        <v>1</v>
      </c>
      <c r="H112" s="368"/>
      <c r="I112" s="370"/>
      <c r="J112" s="370"/>
      <c r="K112" s="367"/>
      <c r="L112" s="370"/>
    </row>
    <row r="113" spans="1:12" ht="32.75" customHeight="1" x14ac:dyDescent="0.45">
      <c r="A113" s="344" t="s">
        <v>501</v>
      </c>
      <c r="B113" s="303">
        <v>0.76041666666666663</v>
      </c>
      <c r="C113" s="303" t="s">
        <v>378</v>
      </c>
      <c r="D113" s="304" t="s">
        <v>700</v>
      </c>
      <c r="E113" s="377" t="s">
        <v>504</v>
      </c>
      <c r="F113" s="367"/>
      <c r="G113" s="368">
        <v>1</v>
      </c>
      <c r="H113" s="368"/>
      <c r="I113" s="370"/>
      <c r="J113" s="370"/>
      <c r="K113" s="367"/>
      <c r="L113" s="370"/>
    </row>
    <row r="114" spans="1:12" ht="32.75" customHeight="1" x14ac:dyDescent="0.45">
      <c r="A114" s="344" t="s">
        <v>376</v>
      </c>
      <c r="B114" s="303">
        <v>0.78125</v>
      </c>
      <c r="C114" s="303" t="s">
        <v>378</v>
      </c>
      <c r="D114" s="304" t="s">
        <v>700</v>
      </c>
      <c r="E114" s="377" t="s">
        <v>503</v>
      </c>
      <c r="F114" s="367"/>
      <c r="G114" s="368">
        <v>1</v>
      </c>
      <c r="H114" s="368"/>
      <c r="I114" s="370"/>
      <c r="J114" s="370"/>
      <c r="K114" s="367"/>
      <c r="L114" s="370"/>
    </row>
    <row r="115" spans="1:12" ht="32.75" customHeight="1" x14ac:dyDescent="0.45">
      <c r="A115" s="601" t="s">
        <v>663</v>
      </c>
      <c r="B115" s="303">
        <v>0.80902777777777779</v>
      </c>
      <c r="C115" s="303" t="s">
        <v>378</v>
      </c>
      <c r="D115" s="304" t="s">
        <v>700</v>
      </c>
      <c r="E115" s="304" t="s">
        <v>688</v>
      </c>
      <c r="F115" s="305"/>
      <c r="G115" s="306">
        <v>1</v>
      </c>
      <c r="H115" s="306"/>
      <c r="I115" s="306"/>
      <c r="J115" s="297"/>
      <c r="K115" s="305"/>
      <c r="L115" s="297"/>
    </row>
    <row r="116" spans="1:12" ht="32.75" customHeight="1" x14ac:dyDescent="0.45">
      <c r="A116" s="601" t="s">
        <v>336</v>
      </c>
      <c r="B116" s="303"/>
      <c r="C116" s="303" t="s">
        <v>660</v>
      </c>
      <c r="D116" s="304"/>
      <c r="E116" s="304"/>
      <c r="F116" s="305"/>
      <c r="G116" s="306"/>
      <c r="H116" s="306"/>
      <c r="I116" s="306"/>
      <c r="J116" s="297"/>
      <c r="K116" s="305"/>
      <c r="L116" s="297"/>
    </row>
    <row r="117" spans="1:12" ht="32.75" customHeight="1" x14ac:dyDescent="0.45">
      <c r="A117" s="601" t="s">
        <v>336</v>
      </c>
      <c r="B117" s="303"/>
      <c r="C117" s="303" t="s">
        <v>660</v>
      </c>
      <c r="D117" s="304"/>
      <c r="E117" s="304"/>
      <c r="F117" s="305"/>
      <c r="G117" s="306"/>
      <c r="H117" s="306"/>
      <c r="I117" s="306"/>
      <c r="J117" s="297"/>
      <c r="K117" s="305"/>
      <c r="L117" s="297"/>
    </row>
    <row r="118" spans="1:12" ht="32.75" customHeight="1" x14ac:dyDescent="0.45">
      <c r="A118" s="601" t="s">
        <v>336</v>
      </c>
      <c r="B118" s="303"/>
      <c r="C118" s="303" t="s">
        <v>660</v>
      </c>
      <c r="D118" s="304"/>
      <c r="E118" s="304"/>
      <c r="F118" s="305"/>
      <c r="G118" s="306"/>
      <c r="H118" s="306"/>
      <c r="I118" s="306"/>
      <c r="J118" s="297"/>
      <c r="K118" s="305"/>
      <c r="L118" s="297"/>
    </row>
    <row r="119" spans="1:12" ht="32.75" customHeight="1" x14ac:dyDescent="0.45">
      <c r="A119" s="601" t="s">
        <v>336</v>
      </c>
      <c r="B119" s="303"/>
      <c r="C119" s="303" t="s">
        <v>660</v>
      </c>
      <c r="D119" s="304"/>
      <c r="E119" s="304"/>
      <c r="F119" s="305"/>
      <c r="G119" s="306"/>
      <c r="H119" s="306"/>
      <c r="I119" s="306"/>
      <c r="J119" s="297"/>
      <c r="K119" s="305"/>
      <c r="L119" s="297"/>
    </row>
    <row r="120" spans="1:12" ht="32.75" customHeight="1" x14ac:dyDescent="0.45">
      <c r="C120" s="190"/>
    </row>
    <row r="121" spans="1:12" x14ac:dyDescent="0.45">
      <c r="C121" s="190" t="s">
        <v>691</v>
      </c>
      <c r="F121" s="137" t="s">
        <v>15</v>
      </c>
    </row>
    <row r="122" spans="1:12" ht="23.25" x14ac:dyDescent="0.45">
      <c r="A122" s="137" t="s">
        <v>18</v>
      </c>
      <c r="B122" s="260" t="s">
        <v>378</v>
      </c>
      <c r="C122" s="241"/>
      <c r="D122" s="241"/>
      <c r="E122" s="241"/>
    </row>
    <row r="123" spans="1:12" ht="21" x14ac:dyDescent="0.45">
      <c r="A123" s="137" t="s">
        <v>13</v>
      </c>
      <c r="B123" s="320" t="s">
        <v>700</v>
      </c>
      <c r="C123" s="254"/>
      <c r="D123" s="254"/>
      <c r="E123" s="598"/>
      <c r="J123" s="600"/>
      <c r="L123" s="600">
        <f>L102+1</f>
        <v>46149</v>
      </c>
    </row>
    <row r="125" spans="1:12" x14ac:dyDescent="0.45">
      <c r="A125" s="141"/>
      <c r="B125" s="142"/>
      <c r="C125" s="142"/>
      <c r="D125" s="142"/>
      <c r="E125" s="142"/>
      <c r="F125" s="142"/>
      <c r="G125" s="142"/>
      <c r="H125" s="142"/>
      <c r="I125" s="142"/>
      <c r="J125" s="319"/>
      <c r="K125" s="319" t="s">
        <v>337</v>
      </c>
      <c r="L125" s="294"/>
    </row>
    <row r="126" spans="1:12" ht="63" x14ac:dyDescent="0.45">
      <c r="A126" s="297" t="s">
        <v>534</v>
      </c>
      <c r="B126" s="298" t="s">
        <v>0</v>
      </c>
      <c r="C126" s="298" t="s">
        <v>332</v>
      </c>
      <c r="D126" s="298" t="s">
        <v>333</v>
      </c>
      <c r="E126" s="298" t="s">
        <v>535</v>
      </c>
      <c r="F126" s="298" t="s">
        <v>1</v>
      </c>
      <c r="G126" s="298" t="s">
        <v>334</v>
      </c>
      <c r="H126" s="298" t="s">
        <v>335</v>
      </c>
      <c r="I126" s="298" t="s">
        <v>23</v>
      </c>
      <c r="J126" s="300" t="s">
        <v>22</v>
      </c>
      <c r="K126" s="298" t="s">
        <v>17</v>
      </c>
      <c r="L126" s="301" t="s">
        <v>12</v>
      </c>
    </row>
    <row r="127" spans="1:12" ht="33.4" customHeight="1" x14ac:dyDescent="0.45">
      <c r="A127" s="344" t="s">
        <v>501</v>
      </c>
      <c r="B127" s="345">
        <v>0.2326388888888889</v>
      </c>
      <c r="C127" s="345" t="s">
        <v>378</v>
      </c>
      <c r="D127" s="304" t="s">
        <v>700</v>
      </c>
      <c r="E127" s="377" t="s">
        <v>503</v>
      </c>
      <c r="F127" s="580"/>
      <c r="G127" s="368">
        <v>1</v>
      </c>
      <c r="H127" s="363"/>
      <c r="I127" s="580"/>
      <c r="J127" s="365"/>
      <c r="K127" s="580"/>
      <c r="L127" s="366"/>
    </row>
    <row r="128" spans="1:12" ht="33.4" customHeight="1" x14ac:dyDescent="0.45">
      <c r="A128" s="344" t="s">
        <v>501</v>
      </c>
      <c r="B128" s="345">
        <v>0.27083333333333331</v>
      </c>
      <c r="C128" s="345" t="s">
        <v>378</v>
      </c>
      <c r="D128" s="304" t="s">
        <v>700</v>
      </c>
      <c r="E128" s="377" t="s">
        <v>503</v>
      </c>
      <c r="F128" s="580"/>
      <c r="G128" s="368">
        <v>1</v>
      </c>
      <c r="H128" s="363"/>
      <c r="I128" s="580"/>
      <c r="J128" s="365"/>
      <c r="K128" s="580"/>
      <c r="L128" s="366"/>
    </row>
    <row r="129" spans="1:12" ht="33.4" customHeight="1" x14ac:dyDescent="0.45">
      <c r="A129" s="344" t="s">
        <v>501</v>
      </c>
      <c r="B129" s="345">
        <v>0.28819444444444442</v>
      </c>
      <c r="C129" s="345" t="s">
        <v>378</v>
      </c>
      <c r="D129" s="304" t="s">
        <v>700</v>
      </c>
      <c r="E129" s="377" t="s">
        <v>504</v>
      </c>
      <c r="F129" s="367"/>
      <c r="G129" s="368">
        <v>1</v>
      </c>
      <c r="H129" s="368"/>
      <c r="I129" s="370"/>
      <c r="J129" s="370"/>
      <c r="K129" s="367"/>
      <c r="L129" s="370"/>
    </row>
    <row r="130" spans="1:12" ht="33.4" customHeight="1" x14ac:dyDescent="0.45">
      <c r="A130" s="344" t="s">
        <v>376</v>
      </c>
      <c r="B130" s="345">
        <v>0.3263888888888889</v>
      </c>
      <c r="C130" s="345" t="s">
        <v>378</v>
      </c>
      <c r="D130" s="304" t="s">
        <v>700</v>
      </c>
      <c r="E130" s="377" t="s">
        <v>504</v>
      </c>
      <c r="F130" s="367"/>
      <c r="G130" s="368">
        <v>1</v>
      </c>
      <c r="H130" s="368"/>
      <c r="I130" s="370"/>
      <c r="J130" s="370"/>
      <c r="K130" s="367"/>
      <c r="L130" s="370"/>
    </row>
    <row r="131" spans="1:12" ht="33.4" customHeight="1" x14ac:dyDescent="0.45">
      <c r="A131" s="344" t="s">
        <v>376</v>
      </c>
      <c r="B131" s="303">
        <v>0.58333333333333337</v>
      </c>
      <c r="C131" s="303" t="s">
        <v>378</v>
      </c>
      <c r="D131" s="304" t="s">
        <v>700</v>
      </c>
      <c r="E131" s="377" t="s">
        <v>503</v>
      </c>
      <c r="F131" s="367"/>
      <c r="G131" s="368">
        <v>1</v>
      </c>
      <c r="H131" s="368"/>
      <c r="I131" s="370"/>
      <c r="J131" s="370"/>
      <c r="K131" s="367"/>
      <c r="L131" s="370"/>
    </row>
    <row r="132" spans="1:12" ht="33.4" customHeight="1" x14ac:dyDescent="0.45">
      <c r="A132" s="344" t="s">
        <v>376</v>
      </c>
      <c r="B132" s="303">
        <v>0.61458333333333337</v>
      </c>
      <c r="C132" s="303" t="s">
        <v>378</v>
      </c>
      <c r="D132" s="304" t="s">
        <v>700</v>
      </c>
      <c r="E132" s="377" t="s">
        <v>503</v>
      </c>
      <c r="F132" s="367"/>
      <c r="G132" s="368">
        <v>1</v>
      </c>
      <c r="H132" s="368"/>
      <c r="I132" s="370"/>
      <c r="J132" s="370"/>
      <c r="K132" s="367"/>
      <c r="L132" s="370"/>
    </row>
    <row r="133" spans="1:12" ht="33.4" customHeight="1" x14ac:dyDescent="0.45">
      <c r="A133" s="344" t="s">
        <v>376</v>
      </c>
      <c r="B133" s="303">
        <v>0.63888888888888884</v>
      </c>
      <c r="C133" s="303" t="s">
        <v>378</v>
      </c>
      <c r="D133" s="304" t="s">
        <v>700</v>
      </c>
      <c r="E133" s="377" t="s">
        <v>503</v>
      </c>
      <c r="F133" s="367"/>
      <c r="G133" s="368">
        <v>1</v>
      </c>
      <c r="H133" s="368"/>
      <c r="I133" s="370"/>
      <c r="J133" s="370"/>
      <c r="K133" s="367"/>
      <c r="L133" s="370"/>
    </row>
    <row r="134" spans="1:12" ht="33.4" customHeight="1" x14ac:dyDescent="0.45">
      <c r="A134" s="344" t="s">
        <v>501</v>
      </c>
      <c r="B134" s="303">
        <v>0.76041666666666663</v>
      </c>
      <c r="C134" s="303" t="s">
        <v>378</v>
      </c>
      <c r="D134" s="304" t="s">
        <v>700</v>
      </c>
      <c r="E134" s="377" t="s">
        <v>504</v>
      </c>
      <c r="F134" s="367"/>
      <c r="G134" s="368">
        <v>1</v>
      </c>
      <c r="H134" s="368"/>
      <c r="I134" s="370"/>
      <c r="J134" s="370"/>
      <c r="K134" s="367"/>
      <c r="L134" s="370"/>
    </row>
    <row r="135" spans="1:12" ht="33.4" customHeight="1" x14ac:dyDescent="0.45">
      <c r="A135" s="344" t="s">
        <v>376</v>
      </c>
      <c r="B135" s="303">
        <v>0.78125</v>
      </c>
      <c r="C135" s="303" t="s">
        <v>378</v>
      </c>
      <c r="D135" s="304" t="s">
        <v>700</v>
      </c>
      <c r="E135" s="377" t="s">
        <v>503</v>
      </c>
      <c r="F135" s="367"/>
      <c r="G135" s="368">
        <v>1</v>
      </c>
      <c r="H135" s="368"/>
      <c r="I135" s="370"/>
      <c r="J135" s="370"/>
      <c r="K135" s="367"/>
      <c r="L135" s="370"/>
    </row>
    <row r="136" spans="1:12" ht="33.4" customHeight="1" x14ac:dyDescent="0.45">
      <c r="A136" s="601" t="s">
        <v>663</v>
      </c>
      <c r="B136" s="303">
        <v>0.80902777777777779</v>
      </c>
      <c r="C136" s="303" t="s">
        <v>378</v>
      </c>
      <c r="D136" s="304" t="s">
        <v>700</v>
      </c>
      <c r="E136" s="304" t="s">
        <v>688</v>
      </c>
      <c r="F136" s="305"/>
      <c r="G136" s="306">
        <v>1</v>
      </c>
      <c r="H136" s="306"/>
      <c r="I136" s="306"/>
      <c r="J136" s="297"/>
      <c r="K136" s="305"/>
      <c r="L136" s="297"/>
    </row>
    <row r="137" spans="1:12" ht="33.4" customHeight="1" x14ac:dyDescent="0.45">
      <c r="A137" s="601" t="s">
        <v>336</v>
      </c>
      <c r="B137" s="303"/>
      <c r="C137" s="303" t="s">
        <v>660</v>
      </c>
      <c r="D137" s="304"/>
      <c r="E137" s="304"/>
      <c r="F137" s="305"/>
      <c r="G137" s="306"/>
      <c r="H137" s="306"/>
      <c r="I137" s="306"/>
      <c r="J137" s="297"/>
      <c r="K137" s="305"/>
      <c r="L137" s="297"/>
    </row>
    <row r="138" spans="1:12" ht="33.4" customHeight="1" x14ac:dyDescent="0.45">
      <c r="A138" s="601" t="s">
        <v>336</v>
      </c>
      <c r="B138" s="303"/>
      <c r="C138" s="303" t="s">
        <v>660</v>
      </c>
      <c r="D138" s="304"/>
      <c r="E138" s="304"/>
      <c r="F138" s="305"/>
      <c r="G138" s="306"/>
      <c r="H138" s="306"/>
      <c r="I138" s="306"/>
      <c r="J138" s="297"/>
      <c r="K138" s="305"/>
      <c r="L138" s="297"/>
    </row>
    <row r="139" spans="1:12" ht="33.4" customHeight="1" x14ac:dyDescent="0.45">
      <c r="A139" s="601" t="s">
        <v>336</v>
      </c>
      <c r="B139" s="303"/>
      <c r="C139" s="303" t="s">
        <v>660</v>
      </c>
      <c r="D139" s="304"/>
      <c r="E139" s="304"/>
      <c r="F139" s="305"/>
      <c r="G139" s="306"/>
      <c r="H139" s="306"/>
      <c r="I139" s="306"/>
      <c r="J139" s="297"/>
      <c r="K139" s="305"/>
      <c r="L139" s="297"/>
    </row>
    <row r="140" spans="1:12" ht="33.4" customHeight="1" x14ac:dyDescent="0.45">
      <c r="A140" s="601" t="s">
        <v>336</v>
      </c>
      <c r="B140" s="303"/>
      <c r="C140" s="303" t="s">
        <v>660</v>
      </c>
      <c r="D140" s="304"/>
      <c r="E140" s="304"/>
      <c r="F140" s="305"/>
      <c r="G140" s="306"/>
      <c r="H140" s="306"/>
      <c r="I140" s="306"/>
      <c r="J140" s="297"/>
      <c r="K140" s="305"/>
      <c r="L140" s="297"/>
    </row>
    <row r="141" spans="1:12" ht="33.4" customHeight="1" x14ac:dyDescent="0.45">
      <c r="C141" s="190"/>
    </row>
    <row r="142" spans="1:12" x14ac:dyDescent="0.45">
      <c r="C142" s="190" t="s">
        <v>691</v>
      </c>
      <c r="F142" s="137" t="s">
        <v>15</v>
      </c>
    </row>
    <row r="143" spans="1:12" ht="23.25" x14ac:dyDescent="0.45">
      <c r="A143" s="137" t="s">
        <v>18</v>
      </c>
      <c r="B143" s="260" t="s">
        <v>378</v>
      </c>
      <c r="C143" s="241"/>
      <c r="D143" s="241"/>
      <c r="E143" s="241"/>
    </row>
    <row r="144" spans="1:12" ht="21" x14ac:dyDescent="0.45">
      <c r="A144" s="137" t="s">
        <v>13</v>
      </c>
      <c r="B144" s="320" t="s">
        <v>700</v>
      </c>
      <c r="C144" s="254"/>
      <c r="D144" s="254"/>
      <c r="E144" s="598"/>
      <c r="J144" s="600"/>
      <c r="L144" s="607">
        <f>L123+1</f>
        <v>46150</v>
      </c>
    </row>
    <row r="146" spans="1:12" x14ac:dyDescent="0.45">
      <c r="A146" s="141"/>
      <c r="B146" s="142"/>
      <c r="C146" s="142"/>
      <c r="D146" s="142"/>
      <c r="E146" s="142"/>
      <c r="F146" s="142"/>
      <c r="G146" s="142"/>
      <c r="H146" s="142"/>
      <c r="I146" s="142"/>
      <c r="J146" s="319"/>
      <c r="K146" s="319" t="s">
        <v>337</v>
      </c>
      <c r="L146" s="294"/>
    </row>
    <row r="147" spans="1:12" ht="63" x14ac:dyDescent="0.45">
      <c r="A147" s="297" t="s">
        <v>534</v>
      </c>
      <c r="B147" s="298" t="s">
        <v>0</v>
      </c>
      <c r="C147" s="298" t="s">
        <v>332</v>
      </c>
      <c r="D147" s="298" t="s">
        <v>333</v>
      </c>
      <c r="E147" s="298" t="s">
        <v>535</v>
      </c>
      <c r="F147" s="298" t="s">
        <v>1</v>
      </c>
      <c r="G147" s="298" t="s">
        <v>334</v>
      </c>
      <c r="H147" s="298" t="s">
        <v>335</v>
      </c>
      <c r="I147" s="298" t="s">
        <v>23</v>
      </c>
      <c r="J147" s="300" t="s">
        <v>22</v>
      </c>
      <c r="K147" s="298" t="s">
        <v>17</v>
      </c>
      <c r="L147" s="301" t="s">
        <v>12</v>
      </c>
    </row>
    <row r="148" spans="1:12" ht="33.4" customHeight="1" x14ac:dyDescent="0.45">
      <c r="A148" s="344" t="s">
        <v>501</v>
      </c>
      <c r="B148" s="345">
        <v>0.2326388888888889</v>
      </c>
      <c r="C148" s="345" t="s">
        <v>378</v>
      </c>
      <c r="D148" s="304" t="s">
        <v>700</v>
      </c>
      <c r="E148" s="377" t="s">
        <v>503</v>
      </c>
      <c r="F148" s="580"/>
      <c r="G148" s="368">
        <v>1</v>
      </c>
      <c r="H148" s="363"/>
      <c r="I148" s="580"/>
      <c r="J148" s="365"/>
      <c r="K148" s="580"/>
      <c r="L148" s="366"/>
    </row>
    <row r="149" spans="1:12" ht="33.4" customHeight="1" x14ac:dyDescent="0.45">
      <c r="A149" s="344" t="s">
        <v>501</v>
      </c>
      <c r="B149" s="345">
        <v>0.27083333333333331</v>
      </c>
      <c r="C149" s="345" t="s">
        <v>378</v>
      </c>
      <c r="D149" s="304" t="s">
        <v>700</v>
      </c>
      <c r="E149" s="377" t="s">
        <v>503</v>
      </c>
      <c r="F149" s="580"/>
      <c r="G149" s="368">
        <v>1</v>
      </c>
      <c r="H149" s="363"/>
      <c r="I149" s="580"/>
      <c r="J149" s="365"/>
      <c r="K149" s="580"/>
      <c r="L149" s="366"/>
    </row>
    <row r="150" spans="1:12" ht="33.4" customHeight="1" x14ac:dyDescent="0.45">
      <c r="A150" s="344" t="s">
        <v>501</v>
      </c>
      <c r="B150" s="345">
        <v>0.28819444444444442</v>
      </c>
      <c r="C150" s="345" t="s">
        <v>378</v>
      </c>
      <c r="D150" s="304" t="s">
        <v>700</v>
      </c>
      <c r="E150" s="377" t="s">
        <v>504</v>
      </c>
      <c r="F150" s="580"/>
      <c r="G150" s="368">
        <v>1</v>
      </c>
      <c r="H150" s="363"/>
      <c r="I150" s="580"/>
      <c r="J150" s="365"/>
      <c r="K150" s="580"/>
      <c r="L150" s="366"/>
    </row>
    <row r="151" spans="1:12" ht="33.4" customHeight="1" x14ac:dyDescent="0.45">
      <c r="A151" s="344" t="s">
        <v>376</v>
      </c>
      <c r="B151" s="345">
        <v>0.58333333333333337</v>
      </c>
      <c r="C151" s="345" t="s">
        <v>378</v>
      </c>
      <c r="D151" s="304" t="s">
        <v>700</v>
      </c>
      <c r="E151" s="377" t="s">
        <v>503</v>
      </c>
      <c r="F151" s="367"/>
      <c r="G151" s="368">
        <v>1</v>
      </c>
      <c r="H151" s="368"/>
      <c r="I151" s="370"/>
      <c r="J151" s="370"/>
      <c r="K151" s="367"/>
      <c r="L151" s="370"/>
    </row>
    <row r="152" spans="1:12" ht="33.4" customHeight="1" x14ac:dyDescent="0.45">
      <c r="A152" s="344" t="s">
        <v>376</v>
      </c>
      <c r="B152" s="345">
        <v>0.61458333333333337</v>
      </c>
      <c r="C152" s="345" t="s">
        <v>378</v>
      </c>
      <c r="D152" s="304" t="s">
        <v>700</v>
      </c>
      <c r="E152" s="377" t="s">
        <v>503</v>
      </c>
      <c r="F152" s="367"/>
      <c r="G152" s="368">
        <v>1</v>
      </c>
      <c r="H152" s="368"/>
      <c r="I152" s="370"/>
      <c r="J152" s="370"/>
      <c r="K152" s="367"/>
      <c r="L152" s="370"/>
    </row>
    <row r="153" spans="1:12" ht="33.4" customHeight="1" x14ac:dyDescent="0.45">
      <c r="A153" s="344" t="s">
        <v>376</v>
      </c>
      <c r="B153" s="345">
        <v>0.63888888888888884</v>
      </c>
      <c r="C153" s="345" t="s">
        <v>378</v>
      </c>
      <c r="D153" s="304" t="s">
        <v>700</v>
      </c>
      <c r="E153" s="377" t="s">
        <v>503</v>
      </c>
      <c r="F153" s="367"/>
      <c r="G153" s="368">
        <v>1</v>
      </c>
      <c r="H153" s="368"/>
      <c r="I153" s="370"/>
      <c r="J153" s="370"/>
      <c r="K153" s="367"/>
      <c r="L153" s="370"/>
    </row>
    <row r="154" spans="1:12" ht="33.4" customHeight="1" x14ac:dyDescent="0.45">
      <c r="A154" s="344" t="s">
        <v>336</v>
      </c>
      <c r="B154" s="345"/>
      <c r="C154" s="345" t="s">
        <v>660</v>
      </c>
      <c r="D154" s="304"/>
      <c r="E154" s="377"/>
      <c r="F154" s="367"/>
      <c r="G154" s="368"/>
      <c r="H154" s="368"/>
      <c r="I154" s="370"/>
      <c r="J154" s="370"/>
      <c r="K154" s="367"/>
      <c r="L154" s="370"/>
    </row>
    <row r="155" spans="1:12" ht="33.4" customHeight="1" x14ac:dyDescent="0.45">
      <c r="A155" s="344" t="s">
        <v>336</v>
      </c>
      <c r="B155" s="345"/>
      <c r="C155" s="345" t="s">
        <v>660</v>
      </c>
      <c r="D155" s="304"/>
      <c r="E155" s="377"/>
      <c r="F155" s="367"/>
      <c r="G155" s="368"/>
      <c r="H155" s="368"/>
      <c r="I155" s="370"/>
      <c r="J155" s="370"/>
      <c r="K155" s="367"/>
      <c r="L155" s="370"/>
    </row>
    <row r="156" spans="1:12" ht="33.4" customHeight="1" x14ac:dyDescent="0.45">
      <c r="A156" s="344" t="s">
        <v>336</v>
      </c>
      <c r="B156" s="345"/>
      <c r="C156" s="345" t="s">
        <v>660</v>
      </c>
      <c r="D156" s="304"/>
      <c r="E156" s="377"/>
      <c r="F156" s="367"/>
      <c r="G156" s="368"/>
      <c r="H156" s="368"/>
      <c r="I156" s="370"/>
      <c r="J156" s="370"/>
      <c r="K156" s="367"/>
      <c r="L156" s="370"/>
    </row>
    <row r="157" spans="1:12" ht="33.4" customHeight="1" x14ac:dyDescent="0.45">
      <c r="A157" s="344" t="s">
        <v>336</v>
      </c>
      <c r="B157" s="345"/>
      <c r="C157" s="345" t="s">
        <v>660</v>
      </c>
      <c r="D157" s="304"/>
      <c r="E157" s="377"/>
      <c r="F157" s="367"/>
      <c r="G157" s="368"/>
      <c r="H157" s="368"/>
      <c r="I157" s="370"/>
      <c r="J157" s="370"/>
      <c r="K157" s="367"/>
      <c r="L157" s="370"/>
    </row>
    <row r="158" spans="1:12" ht="33.4" customHeight="1" x14ac:dyDescent="0.45">
      <c r="A158" s="344" t="s">
        <v>336</v>
      </c>
      <c r="B158" s="345"/>
      <c r="C158" s="345" t="s">
        <v>660</v>
      </c>
      <c r="D158" s="304"/>
      <c r="E158" s="377"/>
      <c r="F158" s="367"/>
      <c r="G158" s="368"/>
      <c r="H158" s="368"/>
      <c r="I158" s="370"/>
      <c r="J158" s="370"/>
      <c r="K158" s="367"/>
      <c r="L158" s="370"/>
    </row>
    <row r="159" spans="1:12" ht="33.4" customHeight="1" x14ac:dyDescent="0.45">
      <c r="C159" s="190" t="s">
        <v>691</v>
      </c>
      <c r="F159" s="137" t="s">
        <v>15</v>
      </c>
    </row>
    <row r="161" spans="1:12" ht="23.25" x14ac:dyDescent="0.45">
      <c r="A161" s="137" t="s">
        <v>18</v>
      </c>
      <c r="B161" s="260" t="s">
        <v>378</v>
      </c>
      <c r="C161" s="241"/>
      <c r="D161" s="241"/>
      <c r="E161" s="241"/>
    </row>
    <row r="162" spans="1:12" ht="21" x14ac:dyDescent="0.45">
      <c r="A162" s="137" t="s">
        <v>13</v>
      </c>
      <c r="B162" s="320" t="s">
        <v>700</v>
      </c>
      <c r="C162" s="254"/>
      <c r="D162" s="254"/>
      <c r="E162" s="598"/>
      <c r="J162" s="600"/>
      <c r="L162" s="600">
        <f>L144+1</f>
        <v>46151</v>
      </c>
    </row>
    <row r="164" spans="1:12" x14ac:dyDescent="0.45">
      <c r="A164" s="141"/>
      <c r="B164" s="142"/>
      <c r="C164" s="142"/>
      <c r="D164" s="142"/>
      <c r="E164" s="142"/>
      <c r="F164" s="142"/>
      <c r="G164" s="142"/>
      <c r="H164" s="142"/>
      <c r="I164" s="142"/>
      <c r="J164" s="319"/>
      <c r="K164" s="319" t="s">
        <v>337</v>
      </c>
      <c r="L164" s="294"/>
    </row>
    <row r="165" spans="1:12" ht="63" x14ac:dyDescent="0.45">
      <c r="A165" s="297" t="s">
        <v>534</v>
      </c>
      <c r="B165" s="298" t="s">
        <v>0</v>
      </c>
      <c r="C165" s="298" t="s">
        <v>332</v>
      </c>
      <c r="D165" s="298" t="s">
        <v>333</v>
      </c>
      <c r="E165" s="298" t="s">
        <v>535</v>
      </c>
      <c r="F165" s="298" t="s">
        <v>1</v>
      </c>
      <c r="G165" s="298" t="s">
        <v>334</v>
      </c>
      <c r="H165" s="298" t="s">
        <v>335</v>
      </c>
      <c r="I165" s="298" t="s">
        <v>23</v>
      </c>
      <c r="J165" s="300" t="s">
        <v>22</v>
      </c>
      <c r="K165" s="298" t="s">
        <v>17</v>
      </c>
      <c r="L165" s="301" t="s">
        <v>12</v>
      </c>
    </row>
    <row r="166" spans="1:12" ht="33" customHeight="1" x14ac:dyDescent="0.45">
      <c r="A166" s="344" t="s">
        <v>501</v>
      </c>
      <c r="B166" s="345">
        <v>0.2326388888888889</v>
      </c>
      <c r="C166" s="345" t="s">
        <v>378</v>
      </c>
      <c r="D166" s="304" t="s">
        <v>700</v>
      </c>
      <c r="E166" s="377" t="s">
        <v>503</v>
      </c>
      <c r="F166" s="580"/>
      <c r="G166" s="368">
        <v>1</v>
      </c>
      <c r="H166" s="363"/>
      <c r="I166" s="580"/>
      <c r="J166" s="365"/>
      <c r="K166" s="580"/>
      <c r="L166" s="366"/>
    </row>
    <row r="167" spans="1:12" ht="33" customHeight="1" x14ac:dyDescent="0.45">
      <c r="A167" s="344" t="s">
        <v>501</v>
      </c>
      <c r="B167" s="345">
        <v>0.27083333333333331</v>
      </c>
      <c r="C167" s="345" t="s">
        <v>378</v>
      </c>
      <c r="D167" s="304" t="s">
        <v>700</v>
      </c>
      <c r="E167" s="377" t="s">
        <v>503</v>
      </c>
      <c r="F167" s="580"/>
      <c r="G167" s="368">
        <v>1</v>
      </c>
      <c r="H167" s="363"/>
      <c r="I167" s="580"/>
      <c r="J167" s="365"/>
      <c r="K167" s="580"/>
      <c r="L167" s="366"/>
    </row>
    <row r="168" spans="1:12" ht="33" customHeight="1" x14ac:dyDescent="0.45">
      <c r="A168" s="344" t="s">
        <v>501</v>
      </c>
      <c r="B168" s="345">
        <v>0.28819444444444442</v>
      </c>
      <c r="C168" s="345" t="s">
        <v>378</v>
      </c>
      <c r="D168" s="304" t="s">
        <v>700</v>
      </c>
      <c r="E168" s="377" t="s">
        <v>504</v>
      </c>
      <c r="F168" s="367"/>
      <c r="G168" s="368">
        <v>1</v>
      </c>
      <c r="H168" s="368"/>
      <c r="I168" s="370"/>
      <c r="J168" s="370"/>
      <c r="K168" s="367"/>
      <c r="L168" s="370"/>
    </row>
    <row r="169" spans="1:12" ht="33" customHeight="1" x14ac:dyDescent="0.45">
      <c r="A169" s="344" t="s">
        <v>376</v>
      </c>
      <c r="B169" s="345">
        <v>0.3263888888888889</v>
      </c>
      <c r="C169" s="345" t="s">
        <v>378</v>
      </c>
      <c r="D169" s="304" t="s">
        <v>700</v>
      </c>
      <c r="E169" s="377" t="s">
        <v>504</v>
      </c>
      <c r="F169" s="367"/>
      <c r="G169" s="368">
        <v>1</v>
      </c>
      <c r="H169" s="368"/>
      <c r="I169" s="370"/>
      <c r="J169" s="370"/>
      <c r="K169" s="367"/>
      <c r="L169" s="370"/>
    </row>
    <row r="170" spans="1:12" ht="33" customHeight="1" x14ac:dyDescent="0.45">
      <c r="A170" s="344" t="s">
        <v>376</v>
      </c>
      <c r="B170" s="303">
        <v>0.58333333333333337</v>
      </c>
      <c r="C170" s="303" t="s">
        <v>378</v>
      </c>
      <c r="D170" s="304" t="s">
        <v>700</v>
      </c>
      <c r="E170" s="377" t="s">
        <v>503</v>
      </c>
      <c r="F170" s="367"/>
      <c r="G170" s="368">
        <v>1</v>
      </c>
      <c r="H170" s="368"/>
      <c r="I170" s="370"/>
      <c r="J170" s="370"/>
      <c r="K170" s="367"/>
      <c r="L170" s="370"/>
    </row>
    <row r="171" spans="1:12" ht="33" customHeight="1" x14ac:dyDescent="0.45">
      <c r="A171" s="344" t="s">
        <v>376</v>
      </c>
      <c r="B171" s="303">
        <v>0.61458333333333337</v>
      </c>
      <c r="C171" s="303" t="s">
        <v>378</v>
      </c>
      <c r="D171" s="304" t="s">
        <v>700</v>
      </c>
      <c r="E171" s="377" t="s">
        <v>503</v>
      </c>
      <c r="F171" s="367"/>
      <c r="G171" s="368">
        <v>1</v>
      </c>
      <c r="H171" s="368"/>
      <c r="I171" s="370"/>
      <c r="J171" s="370"/>
      <c r="K171" s="367"/>
      <c r="L171" s="370"/>
    </row>
    <row r="172" spans="1:12" ht="33" customHeight="1" x14ac:dyDescent="0.45">
      <c r="A172" s="344" t="s">
        <v>376</v>
      </c>
      <c r="B172" s="303">
        <v>0.63888888888888884</v>
      </c>
      <c r="C172" s="303" t="s">
        <v>378</v>
      </c>
      <c r="D172" s="304" t="s">
        <v>700</v>
      </c>
      <c r="E172" s="377" t="s">
        <v>503</v>
      </c>
      <c r="F172" s="367"/>
      <c r="G172" s="368">
        <v>1</v>
      </c>
      <c r="H172" s="368"/>
      <c r="I172" s="370"/>
      <c r="J172" s="370"/>
      <c r="K172" s="367"/>
      <c r="L172" s="370"/>
    </row>
    <row r="173" spans="1:12" ht="33" customHeight="1" x14ac:dyDescent="0.45">
      <c r="A173" s="344" t="s">
        <v>501</v>
      </c>
      <c r="B173" s="303">
        <v>0.76041666666666663</v>
      </c>
      <c r="C173" s="303" t="s">
        <v>378</v>
      </c>
      <c r="D173" s="304" t="s">
        <v>700</v>
      </c>
      <c r="E173" s="377" t="s">
        <v>504</v>
      </c>
      <c r="F173" s="367"/>
      <c r="G173" s="368">
        <v>1</v>
      </c>
      <c r="H173" s="368"/>
      <c r="I173" s="370"/>
      <c r="J173" s="370"/>
      <c r="K173" s="367"/>
      <c r="L173" s="370"/>
    </row>
    <row r="174" spans="1:12" ht="33" customHeight="1" x14ac:dyDescent="0.45">
      <c r="A174" s="344" t="s">
        <v>376</v>
      </c>
      <c r="B174" s="303">
        <v>0.78125</v>
      </c>
      <c r="C174" s="303" t="s">
        <v>378</v>
      </c>
      <c r="D174" s="304" t="s">
        <v>700</v>
      </c>
      <c r="E174" s="377" t="s">
        <v>503</v>
      </c>
      <c r="F174" s="367"/>
      <c r="G174" s="368">
        <v>1</v>
      </c>
      <c r="H174" s="368"/>
      <c r="I174" s="370"/>
      <c r="J174" s="370"/>
      <c r="K174" s="367"/>
      <c r="L174" s="370"/>
    </row>
    <row r="175" spans="1:12" ht="33" customHeight="1" x14ac:dyDescent="0.45">
      <c r="A175" s="601" t="s">
        <v>663</v>
      </c>
      <c r="B175" s="303">
        <v>0.80902777777777779</v>
      </c>
      <c r="C175" s="303" t="s">
        <v>378</v>
      </c>
      <c r="D175" s="304" t="s">
        <v>700</v>
      </c>
      <c r="E175" s="304" t="s">
        <v>688</v>
      </c>
      <c r="F175" s="305"/>
      <c r="G175" s="306">
        <v>1</v>
      </c>
      <c r="H175" s="306"/>
      <c r="I175" s="306"/>
      <c r="J175" s="297"/>
      <c r="K175" s="305"/>
      <c r="L175" s="297"/>
    </row>
    <row r="176" spans="1:12" ht="33" customHeight="1" x14ac:dyDescent="0.45">
      <c r="A176" s="601" t="s">
        <v>336</v>
      </c>
      <c r="B176" s="303"/>
      <c r="C176" s="303" t="s">
        <v>660</v>
      </c>
      <c r="D176" s="304"/>
      <c r="E176" s="304"/>
      <c r="F176" s="305"/>
      <c r="G176" s="306"/>
      <c r="H176" s="306"/>
      <c r="I176" s="306"/>
      <c r="J176" s="297"/>
      <c r="K176" s="305"/>
      <c r="L176" s="297"/>
    </row>
    <row r="177" spans="1:12" ht="33" customHeight="1" x14ac:dyDescent="0.45">
      <c r="A177" s="601" t="s">
        <v>336</v>
      </c>
      <c r="B177" s="303"/>
      <c r="C177" s="303" t="s">
        <v>660</v>
      </c>
      <c r="D177" s="304"/>
      <c r="E177" s="304"/>
      <c r="F177" s="305"/>
      <c r="G177" s="306"/>
      <c r="H177" s="306"/>
      <c r="I177" s="306"/>
      <c r="J177" s="297"/>
      <c r="K177" s="305"/>
      <c r="L177" s="297"/>
    </row>
    <row r="178" spans="1:12" ht="33" customHeight="1" x14ac:dyDescent="0.45">
      <c r="A178" s="601" t="s">
        <v>336</v>
      </c>
      <c r="B178" s="303"/>
      <c r="C178" s="303" t="s">
        <v>660</v>
      </c>
      <c r="D178" s="304"/>
      <c r="E178" s="304"/>
      <c r="F178" s="305"/>
      <c r="G178" s="306"/>
      <c r="H178" s="306"/>
      <c r="I178" s="306"/>
      <c r="J178" s="297"/>
      <c r="K178" s="305"/>
      <c r="L178" s="297"/>
    </row>
    <row r="179" spans="1:12" ht="33" customHeight="1" x14ac:dyDescent="0.45">
      <c r="A179" s="601" t="s">
        <v>336</v>
      </c>
      <c r="B179" s="303"/>
      <c r="C179" s="303" t="s">
        <v>660</v>
      </c>
      <c r="D179" s="304"/>
      <c r="E179" s="304"/>
      <c r="F179" s="305"/>
      <c r="G179" s="306"/>
      <c r="H179" s="306"/>
      <c r="I179" s="306"/>
      <c r="J179" s="297"/>
      <c r="K179" s="305"/>
      <c r="L179" s="297"/>
    </row>
    <row r="180" spans="1:12" ht="33" customHeight="1" x14ac:dyDescent="0.45">
      <c r="C180" s="190"/>
    </row>
    <row r="181" spans="1:12" x14ac:dyDescent="0.45">
      <c r="C181" s="190" t="s">
        <v>691</v>
      </c>
      <c r="F181" s="137" t="s">
        <v>15</v>
      </c>
    </row>
    <row r="182" spans="1:12" ht="23.25" x14ac:dyDescent="0.45">
      <c r="A182" s="137" t="s">
        <v>18</v>
      </c>
      <c r="B182" s="260" t="s">
        <v>378</v>
      </c>
      <c r="C182" s="241"/>
      <c r="D182" s="241"/>
      <c r="E182" s="241"/>
    </row>
    <row r="183" spans="1:12" ht="21" x14ac:dyDescent="0.45">
      <c r="A183" s="137" t="s">
        <v>13</v>
      </c>
      <c r="B183" s="320" t="s">
        <v>700</v>
      </c>
      <c r="C183" s="254"/>
      <c r="D183" s="254"/>
      <c r="E183" s="598"/>
      <c r="J183" s="600"/>
      <c r="L183" s="607">
        <f>L162+1</f>
        <v>46152</v>
      </c>
    </row>
    <row r="185" spans="1:12" x14ac:dyDescent="0.45">
      <c r="A185" s="141"/>
      <c r="B185" s="142"/>
      <c r="C185" s="142"/>
      <c r="D185" s="142"/>
      <c r="E185" s="142"/>
      <c r="F185" s="142"/>
      <c r="G185" s="142"/>
      <c r="H185" s="142"/>
      <c r="I185" s="142"/>
      <c r="J185" s="319"/>
      <c r="K185" s="319" t="s">
        <v>337</v>
      </c>
      <c r="L185" s="294"/>
    </row>
    <row r="186" spans="1:12" ht="63" x14ac:dyDescent="0.45">
      <c r="A186" s="297" t="s">
        <v>534</v>
      </c>
      <c r="B186" s="298" t="s">
        <v>0</v>
      </c>
      <c r="C186" s="298" t="s">
        <v>332</v>
      </c>
      <c r="D186" s="298" t="s">
        <v>333</v>
      </c>
      <c r="E186" s="298" t="s">
        <v>535</v>
      </c>
      <c r="F186" s="298" t="s">
        <v>1</v>
      </c>
      <c r="G186" s="298" t="s">
        <v>334</v>
      </c>
      <c r="H186" s="298" t="s">
        <v>335</v>
      </c>
      <c r="I186" s="298" t="s">
        <v>23</v>
      </c>
      <c r="J186" s="300" t="s">
        <v>22</v>
      </c>
      <c r="K186" s="298" t="s">
        <v>17</v>
      </c>
      <c r="L186" s="301" t="s">
        <v>12</v>
      </c>
    </row>
    <row r="187" spans="1:12" ht="32.75" customHeight="1" x14ac:dyDescent="0.45">
      <c r="A187" s="344" t="s">
        <v>501</v>
      </c>
      <c r="B187" s="345">
        <v>0.2326388888888889</v>
      </c>
      <c r="C187" s="345" t="s">
        <v>378</v>
      </c>
      <c r="D187" s="304" t="s">
        <v>700</v>
      </c>
      <c r="E187" s="377" t="s">
        <v>503</v>
      </c>
      <c r="F187" s="580"/>
      <c r="G187" s="368">
        <v>1</v>
      </c>
      <c r="H187" s="363"/>
      <c r="I187" s="580"/>
      <c r="J187" s="365"/>
      <c r="K187" s="580"/>
      <c r="L187" s="366"/>
    </row>
    <row r="188" spans="1:12" ht="32.75" customHeight="1" x14ac:dyDescent="0.45">
      <c r="A188" s="344" t="s">
        <v>501</v>
      </c>
      <c r="B188" s="345">
        <v>0.27083333333333331</v>
      </c>
      <c r="C188" s="345" t="s">
        <v>378</v>
      </c>
      <c r="D188" s="304" t="s">
        <v>700</v>
      </c>
      <c r="E188" s="377" t="s">
        <v>503</v>
      </c>
      <c r="F188" s="580"/>
      <c r="G188" s="368">
        <v>1</v>
      </c>
      <c r="H188" s="363"/>
      <c r="I188" s="580"/>
      <c r="J188" s="365"/>
      <c r="K188" s="580"/>
      <c r="L188" s="366"/>
    </row>
    <row r="189" spans="1:12" ht="32.75" customHeight="1" x14ac:dyDescent="0.45">
      <c r="A189" s="344" t="s">
        <v>501</v>
      </c>
      <c r="B189" s="345">
        <v>0.28819444444444442</v>
      </c>
      <c r="C189" s="345" t="s">
        <v>378</v>
      </c>
      <c r="D189" s="304" t="s">
        <v>700</v>
      </c>
      <c r="E189" s="377" t="s">
        <v>504</v>
      </c>
      <c r="F189" s="580"/>
      <c r="G189" s="368">
        <v>1</v>
      </c>
      <c r="H189" s="363"/>
      <c r="I189" s="580"/>
      <c r="J189" s="365"/>
      <c r="K189" s="580"/>
      <c r="L189" s="366"/>
    </row>
    <row r="190" spans="1:12" ht="32.75" customHeight="1" x14ac:dyDescent="0.45">
      <c r="A190" s="344" t="s">
        <v>376</v>
      </c>
      <c r="B190" s="345">
        <v>0.58333333333333337</v>
      </c>
      <c r="C190" s="345" t="s">
        <v>378</v>
      </c>
      <c r="D190" s="304" t="s">
        <v>700</v>
      </c>
      <c r="E190" s="377" t="s">
        <v>503</v>
      </c>
      <c r="F190" s="367"/>
      <c r="G190" s="368">
        <v>1</v>
      </c>
      <c r="H190" s="368"/>
      <c r="I190" s="370"/>
      <c r="J190" s="370"/>
      <c r="K190" s="367"/>
      <c r="L190" s="370"/>
    </row>
    <row r="191" spans="1:12" ht="32.75" customHeight="1" x14ac:dyDescent="0.45">
      <c r="A191" s="344" t="s">
        <v>376</v>
      </c>
      <c r="B191" s="345">
        <v>0.61458333333333337</v>
      </c>
      <c r="C191" s="345" t="s">
        <v>378</v>
      </c>
      <c r="D191" s="304" t="s">
        <v>700</v>
      </c>
      <c r="E191" s="377" t="s">
        <v>503</v>
      </c>
      <c r="F191" s="367"/>
      <c r="G191" s="368">
        <v>1</v>
      </c>
      <c r="H191" s="368"/>
      <c r="I191" s="370"/>
      <c r="J191" s="370"/>
      <c r="K191" s="367"/>
      <c r="L191" s="370"/>
    </row>
    <row r="192" spans="1:12" ht="32.75" customHeight="1" x14ac:dyDescent="0.45">
      <c r="A192" s="344" t="s">
        <v>376</v>
      </c>
      <c r="B192" s="345">
        <v>0.63888888888888884</v>
      </c>
      <c r="C192" s="345" t="s">
        <v>378</v>
      </c>
      <c r="D192" s="304" t="s">
        <v>700</v>
      </c>
      <c r="E192" s="377" t="s">
        <v>503</v>
      </c>
      <c r="F192" s="367"/>
      <c r="G192" s="368">
        <v>1</v>
      </c>
      <c r="H192" s="368"/>
      <c r="I192" s="370"/>
      <c r="J192" s="370"/>
      <c r="K192" s="367"/>
      <c r="L192" s="370"/>
    </row>
    <row r="193" spans="1:12" ht="32.75" customHeight="1" x14ac:dyDescent="0.45">
      <c r="A193" s="344" t="s">
        <v>336</v>
      </c>
      <c r="B193" s="345"/>
      <c r="C193" s="345" t="s">
        <v>660</v>
      </c>
      <c r="D193" s="304"/>
      <c r="E193" s="377"/>
      <c r="F193" s="367"/>
      <c r="G193" s="368"/>
      <c r="H193" s="368"/>
      <c r="I193" s="370"/>
      <c r="J193" s="370"/>
      <c r="K193" s="367"/>
      <c r="L193" s="370"/>
    </row>
    <row r="194" spans="1:12" ht="32.75" customHeight="1" x14ac:dyDescent="0.45">
      <c r="A194" s="344" t="s">
        <v>336</v>
      </c>
      <c r="B194" s="345"/>
      <c r="C194" s="345" t="s">
        <v>660</v>
      </c>
      <c r="D194" s="304"/>
      <c r="E194" s="377"/>
      <c r="F194" s="367"/>
      <c r="G194" s="368"/>
      <c r="H194" s="368"/>
      <c r="I194" s="370"/>
      <c r="J194" s="370"/>
      <c r="K194" s="367"/>
      <c r="L194" s="370"/>
    </row>
    <row r="195" spans="1:12" ht="32.75" customHeight="1" x14ac:dyDescent="0.45">
      <c r="A195" s="344" t="s">
        <v>336</v>
      </c>
      <c r="B195" s="345"/>
      <c r="C195" s="345" t="s">
        <v>660</v>
      </c>
      <c r="D195" s="304"/>
      <c r="E195" s="377"/>
      <c r="F195" s="367"/>
      <c r="G195" s="368"/>
      <c r="H195" s="368"/>
      <c r="I195" s="370"/>
      <c r="J195" s="370"/>
      <c r="K195" s="367"/>
      <c r="L195" s="370"/>
    </row>
    <row r="196" spans="1:12" ht="32.75" customHeight="1" x14ac:dyDescent="0.45">
      <c r="A196" s="344" t="s">
        <v>336</v>
      </c>
      <c r="B196" s="345"/>
      <c r="C196" s="345" t="s">
        <v>660</v>
      </c>
      <c r="D196" s="304"/>
      <c r="E196" s="377"/>
      <c r="F196" s="367"/>
      <c r="G196" s="368"/>
      <c r="H196" s="368"/>
      <c r="I196" s="370"/>
      <c r="J196" s="370"/>
      <c r="K196" s="367"/>
      <c r="L196" s="370"/>
    </row>
    <row r="197" spans="1:12" ht="32.75" customHeight="1" x14ac:dyDescent="0.45">
      <c r="A197" s="344" t="s">
        <v>336</v>
      </c>
      <c r="B197" s="345"/>
      <c r="C197" s="345" t="s">
        <v>660</v>
      </c>
      <c r="D197" s="304"/>
      <c r="E197" s="377"/>
      <c r="F197" s="367"/>
      <c r="G197" s="368"/>
      <c r="H197" s="368"/>
      <c r="I197" s="370"/>
      <c r="J197" s="370"/>
      <c r="K197" s="367"/>
      <c r="L197" s="370"/>
    </row>
    <row r="198" spans="1:12" ht="32.75" customHeight="1" x14ac:dyDescent="0.45">
      <c r="C198" s="190" t="s">
        <v>691</v>
      </c>
      <c r="F198" s="137" t="s">
        <v>15</v>
      </c>
    </row>
    <row r="200" spans="1:12" ht="23.25" x14ac:dyDescent="0.45">
      <c r="A200" s="137" t="s">
        <v>18</v>
      </c>
      <c r="B200" s="260" t="s">
        <v>378</v>
      </c>
      <c r="C200" s="241"/>
      <c r="D200" s="241"/>
      <c r="E200" s="241"/>
    </row>
    <row r="201" spans="1:12" ht="21" x14ac:dyDescent="0.45">
      <c r="A201" s="137" t="s">
        <v>13</v>
      </c>
      <c r="B201" s="320" t="s">
        <v>700</v>
      </c>
      <c r="C201" s="254"/>
      <c r="D201" s="254"/>
      <c r="E201" s="598"/>
      <c r="J201" s="600"/>
      <c r="L201" s="600">
        <f>L183+1</f>
        <v>46153</v>
      </c>
    </row>
    <row r="203" spans="1:12" x14ac:dyDescent="0.45">
      <c r="A203" s="141"/>
      <c r="B203" s="142"/>
      <c r="C203" s="142"/>
      <c r="D203" s="142"/>
      <c r="E203" s="142"/>
      <c r="F203" s="142"/>
      <c r="G203" s="142"/>
      <c r="H203" s="142"/>
      <c r="I203" s="142"/>
      <c r="J203" s="319"/>
      <c r="K203" s="319" t="s">
        <v>337</v>
      </c>
      <c r="L203" s="294"/>
    </row>
    <row r="204" spans="1:12" ht="63" x14ac:dyDescent="0.45">
      <c r="A204" s="297" t="s">
        <v>534</v>
      </c>
      <c r="B204" s="298" t="s">
        <v>0</v>
      </c>
      <c r="C204" s="298" t="s">
        <v>332</v>
      </c>
      <c r="D204" s="298" t="s">
        <v>333</v>
      </c>
      <c r="E204" s="298" t="s">
        <v>535</v>
      </c>
      <c r="F204" s="298" t="s">
        <v>1</v>
      </c>
      <c r="G204" s="298" t="s">
        <v>334</v>
      </c>
      <c r="H204" s="298" t="s">
        <v>335</v>
      </c>
      <c r="I204" s="298" t="s">
        <v>23</v>
      </c>
      <c r="J204" s="300" t="s">
        <v>22</v>
      </c>
      <c r="K204" s="298" t="s">
        <v>17</v>
      </c>
      <c r="L204" s="301" t="s">
        <v>12</v>
      </c>
    </row>
    <row r="205" spans="1:12" ht="33" customHeight="1" x14ac:dyDescent="0.45">
      <c r="A205" s="344" t="s">
        <v>501</v>
      </c>
      <c r="B205" s="345">
        <v>0.2326388888888889</v>
      </c>
      <c r="C205" s="345" t="s">
        <v>378</v>
      </c>
      <c r="D205" s="304" t="s">
        <v>700</v>
      </c>
      <c r="E205" s="377" t="s">
        <v>503</v>
      </c>
      <c r="F205" s="580"/>
      <c r="G205" s="368">
        <v>1</v>
      </c>
      <c r="H205" s="363"/>
      <c r="I205" s="580"/>
      <c r="J205" s="365"/>
      <c r="K205" s="580"/>
      <c r="L205" s="366"/>
    </row>
    <row r="206" spans="1:12" ht="33" customHeight="1" x14ac:dyDescent="0.45">
      <c r="A206" s="344" t="s">
        <v>501</v>
      </c>
      <c r="B206" s="345">
        <v>0.27083333333333331</v>
      </c>
      <c r="C206" s="345" t="s">
        <v>378</v>
      </c>
      <c r="D206" s="304" t="s">
        <v>700</v>
      </c>
      <c r="E206" s="377" t="s">
        <v>503</v>
      </c>
      <c r="F206" s="580"/>
      <c r="G206" s="368">
        <v>1</v>
      </c>
      <c r="H206" s="363"/>
      <c r="I206" s="580"/>
      <c r="J206" s="365"/>
      <c r="K206" s="580"/>
      <c r="L206" s="366"/>
    </row>
    <row r="207" spans="1:12" ht="33" customHeight="1" x14ac:dyDescent="0.45">
      <c r="A207" s="344" t="s">
        <v>501</v>
      </c>
      <c r="B207" s="345">
        <v>0.28819444444444442</v>
      </c>
      <c r="C207" s="345" t="s">
        <v>378</v>
      </c>
      <c r="D207" s="304" t="s">
        <v>700</v>
      </c>
      <c r="E207" s="377" t="s">
        <v>504</v>
      </c>
      <c r="F207" s="367"/>
      <c r="G207" s="368">
        <v>1</v>
      </c>
      <c r="H207" s="368"/>
      <c r="I207" s="370"/>
      <c r="J207" s="370"/>
      <c r="K207" s="367"/>
      <c r="L207" s="370"/>
    </row>
    <row r="208" spans="1:12" ht="33" customHeight="1" x14ac:dyDescent="0.45">
      <c r="A208" s="344" t="s">
        <v>376</v>
      </c>
      <c r="B208" s="345">
        <v>0.3263888888888889</v>
      </c>
      <c r="C208" s="345" t="s">
        <v>378</v>
      </c>
      <c r="D208" s="304" t="s">
        <v>700</v>
      </c>
      <c r="E208" s="377" t="s">
        <v>504</v>
      </c>
      <c r="F208" s="367"/>
      <c r="G208" s="368">
        <v>1</v>
      </c>
      <c r="H208" s="368"/>
      <c r="I208" s="370"/>
      <c r="J208" s="370"/>
      <c r="K208" s="367"/>
      <c r="L208" s="370"/>
    </row>
    <row r="209" spans="1:12" ht="33" customHeight="1" x14ac:dyDescent="0.45">
      <c r="A209" s="344" t="s">
        <v>376</v>
      </c>
      <c r="B209" s="303">
        <v>0.58333333333333337</v>
      </c>
      <c r="C209" s="303" t="s">
        <v>378</v>
      </c>
      <c r="D209" s="304" t="s">
        <v>700</v>
      </c>
      <c r="E209" s="377" t="s">
        <v>503</v>
      </c>
      <c r="F209" s="367"/>
      <c r="G209" s="368">
        <v>1</v>
      </c>
      <c r="H209" s="368"/>
      <c r="I209" s="370"/>
      <c r="J209" s="370"/>
      <c r="K209" s="367"/>
      <c r="L209" s="370"/>
    </row>
    <row r="210" spans="1:12" ht="33" customHeight="1" x14ac:dyDescent="0.45">
      <c r="A210" s="344" t="s">
        <v>376</v>
      </c>
      <c r="B210" s="303">
        <v>0.61458333333333337</v>
      </c>
      <c r="C210" s="303" t="s">
        <v>378</v>
      </c>
      <c r="D210" s="304" t="s">
        <v>700</v>
      </c>
      <c r="E210" s="377" t="s">
        <v>503</v>
      </c>
      <c r="F210" s="367"/>
      <c r="G210" s="368">
        <v>1</v>
      </c>
      <c r="H210" s="368"/>
      <c r="I210" s="370"/>
      <c r="J210" s="370"/>
      <c r="K210" s="367"/>
      <c r="L210" s="370"/>
    </row>
    <row r="211" spans="1:12" ht="33" customHeight="1" x14ac:dyDescent="0.45">
      <c r="A211" s="344" t="s">
        <v>376</v>
      </c>
      <c r="B211" s="303">
        <v>0.63888888888888884</v>
      </c>
      <c r="C211" s="303" t="s">
        <v>378</v>
      </c>
      <c r="D211" s="304" t="s">
        <v>700</v>
      </c>
      <c r="E211" s="377" t="s">
        <v>503</v>
      </c>
      <c r="F211" s="367"/>
      <c r="G211" s="368">
        <v>1</v>
      </c>
      <c r="H211" s="368"/>
      <c r="I211" s="370"/>
      <c r="J211" s="370"/>
      <c r="K211" s="367"/>
      <c r="L211" s="370"/>
    </row>
    <row r="212" spans="1:12" ht="33" customHeight="1" x14ac:dyDescent="0.45">
      <c r="A212" s="344" t="s">
        <v>501</v>
      </c>
      <c r="B212" s="303">
        <v>0.76041666666666663</v>
      </c>
      <c r="C212" s="303" t="s">
        <v>378</v>
      </c>
      <c r="D212" s="304" t="s">
        <v>700</v>
      </c>
      <c r="E212" s="377" t="s">
        <v>504</v>
      </c>
      <c r="F212" s="367"/>
      <c r="G212" s="368">
        <v>1</v>
      </c>
      <c r="H212" s="368"/>
      <c r="I212" s="370"/>
      <c r="J212" s="370"/>
      <c r="K212" s="367"/>
      <c r="L212" s="370"/>
    </row>
    <row r="213" spans="1:12" ht="33" customHeight="1" x14ac:dyDescent="0.45">
      <c r="A213" s="344" t="s">
        <v>376</v>
      </c>
      <c r="B213" s="303">
        <v>0.78125</v>
      </c>
      <c r="C213" s="303" t="s">
        <v>378</v>
      </c>
      <c r="D213" s="304" t="s">
        <v>700</v>
      </c>
      <c r="E213" s="377" t="s">
        <v>503</v>
      </c>
      <c r="F213" s="367"/>
      <c r="G213" s="368">
        <v>1</v>
      </c>
      <c r="H213" s="368"/>
      <c r="I213" s="370"/>
      <c r="J213" s="370"/>
      <c r="K213" s="367"/>
      <c r="L213" s="370"/>
    </row>
    <row r="214" spans="1:12" ht="33" customHeight="1" x14ac:dyDescent="0.45">
      <c r="A214" s="601" t="s">
        <v>663</v>
      </c>
      <c r="B214" s="303">
        <v>0.80902777777777779</v>
      </c>
      <c r="C214" s="303" t="s">
        <v>378</v>
      </c>
      <c r="D214" s="304" t="s">
        <v>700</v>
      </c>
      <c r="E214" s="304" t="s">
        <v>688</v>
      </c>
      <c r="F214" s="305"/>
      <c r="G214" s="306">
        <v>1</v>
      </c>
      <c r="H214" s="306"/>
      <c r="I214" s="306"/>
      <c r="J214" s="297"/>
      <c r="K214" s="305"/>
      <c r="L214" s="297"/>
    </row>
    <row r="215" spans="1:12" ht="33" customHeight="1" x14ac:dyDescent="0.45">
      <c r="A215" s="601" t="s">
        <v>336</v>
      </c>
      <c r="B215" s="303"/>
      <c r="C215" s="303" t="s">
        <v>660</v>
      </c>
      <c r="D215" s="304"/>
      <c r="E215" s="304"/>
      <c r="F215" s="305"/>
      <c r="G215" s="306"/>
      <c r="H215" s="306"/>
      <c r="I215" s="306"/>
      <c r="J215" s="297"/>
      <c r="K215" s="305"/>
      <c r="L215" s="297"/>
    </row>
    <row r="216" spans="1:12" ht="33" customHeight="1" x14ac:dyDescent="0.45">
      <c r="A216" s="601" t="s">
        <v>336</v>
      </c>
      <c r="B216" s="303"/>
      <c r="C216" s="303" t="s">
        <v>660</v>
      </c>
      <c r="D216" s="304"/>
      <c r="E216" s="304"/>
      <c r="F216" s="305"/>
      <c r="G216" s="306"/>
      <c r="H216" s="306"/>
      <c r="I216" s="306"/>
      <c r="J216" s="297"/>
      <c r="K216" s="305"/>
      <c r="L216" s="297"/>
    </row>
    <row r="217" spans="1:12" ht="33" customHeight="1" x14ac:dyDescent="0.45">
      <c r="A217" s="601" t="s">
        <v>336</v>
      </c>
      <c r="B217" s="303"/>
      <c r="C217" s="303" t="s">
        <v>660</v>
      </c>
      <c r="D217" s="304"/>
      <c r="E217" s="304"/>
      <c r="F217" s="305"/>
      <c r="G217" s="306"/>
      <c r="H217" s="306"/>
      <c r="I217" s="306"/>
      <c r="J217" s="297"/>
      <c r="K217" s="305"/>
      <c r="L217" s="297"/>
    </row>
    <row r="218" spans="1:12" ht="33" customHeight="1" x14ac:dyDescent="0.45">
      <c r="A218" s="601" t="s">
        <v>336</v>
      </c>
      <c r="B218" s="303"/>
      <c r="C218" s="303" t="s">
        <v>660</v>
      </c>
      <c r="D218" s="304"/>
      <c r="E218" s="304"/>
      <c r="F218" s="305"/>
      <c r="G218" s="306"/>
      <c r="H218" s="306"/>
      <c r="I218" s="306"/>
      <c r="J218" s="297"/>
      <c r="K218" s="305"/>
      <c r="L218" s="297"/>
    </row>
    <row r="219" spans="1:12" x14ac:dyDescent="0.45">
      <c r="C219" s="190" t="s">
        <v>691</v>
      </c>
      <c r="F219" s="137" t="s">
        <v>15</v>
      </c>
    </row>
    <row r="220" spans="1:12" x14ac:dyDescent="0.45">
      <c r="C220" s="190"/>
    </row>
    <row r="221" spans="1:12" x14ac:dyDescent="0.45">
      <c r="C221" s="190"/>
    </row>
    <row r="222" spans="1:12" ht="23.25" x14ac:dyDescent="0.45">
      <c r="A222" s="137" t="s">
        <v>18</v>
      </c>
      <c r="B222" s="260" t="s">
        <v>378</v>
      </c>
      <c r="C222" s="241"/>
      <c r="D222" s="241"/>
      <c r="E222" s="241"/>
      <c r="L222" s="600">
        <f>L201+1</f>
        <v>46154</v>
      </c>
    </row>
    <row r="223" spans="1:12" ht="21" x14ac:dyDescent="0.45">
      <c r="A223" s="137" t="s">
        <v>13</v>
      </c>
      <c r="B223" s="320" t="s">
        <v>700</v>
      </c>
      <c r="C223" s="254"/>
      <c r="D223" s="254"/>
      <c r="E223" s="598"/>
      <c r="J223" s="600"/>
      <c r="L223" s="600"/>
    </row>
    <row r="225" spans="1:12" x14ac:dyDescent="0.45">
      <c r="A225" s="141"/>
      <c r="B225" s="142"/>
      <c r="C225" s="142"/>
      <c r="D225" s="142"/>
      <c r="E225" s="142"/>
      <c r="F225" s="142"/>
      <c r="G225" s="142"/>
      <c r="H225" s="142"/>
      <c r="I225" s="142"/>
      <c r="J225" s="319"/>
      <c r="K225" s="319" t="s">
        <v>337</v>
      </c>
      <c r="L225" s="294"/>
    </row>
    <row r="226" spans="1:12" ht="63" x14ac:dyDescent="0.45">
      <c r="A226" s="297" t="s">
        <v>534</v>
      </c>
      <c r="B226" s="298" t="s">
        <v>0</v>
      </c>
      <c r="C226" s="298" t="s">
        <v>332</v>
      </c>
      <c r="D226" s="298" t="s">
        <v>333</v>
      </c>
      <c r="E226" s="298" t="s">
        <v>535</v>
      </c>
      <c r="F226" s="298" t="s">
        <v>1</v>
      </c>
      <c r="G226" s="298" t="s">
        <v>334</v>
      </c>
      <c r="H226" s="298" t="s">
        <v>335</v>
      </c>
      <c r="I226" s="298" t="s">
        <v>23</v>
      </c>
      <c r="J226" s="300" t="s">
        <v>22</v>
      </c>
      <c r="K226" s="298" t="s">
        <v>17</v>
      </c>
      <c r="L226" s="301" t="s">
        <v>12</v>
      </c>
    </row>
    <row r="227" spans="1:12" ht="33.4" customHeight="1" x14ac:dyDescent="0.45">
      <c r="A227" s="344" t="s">
        <v>501</v>
      </c>
      <c r="B227" s="345">
        <v>0.2326388888888889</v>
      </c>
      <c r="C227" s="345" t="s">
        <v>378</v>
      </c>
      <c r="D227" s="304" t="s">
        <v>700</v>
      </c>
      <c r="E227" s="377" t="s">
        <v>503</v>
      </c>
      <c r="F227" s="580"/>
      <c r="G227" s="368">
        <v>1</v>
      </c>
      <c r="H227" s="363"/>
      <c r="I227" s="580"/>
      <c r="J227" s="365"/>
      <c r="K227" s="580"/>
      <c r="L227" s="366"/>
    </row>
    <row r="228" spans="1:12" ht="33.4" customHeight="1" x14ac:dyDescent="0.45">
      <c r="A228" s="344" t="s">
        <v>501</v>
      </c>
      <c r="B228" s="345">
        <v>0.27083333333333331</v>
      </c>
      <c r="C228" s="345" t="s">
        <v>378</v>
      </c>
      <c r="D228" s="304" t="s">
        <v>700</v>
      </c>
      <c r="E228" s="377" t="s">
        <v>503</v>
      </c>
      <c r="F228" s="580"/>
      <c r="G228" s="368">
        <v>1</v>
      </c>
      <c r="H228" s="363"/>
      <c r="I228" s="580"/>
      <c r="J228" s="365"/>
      <c r="K228" s="580"/>
      <c r="L228" s="366"/>
    </row>
    <row r="229" spans="1:12" ht="33.4" customHeight="1" x14ac:dyDescent="0.45">
      <c r="A229" s="344" t="s">
        <v>501</v>
      </c>
      <c r="B229" s="345">
        <v>0.28819444444444442</v>
      </c>
      <c r="C229" s="345" t="s">
        <v>378</v>
      </c>
      <c r="D229" s="304" t="s">
        <v>700</v>
      </c>
      <c r="E229" s="377" t="s">
        <v>504</v>
      </c>
      <c r="F229" s="367"/>
      <c r="G229" s="368">
        <v>1</v>
      </c>
      <c r="H229" s="368"/>
      <c r="I229" s="370"/>
      <c r="J229" s="370"/>
      <c r="K229" s="367"/>
      <c r="L229" s="370"/>
    </row>
    <row r="230" spans="1:12" ht="33.4" customHeight="1" x14ac:dyDescent="0.45">
      <c r="A230" s="344" t="s">
        <v>376</v>
      </c>
      <c r="B230" s="345">
        <v>0.3263888888888889</v>
      </c>
      <c r="C230" s="345" t="s">
        <v>378</v>
      </c>
      <c r="D230" s="304" t="s">
        <v>700</v>
      </c>
      <c r="E230" s="377" t="s">
        <v>504</v>
      </c>
      <c r="F230" s="367"/>
      <c r="G230" s="368">
        <v>1</v>
      </c>
      <c r="H230" s="368"/>
      <c r="I230" s="370"/>
      <c r="J230" s="370"/>
      <c r="K230" s="367"/>
      <c r="L230" s="370"/>
    </row>
    <row r="231" spans="1:12" ht="33.4" customHeight="1" x14ac:dyDescent="0.45">
      <c r="A231" s="344" t="s">
        <v>376</v>
      </c>
      <c r="B231" s="303">
        <v>0.58333333333333337</v>
      </c>
      <c r="C231" s="303" t="s">
        <v>378</v>
      </c>
      <c r="D231" s="304" t="s">
        <v>700</v>
      </c>
      <c r="E231" s="377" t="s">
        <v>503</v>
      </c>
      <c r="F231" s="367"/>
      <c r="G231" s="368">
        <v>1</v>
      </c>
      <c r="H231" s="368"/>
      <c r="I231" s="370"/>
      <c r="J231" s="370"/>
      <c r="K231" s="367"/>
      <c r="L231" s="370"/>
    </row>
    <row r="232" spans="1:12" ht="33.4" customHeight="1" x14ac:dyDescent="0.45">
      <c r="A232" s="344" t="s">
        <v>376</v>
      </c>
      <c r="B232" s="303">
        <v>0.61458333333333337</v>
      </c>
      <c r="C232" s="303" t="s">
        <v>378</v>
      </c>
      <c r="D232" s="304" t="s">
        <v>700</v>
      </c>
      <c r="E232" s="377" t="s">
        <v>503</v>
      </c>
      <c r="F232" s="367"/>
      <c r="G232" s="368">
        <v>1</v>
      </c>
      <c r="H232" s="368"/>
      <c r="I232" s="370"/>
      <c r="J232" s="370"/>
      <c r="K232" s="367"/>
      <c r="L232" s="370"/>
    </row>
    <row r="233" spans="1:12" ht="33.4" customHeight="1" x14ac:dyDescent="0.45">
      <c r="A233" s="344" t="s">
        <v>376</v>
      </c>
      <c r="B233" s="303">
        <v>0.63888888888888884</v>
      </c>
      <c r="C233" s="303" t="s">
        <v>378</v>
      </c>
      <c r="D233" s="304" t="s">
        <v>700</v>
      </c>
      <c r="E233" s="377" t="s">
        <v>503</v>
      </c>
      <c r="F233" s="367"/>
      <c r="G233" s="368">
        <v>1</v>
      </c>
      <c r="H233" s="368"/>
      <c r="I233" s="370"/>
      <c r="J233" s="370"/>
      <c r="K233" s="367"/>
      <c r="L233" s="370"/>
    </row>
    <row r="234" spans="1:12" ht="33.4" customHeight="1" x14ac:dyDescent="0.45">
      <c r="A234" s="344" t="s">
        <v>501</v>
      </c>
      <c r="B234" s="303">
        <v>0.76041666666666663</v>
      </c>
      <c r="C234" s="303" t="s">
        <v>378</v>
      </c>
      <c r="D234" s="304" t="s">
        <v>700</v>
      </c>
      <c r="E234" s="377" t="s">
        <v>504</v>
      </c>
      <c r="F234" s="367"/>
      <c r="G234" s="368">
        <v>1</v>
      </c>
      <c r="H234" s="368"/>
      <c r="I234" s="370"/>
      <c r="J234" s="370"/>
      <c r="K234" s="367"/>
      <c r="L234" s="370"/>
    </row>
    <row r="235" spans="1:12" ht="33.4" customHeight="1" x14ac:dyDescent="0.45">
      <c r="A235" s="344" t="s">
        <v>376</v>
      </c>
      <c r="B235" s="303">
        <v>0.78125</v>
      </c>
      <c r="C235" s="303" t="s">
        <v>378</v>
      </c>
      <c r="D235" s="304" t="s">
        <v>700</v>
      </c>
      <c r="E235" s="377" t="s">
        <v>503</v>
      </c>
      <c r="F235" s="367"/>
      <c r="G235" s="368">
        <v>1</v>
      </c>
      <c r="H235" s="368"/>
      <c r="I235" s="370"/>
      <c r="J235" s="370"/>
      <c r="K235" s="367"/>
      <c r="L235" s="370"/>
    </row>
    <row r="236" spans="1:12" ht="33.4" customHeight="1" x14ac:dyDescent="0.45">
      <c r="A236" s="601" t="s">
        <v>663</v>
      </c>
      <c r="B236" s="303">
        <v>0.80902777777777779</v>
      </c>
      <c r="C236" s="303" t="s">
        <v>378</v>
      </c>
      <c r="D236" s="304" t="s">
        <v>700</v>
      </c>
      <c r="E236" s="304" t="s">
        <v>688</v>
      </c>
      <c r="F236" s="305"/>
      <c r="G236" s="306">
        <v>1</v>
      </c>
      <c r="H236" s="306"/>
      <c r="I236" s="306"/>
      <c r="J236" s="297"/>
      <c r="K236" s="305"/>
      <c r="L236" s="297"/>
    </row>
    <row r="237" spans="1:12" ht="33.4" customHeight="1" x14ac:dyDescent="0.45">
      <c r="A237" s="601" t="s">
        <v>336</v>
      </c>
      <c r="B237" s="303"/>
      <c r="C237" s="303" t="s">
        <v>660</v>
      </c>
      <c r="D237" s="304"/>
      <c r="E237" s="304"/>
      <c r="F237" s="305"/>
      <c r="G237" s="306"/>
      <c r="H237" s="306"/>
      <c r="I237" s="306"/>
      <c r="J237" s="297"/>
      <c r="K237" s="305"/>
      <c r="L237" s="297"/>
    </row>
    <row r="238" spans="1:12" ht="33.4" customHeight="1" x14ac:dyDescent="0.45">
      <c r="A238" s="601" t="s">
        <v>336</v>
      </c>
      <c r="B238" s="303"/>
      <c r="C238" s="303" t="s">
        <v>660</v>
      </c>
      <c r="D238" s="304"/>
      <c r="E238" s="304"/>
      <c r="F238" s="305"/>
      <c r="G238" s="306"/>
      <c r="H238" s="306"/>
      <c r="I238" s="306"/>
      <c r="J238" s="297"/>
      <c r="K238" s="305"/>
      <c r="L238" s="297"/>
    </row>
    <row r="239" spans="1:12" ht="33.4" customHeight="1" x14ac:dyDescent="0.45">
      <c r="A239" s="601" t="s">
        <v>336</v>
      </c>
      <c r="B239" s="303"/>
      <c r="C239" s="303" t="s">
        <v>660</v>
      </c>
      <c r="D239" s="304"/>
      <c r="E239" s="304"/>
      <c r="F239" s="305"/>
      <c r="G239" s="306"/>
      <c r="H239" s="306"/>
      <c r="I239" s="306"/>
      <c r="J239" s="297"/>
      <c r="K239" s="305"/>
      <c r="L239" s="297"/>
    </row>
    <row r="240" spans="1:12" ht="33.4" customHeight="1" x14ac:dyDescent="0.45">
      <c r="A240" s="601" t="s">
        <v>336</v>
      </c>
      <c r="B240" s="303"/>
      <c r="C240" s="303" t="s">
        <v>660</v>
      </c>
      <c r="D240" s="304"/>
      <c r="E240" s="304"/>
      <c r="F240" s="305"/>
      <c r="G240" s="306"/>
      <c r="H240" s="306"/>
      <c r="I240" s="306"/>
      <c r="J240" s="297"/>
      <c r="K240" s="305"/>
      <c r="L240" s="297"/>
    </row>
    <row r="241" spans="1:12" ht="33.4" customHeight="1" x14ac:dyDescent="0.45">
      <c r="C241" s="190" t="s">
        <v>691</v>
      </c>
      <c r="F241" s="137" t="s">
        <v>15</v>
      </c>
    </row>
    <row r="242" spans="1:12" ht="33.4" customHeight="1" x14ac:dyDescent="0.45"/>
    <row r="243" spans="1:12" ht="23.25" x14ac:dyDescent="0.45">
      <c r="A243" s="137" t="s">
        <v>18</v>
      </c>
      <c r="B243" s="260" t="s">
        <v>378</v>
      </c>
      <c r="C243" s="241"/>
      <c r="D243" s="241"/>
      <c r="E243" s="241"/>
    </row>
    <row r="244" spans="1:12" ht="21" x14ac:dyDescent="0.45">
      <c r="A244" s="137" t="s">
        <v>13</v>
      </c>
      <c r="B244" s="320" t="s">
        <v>700</v>
      </c>
      <c r="C244" s="254"/>
      <c r="D244" s="254"/>
      <c r="E244" s="598"/>
      <c r="J244" s="600"/>
      <c r="L244" s="600">
        <f>L222+1</f>
        <v>46155</v>
      </c>
    </row>
    <row r="246" spans="1:12" x14ac:dyDescent="0.45">
      <c r="A246" s="141"/>
      <c r="B246" s="142"/>
      <c r="C246" s="142"/>
      <c r="D246" s="142"/>
      <c r="E246" s="142"/>
      <c r="F246" s="142"/>
      <c r="G246" s="142"/>
      <c r="H246" s="142"/>
      <c r="I246" s="142"/>
      <c r="J246" s="319"/>
      <c r="K246" s="319" t="s">
        <v>337</v>
      </c>
      <c r="L246" s="294"/>
    </row>
    <row r="247" spans="1:12" ht="63" x14ac:dyDescent="0.45">
      <c r="A247" s="297" t="s">
        <v>534</v>
      </c>
      <c r="B247" s="298" t="s">
        <v>0</v>
      </c>
      <c r="C247" s="298" t="s">
        <v>332</v>
      </c>
      <c r="D247" s="298" t="s">
        <v>333</v>
      </c>
      <c r="E247" s="298" t="s">
        <v>535</v>
      </c>
      <c r="F247" s="298" t="s">
        <v>1</v>
      </c>
      <c r="G247" s="298" t="s">
        <v>334</v>
      </c>
      <c r="H247" s="298" t="s">
        <v>335</v>
      </c>
      <c r="I247" s="298" t="s">
        <v>23</v>
      </c>
      <c r="J247" s="300" t="s">
        <v>22</v>
      </c>
      <c r="K247" s="298" t="s">
        <v>17</v>
      </c>
      <c r="L247" s="301" t="s">
        <v>12</v>
      </c>
    </row>
    <row r="248" spans="1:12" ht="33" customHeight="1" x14ac:dyDescent="0.45">
      <c r="A248" s="344" t="s">
        <v>501</v>
      </c>
      <c r="B248" s="345">
        <v>0.2326388888888889</v>
      </c>
      <c r="C248" s="345" t="s">
        <v>378</v>
      </c>
      <c r="D248" s="304" t="s">
        <v>700</v>
      </c>
      <c r="E248" s="377" t="s">
        <v>503</v>
      </c>
      <c r="F248" s="580"/>
      <c r="G248" s="368">
        <v>1</v>
      </c>
      <c r="H248" s="363"/>
      <c r="I248" s="580"/>
      <c r="J248" s="365"/>
      <c r="K248" s="580"/>
      <c r="L248" s="366"/>
    </row>
    <row r="249" spans="1:12" ht="33" customHeight="1" x14ac:dyDescent="0.45">
      <c r="A249" s="344" t="s">
        <v>501</v>
      </c>
      <c r="B249" s="345">
        <v>0.27083333333333331</v>
      </c>
      <c r="C249" s="345" t="s">
        <v>378</v>
      </c>
      <c r="D249" s="304" t="s">
        <v>700</v>
      </c>
      <c r="E249" s="377" t="s">
        <v>503</v>
      </c>
      <c r="F249" s="580"/>
      <c r="G249" s="368">
        <v>1</v>
      </c>
      <c r="H249" s="363"/>
      <c r="I249" s="580"/>
      <c r="J249" s="365"/>
      <c r="K249" s="580"/>
      <c r="L249" s="366"/>
    </row>
    <row r="250" spans="1:12" ht="33" customHeight="1" x14ac:dyDescent="0.45">
      <c r="A250" s="344" t="s">
        <v>501</v>
      </c>
      <c r="B250" s="345">
        <v>0.28819444444444442</v>
      </c>
      <c r="C250" s="345" t="s">
        <v>378</v>
      </c>
      <c r="D250" s="304" t="s">
        <v>700</v>
      </c>
      <c r="E250" s="377" t="s">
        <v>504</v>
      </c>
      <c r="F250" s="367"/>
      <c r="G250" s="368">
        <v>1</v>
      </c>
      <c r="H250" s="368"/>
      <c r="I250" s="370"/>
      <c r="J250" s="370"/>
      <c r="K250" s="367"/>
      <c r="L250" s="370"/>
    </row>
    <row r="251" spans="1:12" ht="33" customHeight="1" x14ac:dyDescent="0.45">
      <c r="A251" s="344" t="s">
        <v>376</v>
      </c>
      <c r="B251" s="345">
        <v>0.3263888888888889</v>
      </c>
      <c r="C251" s="345" t="s">
        <v>378</v>
      </c>
      <c r="D251" s="304" t="s">
        <v>700</v>
      </c>
      <c r="E251" s="377" t="s">
        <v>504</v>
      </c>
      <c r="F251" s="367"/>
      <c r="G251" s="368">
        <v>1</v>
      </c>
      <c r="H251" s="368"/>
      <c r="I251" s="370"/>
      <c r="J251" s="370"/>
      <c r="K251" s="367"/>
      <c r="L251" s="370"/>
    </row>
    <row r="252" spans="1:12" ht="33" customHeight="1" x14ac:dyDescent="0.45">
      <c r="A252" s="344" t="s">
        <v>376</v>
      </c>
      <c r="B252" s="303">
        <v>0.58333333333333337</v>
      </c>
      <c r="C252" s="303" t="s">
        <v>378</v>
      </c>
      <c r="D252" s="304" t="s">
        <v>700</v>
      </c>
      <c r="E252" s="377" t="s">
        <v>503</v>
      </c>
      <c r="F252" s="367"/>
      <c r="G252" s="368">
        <v>1</v>
      </c>
      <c r="H252" s="368"/>
      <c r="I252" s="370"/>
      <c r="J252" s="370"/>
      <c r="K252" s="367"/>
      <c r="L252" s="370"/>
    </row>
    <row r="253" spans="1:12" ht="33" customHeight="1" x14ac:dyDescent="0.45">
      <c r="A253" s="344" t="s">
        <v>376</v>
      </c>
      <c r="B253" s="303">
        <v>0.61458333333333337</v>
      </c>
      <c r="C253" s="303" t="s">
        <v>378</v>
      </c>
      <c r="D253" s="304" t="s">
        <v>700</v>
      </c>
      <c r="E253" s="377" t="s">
        <v>503</v>
      </c>
      <c r="F253" s="367"/>
      <c r="G253" s="368">
        <v>1</v>
      </c>
      <c r="H253" s="368"/>
      <c r="I253" s="370"/>
      <c r="J253" s="370"/>
      <c r="K253" s="367"/>
      <c r="L253" s="370"/>
    </row>
    <row r="254" spans="1:12" ht="33" customHeight="1" x14ac:dyDescent="0.45">
      <c r="A254" s="344" t="s">
        <v>376</v>
      </c>
      <c r="B254" s="303">
        <v>0.63888888888888884</v>
      </c>
      <c r="C254" s="303" t="s">
        <v>378</v>
      </c>
      <c r="D254" s="304" t="s">
        <v>700</v>
      </c>
      <c r="E254" s="377" t="s">
        <v>503</v>
      </c>
      <c r="F254" s="367"/>
      <c r="G254" s="368">
        <v>1</v>
      </c>
      <c r="H254" s="368"/>
      <c r="I254" s="370"/>
      <c r="J254" s="370"/>
      <c r="K254" s="367"/>
      <c r="L254" s="370"/>
    </row>
    <row r="255" spans="1:12" ht="33" customHeight="1" x14ac:dyDescent="0.45">
      <c r="A255" s="344" t="s">
        <v>501</v>
      </c>
      <c r="B255" s="303">
        <v>0.76041666666666663</v>
      </c>
      <c r="C255" s="303" t="s">
        <v>378</v>
      </c>
      <c r="D255" s="304" t="s">
        <v>700</v>
      </c>
      <c r="E255" s="377" t="s">
        <v>504</v>
      </c>
      <c r="F255" s="367"/>
      <c r="G255" s="368">
        <v>1</v>
      </c>
      <c r="H255" s="368"/>
      <c r="I255" s="370"/>
      <c r="J255" s="370"/>
      <c r="K255" s="367"/>
      <c r="L255" s="370"/>
    </row>
    <row r="256" spans="1:12" ht="33" customHeight="1" x14ac:dyDescent="0.45">
      <c r="A256" s="344" t="s">
        <v>376</v>
      </c>
      <c r="B256" s="303">
        <v>0.78125</v>
      </c>
      <c r="C256" s="303" t="s">
        <v>378</v>
      </c>
      <c r="D256" s="304" t="s">
        <v>700</v>
      </c>
      <c r="E256" s="377" t="s">
        <v>503</v>
      </c>
      <c r="F256" s="367"/>
      <c r="G256" s="368">
        <v>1</v>
      </c>
      <c r="H256" s="368"/>
      <c r="I256" s="370"/>
      <c r="J256" s="370"/>
      <c r="K256" s="367"/>
      <c r="L256" s="370"/>
    </row>
    <row r="257" spans="1:12" ht="33" customHeight="1" x14ac:dyDescent="0.45">
      <c r="A257" s="601" t="s">
        <v>663</v>
      </c>
      <c r="B257" s="303">
        <v>0.80902777777777779</v>
      </c>
      <c r="C257" s="303" t="s">
        <v>378</v>
      </c>
      <c r="D257" s="304" t="s">
        <v>700</v>
      </c>
      <c r="E257" s="304" t="s">
        <v>688</v>
      </c>
      <c r="F257" s="305"/>
      <c r="G257" s="306">
        <v>1</v>
      </c>
      <c r="H257" s="306"/>
      <c r="I257" s="306"/>
      <c r="J257" s="297"/>
      <c r="K257" s="305"/>
      <c r="L257" s="297"/>
    </row>
    <row r="258" spans="1:12" ht="33" customHeight="1" x14ac:dyDescent="0.45">
      <c r="A258" s="601" t="s">
        <v>336</v>
      </c>
      <c r="B258" s="303"/>
      <c r="C258" s="303" t="s">
        <v>660</v>
      </c>
      <c r="D258" s="304"/>
      <c r="E258" s="304"/>
      <c r="F258" s="305"/>
      <c r="G258" s="306"/>
      <c r="H258" s="306"/>
      <c r="I258" s="306"/>
      <c r="J258" s="297"/>
      <c r="K258" s="305"/>
      <c r="L258" s="297"/>
    </row>
    <row r="259" spans="1:12" ht="33" customHeight="1" x14ac:dyDescent="0.45">
      <c r="A259" s="601" t="s">
        <v>336</v>
      </c>
      <c r="B259" s="303"/>
      <c r="C259" s="303" t="s">
        <v>660</v>
      </c>
      <c r="D259" s="304"/>
      <c r="E259" s="304"/>
      <c r="F259" s="305"/>
      <c r="G259" s="306"/>
      <c r="H259" s="306"/>
      <c r="I259" s="306"/>
      <c r="J259" s="297"/>
      <c r="K259" s="305"/>
      <c r="L259" s="297"/>
    </row>
    <row r="260" spans="1:12" ht="33" customHeight="1" x14ac:dyDescent="0.45">
      <c r="A260" s="601" t="s">
        <v>336</v>
      </c>
      <c r="B260" s="303"/>
      <c r="C260" s="303" t="s">
        <v>660</v>
      </c>
      <c r="D260" s="304"/>
      <c r="E260" s="304"/>
      <c r="F260" s="305"/>
      <c r="G260" s="306"/>
      <c r="H260" s="306"/>
      <c r="I260" s="306"/>
      <c r="J260" s="297"/>
      <c r="K260" s="305"/>
      <c r="L260" s="297"/>
    </row>
    <row r="261" spans="1:12" ht="33" customHeight="1" x14ac:dyDescent="0.45">
      <c r="A261" s="601" t="s">
        <v>336</v>
      </c>
      <c r="B261" s="303"/>
      <c r="C261" s="303" t="s">
        <v>660</v>
      </c>
      <c r="D261" s="304"/>
      <c r="E261" s="304"/>
      <c r="F261" s="305"/>
      <c r="G261" s="306"/>
      <c r="H261" s="306"/>
      <c r="I261" s="306"/>
      <c r="J261" s="297"/>
      <c r="K261" s="305"/>
      <c r="L261" s="297"/>
    </row>
    <row r="262" spans="1:12" ht="33" customHeight="1" x14ac:dyDescent="0.45">
      <c r="C262" s="190" t="s">
        <v>691</v>
      </c>
      <c r="F262" s="137" t="s">
        <v>15</v>
      </c>
    </row>
    <row r="264" spans="1:12" ht="23.25" x14ac:dyDescent="0.45">
      <c r="A264" s="137" t="s">
        <v>18</v>
      </c>
      <c r="B264" s="260" t="s">
        <v>378</v>
      </c>
      <c r="C264" s="241"/>
      <c r="D264" s="241"/>
      <c r="E264" s="241"/>
    </row>
    <row r="265" spans="1:12" ht="21" x14ac:dyDescent="0.45">
      <c r="A265" s="137" t="s">
        <v>13</v>
      </c>
      <c r="B265" s="320" t="s">
        <v>700</v>
      </c>
      <c r="C265" s="254"/>
      <c r="D265" s="254"/>
      <c r="E265" s="598"/>
      <c r="J265" s="600"/>
      <c r="L265" s="607">
        <f>L244+1</f>
        <v>46156</v>
      </c>
    </row>
    <row r="267" spans="1:12" x14ac:dyDescent="0.45">
      <c r="A267" s="141"/>
      <c r="B267" s="142"/>
      <c r="C267" s="142"/>
      <c r="D267" s="142"/>
      <c r="E267" s="142"/>
      <c r="F267" s="142"/>
      <c r="G267" s="142"/>
      <c r="H267" s="142"/>
      <c r="I267" s="142"/>
      <c r="J267" s="319"/>
      <c r="K267" s="319" t="s">
        <v>337</v>
      </c>
      <c r="L267" s="294"/>
    </row>
    <row r="268" spans="1:12" ht="63" x14ac:dyDescent="0.45">
      <c r="A268" s="297" t="s">
        <v>534</v>
      </c>
      <c r="B268" s="298" t="s">
        <v>0</v>
      </c>
      <c r="C268" s="298" t="s">
        <v>332</v>
      </c>
      <c r="D268" s="298" t="s">
        <v>333</v>
      </c>
      <c r="E268" s="298" t="s">
        <v>535</v>
      </c>
      <c r="F268" s="298" t="s">
        <v>1</v>
      </c>
      <c r="G268" s="298" t="s">
        <v>334</v>
      </c>
      <c r="H268" s="298" t="s">
        <v>335</v>
      </c>
      <c r="I268" s="298" t="s">
        <v>23</v>
      </c>
      <c r="J268" s="300" t="s">
        <v>22</v>
      </c>
      <c r="K268" s="298" t="s">
        <v>17</v>
      </c>
      <c r="L268" s="301" t="s">
        <v>12</v>
      </c>
    </row>
    <row r="269" spans="1:12" ht="33" customHeight="1" x14ac:dyDescent="0.45">
      <c r="A269" s="344" t="s">
        <v>501</v>
      </c>
      <c r="B269" s="345">
        <v>0.2326388888888889</v>
      </c>
      <c r="C269" s="345" t="s">
        <v>378</v>
      </c>
      <c r="D269" s="304" t="s">
        <v>700</v>
      </c>
      <c r="E269" s="377" t="s">
        <v>503</v>
      </c>
      <c r="F269" s="580"/>
      <c r="G269" s="368">
        <v>1</v>
      </c>
      <c r="H269" s="363"/>
      <c r="I269" s="580"/>
      <c r="J269" s="365"/>
      <c r="K269" s="580"/>
      <c r="L269" s="366"/>
    </row>
    <row r="270" spans="1:12" ht="33" customHeight="1" x14ac:dyDescent="0.45">
      <c r="A270" s="344" t="s">
        <v>501</v>
      </c>
      <c r="B270" s="345">
        <v>0.27083333333333331</v>
      </c>
      <c r="C270" s="345" t="s">
        <v>378</v>
      </c>
      <c r="D270" s="304" t="s">
        <v>700</v>
      </c>
      <c r="E270" s="377" t="s">
        <v>503</v>
      </c>
      <c r="F270" s="580"/>
      <c r="G270" s="368">
        <v>1</v>
      </c>
      <c r="H270" s="363"/>
      <c r="I270" s="580"/>
      <c r="J270" s="365"/>
      <c r="K270" s="580"/>
      <c r="L270" s="366"/>
    </row>
    <row r="271" spans="1:12" ht="33" customHeight="1" x14ac:dyDescent="0.45">
      <c r="A271" s="344" t="s">
        <v>501</v>
      </c>
      <c r="B271" s="345">
        <v>0.28819444444444442</v>
      </c>
      <c r="C271" s="345" t="s">
        <v>378</v>
      </c>
      <c r="D271" s="304" t="s">
        <v>700</v>
      </c>
      <c r="E271" s="377" t="s">
        <v>504</v>
      </c>
      <c r="F271" s="580"/>
      <c r="G271" s="368">
        <v>1</v>
      </c>
      <c r="H271" s="363"/>
      <c r="I271" s="580"/>
      <c r="J271" s="365"/>
      <c r="K271" s="580"/>
      <c r="L271" s="366"/>
    </row>
    <row r="272" spans="1:12" ht="33" customHeight="1" x14ac:dyDescent="0.45">
      <c r="A272" s="344" t="s">
        <v>376</v>
      </c>
      <c r="B272" s="345">
        <v>0.58333333333333337</v>
      </c>
      <c r="C272" s="345" t="s">
        <v>378</v>
      </c>
      <c r="D272" s="304" t="s">
        <v>700</v>
      </c>
      <c r="E272" s="377" t="s">
        <v>503</v>
      </c>
      <c r="F272" s="367"/>
      <c r="G272" s="368">
        <v>1</v>
      </c>
      <c r="H272" s="368"/>
      <c r="I272" s="370"/>
      <c r="J272" s="370"/>
      <c r="K272" s="367"/>
      <c r="L272" s="370"/>
    </row>
    <row r="273" spans="1:12" ht="33" customHeight="1" x14ac:dyDescent="0.45">
      <c r="A273" s="344" t="s">
        <v>376</v>
      </c>
      <c r="B273" s="345">
        <v>0.61458333333333337</v>
      </c>
      <c r="C273" s="345" t="s">
        <v>378</v>
      </c>
      <c r="D273" s="304" t="s">
        <v>700</v>
      </c>
      <c r="E273" s="377" t="s">
        <v>503</v>
      </c>
      <c r="F273" s="367"/>
      <c r="G273" s="368">
        <v>1</v>
      </c>
      <c r="H273" s="368"/>
      <c r="I273" s="370"/>
      <c r="J273" s="370"/>
      <c r="K273" s="367"/>
      <c r="L273" s="370"/>
    </row>
    <row r="274" spans="1:12" ht="33" customHeight="1" x14ac:dyDescent="0.45">
      <c r="A274" s="344" t="s">
        <v>376</v>
      </c>
      <c r="B274" s="345">
        <v>0.63888888888888884</v>
      </c>
      <c r="C274" s="345" t="s">
        <v>378</v>
      </c>
      <c r="D274" s="304" t="s">
        <v>700</v>
      </c>
      <c r="E274" s="377" t="s">
        <v>503</v>
      </c>
      <c r="F274" s="367"/>
      <c r="G274" s="368">
        <v>1</v>
      </c>
      <c r="H274" s="368"/>
      <c r="I274" s="370"/>
      <c r="J274" s="370"/>
      <c r="K274" s="367"/>
      <c r="L274" s="370"/>
    </row>
    <row r="275" spans="1:12" ht="33" customHeight="1" x14ac:dyDescent="0.45">
      <c r="A275" s="344" t="s">
        <v>336</v>
      </c>
      <c r="B275" s="345"/>
      <c r="C275" s="345" t="s">
        <v>660</v>
      </c>
      <c r="D275" s="304"/>
      <c r="E275" s="377"/>
      <c r="F275" s="367"/>
      <c r="G275" s="368"/>
      <c r="H275" s="368"/>
      <c r="I275" s="370"/>
      <c r="J275" s="370"/>
      <c r="K275" s="367"/>
      <c r="L275" s="370"/>
    </row>
    <row r="276" spans="1:12" ht="33" customHeight="1" x14ac:dyDescent="0.45">
      <c r="A276" s="344" t="s">
        <v>336</v>
      </c>
      <c r="B276" s="345"/>
      <c r="C276" s="345" t="s">
        <v>660</v>
      </c>
      <c r="D276" s="304"/>
      <c r="E276" s="377"/>
      <c r="F276" s="367"/>
      <c r="G276" s="368"/>
      <c r="H276" s="368"/>
      <c r="I276" s="370"/>
      <c r="J276" s="370"/>
      <c r="K276" s="367"/>
      <c r="L276" s="370"/>
    </row>
    <row r="277" spans="1:12" ht="33" customHeight="1" x14ac:dyDescent="0.45">
      <c r="A277" s="344" t="s">
        <v>336</v>
      </c>
      <c r="B277" s="345"/>
      <c r="C277" s="345" t="s">
        <v>660</v>
      </c>
      <c r="D277" s="304"/>
      <c r="E277" s="377"/>
      <c r="F277" s="367"/>
      <c r="G277" s="368"/>
      <c r="H277" s="368"/>
      <c r="I277" s="370"/>
      <c r="J277" s="370"/>
      <c r="K277" s="367"/>
      <c r="L277" s="370"/>
    </row>
    <row r="278" spans="1:12" ht="33" customHeight="1" x14ac:dyDescent="0.45">
      <c r="A278" s="344" t="s">
        <v>336</v>
      </c>
      <c r="B278" s="345"/>
      <c r="C278" s="345" t="s">
        <v>660</v>
      </c>
      <c r="D278" s="304"/>
      <c r="E278" s="377"/>
      <c r="F278" s="367"/>
      <c r="G278" s="368"/>
      <c r="H278" s="368"/>
      <c r="I278" s="370"/>
      <c r="J278" s="370"/>
      <c r="K278" s="367"/>
      <c r="L278" s="370"/>
    </row>
    <row r="279" spans="1:12" ht="33" customHeight="1" x14ac:dyDescent="0.45">
      <c r="A279" s="344" t="s">
        <v>336</v>
      </c>
      <c r="B279" s="345"/>
      <c r="C279" s="345" t="s">
        <v>660</v>
      </c>
      <c r="D279" s="304"/>
      <c r="E279" s="377"/>
      <c r="F279" s="367"/>
      <c r="G279" s="368"/>
      <c r="H279" s="368"/>
      <c r="I279" s="370"/>
      <c r="J279" s="370"/>
      <c r="K279" s="367"/>
      <c r="L279" s="370"/>
    </row>
    <row r="280" spans="1:12" ht="33" customHeight="1" x14ac:dyDescent="0.45">
      <c r="C280" s="190" t="s">
        <v>691</v>
      </c>
      <c r="F280" s="137" t="s">
        <v>15</v>
      </c>
    </row>
    <row r="282" spans="1:12" ht="23.25" x14ac:dyDescent="0.45">
      <c r="A282" s="137" t="s">
        <v>18</v>
      </c>
      <c r="B282" s="260" t="s">
        <v>378</v>
      </c>
      <c r="C282" s="241"/>
      <c r="D282" s="241"/>
      <c r="E282" s="241"/>
    </row>
    <row r="283" spans="1:12" ht="21" x14ac:dyDescent="0.45">
      <c r="A283" s="137" t="s">
        <v>13</v>
      </c>
      <c r="B283" s="320" t="s">
        <v>700</v>
      </c>
      <c r="C283" s="254"/>
      <c r="D283" s="254"/>
      <c r="E283" s="598"/>
      <c r="J283" s="600"/>
      <c r="L283" s="600">
        <f>L265+1</f>
        <v>46157</v>
      </c>
    </row>
    <row r="285" spans="1:12" x14ac:dyDescent="0.45">
      <c r="A285" s="141"/>
      <c r="B285" s="142"/>
      <c r="C285" s="142"/>
      <c r="D285" s="142"/>
      <c r="E285" s="142"/>
      <c r="F285" s="142"/>
      <c r="G285" s="142"/>
      <c r="H285" s="142"/>
      <c r="I285" s="142"/>
      <c r="J285" s="319"/>
      <c r="K285" s="319" t="s">
        <v>337</v>
      </c>
      <c r="L285" s="294"/>
    </row>
    <row r="286" spans="1:12" ht="63" x14ac:dyDescent="0.45">
      <c r="A286" s="297" t="s">
        <v>534</v>
      </c>
      <c r="B286" s="298" t="s">
        <v>0</v>
      </c>
      <c r="C286" s="298" t="s">
        <v>332</v>
      </c>
      <c r="D286" s="298" t="s">
        <v>333</v>
      </c>
      <c r="E286" s="298" t="s">
        <v>535</v>
      </c>
      <c r="F286" s="298" t="s">
        <v>1</v>
      </c>
      <c r="G286" s="298" t="s">
        <v>334</v>
      </c>
      <c r="H286" s="298" t="s">
        <v>335</v>
      </c>
      <c r="I286" s="298" t="s">
        <v>23</v>
      </c>
      <c r="J286" s="300" t="s">
        <v>22</v>
      </c>
      <c r="K286" s="298" t="s">
        <v>17</v>
      </c>
      <c r="L286" s="301" t="s">
        <v>12</v>
      </c>
    </row>
    <row r="287" spans="1:12" ht="33" customHeight="1" x14ac:dyDescent="0.45">
      <c r="A287" s="344" t="s">
        <v>501</v>
      </c>
      <c r="B287" s="345">
        <v>0.2326388888888889</v>
      </c>
      <c r="C287" s="345" t="s">
        <v>378</v>
      </c>
      <c r="D287" s="304" t="s">
        <v>700</v>
      </c>
      <c r="E287" s="377" t="s">
        <v>503</v>
      </c>
      <c r="F287" s="580"/>
      <c r="G287" s="368">
        <v>1</v>
      </c>
      <c r="H287" s="363"/>
      <c r="I287" s="580"/>
      <c r="J287" s="365"/>
      <c r="K287" s="580"/>
      <c r="L287" s="366"/>
    </row>
    <row r="288" spans="1:12" ht="33" customHeight="1" x14ac:dyDescent="0.45">
      <c r="A288" s="344" t="s">
        <v>501</v>
      </c>
      <c r="B288" s="345">
        <v>0.27083333333333331</v>
      </c>
      <c r="C288" s="345" t="s">
        <v>378</v>
      </c>
      <c r="D288" s="304" t="s">
        <v>700</v>
      </c>
      <c r="E288" s="377" t="s">
        <v>503</v>
      </c>
      <c r="F288" s="580"/>
      <c r="G288" s="368">
        <v>1</v>
      </c>
      <c r="H288" s="363"/>
      <c r="I288" s="580"/>
      <c r="J288" s="365"/>
      <c r="K288" s="580"/>
      <c r="L288" s="366"/>
    </row>
    <row r="289" spans="1:12" ht="33" customHeight="1" x14ac:dyDescent="0.45">
      <c r="A289" s="344" t="s">
        <v>501</v>
      </c>
      <c r="B289" s="345">
        <v>0.28819444444444442</v>
      </c>
      <c r="C289" s="345" t="s">
        <v>378</v>
      </c>
      <c r="D289" s="304" t="s">
        <v>700</v>
      </c>
      <c r="E289" s="377" t="s">
        <v>504</v>
      </c>
      <c r="F289" s="367"/>
      <c r="G289" s="368">
        <v>1</v>
      </c>
      <c r="H289" s="368"/>
      <c r="I289" s="370"/>
      <c r="J289" s="370"/>
      <c r="K289" s="367"/>
      <c r="L289" s="370"/>
    </row>
    <row r="290" spans="1:12" ht="33" customHeight="1" x14ac:dyDescent="0.45">
      <c r="A290" s="344" t="s">
        <v>376</v>
      </c>
      <c r="B290" s="345">
        <v>0.3263888888888889</v>
      </c>
      <c r="C290" s="345" t="s">
        <v>378</v>
      </c>
      <c r="D290" s="304" t="s">
        <v>700</v>
      </c>
      <c r="E290" s="377" t="s">
        <v>504</v>
      </c>
      <c r="F290" s="367"/>
      <c r="G290" s="368">
        <v>1</v>
      </c>
      <c r="H290" s="368"/>
      <c r="I290" s="370"/>
      <c r="J290" s="370"/>
      <c r="K290" s="367"/>
      <c r="L290" s="370"/>
    </row>
    <row r="291" spans="1:12" ht="33" customHeight="1" x14ac:dyDescent="0.45">
      <c r="A291" s="344" t="s">
        <v>376</v>
      </c>
      <c r="B291" s="303">
        <v>0.58333333333333337</v>
      </c>
      <c r="C291" s="303" t="s">
        <v>378</v>
      </c>
      <c r="D291" s="304" t="s">
        <v>700</v>
      </c>
      <c r="E291" s="377" t="s">
        <v>503</v>
      </c>
      <c r="F291" s="367"/>
      <c r="G291" s="368">
        <v>1</v>
      </c>
      <c r="H291" s="368"/>
      <c r="I291" s="370"/>
      <c r="J291" s="370"/>
      <c r="K291" s="367"/>
      <c r="L291" s="370"/>
    </row>
    <row r="292" spans="1:12" ht="33" customHeight="1" x14ac:dyDescent="0.45">
      <c r="A292" s="344" t="s">
        <v>376</v>
      </c>
      <c r="B292" s="303">
        <v>0.61458333333333337</v>
      </c>
      <c r="C292" s="303" t="s">
        <v>378</v>
      </c>
      <c r="D292" s="304" t="s">
        <v>700</v>
      </c>
      <c r="E292" s="377" t="s">
        <v>503</v>
      </c>
      <c r="F292" s="367"/>
      <c r="G292" s="368">
        <v>1</v>
      </c>
      <c r="H292" s="368"/>
      <c r="I292" s="370"/>
      <c r="J292" s="370"/>
      <c r="K292" s="367"/>
      <c r="L292" s="370"/>
    </row>
    <row r="293" spans="1:12" ht="33" customHeight="1" x14ac:dyDescent="0.45">
      <c r="A293" s="344" t="s">
        <v>376</v>
      </c>
      <c r="B293" s="303">
        <v>0.63888888888888884</v>
      </c>
      <c r="C293" s="303" t="s">
        <v>378</v>
      </c>
      <c r="D293" s="304" t="s">
        <v>700</v>
      </c>
      <c r="E293" s="377" t="s">
        <v>503</v>
      </c>
      <c r="F293" s="367"/>
      <c r="G293" s="368">
        <v>1</v>
      </c>
      <c r="H293" s="368"/>
      <c r="I293" s="370"/>
      <c r="J293" s="370"/>
      <c r="K293" s="367"/>
      <c r="L293" s="370"/>
    </row>
    <row r="294" spans="1:12" ht="33" customHeight="1" x14ac:dyDescent="0.45">
      <c r="A294" s="344" t="s">
        <v>501</v>
      </c>
      <c r="B294" s="303">
        <v>0.76041666666666663</v>
      </c>
      <c r="C294" s="303" t="s">
        <v>378</v>
      </c>
      <c r="D294" s="304" t="s">
        <v>700</v>
      </c>
      <c r="E294" s="377" t="s">
        <v>504</v>
      </c>
      <c r="F294" s="367"/>
      <c r="G294" s="368">
        <v>1</v>
      </c>
      <c r="H294" s="368"/>
      <c r="I294" s="370"/>
      <c r="J294" s="370"/>
      <c r="K294" s="367"/>
      <c r="L294" s="370"/>
    </row>
    <row r="295" spans="1:12" ht="33" customHeight="1" x14ac:dyDescent="0.45">
      <c r="A295" s="344" t="s">
        <v>376</v>
      </c>
      <c r="B295" s="303">
        <v>0.78125</v>
      </c>
      <c r="C295" s="303" t="s">
        <v>378</v>
      </c>
      <c r="D295" s="304" t="s">
        <v>700</v>
      </c>
      <c r="E295" s="377" t="s">
        <v>503</v>
      </c>
      <c r="F295" s="367"/>
      <c r="G295" s="368">
        <v>1</v>
      </c>
      <c r="H295" s="368"/>
      <c r="I295" s="370"/>
      <c r="J295" s="370"/>
      <c r="K295" s="367"/>
      <c r="L295" s="370"/>
    </row>
    <row r="296" spans="1:12" ht="33" customHeight="1" x14ac:dyDescent="0.45">
      <c r="A296" s="601" t="s">
        <v>663</v>
      </c>
      <c r="B296" s="303">
        <v>0.80902777777777779</v>
      </c>
      <c r="C296" s="303" t="s">
        <v>378</v>
      </c>
      <c r="D296" s="304" t="s">
        <v>700</v>
      </c>
      <c r="E296" s="304" t="s">
        <v>688</v>
      </c>
      <c r="F296" s="305"/>
      <c r="G296" s="306">
        <v>1</v>
      </c>
      <c r="H296" s="306"/>
      <c r="I296" s="306"/>
      <c r="J296" s="297"/>
      <c r="K296" s="305"/>
      <c r="L296" s="297"/>
    </row>
    <row r="297" spans="1:12" ht="33" customHeight="1" x14ac:dyDescent="0.45">
      <c r="A297" s="601" t="s">
        <v>336</v>
      </c>
      <c r="B297" s="303"/>
      <c r="C297" s="303" t="s">
        <v>660</v>
      </c>
      <c r="D297" s="304"/>
      <c r="E297" s="304"/>
      <c r="F297" s="305"/>
      <c r="G297" s="306"/>
      <c r="H297" s="306"/>
      <c r="I297" s="306"/>
      <c r="J297" s="297"/>
      <c r="K297" s="305"/>
      <c r="L297" s="297"/>
    </row>
    <row r="298" spans="1:12" ht="33" customHeight="1" x14ac:dyDescent="0.45">
      <c r="A298" s="601" t="s">
        <v>336</v>
      </c>
      <c r="B298" s="303"/>
      <c r="C298" s="303" t="s">
        <v>660</v>
      </c>
      <c r="D298" s="304"/>
      <c r="E298" s="304"/>
      <c r="F298" s="305"/>
      <c r="G298" s="306"/>
      <c r="H298" s="306"/>
      <c r="I298" s="306"/>
      <c r="J298" s="297"/>
      <c r="K298" s="305"/>
      <c r="L298" s="297"/>
    </row>
    <row r="299" spans="1:12" ht="33" customHeight="1" x14ac:dyDescent="0.45">
      <c r="A299" s="601" t="s">
        <v>336</v>
      </c>
      <c r="B299" s="303"/>
      <c r="C299" s="303" t="s">
        <v>660</v>
      </c>
      <c r="D299" s="304"/>
      <c r="E299" s="304"/>
      <c r="F299" s="305"/>
      <c r="G299" s="306"/>
      <c r="H299" s="306"/>
      <c r="I299" s="306"/>
      <c r="J299" s="297"/>
      <c r="K299" s="305"/>
      <c r="L299" s="297"/>
    </row>
    <row r="300" spans="1:12" ht="33" customHeight="1" x14ac:dyDescent="0.45">
      <c r="A300" s="601" t="s">
        <v>336</v>
      </c>
      <c r="B300" s="303"/>
      <c r="C300" s="303" t="s">
        <v>660</v>
      </c>
      <c r="D300" s="304"/>
      <c r="E300" s="304"/>
      <c r="F300" s="305"/>
      <c r="G300" s="306"/>
      <c r="H300" s="306"/>
      <c r="I300" s="306"/>
      <c r="J300" s="297"/>
      <c r="K300" s="305"/>
      <c r="L300" s="297"/>
    </row>
    <row r="301" spans="1:12" ht="33" customHeight="1" x14ac:dyDescent="0.45">
      <c r="C301" s="190" t="s">
        <v>691</v>
      </c>
      <c r="F301" s="137" t="s">
        <v>15</v>
      </c>
    </row>
    <row r="303" spans="1:12" ht="23.25" x14ac:dyDescent="0.45">
      <c r="A303" s="137" t="s">
        <v>18</v>
      </c>
      <c r="B303" s="260" t="s">
        <v>378</v>
      </c>
      <c r="C303" s="241"/>
      <c r="D303" s="241"/>
      <c r="E303" s="241"/>
    </row>
    <row r="304" spans="1:12" ht="21" x14ac:dyDescent="0.45">
      <c r="A304" s="137" t="s">
        <v>13</v>
      </c>
      <c r="B304" s="320" t="s">
        <v>700</v>
      </c>
      <c r="C304" s="254"/>
      <c r="D304" s="254"/>
      <c r="E304" s="598"/>
      <c r="J304" s="600"/>
      <c r="L304" s="600">
        <f>L283+1</f>
        <v>46158</v>
      </c>
    </row>
    <row r="306" spans="1:12" x14ac:dyDescent="0.45">
      <c r="A306" s="141"/>
      <c r="B306" s="142"/>
      <c r="C306" s="142"/>
      <c r="D306" s="142"/>
      <c r="E306" s="142"/>
      <c r="F306" s="142"/>
      <c r="G306" s="142"/>
      <c r="H306" s="142"/>
      <c r="I306" s="142"/>
      <c r="J306" s="319"/>
      <c r="K306" s="319" t="s">
        <v>337</v>
      </c>
      <c r="L306" s="294"/>
    </row>
    <row r="307" spans="1:12" ht="63" x14ac:dyDescent="0.45">
      <c r="A307" s="297" t="s">
        <v>534</v>
      </c>
      <c r="B307" s="298" t="s">
        <v>0</v>
      </c>
      <c r="C307" s="298" t="s">
        <v>332</v>
      </c>
      <c r="D307" s="298" t="s">
        <v>333</v>
      </c>
      <c r="E307" s="298" t="s">
        <v>535</v>
      </c>
      <c r="F307" s="298" t="s">
        <v>1</v>
      </c>
      <c r="G307" s="298" t="s">
        <v>334</v>
      </c>
      <c r="H307" s="298" t="s">
        <v>335</v>
      </c>
      <c r="I307" s="298" t="s">
        <v>23</v>
      </c>
      <c r="J307" s="300" t="s">
        <v>22</v>
      </c>
      <c r="K307" s="298" t="s">
        <v>17</v>
      </c>
      <c r="L307" s="301" t="s">
        <v>12</v>
      </c>
    </row>
    <row r="308" spans="1:12" ht="33" customHeight="1" x14ac:dyDescent="0.45">
      <c r="A308" s="344" t="s">
        <v>501</v>
      </c>
      <c r="B308" s="345">
        <v>0.2326388888888889</v>
      </c>
      <c r="C308" s="345" t="s">
        <v>378</v>
      </c>
      <c r="D308" s="304" t="s">
        <v>700</v>
      </c>
      <c r="E308" s="377" t="s">
        <v>503</v>
      </c>
      <c r="F308" s="580"/>
      <c r="G308" s="368">
        <v>1</v>
      </c>
      <c r="H308" s="363"/>
      <c r="I308" s="580"/>
      <c r="J308" s="365"/>
      <c r="K308" s="580"/>
      <c r="L308" s="366"/>
    </row>
    <row r="309" spans="1:12" ht="33" customHeight="1" x14ac:dyDescent="0.45">
      <c r="A309" s="344" t="s">
        <v>501</v>
      </c>
      <c r="B309" s="345">
        <v>0.27083333333333331</v>
      </c>
      <c r="C309" s="345" t="s">
        <v>378</v>
      </c>
      <c r="D309" s="304" t="s">
        <v>700</v>
      </c>
      <c r="E309" s="377" t="s">
        <v>503</v>
      </c>
      <c r="F309" s="580"/>
      <c r="G309" s="368">
        <v>1</v>
      </c>
      <c r="H309" s="363"/>
      <c r="I309" s="580"/>
      <c r="J309" s="365"/>
      <c r="K309" s="580"/>
      <c r="L309" s="366"/>
    </row>
    <row r="310" spans="1:12" ht="33" customHeight="1" x14ac:dyDescent="0.45">
      <c r="A310" s="344" t="s">
        <v>501</v>
      </c>
      <c r="B310" s="345">
        <v>0.28819444444444442</v>
      </c>
      <c r="C310" s="345" t="s">
        <v>378</v>
      </c>
      <c r="D310" s="304" t="s">
        <v>700</v>
      </c>
      <c r="E310" s="377" t="s">
        <v>504</v>
      </c>
      <c r="F310" s="367"/>
      <c r="G310" s="368">
        <v>1</v>
      </c>
      <c r="H310" s="368"/>
      <c r="I310" s="370"/>
      <c r="J310" s="370"/>
      <c r="K310" s="367"/>
      <c r="L310" s="370"/>
    </row>
    <row r="311" spans="1:12" ht="33" customHeight="1" x14ac:dyDescent="0.45">
      <c r="A311" s="344" t="s">
        <v>376</v>
      </c>
      <c r="B311" s="345">
        <v>0.3263888888888889</v>
      </c>
      <c r="C311" s="345" t="s">
        <v>378</v>
      </c>
      <c r="D311" s="304" t="s">
        <v>700</v>
      </c>
      <c r="E311" s="377" t="s">
        <v>504</v>
      </c>
      <c r="F311" s="367"/>
      <c r="G311" s="368">
        <v>1</v>
      </c>
      <c r="H311" s="368"/>
      <c r="I311" s="370"/>
      <c r="J311" s="370"/>
      <c r="K311" s="367"/>
      <c r="L311" s="370"/>
    </row>
    <row r="312" spans="1:12" ht="33" customHeight="1" x14ac:dyDescent="0.45">
      <c r="A312" s="344" t="s">
        <v>376</v>
      </c>
      <c r="B312" s="303">
        <v>0.58333333333333337</v>
      </c>
      <c r="C312" s="303" t="s">
        <v>378</v>
      </c>
      <c r="D312" s="304" t="s">
        <v>700</v>
      </c>
      <c r="E312" s="377" t="s">
        <v>503</v>
      </c>
      <c r="F312" s="367"/>
      <c r="G312" s="368">
        <v>1</v>
      </c>
      <c r="H312" s="368"/>
      <c r="I312" s="370"/>
      <c r="J312" s="370"/>
      <c r="K312" s="367"/>
      <c r="L312" s="370"/>
    </row>
    <row r="313" spans="1:12" ht="33" customHeight="1" x14ac:dyDescent="0.45">
      <c r="A313" s="344" t="s">
        <v>376</v>
      </c>
      <c r="B313" s="303">
        <v>0.61458333333333337</v>
      </c>
      <c r="C313" s="303" t="s">
        <v>378</v>
      </c>
      <c r="D313" s="304" t="s">
        <v>700</v>
      </c>
      <c r="E313" s="377" t="s">
        <v>503</v>
      </c>
      <c r="F313" s="367"/>
      <c r="G313" s="368">
        <v>1</v>
      </c>
      <c r="H313" s="368"/>
      <c r="I313" s="370"/>
      <c r="J313" s="370"/>
      <c r="K313" s="367"/>
      <c r="L313" s="370"/>
    </row>
    <row r="314" spans="1:12" ht="33" customHeight="1" x14ac:dyDescent="0.45">
      <c r="A314" s="344" t="s">
        <v>376</v>
      </c>
      <c r="B314" s="303">
        <v>0.63888888888888884</v>
      </c>
      <c r="C314" s="303" t="s">
        <v>378</v>
      </c>
      <c r="D314" s="304" t="s">
        <v>700</v>
      </c>
      <c r="E314" s="377" t="s">
        <v>503</v>
      </c>
      <c r="F314" s="367"/>
      <c r="G314" s="368">
        <v>1</v>
      </c>
      <c r="H314" s="368"/>
      <c r="I314" s="370"/>
      <c r="J314" s="370"/>
      <c r="K314" s="367"/>
      <c r="L314" s="370"/>
    </row>
    <row r="315" spans="1:12" ht="33" customHeight="1" x14ac:dyDescent="0.45">
      <c r="A315" s="344" t="s">
        <v>501</v>
      </c>
      <c r="B315" s="303">
        <v>0.76041666666666663</v>
      </c>
      <c r="C315" s="303" t="s">
        <v>378</v>
      </c>
      <c r="D315" s="304" t="s">
        <v>700</v>
      </c>
      <c r="E315" s="377" t="s">
        <v>504</v>
      </c>
      <c r="F315" s="367"/>
      <c r="G315" s="368">
        <v>1</v>
      </c>
      <c r="H315" s="368"/>
      <c r="I315" s="370"/>
      <c r="J315" s="370"/>
      <c r="K315" s="367"/>
      <c r="L315" s="370"/>
    </row>
    <row r="316" spans="1:12" ht="33" customHeight="1" x14ac:dyDescent="0.45">
      <c r="A316" s="344" t="s">
        <v>376</v>
      </c>
      <c r="B316" s="303">
        <v>0.78125</v>
      </c>
      <c r="C316" s="303" t="s">
        <v>378</v>
      </c>
      <c r="D316" s="304" t="s">
        <v>700</v>
      </c>
      <c r="E316" s="377" t="s">
        <v>503</v>
      </c>
      <c r="F316" s="367"/>
      <c r="G316" s="368">
        <v>1</v>
      </c>
      <c r="H316" s="368"/>
      <c r="I316" s="370"/>
      <c r="J316" s="370"/>
      <c r="K316" s="367"/>
      <c r="L316" s="370"/>
    </row>
    <row r="317" spans="1:12" ht="33" customHeight="1" x14ac:dyDescent="0.45">
      <c r="A317" s="601" t="s">
        <v>663</v>
      </c>
      <c r="B317" s="303">
        <v>0.80902777777777779</v>
      </c>
      <c r="C317" s="303" t="s">
        <v>378</v>
      </c>
      <c r="D317" s="304" t="s">
        <v>700</v>
      </c>
      <c r="E317" s="304" t="s">
        <v>688</v>
      </c>
      <c r="F317" s="305"/>
      <c r="G317" s="306">
        <v>1</v>
      </c>
      <c r="H317" s="306"/>
      <c r="I317" s="306"/>
      <c r="J317" s="297"/>
      <c r="K317" s="305"/>
      <c r="L317" s="297"/>
    </row>
    <row r="318" spans="1:12" ht="33" customHeight="1" x14ac:dyDescent="0.45">
      <c r="A318" s="601" t="s">
        <v>336</v>
      </c>
      <c r="B318" s="303"/>
      <c r="C318" s="303" t="s">
        <v>660</v>
      </c>
      <c r="D318" s="304"/>
      <c r="E318" s="304"/>
      <c r="F318" s="305"/>
      <c r="G318" s="306"/>
      <c r="H318" s="306"/>
      <c r="I318" s="306"/>
      <c r="J318" s="297"/>
      <c r="K318" s="305"/>
      <c r="L318" s="297"/>
    </row>
    <row r="319" spans="1:12" ht="33" customHeight="1" x14ac:dyDescent="0.45">
      <c r="A319" s="601" t="s">
        <v>336</v>
      </c>
      <c r="B319" s="303"/>
      <c r="C319" s="303" t="s">
        <v>660</v>
      </c>
      <c r="D319" s="304"/>
      <c r="E319" s="304"/>
      <c r="F319" s="305"/>
      <c r="G319" s="306"/>
      <c r="H319" s="306"/>
      <c r="I319" s="306"/>
      <c r="J319" s="297"/>
      <c r="K319" s="305"/>
      <c r="L319" s="297"/>
    </row>
    <row r="320" spans="1:12" ht="33" customHeight="1" x14ac:dyDescent="0.45">
      <c r="A320" s="601" t="s">
        <v>336</v>
      </c>
      <c r="B320" s="303"/>
      <c r="C320" s="303" t="s">
        <v>660</v>
      </c>
      <c r="D320" s="304"/>
      <c r="E320" s="304"/>
      <c r="F320" s="305"/>
      <c r="G320" s="306"/>
      <c r="H320" s="306"/>
      <c r="I320" s="306"/>
      <c r="J320" s="297"/>
      <c r="K320" s="305"/>
      <c r="L320" s="297"/>
    </row>
    <row r="321" spans="1:12" ht="33" customHeight="1" x14ac:dyDescent="0.45">
      <c r="A321" s="601" t="s">
        <v>336</v>
      </c>
      <c r="B321" s="303"/>
      <c r="C321" s="303" t="s">
        <v>660</v>
      </c>
      <c r="D321" s="304"/>
      <c r="E321" s="304"/>
      <c r="F321" s="305"/>
      <c r="G321" s="306"/>
      <c r="H321" s="306"/>
      <c r="I321" s="306"/>
      <c r="J321" s="297"/>
      <c r="K321" s="305"/>
      <c r="L321" s="297"/>
    </row>
    <row r="322" spans="1:12" ht="33" customHeight="1" x14ac:dyDescent="0.45">
      <c r="C322" s="190" t="s">
        <v>691</v>
      </c>
      <c r="F322" s="137" t="s">
        <v>15</v>
      </c>
    </row>
    <row r="324" spans="1:12" ht="23.25" x14ac:dyDescent="0.45">
      <c r="A324" s="137" t="s">
        <v>18</v>
      </c>
      <c r="B324" s="260" t="s">
        <v>378</v>
      </c>
      <c r="C324" s="241"/>
      <c r="D324" s="241"/>
      <c r="E324" s="241"/>
    </row>
    <row r="325" spans="1:12" ht="21" x14ac:dyDescent="0.45">
      <c r="A325" s="137" t="s">
        <v>13</v>
      </c>
      <c r="B325" s="320" t="s">
        <v>700</v>
      </c>
      <c r="C325" s="254"/>
      <c r="D325" s="254"/>
      <c r="E325" s="598"/>
      <c r="J325" s="600"/>
      <c r="L325" s="607">
        <f>L304+1</f>
        <v>46159</v>
      </c>
    </row>
    <row r="327" spans="1:12" x14ac:dyDescent="0.45">
      <c r="A327" s="141"/>
      <c r="B327" s="142"/>
      <c r="C327" s="142"/>
      <c r="D327" s="142"/>
      <c r="E327" s="142"/>
      <c r="F327" s="142"/>
      <c r="G327" s="142"/>
      <c r="H327" s="142"/>
      <c r="I327" s="142"/>
      <c r="J327" s="319"/>
      <c r="K327" s="319" t="s">
        <v>337</v>
      </c>
      <c r="L327" s="294"/>
    </row>
    <row r="328" spans="1:12" ht="63" x14ac:dyDescent="0.45">
      <c r="A328" s="297" t="s">
        <v>534</v>
      </c>
      <c r="B328" s="298" t="s">
        <v>0</v>
      </c>
      <c r="C328" s="298" t="s">
        <v>332</v>
      </c>
      <c r="D328" s="298" t="s">
        <v>333</v>
      </c>
      <c r="E328" s="298" t="s">
        <v>535</v>
      </c>
      <c r="F328" s="298" t="s">
        <v>1</v>
      </c>
      <c r="G328" s="298" t="s">
        <v>334</v>
      </c>
      <c r="H328" s="298" t="s">
        <v>335</v>
      </c>
      <c r="I328" s="298" t="s">
        <v>23</v>
      </c>
      <c r="J328" s="300" t="s">
        <v>22</v>
      </c>
      <c r="K328" s="298" t="s">
        <v>17</v>
      </c>
      <c r="L328" s="301" t="s">
        <v>12</v>
      </c>
    </row>
    <row r="329" spans="1:12" ht="33" customHeight="1" x14ac:dyDescent="0.45">
      <c r="A329" s="344" t="s">
        <v>501</v>
      </c>
      <c r="B329" s="345">
        <v>0.2326388888888889</v>
      </c>
      <c r="C329" s="345" t="s">
        <v>378</v>
      </c>
      <c r="D329" s="304" t="s">
        <v>700</v>
      </c>
      <c r="E329" s="377" t="s">
        <v>503</v>
      </c>
      <c r="F329" s="580"/>
      <c r="G329" s="368">
        <v>1</v>
      </c>
      <c r="H329" s="363"/>
      <c r="I329" s="580"/>
      <c r="J329" s="365"/>
      <c r="K329" s="580"/>
      <c r="L329" s="366"/>
    </row>
    <row r="330" spans="1:12" ht="33" customHeight="1" x14ac:dyDescent="0.45">
      <c r="A330" s="344" t="s">
        <v>501</v>
      </c>
      <c r="B330" s="345">
        <v>0.27083333333333331</v>
      </c>
      <c r="C330" s="345" t="s">
        <v>378</v>
      </c>
      <c r="D330" s="304" t="s">
        <v>700</v>
      </c>
      <c r="E330" s="377" t="s">
        <v>503</v>
      </c>
      <c r="F330" s="580"/>
      <c r="G330" s="368">
        <v>1</v>
      </c>
      <c r="H330" s="363"/>
      <c r="I330" s="580"/>
      <c r="J330" s="365"/>
      <c r="K330" s="580"/>
      <c r="L330" s="366"/>
    </row>
    <row r="331" spans="1:12" ht="33" customHeight="1" x14ac:dyDescent="0.45">
      <c r="A331" s="344" t="s">
        <v>501</v>
      </c>
      <c r="B331" s="345">
        <v>0.28819444444444442</v>
      </c>
      <c r="C331" s="345" t="s">
        <v>378</v>
      </c>
      <c r="D331" s="304" t="s">
        <v>700</v>
      </c>
      <c r="E331" s="377" t="s">
        <v>504</v>
      </c>
      <c r="F331" s="580"/>
      <c r="G331" s="368">
        <v>1</v>
      </c>
      <c r="H331" s="363"/>
      <c r="I331" s="580"/>
      <c r="J331" s="365"/>
      <c r="K331" s="580"/>
      <c r="L331" s="366"/>
    </row>
    <row r="332" spans="1:12" ht="33" customHeight="1" x14ac:dyDescent="0.45">
      <c r="A332" s="344" t="s">
        <v>376</v>
      </c>
      <c r="B332" s="345">
        <v>0.58333333333333337</v>
      </c>
      <c r="C332" s="345" t="s">
        <v>378</v>
      </c>
      <c r="D332" s="304" t="s">
        <v>700</v>
      </c>
      <c r="E332" s="377" t="s">
        <v>503</v>
      </c>
      <c r="F332" s="367"/>
      <c r="G332" s="368">
        <v>1</v>
      </c>
      <c r="H332" s="368"/>
      <c r="I332" s="370"/>
      <c r="J332" s="370"/>
      <c r="K332" s="367"/>
      <c r="L332" s="370"/>
    </row>
    <row r="333" spans="1:12" ht="33" customHeight="1" x14ac:dyDescent="0.45">
      <c r="A333" s="344" t="s">
        <v>376</v>
      </c>
      <c r="B333" s="345">
        <v>0.61458333333333337</v>
      </c>
      <c r="C333" s="345" t="s">
        <v>378</v>
      </c>
      <c r="D333" s="304" t="s">
        <v>700</v>
      </c>
      <c r="E333" s="377" t="s">
        <v>503</v>
      </c>
      <c r="F333" s="367"/>
      <c r="G333" s="368">
        <v>1</v>
      </c>
      <c r="H333" s="368"/>
      <c r="I333" s="370"/>
      <c r="J333" s="370"/>
      <c r="K333" s="367"/>
      <c r="L333" s="370"/>
    </row>
    <row r="334" spans="1:12" ht="33" customHeight="1" x14ac:dyDescent="0.45">
      <c r="A334" s="344" t="s">
        <v>376</v>
      </c>
      <c r="B334" s="345">
        <v>0.63888888888888884</v>
      </c>
      <c r="C334" s="345" t="s">
        <v>378</v>
      </c>
      <c r="D334" s="304" t="s">
        <v>700</v>
      </c>
      <c r="E334" s="377" t="s">
        <v>503</v>
      </c>
      <c r="F334" s="367"/>
      <c r="G334" s="368">
        <v>1</v>
      </c>
      <c r="H334" s="368"/>
      <c r="I334" s="370"/>
      <c r="J334" s="370"/>
      <c r="K334" s="367"/>
      <c r="L334" s="370"/>
    </row>
    <row r="335" spans="1:12" ht="33" customHeight="1" x14ac:dyDescent="0.45">
      <c r="A335" s="344" t="s">
        <v>336</v>
      </c>
      <c r="B335" s="345"/>
      <c r="C335" s="345" t="s">
        <v>660</v>
      </c>
      <c r="D335" s="304"/>
      <c r="E335" s="377"/>
      <c r="F335" s="367"/>
      <c r="G335" s="368"/>
      <c r="H335" s="368"/>
      <c r="I335" s="370"/>
      <c r="J335" s="370"/>
      <c r="K335" s="367"/>
      <c r="L335" s="370"/>
    </row>
    <row r="336" spans="1:12" ht="33" customHeight="1" x14ac:dyDescent="0.45">
      <c r="A336" s="344" t="s">
        <v>336</v>
      </c>
      <c r="B336" s="345"/>
      <c r="C336" s="345" t="s">
        <v>660</v>
      </c>
      <c r="D336" s="304"/>
      <c r="E336" s="377"/>
      <c r="F336" s="367"/>
      <c r="G336" s="368"/>
      <c r="H336" s="368"/>
      <c r="I336" s="370"/>
      <c r="J336" s="370"/>
      <c r="K336" s="367"/>
      <c r="L336" s="370"/>
    </row>
    <row r="337" spans="1:12" ht="33" customHeight="1" x14ac:dyDescent="0.45">
      <c r="A337" s="344" t="s">
        <v>336</v>
      </c>
      <c r="B337" s="345"/>
      <c r="C337" s="345" t="s">
        <v>660</v>
      </c>
      <c r="D337" s="304"/>
      <c r="E337" s="377"/>
      <c r="F337" s="367"/>
      <c r="G337" s="368"/>
      <c r="H337" s="368"/>
      <c r="I337" s="370"/>
      <c r="J337" s="370"/>
      <c r="K337" s="367"/>
      <c r="L337" s="370"/>
    </row>
    <row r="338" spans="1:12" ht="33" customHeight="1" x14ac:dyDescent="0.45">
      <c r="A338" s="344" t="s">
        <v>336</v>
      </c>
      <c r="B338" s="345"/>
      <c r="C338" s="345" t="s">
        <v>660</v>
      </c>
      <c r="D338" s="304"/>
      <c r="E338" s="377"/>
      <c r="F338" s="367"/>
      <c r="G338" s="368"/>
      <c r="H338" s="368"/>
      <c r="I338" s="370"/>
      <c r="J338" s="370"/>
      <c r="K338" s="367"/>
      <c r="L338" s="370"/>
    </row>
    <row r="339" spans="1:12" ht="33" customHeight="1" x14ac:dyDescent="0.45">
      <c r="A339" s="344" t="s">
        <v>336</v>
      </c>
      <c r="B339" s="345"/>
      <c r="C339" s="345" t="s">
        <v>660</v>
      </c>
      <c r="D339" s="304"/>
      <c r="E339" s="377"/>
      <c r="F339" s="367"/>
      <c r="G339" s="368"/>
      <c r="H339" s="368"/>
      <c r="I339" s="370"/>
      <c r="J339" s="370"/>
      <c r="K339" s="367"/>
      <c r="L339" s="370"/>
    </row>
    <row r="340" spans="1:12" ht="33" customHeight="1" x14ac:dyDescent="0.45">
      <c r="C340" s="190" t="s">
        <v>691</v>
      </c>
      <c r="F340" s="137" t="s">
        <v>15</v>
      </c>
    </row>
    <row r="341" spans="1:12" ht="13.9" customHeight="1" x14ac:dyDescent="0.45"/>
    <row r="342" spans="1:12" ht="23.25" x14ac:dyDescent="0.45">
      <c r="A342" s="137" t="s">
        <v>18</v>
      </c>
      <c r="B342" s="260" t="s">
        <v>378</v>
      </c>
      <c r="C342" s="241"/>
      <c r="D342" s="241"/>
      <c r="E342" s="241"/>
    </row>
    <row r="343" spans="1:12" ht="21" x14ac:dyDescent="0.45">
      <c r="A343" s="137" t="s">
        <v>13</v>
      </c>
      <c r="B343" s="320" t="s">
        <v>700</v>
      </c>
      <c r="C343" s="254"/>
      <c r="D343" s="254"/>
      <c r="E343" s="598"/>
      <c r="J343" s="600"/>
      <c r="L343" s="600">
        <f>L325+1</f>
        <v>46160</v>
      </c>
    </row>
    <row r="345" spans="1:12" x14ac:dyDescent="0.45">
      <c r="A345" s="141"/>
      <c r="B345" s="142"/>
      <c r="C345" s="142"/>
      <c r="D345" s="142"/>
      <c r="E345" s="142"/>
      <c r="F345" s="142"/>
      <c r="G345" s="142"/>
      <c r="H345" s="142"/>
      <c r="I345" s="142"/>
      <c r="J345" s="319"/>
      <c r="K345" s="319" t="s">
        <v>337</v>
      </c>
      <c r="L345" s="294"/>
    </row>
    <row r="346" spans="1:12" ht="63" x14ac:dyDescent="0.45">
      <c r="A346" s="297" t="s">
        <v>534</v>
      </c>
      <c r="B346" s="298" t="s">
        <v>0</v>
      </c>
      <c r="C346" s="298" t="s">
        <v>332</v>
      </c>
      <c r="D346" s="298" t="s">
        <v>333</v>
      </c>
      <c r="E346" s="298" t="s">
        <v>535</v>
      </c>
      <c r="F346" s="298" t="s">
        <v>1</v>
      </c>
      <c r="G346" s="298" t="s">
        <v>334</v>
      </c>
      <c r="H346" s="298" t="s">
        <v>335</v>
      </c>
      <c r="I346" s="298" t="s">
        <v>23</v>
      </c>
      <c r="J346" s="300" t="s">
        <v>22</v>
      </c>
      <c r="K346" s="298" t="s">
        <v>17</v>
      </c>
      <c r="L346" s="301" t="s">
        <v>12</v>
      </c>
    </row>
    <row r="347" spans="1:12" ht="33.4" customHeight="1" x14ac:dyDescent="0.45">
      <c r="A347" s="344" t="s">
        <v>501</v>
      </c>
      <c r="B347" s="345">
        <v>0.2326388888888889</v>
      </c>
      <c r="C347" s="345" t="s">
        <v>378</v>
      </c>
      <c r="D347" s="304" t="s">
        <v>700</v>
      </c>
      <c r="E347" s="377" t="s">
        <v>503</v>
      </c>
      <c r="F347" s="580"/>
      <c r="G347" s="368">
        <v>1</v>
      </c>
      <c r="H347" s="363"/>
      <c r="I347" s="580"/>
      <c r="J347" s="365"/>
      <c r="K347" s="580"/>
      <c r="L347" s="366"/>
    </row>
    <row r="348" spans="1:12" ht="33.4" customHeight="1" x14ac:dyDescent="0.45">
      <c r="A348" s="344" t="s">
        <v>501</v>
      </c>
      <c r="B348" s="345">
        <v>0.27083333333333331</v>
      </c>
      <c r="C348" s="345" t="s">
        <v>378</v>
      </c>
      <c r="D348" s="304" t="s">
        <v>700</v>
      </c>
      <c r="E348" s="377" t="s">
        <v>503</v>
      </c>
      <c r="F348" s="580"/>
      <c r="G348" s="368">
        <v>1</v>
      </c>
      <c r="H348" s="363"/>
      <c r="I348" s="580"/>
      <c r="J348" s="365"/>
      <c r="K348" s="580"/>
      <c r="L348" s="366"/>
    </row>
    <row r="349" spans="1:12" ht="33.4" customHeight="1" x14ac:dyDescent="0.45">
      <c r="A349" s="344" t="s">
        <v>501</v>
      </c>
      <c r="B349" s="345">
        <v>0.28819444444444442</v>
      </c>
      <c r="C349" s="345" t="s">
        <v>378</v>
      </c>
      <c r="D349" s="304" t="s">
        <v>700</v>
      </c>
      <c r="E349" s="377" t="s">
        <v>504</v>
      </c>
      <c r="F349" s="367"/>
      <c r="G349" s="368">
        <v>1</v>
      </c>
      <c r="H349" s="368"/>
      <c r="I349" s="370"/>
      <c r="J349" s="370"/>
      <c r="K349" s="367"/>
      <c r="L349" s="370"/>
    </row>
    <row r="350" spans="1:12" ht="33.4" customHeight="1" x14ac:dyDescent="0.45">
      <c r="A350" s="344" t="s">
        <v>376</v>
      </c>
      <c r="B350" s="345">
        <v>0.3263888888888889</v>
      </c>
      <c r="C350" s="345" t="s">
        <v>378</v>
      </c>
      <c r="D350" s="304" t="s">
        <v>700</v>
      </c>
      <c r="E350" s="377" t="s">
        <v>504</v>
      </c>
      <c r="F350" s="367"/>
      <c r="G350" s="368">
        <v>1</v>
      </c>
      <c r="H350" s="368"/>
      <c r="I350" s="370"/>
      <c r="J350" s="370"/>
      <c r="K350" s="367"/>
      <c r="L350" s="370"/>
    </row>
    <row r="351" spans="1:12" ht="33.4" customHeight="1" x14ac:dyDescent="0.45">
      <c r="A351" s="344" t="s">
        <v>376</v>
      </c>
      <c r="B351" s="303">
        <v>0.58333333333333337</v>
      </c>
      <c r="C351" s="303" t="s">
        <v>378</v>
      </c>
      <c r="D351" s="304" t="s">
        <v>700</v>
      </c>
      <c r="E351" s="377" t="s">
        <v>503</v>
      </c>
      <c r="F351" s="367"/>
      <c r="G351" s="368">
        <v>1</v>
      </c>
      <c r="H351" s="368"/>
      <c r="I351" s="370"/>
      <c r="J351" s="370"/>
      <c r="K351" s="367"/>
      <c r="L351" s="370"/>
    </row>
    <row r="352" spans="1:12" ht="33.4" customHeight="1" x14ac:dyDescent="0.45">
      <c r="A352" s="344" t="s">
        <v>376</v>
      </c>
      <c r="B352" s="303">
        <v>0.61458333333333337</v>
      </c>
      <c r="C352" s="303" t="s">
        <v>378</v>
      </c>
      <c r="D352" s="304" t="s">
        <v>700</v>
      </c>
      <c r="E352" s="377" t="s">
        <v>503</v>
      </c>
      <c r="F352" s="367"/>
      <c r="G352" s="368">
        <v>1</v>
      </c>
      <c r="H352" s="368"/>
      <c r="I352" s="370"/>
      <c r="J352" s="370"/>
      <c r="K352" s="367"/>
      <c r="L352" s="370"/>
    </row>
    <row r="353" spans="1:12" ht="33.4" customHeight="1" x14ac:dyDescent="0.45">
      <c r="A353" s="344" t="s">
        <v>376</v>
      </c>
      <c r="B353" s="303">
        <v>0.63888888888888884</v>
      </c>
      <c r="C353" s="303" t="s">
        <v>378</v>
      </c>
      <c r="D353" s="304" t="s">
        <v>700</v>
      </c>
      <c r="E353" s="377" t="s">
        <v>503</v>
      </c>
      <c r="F353" s="367"/>
      <c r="G353" s="368">
        <v>1</v>
      </c>
      <c r="H353" s="368"/>
      <c r="I353" s="370"/>
      <c r="J353" s="370"/>
      <c r="K353" s="367"/>
      <c r="L353" s="370"/>
    </row>
    <row r="354" spans="1:12" ht="33.4" customHeight="1" x14ac:dyDescent="0.45">
      <c r="A354" s="344" t="s">
        <v>501</v>
      </c>
      <c r="B354" s="303">
        <v>0.76041666666666663</v>
      </c>
      <c r="C354" s="303" t="s">
        <v>378</v>
      </c>
      <c r="D354" s="304" t="s">
        <v>700</v>
      </c>
      <c r="E354" s="377" t="s">
        <v>504</v>
      </c>
      <c r="F354" s="367"/>
      <c r="G354" s="368">
        <v>1</v>
      </c>
      <c r="H354" s="368"/>
      <c r="I354" s="370"/>
      <c r="J354" s="370"/>
      <c r="K354" s="367"/>
      <c r="L354" s="370"/>
    </row>
    <row r="355" spans="1:12" ht="33.4" customHeight="1" x14ac:dyDescent="0.45">
      <c r="A355" s="344" t="s">
        <v>376</v>
      </c>
      <c r="B355" s="303">
        <v>0.78125</v>
      </c>
      <c r="C355" s="303" t="s">
        <v>378</v>
      </c>
      <c r="D355" s="304" t="s">
        <v>700</v>
      </c>
      <c r="E355" s="377" t="s">
        <v>503</v>
      </c>
      <c r="F355" s="367"/>
      <c r="G355" s="368">
        <v>1</v>
      </c>
      <c r="H355" s="368"/>
      <c r="I355" s="370"/>
      <c r="J355" s="370"/>
      <c r="K355" s="367"/>
      <c r="L355" s="370"/>
    </row>
    <row r="356" spans="1:12" ht="33.4" customHeight="1" x14ac:dyDescent="0.45">
      <c r="A356" s="601" t="s">
        <v>663</v>
      </c>
      <c r="B356" s="303">
        <v>0.80902777777777779</v>
      </c>
      <c r="C356" s="303" t="s">
        <v>378</v>
      </c>
      <c r="D356" s="304" t="s">
        <v>700</v>
      </c>
      <c r="E356" s="304" t="s">
        <v>688</v>
      </c>
      <c r="F356" s="305"/>
      <c r="G356" s="306">
        <v>1</v>
      </c>
      <c r="H356" s="306"/>
      <c r="I356" s="306"/>
      <c r="J356" s="297"/>
      <c r="K356" s="305"/>
      <c r="L356" s="297"/>
    </row>
    <row r="357" spans="1:12" ht="33.4" customHeight="1" x14ac:dyDescent="0.45">
      <c r="A357" s="601" t="s">
        <v>336</v>
      </c>
      <c r="B357" s="303"/>
      <c r="C357" s="303" t="s">
        <v>660</v>
      </c>
      <c r="D357" s="304"/>
      <c r="E357" s="304"/>
      <c r="F357" s="305"/>
      <c r="G357" s="306"/>
      <c r="H357" s="306"/>
      <c r="I357" s="306"/>
      <c r="J357" s="297"/>
      <c r="K357" s="305"/>
      <c r="L357" s="297"/>
    </row>
    <row r="358" spans="1:12" ht="33.4" customHeight="1" x14ac:dyDescent="0.45">
      <c r="A358" s="601" t="s">
        <v>336</v>
      </c>
      <c r="B358" s="303"/>
      <c r="C358" s="303" t="s">
        <v>660</v>
      </c>
      <c r="D358" s="304"/>
      <c r="E358" s="304"/>
      <c r="F358" s="305"/>
      <c r="G358" s="306"/>
      <c r="H358" s="306"/>
      <c r="I358" s="306"/>
      <c r="J358" s="297"/>
      <c r="K358" s="305"/>
      <c r="L358" s="297"/>
    </row>
    <row r="359" spans="1:12" ht="33.4" customHeight="1" x14ac:dyDescent="0.45">
      <c r="A359" s="601" t="s">
        <v>336</v>
      </c>
      <c r="B359" s="303"/>
      <c r="C359" s="303" t="s">
        <v>660</v>
      </c>
      <c r="D359" s="304"/>
      <c r="E359" s="304"/>
      <c r="F359" s="305"/>
      <c r="G359" s="306"/>
      <c r="H359" s="306"/>
      <c r="I359" s="306"/>
      <c r="J359" s="297"/>
      <c r="K359" s="305"/>
      <c r="L359" s="297"/>
    </row>
    <row r="360" spans="1:12" ht="33.4" customHeight="1" x14ac:dyDescent="0.45">
      <c r="A360" s="601" t="s">
        <v>336</v>
      </c>
      <c r="B360" s="303"/>
      <c r="C360" s="303" t="s">
        <v>660</v>
      </c>
      <c r="D360" s="304"/>
      <c r="E360" s="304"/>
      <c r="F360" s="305"/>
      <c r="G360" s="306"/>
      <c r="H360" s="306"/>
      <c r="I360" s="306"/>
      <c r="J360" s="297"/>
      <c r="K360" s="305"/>
      <c r="L360" s="297"/>
    </row>
    <row r="361" spans="1:12" ht="33.4" customHeight="1" x14ac:dyDescent="0.45">
      <c r="C361" s="190" t="s">
        <v>691</v>
      </c>
      <c r="F361" s="137" t="s">
        <v>15</v>
      </c>
    </row>
    <row r="363" spans="1:12" ht="23.25" x14ac:dyDescent="0.45">
      <c r="A363" s="137" t="s">
        <v>18</v>
      </c>
      <c r="B363" s="260" t="s">
        <v>378</v>
      </c>
      <c r="C363" s="241"/>
      <c r="D363" s="241"/>
      <c r="E363" s="241"/>
      <c r="L363" s="600">
        <f>L343+1</f>
        <v>46161</v>
      </c>
    </row>
    <row r="364" spans="1:12" ht="21" x14ac:dyDescent="0.45">
      <c r="A364" s="137" t="s">
        <v>13</v>
      </c>
      <c r="B364" s="320" t="s">
        <v>700</v>
      </c>
      <c r="C364" s="254"/>
      <c r="D364" s="254"/>
      <c r="E364" s="598"/>
      <c r="J364" s="600"/>
      <c r="L364" s="600"/>
    </row>
    <row r="366" spans="1:12" x14ac:dyDescent="0.45">
      <c r="A366" s="141"/>
      <c r="B366" s="142"/>
      <c r="C366" s="142"/>
      <c r="D366" s="142"/>
      <c r="E366" s="142"/>
      <c r="F366" s="142"/>
      <c r="G366" s="142"/>
      <c r="H366" s="142"/>
      <c r="I366" s="142"/>
      <c r="J366" s="319"/>
      <c r="K366" s="319" t="s">
        <v>337</v>
      </c>
      <c r="L366" s="294"/>
    </row>
    <row r="367" spans="1:12" ht="63" x14ac:dyDescent="0.45">
      <c r="A367" s="297" t="s">
        <v>534</v>
      </c>
      <c r="B367" s="298" t="s">
        <v>0</v>
      </c>
      <c r="C367" s="298" t="s">
        <v>332</v>
      </c>
      <c r="D367" s="298" t="s">
        <v>333</v>
      </c>
      <c r="E367" s="298" t="s">
        <v>535</v>
      </c>
      <c r="F367" s="298" t="s">
        <v>1</v>
      </c>
      <c r="G367" s="298" t="s">
        <v>334</v>
      </c>
      <c r="H367" s="298" t="s">
        <v>335</v>
      </c>
      <c r="I367" s="298" t="s">
        <v>23</v>
      </c>
      <c r="J367" s="300" t="s">
        <v>22</v>
      </c>
      <c r="K367" s="298" t="s">
        <v>17</v>
      </c>
      <c r="L367" s="301" t="s">
        <v>12</v>
      </c>
    </row>
    <row r="368" spans="1:12" ht="33" customHeight="1" x14ac:dyDescent="0.45">
      <c r="A368" s="344" t="s">
        <v>501</v>
      </c>
      <c r="B368" s="345">
        <v>0.2326388888888889</v>
      </c>
      <c r="C368" s="345" t="s">
        <v>378</v>
      </c>
      <c r="D368" s="304" t="s">
        <v>700</v>
      </c>
      <c r="E368" s="377" t="s">
        <v>503</v>
      </c>
      <c r="F368" s="580"/>
      <c r="G368" s="368">
        <v>1</v>
      </c>
      <c r="H368" s="363"/>
      <c r="I368" s="580"/>
      <c r="J368" s="365"/>
      <c r="K368" s="580"/>
      <c r="L368" s="366"/>
    </row>
    <row r="369" spans="1:12" ht="33" customHeight="1" x14ac:dyDescent="0.45">
      <c r="A369" s="344" t="s">
        <v>501</v>
      </c>
      <c r="B369" s="345">
        <v>0.27083333333333331</v>
      </c>
      <c r="C369" s="345" t="s">
        <v>378</v>
      </c>
      <c r="D369" s="304" t="s">
        <v>700</v>
      </c>
      <c r="E369" s="377" t="s">
        <v>503</v>
      </c>
      <c r="F369" s="580"/>
      <c r="G369" s="368">
        <v>1</v>
      </c>
      <c r="H369" s="363"/>
      <c r="I369" s="580"/>
      <c r="J369" s="365"/>
      <c r="K369" s="580"/>
      <c r="L369" s="366"/>
    </row>
    <row r="370" spans="1:12" ht="33" customHeight="1" x14ac:dyDescent="0.45">
      <c r="A370" s="344" t="s">
        <v>501</v>
      </c>
      <c r="B370" s="345">
        <v>0.28819444444444442</v>
      </c>
      <c r="C370" s="345" t="s">
        <v>378</v>
      </c>
      <c r="D370" s="304" t="s">
        <v>700</v>
      </c>
      <c r="E370" s="377" t="s">
        <v>504</v>
      </c>
      <c r="F370" s="367"/>
      <c r="G370" s="368">
        <v>1</v>
      </c>
      <c r="H370" s="368"/>
      <c r="I370" s="370"/>
      <c r="J370" s="370"/>
      <c r="K370" s="367"/>
      <c r="L370" s="370"/>
    </row>
    <row r="371" spans="1:12" ht="33" customHeight="1" x14ac:dyDescent="0.45">
      <c r="A371" s="344" t="s">
        <v>376</v>
      </c>
      <c r="B371" s="345">
        <v>0.3263888888888889</v>
      </c>
      <c r="C371" s="345" t="s">
        <v>378</v>
      </c>
      <c r="D371" s="304" t="s">
        <v>700</v>
      </c>
      <c r="E371" s="377" t="s">
        <v>504</v>
      </c>
      <c r="F371" s="367"/>
      <c r="G371" s="368">
        <v>1</v>
      </c>
      <c r="H371" s="368"/>
      <c r="I371" s="370"/>
      <c r="J371" s="370"/>
      <c r="K371" s="367"/>
      <c r="L371" s="370"/>
    </row>
    <row r="372" spans="1:12" ht="33" customHeight="1" x14ac:dyDescent="0.45">
      <c r="A372" s="344" t="s">
        <v>376</v>
      </c>
      <c r="B372" s="303">
        <v>0.58333333333333337</v>
      </c>
      <c r="C372" s="303" t="s">
        <v>378</v>
      </c>
      <c r="D372" s="304" t="s">
        <v>700</v>
      </c>
      <c r="E372" s="377" t="s">
        <v>503</v>
      </c>
      <c r="F372" s="367"/>
      <c r="G372" s="368">
        <v>1</v>
      </c>
      <c r="H372" s="368"/>
      <c r="I372" s="370"/>
      <c r="J372" s="370"/>
      <c r="K372" s="367"/>
      <c r="L372" s="370"/>
    </row>
    <row r="373" spans="1:12" ht="33" customHeight="1" x14ac:dyDescent="0.45">
      <c r="A373" s="344" t="s">
        <v>376</v>
      </c>
      <c r="B373" s="303">
        <v>0.61458333333333337</v>
      </c>
      <c r="C373" s="303" t="s">
        <v>378</v>
      </c>
      <c r="D373" s="304" t="s">
        <v>700</v>
      </c>
      <c r="E373" s="377" t="s">
        <v>503</v>
      </c>
      <c r="F373" s="367"/>
      <c r="G373" s="368">
        <v>1</v>
      </c>
      <c r="H373" s="368"/>
      <c r="I373" s="370"/>
      <c r="J373" s="370"/>
      <c r="K373" s="367"/>
      <c r="L373" s="370"/>
    </row>
    <row r="374" spans="1:12" ht="33" customHeight="1" x14ac:dyDescent="0.45">
      <c r="A374" s="344" t="s">
        <v>376</v>
      </c>
      <c r="B374" s="303">
        <v>0.63888888888888884</v>
      </c>
      <c r="C374" s="303" t="s">
        <v>378</v>
      </c>
      <c r="D374" s="304" t="s">
        <v>700</v>
      </c>
      <c r="E374" s="377" t="s">
        <v>503</v>
      </c>
      <c r="F374" s="367"/>
      <c r="G374" s="368">
        <v>1</v>
      </c>
      <c r="H374" s="368"/>
      <c r="I374" s="370"/>
      <c r="J374" s="370"/>
      <c r="K374" s="367"/>
      <c r="L374" s="370"/>
    </row>
    <row r="375" spans="1:12" ht="33" customHeight="1" x14ac:dyDescent="0.45">
      <c r="A375" s="344" t="s">
        <v>501</v>
      </c>
      <c r="B375" s="303">
        <v>0.76041666666666663</v>
      </c>
      <c r="C375" s="303" t="s">
        <v>378</v>
      </c>
      <c r="D375" s="304" t="s">
        <v>700</v>
      </c>
      <c r="E375" s="377" t="s">
        <v>504</v>
      </c>
      <c r="F375" s="367"/>
      <c r="G375" s="368">
        <v>1</v>
      </c>
      <c r="H375" s="368"/>
      <c r="I375" s="370"/>
      <c r="J375" s="370"/>
      <c r="K375" s="367"/>
      <c r="L375" s="370"/>
    </row>
    <row r="376" spans="1:12" ht="33" customHeight="1" x14ac:dyDescent="0.45">
      <c r="A376" s="344" t="s">
        <v>376</v>
      </c>
      <c r="B376" s="303">
        <v>0.78125</v>
      </c>
      <c r="C376" s="303" t="s">
        <v>378</v>
      </c>
      <c r="D376" s="304" t="s">
        <v>700</v>
      </c>
      <c r="E376" s="377" t="s">
        <v>503</v>
      </c>
      <c r="F376" s="367"/>
      <c r="G376" s="368">
        <v>1</v>
      </c>
      <c r="H376" s="368"/>
      <c r="I376" s="370"/>
      <c r="J376" s="370"/>
      <c r="K376" s="367"/>
      <c r="L376" s="370"/>
    </row>
    <row r="377" spans="1:12" ht="33" customHeight="1" x14ac:dyDescent="0.45">
      <c r="A377" s="601" t="s">
        <v>663</v>
      </c>
      <c r="B377" s="303">
        <v>0.80902777777777779</v>
      </c>
      <c r="C377" s="303" t="s">
        <v>378</v>
      </c>
      <c r="D377" s="304" t="s">
        <v>700</v>
      </c>
      <c r="E377" s="304" t="s">
        <v>688</v>
      </c>
      <c r="F377" s="305"/>
      <c r="G377" s="306">
        <v>1</v>
      </c>
      <c r="H377" s="306"/>
      <c r="I377" s="306"/>
      <c r="J377" s="297"/>
      <c r="K377" s="305"/>
      <c r="L377" s="297"/>
    </row>
    <row r="378" spans="1:12" ht="33" customHeight="1" x14ac:dyDescent="0.45">
      <c r="A378" s="601" t="s">
        <v>336</v>
      </c>
      <c r="B378" s="303"/>
      <c r="C378" s="303" t="s">
        <v>660</v>
      </c>
      <c r="D378" s="304"/>
      <c r="E378" s="304"/>
      <c r="F378" s="305"/>
      <c r="G378" s="306"/>
      <c r="H378" s="306"/>
      <c r="I378" s="306"/>
      <c r="J378" s="297"/>
      <c r="K378" s="305"/>
      <c r="L378" s="297"/>
    </row>
    <row r="379" spans="1:12" ht="33" customHeight="1" x14ac:dyDescent="0.45">
      <c r="A379" s="601" t="s">
        <v>336</v>
      </c>
      <c r="B379" s="303"/>
      <c r="C379" s="303" t="s">
        <v>660</v>
      </c>
      <c r="D379" s="304"/>
      <c r="E379" s="304"/>
      <c r="F379" s="305"/>
      <c r="G379" s="306"/>
      <c r="H379" s="306"/>
      <c r="I379" s="306"/>
      <c r="J379" s="297"/>
      <c r="K379" s="305"/>
      <c r="L379" s="297"/>
    </row>
    <row r="380" spans="1:12" ht="21" x14ac:dyDescent="0.45">
      <c r="A380" s="601" t="s">
        <v>336</v>
      </c>
      <c r="B380" s="303"/>
      <c r="C380" s="303" t="s">
        <v>660</v>
      </c>
      <c r="D380" s="304"/>
      <c r="E380" s="304"/>
      <c r="F380" s="305"/>
      <c r="G380" s="306"/>
      <c r="H380" s="306"/>
      <c r="I380" s="306"/>
      <c r="J380" s="297"/>
      <c r="K380" s="305"/>
      <c r="L380" s="297"/>
    </row>
    <row r="381" spans="1:12" ht="21" x14ac:dyDescent="0.45">
      <c r="A381" s="601" t="s">
        <v>336</v>
      </c>
      <c r="B381" s="303"/>
      <c r="C381" s="303" t="s">
        <v>660</v>
      </c>
      <c r="D381" s="304"/>
      <c r="E381" s="304"/>
      <c r="F381" s="305"/>
      <c r="G381" s="306"/>
      <c r="H381" s="306"/>
      <c r="I381" s="306"/>
      <c r="J381" s="297"/>
      <c r="K381" s="305"/>
      <c r="L381" s="297"/>
    </row>
    <row r="382" spans="1:12" x14ac:dyDescent="0.45">
      <c r="C382" s="190" t="s">
        <v>691</v>
      </c>
      <c r="F382" s="137" t="s">
        <v>15</v>
      </c>
    </row>
    <row r="385" spans="1:12" ht="23.25" x14ac:dyDescent="0.45">
      <c r="A385" s="137" t="s">
        <v>18</v>
      </c>
      <c r="B385" s="260" t="s">
        <v>378</v>
      </c>
      <c r="C385" s="241"/>
      <c r="D385" s="241"/>
      <c r="E385" s="241"/>
    </row>
    <row r="386" spans="1:12" ht="21" x14ac:dyDescent="0.45">
      <c r="A386" s="137" t="s">
        <v>13</v>
      </c>
      <c r="B386" s="320" t="s">
        <v>700</v>
      </c>
      <c r="C386" s="254"/>
      <c r="D386" s="254"/>
      <c r="E386" s="598"/>
      <c r="J386" s="600"/>
      <c r="L386" s="600">
        <f>L363+1</f>
        <v>46162</v>
      </c>
    </row>
    <row r="388" spans="1:12" x14ac:dyDescent="0.45">
      <c r="A388" s="141"/>
      <c r="B388" s="142"/>
      <c r="C388" s="142"/>
      <c r="D388" s="142"/>
      <c r="E388" s="142"/>
      <c r="F388" s="142"/>
      <c r="G388" s="142"/>
      <c r="H388" s="142"/>
      <c r="I388" s="142"/>
      <c r="J388" s="319"/>
      <c r="K388" s="319" t="s">
        <v>337</v>
      </c>
      <c r="L388" s="294"/>
    </row>
    <row r="389" spans="1:12" ht="63" x14ac:dyDescent="0.45">
      <c r="A389" s="297" t="s">
        <v>534</v>
      </c>
      <c r="B389" s="298" t="s">
        <v>0</v>
      </c>
      <c r="C389" s="298" t="s">
        <v>332</v>
      </c>
      <c r="D389" s="298" t="s">
        <v>333</v>
      </c>
      <c r="E389" s="298" t="s">
        <v>535</v>
      </c>
      <c r="F389" s="298" t="s">
        <v>1</v>
      </c>
      <c r="G389" s="298" t="s">
        <v>334</v>
      </c>
      <c r="H389" s="298" t="s">
        <v>335</v>
      </c>
      <c r="I389" s="298" t="s">
        <v>23</v>
      </c>
      <c r="J389" s="300" t="s">
        <v>22</v>
      </c>
      <c r="K389" s="298" t="s">
        <v>17</v>
      </c>
      <c r="L389" s="301" t="s">
        <v>12</v>
      </c>
    </row>
    <row r="390" spans="1:12" ht="33" customHeight="1" x14ac:dyDescent="0.45">
      <c r="A390" s="344" t="s">
        <v>501</v>
      </c>
      <c r="B390" s="345">
        <v>0.2326388888888889</v>
      </c>
      <c r="C390" s="345" t="s">
        <v>378</v>
      </c>
      <c r="D390" s="304" t="s">
        <v>700</v>
      </c>
      <c r="E390" s="377" t="s">
        <v>503</v>
      </c>
      <c r="F390" s="580"/>
      <c r="G390" s="368">
        <v>1</v>
      </c>
      <c r="H390" s="363"/>
      <c r="I390" s="580"/>
      <c r="J390" s="365"/>
      <c r="K390" s="580"/>
      <c r="L390" s="366"/>
    </row>
    <row r="391" spans="1:12" ht="33" customHeight="1" x14ac:dyDescent="0.45">
      <c r="A391" s="344" t="s">
        <v>501</v>
      </c>
      <c r="B391" s="345">
        <v>0.27083333333333331</v>
      </c>
      <c r="C391" s="345" t="s">
        <v>378</v>
      </c>
      <c r="D391" s="304" t="s">
        <v>700</v>
      </c>
      <c r="E391" s="377" t="s">
        <v>503</v>
      </c>
      <c r="F391" s="580"/>
      <c r="G391" s="368">
        <v>1</v>
      </c>
      <c r="H391" s="363"/>
      <c r="I391" s="580"/>
      <c r="J391" s="365"/>
      <c r="K391" s="580"/>
      <c r="L391" s="366"/>
    </row>
    <row r="392" spans="1:12" ht="33" customHeight="1" x14ac:dyDescent="0.45">
      <c r="A392" s="344" t="s">
        <v>501</v>
      </c>
      <c r="B392" s="345">
        <v>0.28819444444444442</v>
      </c>
      <c r="C392" s="345" t="s">
        <v>378</v>
      </c>
      <c r="D392" s="304" t="s">
        <v>700</v>
      </c>
      <c r="E392" s="377" t="s">
        <v>504</v>
      </c>
      <c r="F392" s="367"/>
      <c r="G392" s="368">
        <v>1</v>
      </c>
      <c r="H392" s="368"/>
      <c r="I392" s="370"/>
      <c r="J392" s="370"/>
      <c r="K392" s="367"/>
      <c r="L392" s="370"/>
    </row>
    <row r="393" spans="1:12" ht="33" customHeight="1" x14ac:dyDescent="0.45">
      <c r="A393" s="344" t="s">
        <v>376</v>
      </c>
      <c r="B393" s="345">
        <v>0.3263888888888889</v>
      </c>
      <c r="C393" s="345" t="s">
        <v>378</v>
      </c>
      <c r="D393" s="304" t="s">
        <v>700</v>
      </c>
      <c r="E393" s="377" t="s">
        <v>504</v>
      </c>
      <c r="F393" s="367"/>
      <c r="G393" s="368">
        <v>1</v>
      </c>
      <c r="H393" s="368"/>
      <c r="I393" s="370"/>
      <c r="J393" s="370"/>
      <c r="K393" s="367"/>
      <c r="L393" s="370"/>
    </row>
    <row r="394" spans="1:12" ht="33" customHeight="1" x14ac:dyDescent="0.45">
      <c r="A394" s="344" t="s">
        <v>376</v>
      </c>
      <c r="B394" s="303">
        <v>0.58333333333333337</v>
      </c>
      <c r="C394" s="303" t="s">
        <v>378</v>
      </c>
      <c r="D394" s="304" t="s">
        <v>700</v>
      </c>
      <c r="E394" s="377" t="s">
        <v>503</v>
      </c>
      <c r="F394" s="367"/>
      <c r="G394" s="368">
        <v>1</v>
      </c>
      <c r="H394" s="368"/>
      <c r="I394" s="370"/>
      <c r="J394" s="370"/>
      <c r="K394" s="367"/>
      <c r="L394" s="370"/>
    </row>
    <row r="395" spans="1:12" ht="33" customHeight="1" x14ac:dyDescent="0.45">
      <c r="A395" s="344" t="s">
        <v>376</v>
      </c>
      <c r="B395" s="303">
        <v>0.61458333333333337</v>
      </c>
      <c r="C395" s="303" t="s">
        <v>378</v>
      </c>
      <c r="D395" s="304" t="s">
        <v>700</v>
      </c>
      <c r="E395" s="377" t="s">
        <v>503</v>
      </c>
      <c r="F395" s="367"/>
      <c r="G395" s="368">
        <v>1</v>
      </c>
      <c r="H395" s="368"/>
      <c r="I395" s="370"/>
      <c r="J395" s="370"/>
      <c r="K395" s="367"/>
      <c r="L395" s="370"/>
    </row>
    <row r="396" spans="1:12" ht="33" customHeight="1" x14ac:dyDescent="0.45">
      <c r="A396" s="344" t="s">
        <v>376</v>
      </c>
      <c r="B396" s="303">
        <v>0.63888888888888884</v>
      </c>
      <c r="C396" s="303" t="s">
        <v>378</v>
      </c>
      <c r="D396" s="304" t="s">
        <v>700</v>
      </c>
      <c r="E396" s="377" t="s">
        <v>503</v>
      </c>
      <c r="F396" s="367"/>
      <c r="G396" s="368">
        <v>1</v>
      </c>
      <c r="H396" s="368"/>
      <c r="I396" s="370"/>
      <c r="J396" s="370"/>
      <c r="K396" s="367"/>
      <c r="L396" s="370"/>
    </row>
    <row r="397" spans="1:12" ht="33" customHeight="1" x14ac:dyDescent="0.45">
      <c r="A397" s="344" t="s">
        <v>501</v>
      </c>
      <c r="B397" s="303">
        <v>0.76041666666666663</v>
      </c>
      <c r="C397" s="303" t="s">
        <v>378</v>
      </c>
      <c r="D397" s="304" t="s">
        <v>700</v>
      </c>
      <c r="E397" s="377" t="s">
        <v>504</v>
      </c>
      <c r="F397" s="367"/>
      <c r="G397" s="368">
        <v>1</v>
      </c>
      <c r="H397" s="368"/>
      <c r="I397" s="370"/>
      <c r="J397" s="370"/>
      <c r="K397" s="367"/>
      <c r="L397" s="370"/>
    </row>
    <row r="398" spans="1:12" ht="33" customHeight="1" x14ac:dyDescent="0.45">
      <c r="A398" s="344" t="s">
        <v>376</v>
      </c>
      <c r="B398" s="303">
        <v>0.78125</v>
      </c>
      <c r="C398" s="303" t="s">
        <v>378</v>
      </c>
      <c r="D398" s="304" t="s">
        <v>700</v>
      </c>
      <c r="E398" s="377" t="s">
        <v>503</v>
      </c>
      <c r="F398" s="367"/>
      <c r="G398" s="368">
        <v>1</v>
      </c>
      <c r="H398" s="368"/>
      <c r="I398" s="370"/>
      <c r="J398" s="370"/>
      <c r="K398" s="367"/>
      <c r="L398" s="370"/>
    </row>
    <row r="399" spans="1:12" ht="33" customHeight="1" x14ac:dyDescent="0.45">
      <c r="A399" s="601" t="s">
        <v>663</v>
      </c>
      <c r="B399" s="303">
        <v>0.80902777777777779</v>
      </c>
      <c r="C399" s="303" t="s">
        <v>378</v>
      </c>
      <c r="D399" s="304" t="s">
        <v>700</v>
      </c>
      <c r="E399" s="304" t="s">
        <v>688</v>
      </c>
      <c r="F399" s="305"/>
      <c r="G399" s="306">
        <v>1</v>
      </c>
      <c r="H399" s="306"/>
      <c r="I399" s="306"/>
      <c r="J399" s="297"/>
      <c r="K399" s="305"/>
      <c r="L399" s="297"/>
    </row>
    <row r="400" spans="1:12" ht="33" customHeight="1" x14ac:dyDescent="0.45">
      <c r="A400" s="601" t="s">
        <v>336</v>
      </c>
      <c r="B400" s="303"/>
      <c r="C400" s="303" t="s">
        <v>660</v>
      </c>
      <c r="D400" s="304"/>
      <c r="E400" s="304"/>
      <c r="F400" s="305"/>
      <c r="G400" s="306"/>
      <c r="H400" s="306"/>
      <c r="I400" s="306"/>
      <c r="J400" s="297"/>
      <c r="K400" s="305"/>
      <c r="L400" s="297"/>
    </row>
    <row r="401" spans="1:12" ht="33" customHeight="1" x14ac:dyDescent="0.45">
      <c r="A401" s="601" t="s">
        <v>336</v>
      </c>
      <c r="B401" s="303"/>
      <c r="C401" s="303" t="s">
        <v>660</v>
      </c>
      <c r="D401" s="304"/>
      <c r="E401" s="304"/>
      <c r="F401" s="305"/>
      <c r="G401" s="306"/>
      <c r="H401" s="306"/>
      <c r="I401" s="306"/>
      <c r="J401" s="297"/>
      <c r="K401" s="305"/>
      <c r="L401" s="297"/>
    </row>
    <row r="402" spans="1:12" ht="33" customHeight="1" x14ac:dyDescent="0.45">
      <c r="A402" s="601" t="s">
        <v>336</v>
      </c>
      <c r="B402" s="303"/>
      <c r="C402" s="303" t="s">
        <v>660</v>
      </c>
      <c r="D402" s="304"/>
      <c r="E402" s="304"/>
      <c r="F402" s="305"/>
      <c r="G402" s="306"/>
      <c r="H402" s="306"/>
      <c r="I402" s="306"/>
      <c r="J402" s="297"/>
      <c r="K402" s="305"/>
      <c r="L402" s="297"/>
    </row>
    <row r="403" spans="1:12" ht="33" customHeight="1" x14ac:dyDescent="0.45">
      <c r="A403" s="601" t="s">
        <v>336</v>
      </c>
      <c r="B403" s="303"/>
      <c r="C403" s="303" t="s">
        <v>660</v>
      </c>
      <c r="D403" s="304"/>
      <c r="E403" s="304"/>
      <c r="F403" s="305"/>
      <c r="G403" s="306"/>
      <c r="H403" s="306"/>
      <c r="I403" s="306"/>
      <c r="J403" s="297"/>
      <c r="K403" s="305"/>
      <c r="L403" s="297"/>
    </row>
    <row r="404" spans="1:12" ht="33" customHeight="1" x14ac:dyDescent="0.45">
      <c r="C404" s="190" t="s">
        <v>691</v>
      </c>
      <c r="F404" s="137" t="s">
        <v>15</v>
      </c>
    </row>
    <row r="406" spans="1:12" ht="23.25" x14ac:dyDescent="0.45">
      <c r="A406" s="137" t="s">
        <v>18</v>
      </c>
      <c r="B406" s="260" t="s">
        <v>378</v>
      </c>
      <c r="C406" s="241"/>
      <c r="D406" s="241"/>
      <c r="E406" s="241"/>
    </row>
    <row r="407" spans="1:12" ht="21" x14ac:dyDescent="0.45">
      <c r="A407" s="137" t="s">
        <v>13</v>
      </c>
      <c r="B407" s="320" t="s">
        <v>700</v>
      </c>
      <c r="C407" s="254"/>
      <c r="D407" s="254"/>
      <c r="E407" s="598"/>
      <c r="J407" s="600"/>
      <c r="L407" s="600">
        <f>L386+1</f>
        <v>46163</v>
      </c>
    </row>
    <row r="409" spans="1:12" x14ac:dyDescent="0.45">
      <c r="A409" s="141"/>
      <c r="B409" s="142"/>
      <c r="C409" s="142"/>
      <c r="D409" s="142"/>
      <c r="E409" s="142"/>
      <c r="F409" s="142"/>
      <c r="G409" s="142"/>
      <c r="H409" s="142"/>
      <c r="I409" s="142"/>
      <c r="J409" s="319"/>
      <c r="K409" s="319" t="s">
        <v>337</v>
      </c>
      <c r="L409" s="294"/>
    </row>
    <row r="410" spans="1:12" ht="63" x14ac:dyDescent="0.45">
      <c r="A410" s="297" t="s">
        <v>534</v>
      </c>
      <c r="B410" s="298" t="s">
        <v>0</v>
      </c>
      <c r="C410" s="298" t="s">
        <v>332</v>
      </c>
      <c r="D410" s="298" t="s">
        <v>333</v>
      </c>
      <c r="E410" s="298" t="s">
        <v>535</v>
      </c>
      <c r="F410" s="298" t="s">
        <v>1</v>
      </c>
      <c r="G410" s="298" t="s">
        <v>334</v>
      </c>
      <c r="H410" s="298" t="s">
        <v>335</v>
      </c>
      <c r="I410" s="298" t="s">
        <v>23</v>
      </c>
      <c r="J410" s="300" t="s">
        <v>22</v>
      </c>
      <c r="K410" s="298" t="s">
        <v>17</v>
      </c>
      <c r="L410" s="301" t="s">
        <v>12</v>
      </c>
    </row>
    <row r="411" spans="1:12" ht="31.9" customHeight="1" x14ac:dyDescent="0.45">
      <c r="A411" s="344" t="s">
        <v>501</v>
      </c>
      <c r="B411" s="345">
        <v>0.2326388888888889</v>
      </c>
      <c r="C411" s="345" t="s">
        <v>378</v>
      </c>
      <c r="D411" s="304" t="s">
        <v>700</v>
      </c>
      <c r="E411" s="377" t="s">
        <v>503</v>
      </c>
      <c r="F411" s="580"/>
      <c r="G411" s="368">
        <v>1</v>
      </c>
      <c r="H411" s="363"/>
      <c r="I411" s="580"/>
      <c r="J411" s="365"/>
      <c r="K411" s="580"/>
      <c r="L411" s="366"/>
    </row>
    <row r="412" spans="1:12" ht="31.9" customHeight="1" x14ac:dyDescent="0.45">
      <c r="A412" s="344" t="s">
        <v>501</v>
      </c>
      <c r="B412" s="345">
        <v>0.27083333333333331</v>
      </c>
      <c r="C412" s="345" t="s">
        <v>378</v>
      </c>
      <c r="D412" s="304" t="s">
        <v>700</v>
      </c>
      <c r="E412" s="377" t="s">
        <v>503</v>
      </c>
      <c r="F412" s="580"/>
      <c r="G412" s="368">
        <v>1</v>
      </c>
      <c r="H412" s="363"/>
      <c r="I412" s="580"/>
      <c r="J412" s="365"/>
      <c r="K412" s="580"/>
      <c r="L412" s="366"/>
    </row>
    <row r="413" spans="1:12" ht="31.9" customHeight="1" x14ac:dyDescent="0.45">
      <c r="A413" s="344" t="s">
        <v>501</v>
      </c>
      <c r="B413" s="345">
        <v>0.28819444444444442</v>
      </c>
      <c r="C413" s="345" t="s">
        <v>378</v>
      </c>
      <c r="D413" s="304" t="s">
        <v>700</v>
      </c>
      <c r="E413" s="377" t="s">
        <v>504</v>
      </c>
      <c r="F413" s="367"/>
      <c r="G413" s="368">
        <v>1</v>
      </c>
      <c r="H413" s="368"/>
      <c r="I413" s="370"/>
      <c r="J413" s="370"/>
      <c r="K413" s="367"/>
      <c r="L413" s="370"/>
    </row>
    <row r="414" spans="1:12" ht="31.9" customHeight="1" x14ac:dyDescent="0.45">
      <c r="A414" s="344" t="s">
        <v>376</v>
      </c>
      <c r="B414" s="345">
        <v>0.3263888888888889</v>
      </c>
      <c r="C414" s="345" t="s">
        <v>378</v>
      </c>
      <c r="D414" s="304" t="s">
        <v>700</v>
      </c>
      <c r="E414" s="377" t="s">
        <v>504</v>
      </c>
      <c r="F414" s="367"/>
      <c r="G414" s="368">
        <v>1</v>
      </c>
      <c r="H414" s="368"/>
      <c r="I414" s="370"/>
      <c r="J414" s="370"/>
      <c r="K414" s="367"/>
      <c r="L414" s="370"/>
    </row>
    <row r="415" spans="1:12" ht="31.9" customHeight="1" x14ac:dyDescent="0.45">
      <c r="A415" s="344" t="s">
        <v>376</v>
      </c>
      <c r="B415" s="303">
        <v>0.58333333333333337</v>
      </c>
      <c r="C415" s="303" t="s">
        <v>378</v>
      </c>
      <c r="D415" s="304" t="s">
        <v>700</v>
      </c>
      <c r="E415" s="377" t="s">
        <v>503</v>
      </c>
      <c r="F415" s="367"/>
      <c r="G415" s="368">
        <v>1</v>
      </c>
      <c r="H415" s="368"/>
      <c r="I415" s="370"/>
      <c r="J415" s="370"/>
      <c r="K415" s="367"/>
      <c r="L415" s="370"/>
    </row>
    <row r="416" spans="1:12" ht="31.9" customHeight="1" x14ac:dyDescent="0.45">
      <c r="A416" s="344" t="s">
        <v>376</v>
      </c>
      <c r="B416" s="303">
        <v>0.61458333333333337</v>
      </c>
      <c r="C416" s="303" t="s">
        <v>378</v>
      </c>
      <c r="D416" s="304" t="s">
        <v>700</v>
      </c>
      <c r="E416" s="377" t="s">
        <v>503</v>
      </c>
      <c r="F416" s="367"/>
      <c r="G416" s="368">
        <v>1</v>
      </c>
      <c r="H416" s="368"/>
      <c r="I416" s="370"/>
      <c r="J416" s="370"/>
      <c r="K416" s="367"/>
      <c r="L416" s="370"/>
    </row>
    <row r="417" spans="1:12" ht="31.9" customHeight="1" x14ac:dyDescent="0.45">
      <c r="A417" s="344" t="s">
        <v>376</v>
      </c>
      <c r="B417" s="303">
        <v>0.63888888888888884</v>
      </c>
      <c r="C417" s="303" t="s">
        <v>378</v>
      </c>
      <c r="D417" s="304" t="s">
        <v>700</v>
      </c>
      <c r="E417" s="377" t="s">
        <v>503</v>
      </c>
      <c r="F417" s="367"/>
      <c r="G417" s="368">
        <v>1</v>
      </c>
      <c r="H417" s="368"/>
      <c r="I417" s="370"/>
      <c r="J417" s="370"/>
      <c r="K417" s="367"/>
      <c r="L417" s="370"/>
    </row>
    <row r="418" spans="1:12" ht="31.9" customHeight="1" x14ac:dyDescent="0.45">
      <c r="A418" s="344" t="s">
        <v>501</v>
      </c>
      <c r="B418" s="303">
        <v>0.76041666666666663</v>
      </c>
      <c r="C418" s="303" t="s">
        <v>378</v>
      </c>
      <c r="D418" s="304" t="s">
        <v>700</v>
      </c>
      <c r="E418" s="377" t="s">
        <v>504</v>
      </c>
      <c r="F418" s="367"/>
      <c r="G418" s="368">
        <v>1</v>
      </c>
      <c r="H418" s="368"/>
      <c r="I418" s="370"/>
      <c r="J418" s="370"/>
      <c r="K418" s="367"/>
      <c r="L418" s="370"/>
    </row>
    <row r="419" spans="1:12" ht="31.9" customHeight="1" x14ac:dyDescent="0.45">
      <c r="A419" s="344" t="s">
        <v>376</v>
      </c>
      <c r="B419" s="303">
        <v>0.78125</v>
      </c>
      <c r="C419" s="303" t="s">
        <v>378</v>
      </c>
      <c r="D419" s="304" t="s">
        <v>700</v>
      </c>
      <c r="E419" s="377" t="s">
        <v>503</v>
      </c>
      <c r="F419" s="367"/>
      <c r="G419" s="368">
        <v>1</v>
      </c>
      <c r="H419" s="368"/>
      <c r="I419" s="370"/>
      <c r="J419" s="370"/>
      <c r="K419" s="367"/>
      <c r="L419" s="370"/>
    </row>
    <row r="420" spans="1:12" ht="31.9" customHeight="1" x14ac:dyDescent="0.45">
      <c r="A420" s="601" t="s">
        <v>663</v>
      </c>
      <c r="B420" s="303">
        <v>0.80902777777777779</v>
      </c>
      <c r="C420" s="303" t="s">
        <v>378</v>
      </c>
      <c r="D420" s="304" t="s">
        <v>700</v>
      </c>
      <c r="E420" s="304" t="s">
        <v>688</v>
      </c>
      <c r="F420" s="305"/>
      <c r="G420" s="306">
        <v>1</v>
      </c>
      <c r="H420" s="306"/>
      <c r="I420" s="306"/>
      <c r="J420" s="297"/>
      <c r="K420" s="305"/>
      <c r="L420" s="297"/>
    </row>
    <row r="421" spans="1:12" ht="31.9" customHeight="1" x14ac:dyDescent="0.45">
      <c r="A421" s="601" t="s">
        <v>336</v>
      </c>
      <c r="B421" s="303"/>
      <c r="C421" s="303" t="s">
        <v>660</v>
      </c>
      <c r="D421" s="304"/>
      <c r="E421" s="304"/>
      <c r="F421" s="305"/>
      <c r="G421" s="306"/>
      <c r="H421" s="306"/>
      <c r="I421" s="306"/>
      <c r="J421" s="297"/>
      <c r="K421" s="305"/>
      <c r="L421" s="297"/>
    </row>
    <row r="422" spans="1:12" ht="31.9" customHeight="1" x14ac:dyDescent="0.45">
      <c r="A422" s="601" t="s">
        <v>336</v>
      </c>
      <c r="B422" s="303"/>
      <c r="C422" s="303" t="s">
        <v>660</v>
      </c>
      <c r="D422" s="304"/>
      <c r="E422" s="304"/>
      <c r="F422" s="305"/>
      <c r="G422" s="306"/>
      <c r="H422" s="306"/>
      <c r="I422" s="306"/>
      <c r="J422" s="297"/>
      <c r="K422" s="305"/>
      <c r="L422" s="297"/>
    </row>
    <row r="423" spans="1:12" ht="31.9" customHeight="1" x14ac:dyDescent="0.45">
      <c r="A423" s="601" t="s">
        <v>336</v>
      </c>
      <c r="B423" s="303"/>
      <c r="C423" s="303" t="s">
        <v>660</v>
      </c>
      <c r="D423" s="304"/>
      <c r="E423" s="304"/>
      <c r="F423" s="305"/>
      <c r="G423" s="306"/>
      <c r="H423" s="306"/>
      <c r="I423" s="306"/>
      <c r="J423" s="297"/>
      <c r="K423" s="305"/>
      <c r="L423" s="297"/>
    </row>
    <row r="424" spans="1:12" ht="31.9" customHeight="1" x14ac:dyDescent="0.45">
      <c r="A424" s="601" t="s">
        <v>336</v>
      </c>
      <c r="B424" s="303"/>
      <c r="C424" s="303" t="s">
        <v>660</v>
      </c>
      <c r="D424" s="304"/>
      <c r="E424" s="304"/>
      <c r="F424" s="305"/>
      <c r="G424" s="306"/>
      <c r="H424" s="306"/>
      <c r="I424" s="306"/>
      <c r="J424" s="297"/>
      <c r="K424" s="305"/>
      <c r="L424" s="297"/>
    </row>
    <row r="425" spans="1:12" ht="31.9" customHeight="1" x14ac:dyDescent="0.45">
      <c r="C425" s="190" t="s">
        <v>691</v>
      </c>
      <c r="F425" s="137" t="s">
        <v>15</v>
      </c>
    </row>
    <row r="427" spans="1:12" ht="23.25" x14ac:dyDescent="0.45">
      <c r="A427" s="137" t="s">
        <v>18</v>
      </c>
      <c r="B427" s="260" t="s">
        <v>378</v>
      </c>
      <c r="C427" s="241"/>
      <c r="D427" s="241"/>
      <c r="E427" s="241"/>
    </row>
    <row r="428" spans="1:12" ht="21" x14ac:dyDescent="0.45">
      <c r="A428" s="137" t="s">
        <v>13</v>
      </c>
      <c r="B428" s="320" t="s">
        <v>700</v>
      </c>
      <c r="C428" s="254"/>
      <c r="D428" s="254"/>
      <c r="E428" s="598"/>
      <c r="J428" s="600"/>
      <c r="L428" s="600">
        <f>L407+1</f>
        <v>46164</v>
      </c>
    </row>
    <row r="430" spans="1:12" x14ac:dyDescent="0.45">
      <c r="A430" s="141"/>
      <c r="B430" s="142"/>
      <c r="C430" s="142"/>
      <c r="D430" s="142"/>
      <c r="E430" s="142"/>
      <c r="F430" s="142"/>
      <c r="G430" s="142"/>
      <c r="H430" s="142"/>
      <c r="I430" s="142"/>
      <c r="J430" s="319"/>
      <c r="K430" s="319" t="s">
        <v>337</v>
      </c>
      <c r="L430" s="294"/>
    </row>
    <row r="431" spans="1:12" ht="63" x14ac:dyDescent="0.45">
      <c r="A431" s="297" t="s">
        <v>534</v>
      </c>
      <c r="B431" s="298" t="s">
        <v>0</v>
      </c>
      <c r="C431" s="298" t="s">
        <v>332</v>
      </c>
      <c r="D431" s="298" t="s">
        <v>333</v>
      </c>
      <c r="E431" s="298" t="s">
        <v>535</v>
      </c>
      <c r="F431" s="298" t="s">
        <v>1</v>
      </c>
      <c r="G431" s="298" t="s">
        <v>334</v>
      </c>
      <c r="H431" s="298" t="s">
        <v>335</v>
      </c>
      <c r="I431" s="298" t="s">
        <v>23</v>
      </c>
      <c r="J431" s="300" t="s">
        <v>22</v>
      </c>
      <c r="K431" s="298" t="s">
        <v>17</v>
      </c>
      <c r="L431" s="301" t="s">
        <v>12</v>
      </c>
    </row>
    <row r="432" spans="1:12" ht="33" customHeight="1" x14ac:dyDescent="0.45">
      <c r="A432" s="344" t="s">
        <v>501</v>
      </c>
      <c r="B432" s="345">
        <v>0.2326388888888889</v>
      </c>
      <c r="C432" s="345" t="s">
        <v>378</v>
      </c>
      <c r="D432" s="304" t="s">
        <v>700</v>
      </c>
      <c r="E432" s="377" t="s">
        <v>503</v>
      </c>
      <c r="F432" s="580"/>
      <c r="G432" s="368">
        <v>1</v>
      </c>
      <c r="H432" s="363"/>
      <c r="I432" s="580"/>
      <c r="J432" s="365"/>
      <c r="K432" s="580"/>
      <c r="L432" s="366"/>
    </row>
    <row r="433" spans="1:12" ht="33" customHeight="1" x14ac:dyDescent="0.45">
      <c r="A433" s="344" t="s">
        <v>501</v>
      </c>
      <c r="B433" s="345">
        <v>0.27083333333333331</v>
      </c>
      <c r="C433" s="345" t="s">
        <v>378</v>
      </c>
      <c r="D433" s="304" t="s">
        <v>700</v>
      </c>
      <c r="E433" s="377" t="s">
        <v>503</v>
      </c>
      <c r="F433" s="580"/>
      <c r="G433" s="368">
        <v>1</v>
      </c>
      <c r="H433" s="363"/>
      <c r="I433" s="580"/>
      <c r="J433" s="365"/>
      <c r="K433" s="580"/>
      <c r="L433" s="366"/>
    </row>
    <row r="434" spans="1:12" ht="33" customHeight="1" x14ac:dyDescent="0.45">
      <c r="A434" s="344" t="s">
        <v>501</v>
      </c>
      <c r="B434" s="345">
        <v>0.28819444444444442</v>
      </c>
      <c r="C434" s="345" t="s">
        <v>378</v>
      </c>
      <c r="D434" s="304" t="s">
        <v>700</v>
      </c>
      <c r="E434" s="377" t="s">
        <v>504</v>
      </c>
      <c r="F434" s="367"/>
      <c r="G434" s="368">
        <v>1</v>
      </c>
      <c r="H434" s="368"/>
      <c r="I434" s="370"/>
      <c r="J434" s="370"/>
      <c r="K434" s="367"/>
      <c r="L434" s="370"/>
    </row>
    <row r="435" spans="1:12" ht="33" customHeight="1" x14ac:dyDescent="0.45">
      <c r="A435" s="344" t="s">
        <v>376</v>
      </c>
      <c r="B435" s="345">
        <v>0.3263888888888889</v>
      </c>
      <c r="C435" s="345" t="s">
        <v>378</v>
      </c>
      <c r="D435" s="304" t="s">
        <v>700</v>
      </c>
      <c r="E435" s="377" t="s">
        <v>504</v>
      </c>
      <c r="F435" s="367"/>
      <c r="G435" s="368">
        <v>1</v>
      </c>
      <c r="H435" s="368"/>
      <c r="I435" s="370"/>
      <c r="J435" s="370"/>
      <c r="K435" s="367"/>
      <c r="L435" s="370"/>
    </row>
    <row r="436" spans="1:12" ht="33" customHeight="1" x14ac:dyDescent="0.45">
      <c r="A436" s="344" t="s">
        <v>376</v>
      </c>
      <c r="B436" s="303">
        <v>0.58333333333333337</v>
      </c>
      <c r="C436" s="303" t="s">
        <v>378</v>
      </c>
      <c r="D436" s="304" t="s">
        <v>700</v>
      </c>
      <c r="E436" s="377" t="s">
        <v>503</v>
      </c>
      <c r="F436" s="367"/>
      <c r="G436" s="368">
        <v>1</v>
      </c>
      <c r="H436" s="368"/>
      <c r="I436" s="370"/>
      <c r="J436" s="370"/>
      <c r="K436" s="367"/>
      <c r="L436" s="370"/>
    </row>
    <row r="437" spans="1:12" ht="33" customHeight="1" x14ac:dyDescent="0.45">
      <c r="A437" s="344" t="s">
        <v>376</v>
      </c>
      <c r="B437" s="303">
        <v>0.61458333333333337</v>
      </c>
      <c r="C437" s="303" t="s">
        <v>378</v>
      </c>
      <c r="D437" s="304" t="s">
        <v>700</v>
      </c>
      <c r="E437" s="377" t="s">
        <v>503</v>
      </c>
      <c r="F437" s="367"/>
      <c r="G437" s="368">
        <v>1</v>
      </c>
      <c r="H437" s="368"/>
      <c r="I437" s="370"/>
      <c r="J437" s="370"/>
      <c r="K437" s="367"/>
      <c r="L437" s="370"/>
    </row>
    <row r="438" spans="1:12" ht="33" customHeight="1" x14ac:dyDescent="0.45">
      <c r="A438" s="344" t="s">
        <v>376</v>
      </c>
      <c r="B438" s="303">
        <v>0.63888888888888884</v>
      </c>
      <c r="C438" s="303" t="s">
        <v>378</v>
      </c>
      <c r="D438" s="304" t="s">
        <v>700</v>
      </c>
      <c r="E438" s="377" t="s">
        <v>503</v>
      </c>
      <c r="F438" s="367"/>
      <c r="G438" s="368">
        <v>1</v>
      </c>
      <c r="H438" s="368"/>
      <c r="I438" s="370"/>
      <c r="J438" s="370"/>
      <c r="K438" s="367"/>
      <c r="L438" s="370"/>
    </row>
    <row r="439" spans="1:12" ht="33" customHeight="1" x14ac:dyDescent="0.45">
      <c r="A439" s="344" t="s">
        <v>501</v>
      </c>
      <c r="B439" s="303">
        <v>0.76041666666666663</v>
      </c>
      <c r="C439" s="303" t="s">
        <v>378</v>
      </c>
      <c r="D439" s="304" t="s">
        <v>700</v>
      </c>
      <c r="E439" s="377" t="s">
        <v>504</v>
      </c>
      <c r="F439" s="367"/>
      <c r="G439" s="368">
        <v>1</v>
      </c>
      <c r="H439" s="368"/>
      <c r="I439" s="370"/>
      <c r="J439" s="370"/>
      <c r="K439" s="367"/>
      <c r="L439" s="370"/>
    </row>
    <row r="440" spans="1:12" ht="33" customHeight="1" x14ac:dyDescent="0.45">
      <c r="A440" s="344" t="s">
        <v>376</v>
      </c>
      <c r="B440" s="303">
        <v>0.78125</v>
      </c>
      <c r="C440" s="303" t="s">
        <v>378</v>
      </c>
      <c r="D440" s="304" t="s">
        <v>700</v>
      </c>
      <c r="E440" s="377" t="s">
        <v>503</v>
      </c>
      <c r="F440" s="367"/>
      <c r="G440" s="368">
        <v>1</v>
      </c>
      <c r="H440" s="368"/>
      <c r="I440" s="370"/>
      <c r="J440" s="370"/>
      <c r="K440" s="367"/>
      <c r="L440" s="370"/>
    </row>
    <row r="441" spans="1:12" ht="33" customHeight="1" x14ac:dyDescent="0.45">
      <c r="A441" s="601" t="s">
        <v>663</v>
      </c>
      <c r="B441" s="303">
        <v>0.80902777777777779</v>
      </c>
      <c r="C441" s="303" t="s">
        <v>378</v>
      </c>
      <c r="D441" s="304" t="s">
        <v>700</v>
      </c>
      <c r="E441" s="304" t="s">
        <v>688</v>
      </c>
      <c r="F441" s="305"/>
      <c r="G441" s="306">
        <v>1</v>
      </c>
      <c r="H441" s="306"/>
      <c r="I441" s="306"/>
      <c r="J441" s="297"/>
      <c r="K441" s="305"/>
      <c r="L441" s="297"/>
    </row>
    <row r="442" spans="1:12" ht="33" customHeight="1" x14ac:dyDescent="0.45">
      <c r="A442" s="601" t="s">
        <v>336</v>
      </c>
      <c r="B442" s="303"/>
      <c r="C442" s="303" t="s">
        <v>660</v>
      </c>
      <c r="D442" s="304"/>
      <c r="E442" s="304"/>
      <c r="F442" s="305"/>
      <c r="G442" s="306"/>
      <c r="H442" s="306"/>
      <c r="I442" s="306"/>
      <c r="J442" s="297"/>
      <c r="K442" s="305"/>
      <c r="L442" s="297"/>
    </row>
    <row r="443" spans="1:12" ht="33" customHeight="1" x14ac:dyDescent="0.45">
      <c r="A443" s="601" t="s">
        <v>336</v>
      </c>
      <c r="B443" s="303"/>
      <c r="C443" s="303" t="s">
        <v>660</v>
      </c>
      <c r="D443" s="304"/>
      <c r="E443" s="304"/>
      <c r="F443" s="305"/>
      <c r="G443" s="306"/>
      <c r="H443" s="306"/>
      <c r="I443" s="306"/>
      <c r="J443" s="297"/>
      <c r="K443" s="305"/>
      <c r="L443" s="297"/>
    </row>
    <row r="444" spans="1:12" ht="33" customHeight="1" x14ac:dyDescent="0.45">
      <c r="A444" s="601" t="s">
        <v>336</v>
      </c>
      <c r="B444" s="303"/>
      <c r="C444" s="303" t="s">
        <v>660</v>
      </c>
      <c r="D444" s="304"/>
      <c r="E444" s="304"/>
      <c r="F444" s="305"/>
      <c r="G444" s="306"/>
      <c r="H444" s="306"/>
      <c r="I444" s="306"/>
      <c r="J444" s="297"/>
      <c r="K444" s="305"/>
      <c r="L444" s="297"/>
    </row>
    <row r="445" spans="1:12" ht="33" customHeight="1" x14ac:dyDescent="0.45">
      <c r="A445" s="601" t="s">
        <v>336</v>
      </c>
      <c r="B445" s="303"/>
      <c r="C445" s="303" t="s">
        <v>660</v>
      </c>
      <c r="D445" s="304"/>
      <c r="E445" s="304"/>
      <c r="F445" s="305"/>
      <c r="G445" s="306"/>
      <c r="H445" s="306"/>
      <c r="I445" s="306"/>
      <c r="J445" s="297"/>
      <c r="K445" s="305"/>
      <c r="L445" s="297"/>
    </row>
    <row r="446" spans="1:12" ht="33" customHeight="1" x14ac:dyDescent="0.45">
      <c r="C446" s="190" t="s">
        <v>691</v>
      </c>
      <c r="F446" s="137" t="s">
        <v>15</v>
      </c>
    </row>
    <row r="448" spans="1:12" ht="23.25" x14ac:dyDescent="0.45">
      <c r="A448" s="137" t="s">
        <v>18</v>
      </c>
      <c r="B448" s="260" t="s">
        <v>378</v>
      </c>
      <c r="C448" s="241"/>
      <c r="D448" s="241"/>
      <c r="E448" s="241"/>
    </row>
    <row r="449" spans="1:12" ht="21" x14ac:dyDescent="0.45">
      <c r="A449" s="137" t="s">
        <v>13</v>
      </c>
      <c r="B449" s="320" t="s">
        <v>700</v>
      </c>
      <c r="C449" s="254"/>
      <c r="D449" s="254"/>
      <c r="E449" s="598"/>
      <c r="J449" s="600"/>
      <c r="L449" s="600">
        <f>L428+1</f>
        <v>46165</v>
      </c>
    </row>
    <row r="451" spans="1:12" x14ac:dyDescent="0.45">
      <c r="A451" s="141"/>
      <c r="B451" s="142"/>
      <c r="C451" s="142"/>
      <c r="D451" s="142"/>
      <c r="E451" s="142"/>
      <c r="F451" s="142"/>
      <c r="G451" s="142"/>
      <c r="H451" s="142"/>
      <c r="I451" s="142"/>
      <c r="J451" s="319"/>
      <c r="K451" s="319" t="s">
        <v>337</v>
      </c>
      <c r="L451" s="294"/>
    </row>
    <row r="452" spans="1:12" ht="63" x14ac:dyDescent="0.45">
      <c r="A452" s="297" t="s">
        <v>534</v>
      </c>
      <c r="B452" s="298" t="s">
        <v>0</v>
      </c>
      <c r="C452" s="298" t="s">
        <v>332</v>
      </c>
      <c r="D452" s="298" t="s">
        <v>333</v>
      </c>
      <c r="E452" s="298" t="s">
        <v>535</v>
      </c>
      <c r="F452" s="298" t="s">
        <v>1</v>
      </c>
      <c r="G452" s="298" t="s">
        <v>334</v>
      </c>
      <c r="H452" s="298" t="s">
        <v>335</v>
      </c>
      <c r="I452" s="298" t="s">
        <v>23</v>
      </c>
      <c r="J452" s="300" t="s">
        <v>22</v>
      </c>
      <c r="K452" s="298" t="s">
        <v>17</v>
      </c>
      <c r="L452" s="301" t="s">
        <v>12</v>
      </c>
    </row>
    <row r="453" spans="1:12" ht="33.4" customHeight="1" x14ac:dyDescent="0.45">
      <c r="A453" s="344" t="s">
        <v>501</v>
      </c>
      <c r="B453" s="345">
        <v>0.2326388888888889</v>
      </c>
      <c r="C453" s="345" t="s">
        <v>378</v>
      </c>
      <c r="D453" s="304" t="s">
        <v>700</v>
      </c>
      <c r="E453" s="377" t="s">
        <v>503</v>
      </c>
      <c r="F453" s="580"/>
      <c r="G453" s="368">
        <v>1</v>
      </c>
      <c r="H453" s="363"/>
      <c r="I453" s="580"/>
      <c r="J453" s="365"/>
      <c r="K453" s="580"/>
      <c r="L453" s="366"/>
    </row>
    <row r="454" spans="1:12" ht="33.4" customHeight="1" x14ac:dyDescent="0.45">
      <c r="A454" s="344" t="s">
        <v>501</v>
      </c>
      <c r="B454" s="345">
        <v>0.27083333333333331</v>
      </c>
      <c r="C454" s="345" t="s">
        <v>378</v>
      </c>
      <c r="D454" s="304" t="s">
        <v>700</v>
      </c>
      <c r="E454" s="377" t="s">
        <v>503</v>
      </c>
      <c r="F454" s="580"/>
      <c r="G454" s="368">
        <v>1</v>
      </c>
      <c r="H454" s="363"/>
      <c r="I454" s="580"/>
      <c r="J454" s="365"/>
      <c r="K454" s="580"/>
      <c r="L454" s="366"/>
    </row>
    <row r="455" spans="1:12" ht="33.4" customHeight="1" x14ac:dyDescent="0.45">
      <c r="A455" s="344" t="s">
        <v>501</v>
      </c>
      <c r="B455" s="345">
        <v>0.28819444444444442</v>
      </c>
      <c r="C455" s="345" t="s">
        <v>378</v>
      </c>
      <c r="D455" s="304" t="s">
        <v>700</v>
      </c>
      <c r="E455" s="377" t="s">
        <v>504</v>
      </c>
      <c r="F455" s="367"/>
      <c r="G455" s="368">
        <v>1</v>
      </c>
      <c r="H455" s="368"/>
      <c r="I455" s="370"/>
      <c r="J455" s="370"/>
      <c r="K455" s="367"/>
      <c r="L455" s="370"/>
    </row>
    <row r="456" spans="1:12" ht="33.4" customHeight="1" x14ac:dyDescent="0.45">
      <c r="A456" s="344" t="s">
        <v>376</v>
      </c>
      <c r="B456" s="345">
        <v>0.3263888888888889</v>
      </c>
      <c r="C456" s="345" t="s">
        <v>378</v>
      </c>
      <c r="D456" s="304" t="s">
        <v>700</v>
      </c>
      <c r="E456" s="377" t="s">
        <v>504</v>
      </c>
      <c r="F456" s="367"/>
      <c r="G456" s="368">
        <v>1</v>
      </c>
      <c r="H456" s="368"/>
      <c r="I456" s="370"/>
      <c r="J456" s="370"/>
      <c r="K456" s="367"/>
      <c r="L456" s="370"/>
    </row>
    <row r="457" spans="1:12" ht="33.4" customHeight="1" x14ac:dyDescent="0.45">
      <c r="A457" s="344" t="s">
        <v>376</v>
      </c>
      <c r="B457" s="303">
        <v>0.58333333333333337</v>
      </c>
      <c r="C457" s="303" t="s">
        <v>378</v>
      </c>
      <c r="D457" s="304" t="s">
        <v>700</v>
      </c>
      <c r="E457" s="377" t="s">
        <v>503</v>
      </c>
      <c r="F457" s="367"/>
      <c r="G457" s="368">
        <v>1</v>
      </c>
      <c r="H457" s="368"/>
      <c r="I457" s="370"/>
      <c r="J457" s="370"/>
      <c r="K457" s="367"/>
      <c r="L457" s="370"/>
    </row>
    <row r="458" spans="1:12" ht="33.4" customHeight="1" x14ac:dyDescent="0.45">
      <c r="A458" s="344" t="s">
        <v>376</v>
      </c>
      <c r="B458" s="303">
        <v>0.61458333333333337</v>
      </c>
      <c r="C458" s="303" t="s">
        <v>378</v>
      </c>
      <c r="D458" s="304" t="s">
        <v>700</v>
      </c>
      <c r="E458" s="377" t="s">
        <v>503</v>
      </c>
      <c r="F458" s="367"/>
      <c r="G458" s="368">
        <v>1</v>
      </c>
      <c r="H458" s="368"/>
      <c r="I458" s="370"/>
      <c r="J458" s="370"/>
      <c r="K458" s="367"/>
      <c r="L458" s="370"/>
    </row>
    <row r="459" spans="1:12" ht="33.4" customHeight="1" x14ac:dyDescent="0.45">
      <c r="A459" s="344" t="s">
        <v>376</v>
      </c>
      <c r="B459" s="303">
        <v>0.63888888888888884</v>
      </c>
      <c r="C459" s="303" t="s">
        <v>378</v>
      </c>
      <c r="D459" s="304" t="s">
        <v>700</v>
      </c>
      <c r="E459" s="377" t="s">
        <v>503</v>
      </c>
      <c r="F459" s="367"/>
      <c r="G459" s="368">
        <v>1</v>
      </c>
      <c r="H459" s="368"/>
      <c r="I459" s="370"/>
      <c r="J459" s="370"/>
      <c r="K459" s="367"/>
      <c r="L459" s="370"/>
    </row>
    <row r="460" spans="1:12" ht="33.4" customHeight="1" x14ac:dyDescent="0.45">
      <c r="A460" s="344" t="s">
        <v>501</v>
      </c>
      <c r="B460" s="303">
        <v>0.76041666666666663</v>
      </c>
      <c r="C460" s="303" t="s">
        <v>378</v>
      </c>
      <c r="D460" s="304" t="s">
        <v>700</v>
      </c>
      <c r="E460" s="377" t="s">
        <v>504</v>
      </c>
      <c r="F460" s="367"/>
      <c r="G460" s="368">
        <v>1</v>
      </c>
      <c r="H460" s="368"/>
      <c r="I460" s="370"/>
      <c r="J460" s="370"/>
      <c r="K460" s="367"/>
      <c r="L460" s="370"/>
    </row>
    <row r="461" spans="1:12" ht="33.4" customHeight="1" x14ac:dyDescent="0.45">
      <c r="A461" s="344" t="s">
        <v>376</v>
      </c>
      <c r="B461" s="303">
        <v>0.78125</v>
      </c>
      <c r="C461" s="303" t="s">
        <v>378</v>
      </c>
      <c r="D461" s="304" t="s">
        <v>700</v>
      </c>
      <c r="E461" s="377" t="s">
        <v>503</v>
      </c>
      <c r="F461" s="367"/>
      <c r="G461" s="368">
        <v>1</v>
      </c>
      <c r="H461" s="368"/>
      <c r="I461" s="370"/>
      <c r="J461" s="370"/>
      <c r="K461" s="367"/>
      <c r="L461" s="370"/>
    </row>
    <row r="462" spans="1:12" ht="33.4" customHeight="1" x14ac:dyDescent="0.45">
      <c r="A462" s="601" t="s">
        <v>663</v>
      </c>
      <c r="B462" s="303">
        <v>0.80902777777777779</v>
      </c>
      <c r="C462" s="303" t="s">
        <v>378</v>
      </c>
      <c r="D462" s="304" t="s">
        <v>700</v>
      </c>
      <c r="E462" s="304" t="s">
        <v>688</v>
      </c>
      <c r="F462" s="305"/>
      <c r="G462" s="306">
        <v>1</v>
      </c>
      <c r="H462" s="306"/>
      <c r="I462" s="306"/>
      <c r="J462" s="297"/>
      <c r="K462" s="305"/>
      <c r="L462" s="297"/>
    </row>
    <row r="463" spans="1:12" ht="33.4" customHeight="1" x14ac:dyDescent="0.45">
      <c r="A463" s="601" t="s">
        <v>336</v>
      </c>
      <c r="B463" s="303"/>
      <c r="C463" s="303" t="s">
        <v>660</v>
      </c>
      <c r="D463" s="304"/>
      <c r="E463" s="304"/>
      <c r="F463" s="305"/>
      <c r="G463" s="306"/>
      <c r="H463" s="306"/>
      <c r="I463" s="306"/>
      <c r="J463" s="297"/>
      <c r="K463" s="305"/>
      <c r="L463" s="297"/>
    </row>
    <row r="464" spans="1:12" ht="33.4" customHeight="1" x14ac:dyDescent="0.45">
      <c r="A464" s="601" t="s">
        <v>336</v>
      </c>
      <c r="B464" s="303"/>
      <c r="C464" s="303" t="s">
        <v>660</v>
      </c>
      <c r="D464" s="304"/>
      <c r="E464" s="304"/>
      <c r="F464" s="305"/>
      <c r="G464" s="306"/>
      <c r="H464" s="306"/>
      <c r="I464" s="306"/>
      <c r="J464" s="297"/>
      <c r="K464" s="305"/>
      <c r="L464" s="297"/>
    </row>
    <row r="465" spans="1:12" ht="33.4" customHeight="1" x14ac:dyDescent="0.45">
      <c r="A465" s="601" t="s">
        <v>336</v>
      </c>
      <c r="B465" s="303"/>
      <c r="C465" s="303" t="s">
        <v>660</v>
      </c>
      <c r="D465" s="304"/>
      <c r="E465" s="304"/>
      <c r="F465" s="305"/>
      <c r="G465" s="306"/>
      <c r="H465" s="306"/>
      <c r="I465" s="306"/>
      <c r="J465" s="297"/>
      <c r="K465" s="305"/>
      <c r="L465" s="297"/>
    </row>
    <row r="466" spans="1:12" ht="33.4" customHeight="1" x14ac:dyDescent="0.45">
      <c r="A466" s="601" t="s">
        <v>336</v>
      </c>
      <c r="B466" s="303"/>
      <c r="C466" s="303" t="s">
        <v>660</v>
      </c>
      <c r="D466" s="304"/>
      <c r="E466" s="304"/>
      <c r="F466" s="305"/>
      <c r="G466" s="306"/>
      <c r="H466" s="306"/>
      <c r="I466" s="306"/>
      <c r="J466" s="297"/>
      <c r="K466" s="305"/>
      <c r="L466" s="297"/>
    </row>
    <row r="467" spans="1:12" ht="33.4" customHeight="1" x14ac:dyDescent="0.45">
      <c r="C467" s="190" t="s">
        <v>691</v>
      </c>
      <c r="F467" s="137" t="s">
        <v>15</v>
      </c>
    </row>
    <row r="469" spans="1:12" ht="23.25" x14ac:dyDescent="0.45">
      <c r="A469" s="137" t="s">
        <v>18</v>
      </c>
      <c r="B469" s="260" t="s">
        <v>378</v>
      </c>
      <c r="C469" s="241"/>
      <c r="D469" s="241"/>
      <c r="E469" s="241"/>
    </row>
    <row r="470" spans="1:12" ht="21" x14ac:dyDescent="0.45">
      <c r="A470" s="137" t="s">
        <v>13</v>
      </c>
      <c r="B470" s="320" t="s">
        <v>700</v>
      </c>
      <c r="C470" s="254"/>
      <c r="D470" s="254"/>
      <c r="E470" s="598"/>
      <c r="J470" s="600"/>
      <c r="L470" s="607">
        <f>L449+1</f>
        <v>46166</v>
      </c>
    </row>
    <row r="472" spans="1:12" x14ac:dyDescent="0.45">
      <c r="A472" s="141"/>
      <c r="B472" s="142"/>
      <c r="C472" s="142"/>
      <c r="D472" s="142"/>
      <c r="E472" s="142"/>
      <c r="F472" s="142"/>
      <c r="G472" s="142"/>
      <c r="H472" s="142"/>
      <c r="I472" s="142"/>
      <c r="J472" s="319"/>
      <c r="K472" s="319" t="s">
        <v>337</v>
      </c>
      <c r="L472" s="294"/>
    </row>
    <row r="473" spans="1:12" ht="63" x14ac:dyDescent="0.45">
      <c r="A473" s="297" t="s">
        <v>534</v>
      </c>
      <c r="B473" s="298" t="s">
        <v>0</v>
      </c>
      <c r="C473" s="298" t="s">
        <v>332</v>
      </c>
      <c r="D473" s="298" t="s">
        <v>333</v>
      </c>
      <c r="E473" s="298" t="s">
        <v>535</v>
      </c>
      <c r="F473" s="298" t="s">
        <v>1</v>
      </c>
      <c r="G473" s="298" t="s">
        <v>334</v>
      </c>
      <c r="H473" s="298" t="s">
        <v>335</v>
      </c>
      <c r="I473" s="298" t="s">
        <v>23</v>
      </c>
      <c r="J473" s="300" t="s">
        <v>22</v>
      </c>
      <c r="K473" s="298" t="s">
        <v>17</v>
      </c>
      <c r="L473" s="301" t="s">
        <v>12</v>
      </c>
    </row>
    <row r="474" spans="1:12" ht="33" customHeight="1" x14ac:dyDescent="0.45">
      <c r="A474" s="344" t="s">
        <v>501</v>
      </c>
      <c r="B474" s="345">
        <v>0.2326388888888889</v>
      </c>
      <c r="C474" s="345" t="s">
        <v>378</v>
      </c>
      <c r="D474" s="304" t="s">
        <v>700</v>
      </c>
      <c r="E474" s="377" t="s">
        <v>503</v>
      </c>
      <c r="F474" s="580"/>
      <c r="G474" s="368">
        <v>1</v>
      </c>
      <c r="H474" s="363"/>
      <c r="I474" s="580"/>
      <c r="J474" s="365"/>
      <c r="K474" s="580"/>
      <c r="L474" s="366"/>
    </row>
    <row r="475" spans="1:12" ht="33" customHeight="1" x14ac:dyDescent="0.45">
      <c r="A475" s="344" t="s">
        <v>501</v>
      </c>
      <c r="B475" s="345">
        <v>0.27083333333333331</v>
      </c>
      <c r="C475" s="345" t="s">
        <v>378</v>
      </c>
      <c r="D475" s="304" t="s">
        <v>700</v>
      </c>
      <c r="E475" s="377" t="s">
        <v>503</v>
      </c>
      <c r="F475" s="580"/>
      <c r="G475" s="368">
        <v>1</v>
      </c>
      <c r="H475" s="363"/>
      <c r="I475" s="580"/>
      <c r="J475" s="365"/>
      <c r="K475" s="580"/>
      <c r="L475" s="366"/>
    </row>
    <row r="476" spans="1:12" ht="33" customHeight="1" x14ac:dyDescent="0.45">
      <c r="A476" s="344" t="s">
        <v>501</v>
      </c>
      <c r="B476" s="345">
        <v>0.28819444444444442</v>
      </c>
      <c r="C476" s="345" t="s">
        <v>378</v>
      </c>
      <c r="D476" s="304" t="s">
        <v>700</v>
      </c>
      <c r="E476" s="377" t="s">
        <v>504</v>
      </c>
      <c r="F476" s="580"/>
      <c r="G476" s="368">
        <v>1</v>
      </c>
      <c r="H476" s="363"/>
      <c r="I476" s="580"/>
      <c r="J476" s="365"/>
      <c r="K476" s="580"/>
      <c r="L476" s="366"/>
    </row>
    <row r="477" spans="1:12" ht="33" customHeight="1" x14ac:dyDescent="0.45">
      <c r="A477" s="344" t="s">
        <v>376</v>
      </c>
      <c r="B477" s="345">
        <v>0.58333333333333337</v>
      </c>
      <c r="C477" s="345" t="s">
        <v>378</v>
      </c>
      <c r="D477" s="304" t="s">
        <v>700</v>
      </c>
      <c r="E477" s="377" t="s">
        <v>503</v>
      </c>
      <c r="F477" s="367"/>
      <c r="G477" s="368">
        <v>1</v>
      </c>
      <c r="H477" s="368"/>
      <c r="I477" s="370"/>
      <c r="J477" s="370"/>
      <c r="K477" s="367"/>
      <c r="L477" s="370"/>
    </row>
    <row r="478" spans="1:12" ht="33" customHeight="1" x14ac:dyDescent="0.45">
      <c r="A478" s="344" t="s">
        <v>376</v>
      </c>
      <c r="B478" s="345">
        <v>0.61458333333333337</v>
      </c>
      <c r="C478" s="345" t="s">
        <v>378</v>
      </c>
      <c r="D478" s="304" t="s">
        <v>700</v>
      </c>
      <c r="E478" s="377" t="s">
        <v>503</v>
      </c>
      <c r="F478" s="367"/>
      <c r="G478" s="368">
        <v>1</v>
      </c>
      <c r="H478" s="368"/>
      <c r="I478" s="370"/>
      <c r="J478" s="370"/>
      <c r="K478" s="367"/>
      <c r="L478" s="370"/>
    </row>
    <row r="479" spans="1:12" ht="33" customHeight="1" x14ac:dyDescent="0.45">
      <c r="A479" s="344" t="s">
        <v>376</v>
      </c>
      <c r="B479" s="345">
        <v>0.63888888888888884</v>
      </c>
      <c r="C479" s="345" t="s">
        <v>378</v>
      </c>
      <c r="D479" s="304" t="s">
        <v>700</v>
      </c>
      <c r="E479" s="377" t="s">
        <v>503</v>
      </c>
      <c r="F479" s="367"/>
      <c r="G479" s="368">
        <v>1</v>
      </c>
      <c r="H479" s="368"/>
      <c r="I479" s="370"/>
      <c r="J479" s="370"/>
      <c r="K479" s="367"/>
      <c r="L479" s="370"/>
    </row>
    <row r="480" spans="1:12" ht="33" customHeight="1" x14ac:dyDescent="0.45">
      <c r="A480" s="344" t="s">
        <v>336</v>
      </c>
      <c r="B480" s="345"/>
      <c r="C480" s="345" t="s">
        <v>660</v>
      </c>
      <c r="D480" s="304"/>
      <c r="E480" s="377"/>
      <c r="F480" s="367"/>
      <c r="G480" s="368"/>
      <c r="H480" s="368"/>
      <c r="I480" s="370"/>
      <c r="J480" s="370"/>
      <c r="K480" s="367"/>
      <c r="L480" s="370"/>
    </row>
    <row r="481" spans="1:12" ht="33" customHeight="1" x14ac:dyDescent="0.45">
      <c r="A481" s="344" t="s">
        <v>336</v>
      </c>
      <c r="B481" s="345"/>
      <c r="C481" s="345" t="s">
        <v>660</v>
      </c>
      <c r="D481" s="304"/>
      <c r="E481" s="377"/>
      <c r="F481" s="367"/>
      <c r="G481" s="368"/>
      <c r="H481" s="368"/>
      <c r="I481" s="370"/>
      <c r="J481" s="370"/>
      <c r="K481" s="367"/>
      <c r="L481" s="370"/>
    </row>
    <row r="482" spans="1:12" ht="33" customHeight="1" x14ac:dyDescent="0.45">
      <c r="A482" s="344" t="s">
        <v>336</v>
      </c>
      <c r="B482" s="345"/>
      <c r="C482" s="345" t="s">
        <v>660</v>
      </c>
      <c r="D482" s="304"/>
      <c r="E482" s="377"/>
      <c r="F482" s="367"/>
      <c r="G482" s="368"/>
      <c r="H482" s="368"/>
      <c r="I482" s="370"/>
      <c r="J482" s="370"/>
      <c r="K482" s="367"/>
      <c r="L482" s="370"/>
    </row>
    <row r="483" spans="1:12" ht="33" customHeight="1" x14ac:dyDescent="0.45">
      <c r="A483" s="344" t="s">
        <v>336</v>
      </c>
      <c r="B483" s="345"/>
      <c r="C483" s="345" t="s">
        <v>660</v>
      </c>
      <c r="D483" s="304"/>
      <c r="E483" s="377"/>
      <c r="F483" s="367"/>
      <c r="G483" s="368"/>
      <c r="H483" s="368"/>
      <c r="I483" s="370"/>
      <c r="J483" s="370"/>
      <c r="K483" s="367"/>
      <c r="L483" s="370"/>
    </row>
    <row r="484" spans="1:12" ht="33" customHeight="1" x14ac:dyDescent="0.45">
      <c r="A484" s="344" t="s">
        <v>336</v>
      </c>
      <c r="B484" s="345"/>
      <c r="C484" s="345" t="s">
        <v>660</v>
      </c>
      <c r="D484" s="304"/>
      <c r="E484" s="377"/>
      <c r="F484" s="367"/>
      <c r="G484" s="368"/>
      <c r="H484" s="368"/>
      <c r="I484" s="370"/>
      <c r="J484" s="370"/>
      <c r="K484" s="367"/>
      <c r="L484" s="370"/>
    </row>
    <row r="485" spans="1:12" ht="33" customHeight="1" x14ac:dyDescent="0.45">
      <c r="C485" s="190" t="s">
        <v>691</v>
      </c>
      <c r="F485" s="137" t="s">
        <v>15</v>
      </c>
    </row>
    <row r="487" spans="1:12" ht="23.25" x14ac:dyDescent="0.45">
      <c r="A487" s="137" t="s">
        <v>18</v>
      </c>
      <c r="B487" s="260" t="s">
        <v>378</v>
      </c>
      <c r="C487" s="241"/>
      <c r="D487" s="241"/>
      <c r="E487" s="241"/>
    </row>
    <row r="488" spans="1:12" ht="21" x14ac:dyDescent="0.45">
      <c r="A488" s="137" t="s">
        <v>13</v>
      </c>
      <c r="B488" s="320" t="s">
        <v>700</v>
      </c>
      <c r="C488" s="254"/>
      <c r="D488" s="254"/>
      <c r="E488" s="598"/>
      <c r="J488" s="600"/>
      <c r="L488" s="607">
        <f>L470+1</f>
        <v>46167</v>
      </c>
    </row>
    <row r="490" spans="1:12" x14ac:dyDescent="0.45">
      <c r="A490" s="141"/>
      <c r="B490" s="142"/>
      <c r="C490" s="142"/>
      <c r="D490" s="142"/>
      <c r="E490" s="142"/>
      <c r="F490" s="142"/>
      <c r="G490" s="142"/>
      <c r="H490" s="142"/>
      <c r="I490" s="142"/>
      <c r="J490" s="319"/>
      <c r="K490" s="319" t="s">
        <v>337</v>
      </c>
      <c r="L490" s="294"/>
    </row>
    <row r="491" spans="1:12" ht="63" x14ac:dyDescent="0.45">
      <c r="A491" s="297" t="s">
        <v>534</v>
      </c>
      <c r="B491" s="298" t="s">
        <v>0</v>
      </c>
      <c r="C491" s="298" t="s">
        <v>332</v>
      </c>
      <c r="D491" s="298" t="s">
        <v>333</v>
      </c>
      <c r="E491" s="298" t="s">
        <v>535</v>
      </c>
      <c r="F491" s="298" t="s">
        <v>1</v>
      </c>
      <c r="G491" s="298" t="s">
        <v>334</v>
      </c>
      <c r="H491" s="298" t="s">
        <v>335</v>
      </c>
      <c r="I491" s="298" t="s">
        <v>23</v>
      </c>
      <c r="J491" s="300" t="s">
        <v>22</v>
      </c>
      <c r="K491" s="298" t="s">
        <v>17</v>
      </c>
      <c r="L491" s="301" t="s">
        <v>12</v>
      </c>
    </row>
    <row r="492" spans="1:12" ht="33" customHeight="1" x14ac:dyDescent="0.45">
      <c r="A492" s="344" t="s">
        <v>501</v>
      </c>
      <c r="B492" s="345">
        <v>0.2326388888888889</v>
      </c>
      <c r="C492" s="345" t="s">
        <v>378</v>
      </c>
      <c r="D492" s="304" t="s">
        <v>700</v>
      </c>
      <c r="E492" s="377" t="s">
        <v>503</v>
      </c>
      <c r="F492" s="580"/>
      <c r="G492" s="368">
        <v>1</v>
      </c>
      <c r="H492" s="363"/>
      <c r="I492" s="580"/>
      <c r="J492" s="365"/>
      <c r="K492" s="580"/>
      <c r="L492" s="366"/>
    </row>
    <row r="493" spans="1:12" ht="33" customHeight="1" x14ac:dyDescent="0.45">
      <c r="A493" s="344" t="s">
        <v>501</v>
      </c>
      <c r="B493" s="345">
        <v>0.27083333333333331</v>
      </c>
      <c r="C493" s="345" t="s">
        <v>378</v>
      </c>
      <c r="D493" s="304" t="s">
        <v>700</v>
      </c>
      <c r="E493" s="377" t="s">
        <v>503</v>
      </c>
      <c r="F493" s="580"/>
      <c r="G493" s="368">
        <v>1</v>
      </c>
      <c r="H493" s="363"/>
      <c r="I493" s="580"/>
      <c r="J493" s="365"/>
      <c r="K493" s="580"/>
      <c r="L493" s="366"/>
    </row>
    <row r="494" spans="1:12" ht="33" customHeight="1" x14ac:dyDescent="0.45">
      <c r="A494" s="344" t="s">
        <v>501</v>
      </c>
      <c r="B494" s="345">
        <v>0.28819444444444442</v>
      </c>
      <c r="C494" s="345" t="s">
        <v>378</v>
      </c>
      <c r="D494" s="304" t="s">
        <v>700</v>
      </c>
      <c r="E494" s="377" t="s">
        <v>504</v>
      </c>
      <c r="F494" s="580"/>
      <c r="G494" s="368">
        <v>1</v>
      </c>
      <c r="H494" s="363"/>
      <c r="I494" s="580"/>
      <c r="J494" s="365"/>
      <c r="K494" s="580"/>
      <c r="L494" s="366"/>
    </row>
    <row r="495" spans="1:12" ht="33" customHeight="1" x14ac:dyDescent="0.45">
      <c r="A495" s="344" t="s">
        <v>376</v>
      </c>
      <c r="B495" s="345">
        <v>0.58333333333333337</v>
      </c>
      <c r="C495" s="345" t="s">
        <v>378</v>
      </c>
      <c r="D495" s="304" t="s">
        <v>700</v>
      </c>
      <c r="E495" s="377" t="s">
        <v>503</v>
      </c>
      <c r="F495" s="367"/>
      <c r="G495" s="368">
        <v>1</v>
      </c>
      <c r="H495" s="368"/>
      <c r="I495" s="370"/>
      <c r="J495" s="370"/>
      <c r="K495" s="367"/>
      <c r="L495" s="370"/>
    </row>
    <row r="496" spans="1:12" ht="33" customHeight="1" x14ac:dyDescent="0.45">
      <c r="A496" s="344" t="s">
        <v>376</v>
      </c>
      <c r="B496" s="345">
        <v>0.61458333333333337</v>
      </c>
      <c r="C496" s="345" t="s">
        <v>378</v>
      </c>
      <c r="D496" s="304" t="s">
        <v>700</v>
      </c>
      <c r="E496" s="377" t="s">
        <v>503</v>
      </c>
      <c r="F496" s="367"/>
      <c r="G496" s="368">
        <v>1</v>
      </c>
      <c r="H496" s="368"/>
      <c r="I496" s="370"/>
      <c r="J496" s="370"/>
      <c r="K496" s="367"/>
      <c r="L496" s="370"/>
    </row>
    <row r="497" spans="1:12" ht="33" customHeight="1" x14ac:dyDescent="0.45">
      <c r="A497" s="344" t="s">
        <v>376</v>
      </c>
      <c r="B497" s="345">
        <v>0.63888888888888884</v>
      </c>
      <c r="C497" s="345" t="s">
        <v>378</v>
      </c>
      <c r="D497" s="304" t="s">
        <v>700</v>
      </c>
      <c r="E497" s="377" t="s">
        <v>503</v>
      </c>
      <c r="F497" s="367"/>
      <c r="G497" s="368">
        <v>1</v>
      </c>
      <c r="H497" s="368"/>
      <c r="I497" s="370"/>
      <c r="J497" s="370"/>
      <c r="K497" s="367"/>
      <c r="L497" s="370"/>
    </row>
    <row r="498" spans="1:12" ht="33" customHeight="1" x14ac:dyDescent="0.45">
      <c r="A498" s="344" t="s">
        <v>336</v>
      </c>
      <c r="B498" s="345"/>
      <c r="C498" s="345" t="s">
        <v>660</v>
      </c>
      <c r="D498" s="304"/>
      <c r="E498" s="377"/>
      <c r="F498" s="367"/>
      <c r="G498" s="368"/>
      <c r="H498" s="368"/>
      <c r="I498" s="370"/>
      <c r="J498" s="370"/>
      <c r="K498" s="367"/>
      <c r="L498" s="370"/>
    </row>
    <row r="499" spans="1:12" ht="33" customHeight="1" x14ac:dyDescent="0.45">
      <c r="A499" s="344" t="s">
        <v>336</v>
      </c>
      <c r="B499" s="345"/>
      <c r="C499" s="345" t="s">
        <v>660</v>
      </c>
      <c r="D499" s="304"/>
      <c r="E499" s="377"/>
      <c r="F499" s="367"/>
      <c r="G499" s="368"/>
      <c r="H499" s="368"/>
      <c r="I499" s="370"/>
      <c r="J499" s="370"/>
      <c r="K499" s="367"/>
      <c r="L499" s="370"/>
    </row>
    <row r="500" spans="1:12" ht="33" customHeight="1" x14ac:dyDescent="0.45">
      <c r="A500" s="344" t="s">
        <v>336</v>
      </c>
      <c r="B500" s="345"/>
      <c r="C500" s="345" t="s">
        <v>660</v>
      </c>
      <c r="D500" s="304"/>
      <c r="E500" s="377"/>
      <c r="F500" s="367"/>
      <c r="G500" s="368"/>
      <c r="H500" s="368"/>
      <c r="I500" s="370"/>
      <c r="J500" s="370"/>
      <c r="K500" s="367"/>
      <c r="L500" s="370"/>
    </row>
    <row r="501" spans="1:12" ht="33" customHeight="1" x14ac:dyDescent="0.45">
      <c r="A501" s="344" t="s">
        <v>336</v>
      </c>
      <c r="B501" s="345"/>
      <c r="C501" s="345" t="s">
        <v>660</v>
      </c>
      <c r="D501" s="304"/>
      <c r="E501" s="377"/>
      <c r="F501" s="367"/>
      <c r="G501" s="368"/>
      <c r="H501" s="368"/>
      <c r="I501" s="370"/>
      <c r="J501" s="370"/>
      <c r="K501" s="367"/>
      <c r="L501" s="370"/>
    </row>
    <row r="502" spans="1:12" ht="33" customHeight="1" x14ac:dyDescent="0.45">
      <c r="A502" s="344" t="s">
        <v>336</v>
      </c>
      <c r="B502" s="345"/>
      <c r="C502" s="345" t="s">
        <v>660</v>
      </c>
      <c r="D502" s="304"/>
      <c r="E502" s="377"/>
      <c r="F502" s="367"/>
      <c r="G502" s="368"/>
      <c r="H502" s="368"/>
      <c r="I502" s="370"/>
      <c r="J502" s="370"/>
      <c r="K502" s="367"/>
      <c r="L502" s="370"/>
    </row>
    <row r="503" spans="1:12" ht="33" customHeight="1" x14ac:dyDescent="0.45">
      <c r="C503" s="190" t="s">
        <v>691</v>
      </c>
      <c r="F503" s="137" t="s">
        <v>15</v>
      </c>
    </row>
    <row r="505" spans="1:12" ht="23.25" x14ac:dyDescent="0.45">
      <c r="A505" s="137" t="s">
        <v>18</v>
      </c>
      <c r="B505" s="260" t="s">
        <v>378</v>
      </c>
      <c r="C505" s="241"/>
      <c r="D505" s="241"/>
      <c r="E505" s="241"/>
      <c r="L505" s="602">
        <f>L488+1</f>
        <v>46168</v>
      </c>
    </row>
    <row r="506" spans="1:12" ht="21" x14ac:dyDescent="0.45">
      <c r="A506" s="137" t="s">
        <v>13</v>
      </c>
      <c r="B506" s="320" t="s">
        <v>700</v>
      </c>
      <c r="C506" s="254"/>
      <c r="D506" s="254"/>
      <c r="E506" s="598"/>
      <c r="J506" s="600"/>
      <c r="L506" s="600"/>
    </row>
    <row r="508" spans="1:12" x14ac:dyDescent="0.45">
      <c r="A508" s="141"/>
      <c r="B508" s="142"/>
      <c r="C508" s="142"/>
      <c r="D508" s="142"/>
      <c r="E508" s="142"/>
      <c r="F508" s="142"/>
      <c r="G508" s="142"/>
      <c r="H508" s="142"/>
      <c r="I508" s="142"/>
      <c r="J508" s="319"/>
      <c r="K508" s="319" t="s">
        <v>337</v>
      </c>
      <c r="L508" s="294"/>
    </row>
    <row r="509" spans="1:12" ht="63" x14ac:dyDescent="0.45">
      <c r="A509" s="297" t="s">
        <v>534</v>
      </c>
      <c r="B509" s="298" t="s">
        <v>0</v>
      </c>
      <c r="C509" s="298" t="s">
        <v>332</v>
      </c>
      <c r="D509" s="298" t="s">
        <v>333</v>
      </c>
      <c r="E509" s="298" t="s">
        <v>535</v>
      </c>
      <c r="F509" s="298" t="s">
        <v>1</v>
      </c>
      <c r="G509" s="298" t="s">
        <v>334</v>
      </c>
      <c r="H509" s="298" t="s">
        <v>335</v>
      </c>
      <c r="I509" s="298" t="s">
        <v>23</v>
      </c>
      <c r="J509" s="300" t="s">
        <v>22</v>
      </c>
      <c r="K509" s="298" t="s">
        <v>17</v>
      </c>
      <c r="L509" s="301" t="s">
        <v>12</v>
      </c>
    </row>
    <row r="510" spans="1:12" ht="33" customHeight="1" x14ac:dyDescent="0.45">
      <c r="A510" s="344" t="s">
        <v>501</v>
      </c>
      <c r="B510" s="345">
        <v>0.2326388888888889</v>
      </c>
      <c r="C510" s="345" t="s">
        <v>378</v>
      </c>
      <c r="D510" s="304" t="s">
        <v>700</v>
      </c>
      <c r="E510" s="377" t="s">
        <v>503</v>
      </c>
      <c r="F510" s="580"/>
      <c r="G510" s="368">
        <v>1</v>
      </c>
      <c r="H510" s="363"/>
      <c r="I510" s="580"/>
      <c r="J510" s="365"/>
      <c r="K510" s="580"/>
      <c r="L510" s="366"/>
    </row>
    <row r="511" spans="1:12" ht="33" customHeight="1" x14ac:dyDescent="0.45">
      <c r="A511" s="344" t="s">
        <v>501</v>
      </c>
      <c r="B511" s="345">
        <v>0.27083333333333331</v>
      </c>
      <c r="C511" s="345" t="s">
        <v>378</v>
      </c>
      <c r="D511" s="304" t="s">
        <v>700</v>
      </c>
      <c r="E511" s="377" t="s">
        <v>503</v>
      </c>
      <c r="F511" s="580"/>
      <c r="G511" s="368">
        <v>1</v>
      </c>
      <c r="H511" s="363"/>
      <c r="I511" s="580"/>
      <c r="J511" s="365"/>
      <c r="K511" s="580"/>
      <c r="L511" s="366"/>
    </row>
    <row r="512" spans="1:12" ht="33" customHeight="1" x14ac:dyDescent="0.45">
      <c r="A512" s="344" t="s">
        <v>501</v>
      </c>
      <c r="B512" s="345">
        <v>0.28819444444444442</v>
      </c>
      <c r="C512" s="345" t="s">
        <v>378</v>
      </c>
      <c r="D512" s="304" t="s">
        <v>700</v>
      </c>
      <c r="E512" s="377" t="s">
        <v>504</v>
      </c>
      <c r="F512" s="367"/>
      <c r="G512" s="368">
        <v>1</v>
      </c>
      <c r="H512" s="368"/>
      <c r="I512" s="370"/>
      <c r="J512" s="370"/>
      <c r="K512" s="367"/>
      <c r="L512" s="370"/>
    </row>
    <row r="513" spans="1:12" ht="33" customHeight="1" x14ac:dyDescent="0.45">
      <c r="A513" s="344" t="s">
        <v>376</v>
      </c>
      <c r="B513" s="345">
        <v>0.3263888888888889</v>
      </c>
      <c r="C513" s="345" t="s">
        <v>378</v>
      </c>
      <c r="D513" s="304" t="s">
        <v>700</v>
      </c>
      <c r="E513" s="377" t="s">
        <v>504</v>
      </c>
      <c r="F513" s="367"/>
      <c r="G513" s="368">
        <v>1</v>
      </c>
      <c r="H513" s="368"/>
      <c r="I513" s="370"/>
      <c r="J513" s="370"/>
      <c r="K513" s="367"/>
      <c r="L513" s="370"/>
    </row>
    <row r="514" spans="1:12" ht="33" customHeight="1" x14ac:dyDescent="0.45">
      <c r="A514" s="344" t="s">
        <v>376</v>
      </c>
      <c r="B514" s="303">
        <v>0.58333333333333337</v>
      </c>
      <c r="C514" s="303" t="s">
        <v>378</v>
      </c>
      <c r="D514" s="304" t="s">
        <v>700</v>
      </c>
      <c r="E514" s="377" t="s">
        <v>503</v>
      </c>
      <c r="F514" s="367"/>
      <c r="G514" s="368">
        <v>1</v>
      </c>
      <c r="H514" s="368"/>
      <c r="I514" s="370"/>
      <c r="J514" s="370"/>
      <c r="K514" s="367"/>
      <c r="L514" s="370"/>
    </row>
    <row r="515" spans="1:12" ht="33" customHeight="1" x14ac:dyDescent="0.45">
      <c r="A515" s="344" t="s">
        <v>376</v>
      </c>
      <c r="B515" s="303">
        <v>0.61458333333333337</v>
      </c>
      <c r="C515" s="303" t="s">
        <v>378</v>
      </c>
      <c r="D515" s="304" t="s">
        <v>700</v>
      </c>
      <c r="E515" s="377" t="s">
        <v>503</v>
      </c>
      <c r="F515" s="367"/>
      <c r="G515" s="368">
        <v>1</v>
      </c>
      <c r="H515" s="368"/>
      <c r="I515" s="370"/>
      <c r="J515" s="370"/>
      <c r="K515" s="367"/>
      <c r="L515" s="370"/>
    </row>
    <row r="516" spans="1:12" ht="33" customHeight="1" x14ac:dyDescent="0.45">
      <c r="A516" s="344" t="s">
        <v>376</v>
      </c>
      <c r="B516" s="303">
        <v>0.63888888888888884</v>
      </c>
      <c r="C516" s="303" t="s">
        <v>378</v>
      </c>
      <c r="D516" s="304" t="s">
        <v>700</v>
      </c>
      <c r="E516" s="377" t="s">
        <v>503</v>
      </c>
      <c r="F516" s="367"/>
      <c r="G516" s="368">
        <v>1</v>
      </c>
      <c r="H516" s="368"/>
      <c r="I516" s="370"/>
      <c r="J516" s="370"/>
      <c r="K516" s="367"/>
      <c r="L516" s="370"/>
    </row>
    <row r="517" spans="1:12" ht="33" customHeight="1" x14ac:dyDescent="0.45">
      <c r="A517" s="344" t="s">
        <v>501</v>
      </c>
      <c r="B517" s="303">
        <v>0.76041666666666663</v>
      </c>
      <c r="C517" s="303" t="s">
        <v>378</v>
      </c>
      <c r="D517" s="304" t="s">
        <v>700</v>
      </c>
      <c r="E517" s="377" t="s">
        <v>504</v>
      </c>
      <c r="F517" s="367"/>
      <c r="G517" s="368">
        <v>1</v>
      </c>
      <c r="H517" s="368"/>
      <c r="I517" s="370"/>
      <c r="J517" s="370"/>
      <c r="K517" s="367"/>
      <c r="L517" s="370"/>
    </row>
    <row r="518" spans="1:12" ht="33" customHeight="1" x14ac:dyDescent="0.45">
      <c r="A518" s="344" t="s">
        <v>376</v>
      </c>
      <c r="B518" s="303">
        <v>0.78125</v>
      </c>
      <c r="C518" s="303" t="s">
        <v>378</v>
      </c>
      <c r="D518" s="304" t="s">
        <v>700</v>
      </c>
      <c r="E518" s="377" t="s">
        <v>503</v>
      </c>
      <c r="F518" s="367"/>
      <c r="G518" s="368">
        <v>1</v>
      </c>
      <c r="H518" s="368"/>
      <c r="I518" s="370"/>
      <c r="J518" s="370"/>
      <c r="K518" s="367"/>
      <c r="L518" s="370"/>
    </row>
    <row r="519" spans="1:12" ht="33" customHeight="1" x14ac:dyDescent="0.45">
      <c r="A519" s="601" t="s">
        <v>663</v>
      </c>
      <c r="B519" s="303">
        <v>0.80902777777777779</v>
      </c>
      <c r="C519" s="303" t="s">
        <v>378</v>
      </c>
      <c r="D519" s="304" t="s">
        <v>700</v>
      </c>
      <c r="E519" s="304" t="s">
        <v>688</v>
      </c>
      <c r="F519" s="305"/>
      <c r="G519" s="306">
        <v>1</v>
      </c>
      <c r="H519" s="306"/>
      <c r="I519" s="306"/>
      <c r="J519" s="297"/>
      <c r="K519" s="305"/>
      <c r="L519" s="297"/>
    </row>
    <row r="520" spans="1:12" ht="33" customHeight="1" x14ac:dyDescent="0.45">
      <c r="A520" s="601" t="s">
        <v>336</v>
      </c>
      <c r="B520" s="303"/>
      <c r="C520" s="303" t="s">
        <v>660</v>
      </c>
      <c r="D520" s="304"/>
      <c r="E520" s="304"/>
      <c r="F520" s="305"/>
      <c r="G520" s="306"/>
      <c r="H520" s="306"/>
      <c r="I520" s="306"/>
      <c r="J520" s="297"/>
      <c r="K520" s="305"/>
      <c r="L520" s="297"/>
    </row>
    <row r="521" spans="1:12" ht="33" customHeight="1" x14ac:dyDescent="0.45">
      <c r="A521" s="601" t="s">
        <v>336</v>
      </c>
      <c r="B521" s="303"/>
      <c r="C521" s="303" t="s">
        <v>660</v>
      </c>
      <c r="D521" s="304"/>
      <c r="E521" s="304"/>
      <c r="F521" s="305"/>
      <c r="G521" s="306"/>
      <c r="H521" s="306"/>
      <c r="I521" s="306"/>
      <c r="J521" s="297"/>
      <c r="K521" s="305"/>
      <c r="L521" s="297"/>
    </row>
    <row r="522" spans="1:12" ht="21" x14ac:dyDescent="0.45">
      <c r="A522" s="601" t="s">
        <v>336</v>
      </c>
      <c r="B522" s="303"/>
      <c r="C522" s="303" t="s">
        <v>660</v>
      </c>
      <c r="D522" s="304"/>
      <c r="E522" s="304"/>
      <c r="F522" s="305"/>
      <c r="G522" s="306"/>
      <c r="H522" s="306"/>
      <c r="I522" s="306"/>
      <c r="J522" s="297"/>
      <c r="K522" s="305"/>
      <c r="L522" s="297"/>
    </row>
    <row r="523" spans="1:12" ht="21" x14ac:dyDescent="0.45">
      <c r="A523" s="601" t="s">
        <v>336</v>
      </c>
      <c r="B523" s="303"/>
      <c r="C523" s="303" t="s">
        <v>660</v>
      </c>
      <c r="D523" s="304"/>
      <c r="E523" s="304"/>
      <c r="F523" s="305"/>
      <c r="G523" s="306"/>
      <c r="H523" s="306"/>
      <c r="I523" s="306"/>
      <c r="J523" s="297"/>
      <c r="K523" s="305"/>
      <c r="L523" s="297"/>
    </row>
    <row r="524" spans="1:12" x14ac:dyDescent="0.45">
      <c r="C524" s="190" t="s">
        <v>691</v>
      </c>
      <c r="F524" s="137" t="s">
        <v>15</v>
      </c>
    </row>
    <row r="527" spans="1:12" ht="23.25" x14ac:dyDescent="0.45">
      <c r="A527" s="137" t="s">
        <v>18</v>
      </c>
      <c r="B527" s="260" t="s">
        <v>378</v>
      </c>
      <c r="C527" s="241"/>
      <c r="D527" s="241"/>
      <c r="E527" s="241"/>
    </row>
    <row r="528" spans="1:12" ht="21" x14ac:dyDescent="0.45">
      <c r="A528" s="137" t="s">
        <v>13</v>
      </c>
      <c r="B528" s="320" t="s">
        <v>700</v>
      </c>
      <c r="C528" s="254"/>
      <c r="D528" s="254"/>
      <c r="E528" s="598"/>
      <c r="J528" s="600"/>
      <c r="L528" s="607">
        <f>L505+1</f>
        <v>46169</v>
      </c>
    </row>
    <row r="530" spans="1:12" x14ac:dyDescent="0.45">
      <c r="A530" s="141"/>
      <c r="B530" s="142"/>
      <c r="C530" s="142"/>
      <c r="D530" s="142"/>
      <c r="E530" s="142"/>
      <c r="F530" s="142"/>
      <c r="G530" s="142"/>
      <c r="H530" s="142"/>
      <c r="I530" s="142"/>
      <c r="J530" s="319"/>
      <c r="K530" s="319" t="s">
        <v>337</v>
      </c>
      <c r="L530" s="294"/>
    </row>
    <row r="531" spans="1:12" ht="63" x14ac:dyDescent="0.45">
      <c r="A531" s="297" t="s">
        <v>534</v>
      </c>
      <c r="B531" s="298" t="s">
        <v>0</v>
      </c>
      <c r="C531" s="298" t="s">
        <v>332</v>
      </c>
      <c r="D531" s="298" t="s">
        <v>333</v>
      </c>
      <c r="E531" s="298" t="s">
        <v>535</v>
      </c>
      <c r="F531" s="298" t="s">
        <v>1</v>
      </c>
      <c r="G531" s="298" t="s">
        <v>334</v>
      </c>
      <c r="H531" s="298" t="s">
        <v>335</v>
      </c>
      <c r="I531" s="298" t="s">
        <v>23</v>
      </c>
      <c r="J531" s="300" t="s">
        <v>22</v>
      </c>
      <c r="K531" s="298" t="s">
        <v>17</v>
      </c>
      <c r="L531" s="301" t="s">
        <v>12</v>
      </c>
    </row>
    <row r="532" spans="1:12" ht="33" customHeight="1" x14ac:dyDescent="0.45">
      <c r="A532" s="344" t="s">
        <v>501</v>
      </c>
      <c r="B532" s="345">
        <v>0.2326388888888889</v>
      </c>
      <c r="C532" s="345" t="s">
        <v>378</v>
      </c>
      <c r="D532" s="304" t="s">
        <v>700</v>
      </c>
      <c r="E532" s="377" t="s">
        <v>503</v>
      </c>
      <c r="F532" s="580"/>
      <c r="G532" s="368">
        <v>1</v>
      </c>
      <c r="H532" s="363"/>
      <c r="I532" s="580"/>
      <c r="J532" s="365"/>
      <c r="K532" s="580"/>
      <c r="L532" s="366"/>
    </row>
    <row r="533" spans="1:12" ht="33" customHeight="1" x14ac:dyDescent="0.45">
      <c r="A533" s="344" t="s">
        <v>501</v>
      </c>
      <c r="B533" s="345">
        <v>0.27083333333333331</v>
      </c>
      <c r="C533" s="345" t="s">
        <v>378</v>
      </c>
      <c r="D533" s="304" t="s">
        <v>700</v>
      </c>
      <c r="E533" s="377" t="s">
        <v>503</v>
      </c>
      <c r="F533" s="580"/>
      <c r="G533" s="368">
        <v>1</v>
      </c>
      <c r="H533" s="363"/>
      <c r="I533" s="580"/>
      <c r="J533" s="365"/>
      <c r="K533" s="580"/>
      <c r="L533" s="366"/>
    </row>
    <row r="534" spans="1:12" ht="33" customHeight="1" x14ac:dyDescent="0.45">
      <c r="A534" s="344" t="s">
        <v>501</v>
      </c>
      <c r="B534" s="345">
        <v>0.28819444444444442</v>
      </c>
      <c r="C534" s="345" t="s">
        <v>378</v>
      </c>
      <c r="D534" s="304" t="s">
        <v>700</v>
      </c>
      <c r="E534" s="377" t="s">
        <v>504</v>
      </c>
      <c r="F534" s="580"/>
      <c r="G534" s="368">
        <v>1</v>
      </c>
      <c r="H534" s="363"/>
      <c r="I534" s="580"/>
      <c r="J534" s="365"/>
      <c r="K534" s="580"/>
      <c r="L534" s="366"/>
    </row>
    <row r="535" spans="1:12" ht="33" customHeight="1" x14ac:dyDescent="0.45">
      <c r="A535" s="344" t="s">
        <v>376</v>
      </c>
      <c r="B535" s="345">
        <v>0.58333333333333337</v>
      </c>
      <c r="C535" s="345" t="s">
        <v>378</v>
      </c>
      <c r="D535" s="304" t="s">
        <v>700</v>
      </c>
      <c r="E535" s="377" t="s">
        <v>503</v>
      </c>
      <c r="F535" s="367"/>
      <c r="G535" s="368">
        <v>1</v>
      </c>
      <c r="H535" s="368"/>
      <c r="I535" s="370"/>
      <c r="J535" s="370"/>
      <c r="K535" s="367"/>
      <c r="L535" s="370"/>
    </row>
    <row r="536" spans="1:12" ht="33" customHeight="1" x14ac:dyDescent="0.45">
      <c r="A536" s="344" t="s">
        <v>376</v>
      </c>
      <c r="B536" s="345">
        <v>0.61458333333333337</v>
      </c>
      <c r="C536" s="345" t="s">
        <v>378</v>
      </c>
      <c r="D536" s="304" t="s">
        <v>700</v>
      </c>
      <c r="E536" s="377" t="s">
        <v>503</v>
      </c>
      <c r="F536" s="367"/>
      <c r="G536" s="368">
        <v>1</v>
      </c>
      <c r="H536" s="368"/>
      <c r="I536" s="370"/>
      <c r="J536" s="370"/>
      <c r="K536" s="367"/>
      <c r="L536" s="370"/>
    </row>
    <row r="537" spans="1:12" ht="33" customHeight="1" x14ac:dyDescent="0.45">
      <c r="A537" s="344" t="s">
        <v>376</v>
      </c>
      <c r="B537" s="345">
        <v>0.63888888888888884</v>
      </c>
      <c r="C537" s="345" t="s">
        <v>378</v>
      </c>
      <c r="D537" s="304" t="s">
        <v>700</v>
      </c>
      <c r="E537" s="377" t="s">
        <v>503</v>
      </c>
      <c r="F537" s="367"/>
      <c r="G537" s="368">
        <v>1</v>
      </c>
      <c r="H537" s="368"/>
      <c r="I537" s="370"/>
      <c r="J537" s="370"/>
      <c r="K537" s="367"/>
      <c r="L537" s="370"/>
    </row>
    <row r="538" spans="1:12" ht="33" customHeight="1" x14ac:dyDescent="0.45">
      <c r="A538" s="344" t="s">
        <v>336</v>
      </c>
      <c r="B538" s="345"/>
      <c r="C538" s="345" t="s">
        <v>660</v>
      </c>
      <c r="D538" s="304"/>
      <c r="E538" s="377"/>
      <c r="F538" s="367"/>
      <c r="G538" s="368"/>
      <c r="H538" s="368"/>
      <c r="I538" s="370"/>
      <c r="J538" s="370"/>
      <c r="K538" s="367"/>
      <c r="L538" s="370"/>
    </row>
    <row r="539" spans="1:12" ht="33" customHeight="1" x14ac:dyDescent="0.45">
      <c r="A539" s="344" t="s">
        <v>336</v>
      </c>
      <c r="B539" s="345"/>
      <c r="C539" s="345" t="s">
        <v>660</v>
      </c>
      <c r="D539" s="304"/>
      <c r="E539" s="377"/>
      <c r="F539" s="367"/>
      <c r="G539" s="368"/>
      <c r="H539" s="368"/>
      <c r="I539" s="370"/>
      <c r="J539" s="370"/>
      <c r="K539" s="367"/>
      <c r="L539" s="370"/>
    </row>
    <row r="540" spans="1:12" ht="33" customHeight="1" x14ac:dyDescent="0.45">
      <c r="A540" s="344" t="s">
        <v>336</v>
      </c>
      <c r="B540" s="345"/>
      <c r="C540" s="345" t="s">
        <v>660</v>
      </c>
      <c r="D540" s="304"/>
      <c r="E540" s="377"/>
      <c r="F540" s="367"/>
      <c r="G540" s="368"/>
      <c r="H540" s="368"/>
      <c r="I540" s="370"/>
      <c r="J540" s="370"/>
      <c r="K540" s="367"/>
      <c r="L540" s="370"/>
    </row>
    <row r="541" spans="1:12" ht="33" customHeight="1" x14ac:dyDescent="0.45">
      <c r="A541" s="344" t="s">
        <v>336</v>
      </c>
      <c r="B541" s="345"/>
      <c r="C541" s="345" t="s">
        <v>660</v>
      </c>
      <c r="D541" s="304"/>
      <c r="E541" s="377"/>
      <c r="F541" s="367"/>
      <c r="G541" s="368"/>
      <c r="H541" s="368"/>
      <c r="I541" s="370"/>
      <c r="J541" s="370"/>
      <c r="K541" s="367"/>
      <c r="L541" s="370"/>
    </row>
    <row r="542" spans="1:12" ht="33" customHeight="1" x14ac:dyDescent="0.45">
      <c r="A542" s="344" t="s">
        <v>336</v>
      </c>
      <c r="B542" s="345"/>
      <c r="C542" s="345" t="s">
        <v>660</v>
      </c>
      <c r="D542" s="304"/>
      <c r="E542" s="377"/>
      <c r="F542" s="367"/>
      <c r="G542" s="368"/>
      <c r="H542" s="368"/>
      <c r="I542" s="370"/>
      <c r="J542" s="370"/>
      <c r="K542" s="367"/>
      <c r="L542" s="370"/>
    </row>
    <row r="543" spans="1:12" ht="33" customHeight="1" x14ac:dyDescent="0.45">
      <c r="C543" s="190" t="s">
        <v>691</v>
      </c>
      <c r="F543" s="137" t="s">
        <v>15</v>
      </c>
    </row>
    <row r="545" spans="1:12" ht="23.25" x14ac:dyDescent="0.45">
      <c r="A545" s="137" t="s">
        <v>18</v>
      </c>
      <c r="B545" s="260" t="s">
        <v>378</v>
      </c>
      <c r="C545" s="241"/>
      <c r="D545" s="241"/>
      <c r="E545" s="241"/>
    </row>
    <row r="546" spans="1:12" ht="21" x14ac:dyDescent="0.45">
      <c r="A546" s="137" t="s">
        <v>13</v>
      </c>
      <c r="B546" s="320" t="s">
        <v>700</v>
      </c>
      <c r="C546" s="254"/>
      <c r="D546" s="254"/>
      <c r="E546" s="598"/>
      <c r="J546" s="600"/>
      <c r="L546" s="600">
        <f>L528+1</f>
        <v>46170</v>
      </c>
    </row>
    <row r="548" spans="1:12" x14ac:dyDescent="0.45">
      <c r="A548" s="141"/>
      <c r="B548" s="142"/>
      <c r="C548" s="142"/>
      <c r="D548" s="142"/>
      <c r="E548" s="142"/>
      <c r="F548" s="142"/>
      <c r="G548" s="142"/>
      <c r="H548" s="142"/>
      <c r="I548" s="142"/>
      <c r="J548" s="319"/>
      <c r="K548" s="319" t="s">
        <v>337</v>
      </c>
      <c r="L548" s="294"/>
    </row>
    <row r="549" spans="1:12" ht="63" x14ac:dyDescent="0.45">
      <c r="A549" s="297" t="s">
        <v>534</v>
      </c>
      <c r="B549" s="298" t="s">
        <v>0</v>
      </c>
      <c r="C549" s="298" t="s">
        <v>332</v>
      </c>
      <c r="D549" s="298" t="s">
        <v>333</v>
      </c>
      <c r="E549" s="298" t="s">
        <v>535</v>
      </c>
      <c r="F549" s="298" t="s">
        <v>1</v>
      </c>
      <c r="G549" s="298" t="s">
        <v>334</v>
      </c>
      <c r="H549" s="298" t="s">
        <v>335</v>
      </c>
      <c r="I549" s="298" t="s">
        <v>23</v>
      </c>
      <c r="J549" s="300" t="s">
        <v>22</v>
      </c>
      <c r="K549" s="298" t="s">
        <v>17</v>
      </c>
      <c r="L549" s="301" t="s">
        <v>12</v>
      </c>
    </row>
    <row r="550" spans="1:12" ht="33.4" customHeight="1" x14ac:dyDescent="0.45">
      <c r="A550" s="344" t="s">
        <v>501</v>
      </c>
      <c r="B550" s="345">
        <v>0.2326388888888889</v>
      </c>
      <c r="C550" s="345" t="s">
        <v>378</v>
      </c>
      <c r="D550" s="304" t="s">
        <v>700</v>
      </c>
      <c r="E550" s="377" t="s">
        <v>503</v>
      </c>
      <c r="F550" s="580"/>
      <c r="G550" s="368">
        <v>1</v>
      </c>
      <c r="H550" s="363"/>
      <c r="I550" s="580"/>
      <c r="J550" s="365"/>
      <c r="K550" s="580"/>
      <c r="L550" s="366"/>
    </row>
    <row r="551" spans="1:12" ht="33.4" customHeight="1" x14ac:dyDescent="0.45">
      <c r="A551" s="344" t="s">
        <v>501</v>
      </c>
      <c r="B551" s="345">
        <v>0.27083333333333331</v>
      </c>
      <c r="C551" s="345" t="s">
        <v>378</v>
      </c>
      <c r="D551" s="304" t="s">
        <v>700</v>
      </c>
      <c r="E551" s="377" t="s">
        <v>503</v>
      </c>
      <c r="F551" s="580"/>
      <c r="G551" s="368">
        <v>1</v>
      </c>
      <c r="H551" s="363"/>
      <c r="I551" s="580"/>
      <c r="J551" s="365"/>
      <c r="K551" s="580"/>
      <c r="L551" s="366"/>
    </row>
    <row r="552" spans="1:12" ht="33.4" customHeight="1" x14ac:dyDescent="0.45">
      <c r="A552" s="344" t="s">
        <v>501</v>
      </c>
      <c r="B552" s="345">
        <v>0.28819444444444442</v>
      </c>
      <c r="C552" s="345" t="s">
        <v>378</v>
      </c>
      <c r="D552" s="304" t="s">
        <v>700</v>
      </c>
      <c r="E552" s="377" t="s">
        <v>504</v>
      </c>
      <c r="F552" s="367"/>
      <c r="G552" s="368">
        <v>1</v>
      </c>
      <c r="H552" s="368"/>
      <c r="I552" s="370"/>
      <c r="J552" s="370"/>
      <c r="K552" s="367"/>
      <c r="L552" s="370"/>
    </row>
    <row r="553" spans="1:12" ht="33.4" customHeight="1" x14ac:dyDescent="0.45">
      <c r="A553" s="344" t="s">
        <v>376</v>
      </c>
      <c r="B553" s="345">
        <v>0.3263888888888889</v>
      </c>
      <c r="C553" s="345" t="s">
        <v>378</v>
      </c>
      <c r="D553" s="304" t="s">
        <v>700</v>
      </c>
      <c r="E553" s="377" t="s">
        <v>504</v>
      </c>
      <c r="F553" s="367"/>
      <c r="G553" s="368">
        <v>1</v>
      </c>
      <c r="H553" s="368"/>
      <c r="I553" s="370"/>
      <c r="J553" s="370"/>
      <c r="K553" s="367"/>
      <c r="L553" s="370"/>
    </row>
    <row r="554" spans="1:12" ht="33.4" customHeight="1" x14ac:dyDescent="0.45">
      <c r="A554" s="344" t="s">
        <v>376</v>
      </c>
      <c r="B554" s="303">
        <v>0.58333333333333337</v>
      </c>
      <c r="C554" s="303" t="s">
        <v>378</v>
      </c>
      <c r="D554" s="304" t="s">
        <v>700</v>
      </c>
      <c r="E554" s="377" t="s">
        <v>503</v>
      </c>
      <c r="F554" s="367"/>
      <c r="G554" s="368">
        <v>1</v>
      </c>
      <c r="H554" s="368"/>
      <c r="I554" s="370"/>
      <c r="J554" s="370"/>
      <c r="K554" s="367"/>
      <c r="L554" s="370"/>
    </row>
    <row r="555" spans="1:12" ht="33.4" customHeight="1" x14ac:dyDescent="0.45">
      <c r="A555" s="344" t="s">
        <v>376</v>
      </c>
      <c r="B555" s="303">
        <v>0.61458333333333337</v>
      </c>
      <c r="C555" s="303" t="s">
        <v>378</v>
      </c>
      <c r="D555" s="304" t="s">
        <v>700</v>
      </c>
      <c r="E555" s="377" t="s">
        <v>503</v>
      </c>
      <c r="F555" s="367"/>
      <c r="G555" s="368">
        <v>1</v>
      </c>
      <c r="H555" s="368"/>
      <c r="I555" s="370"/>
      <c r="J555" s="370"/>
      <c r="K555" s="367"/>
      <c r="L555" s="370"/>
    </row>
    <row r="556" spans="1:12" ht="33.4" customHeight="1" x14ac:dyDescent="0.45">
      <c r="A556" s="344" t="s">
        <v>376</v>
      </c>
      <c r="B556" s="303">
        <v>0.63888888888888884</v>
      </c>
      <c r="C556" s="303" t="s">
        <v>378</v>
      </c>
      <c r="D556" s="304" t="s">
        <v>700</v>
      </c>
      <c r="E556" s="377" t="s">
        <v>503</v>
      </c>
      <c r="F556" s="367"/>
      <c r="G556" s="368">
        <v>1</v>
      </c>
      <c r="H556" s="368"/>
      <c r="I556" s="370"/>
      <c r="J556" s="370"/>
      <c r="K556" s="367"/>
      <c r="L556" s="370"/>
    </row>
    <row r="557" spans="1:12" ht="33.4" customHeight="1" x14ac:dyDescent="0.45">
      <c r="A557" s="344" t="s">
        <v>501</v>
      </c>
      <c r="B557" s="303">
        <v>0.76041666666666663</v>
      </c>
      <c r="C557" s="303" t="s">
        <v>378</v>
      </c>
      <c r="D557" s="304" t="s">
        <v>700</v>
      </c>
      <c r="E557" s="377" t="s">
        <v>504</v>
      </c>
      <c r="F557" s="367"/>
      <c r="G557" s="368">
        <v>1</v>
      </c>
      <c r="H557" s="368"/>
      <c r="I557" s="370"/>
      <c r="J557" s="370"/>
      <c r="K557" s="367"/>
      <c r="L557" s="370"/>
    </row>
    <row r="558" spans="1:12" ht="33.4" customHeight="1" x14ac:dyDescent="0.45">
      <c r="A558" s="344" t="s">
        <v>376</v>
      </c>
      <c r="B558" s="303">
        <v>0.78125</v>
      </c>
      <c r="C558" s="303" t="s">
        <v>378</v>
      </c>
      <c r="D558" s="304" t="s">
        <v>700</v>
      </c>
      <c r="E558" s="377" t="s">
        <v>503</v>
      </c>
      <c r="F558" s="367"/>
      <c r="G558" s="368">
        <v>1</v>
      </c>
      <c r="H558" s="368"/>
      <c r="I558" s="370"/>
      <c r="J558" s="370"/>
      <c r="K558" s="367"/>
      <c r="L558" s="370"/>
    </row>
    <row r="559" spans="1:12" ht="33.4" customHeight="1" x14ac:dyDescent="0.45">
      <c r="A559" s="601" t="s">
        <v>663</v>
      </c>
      <c r="B559" s="303">
        <v>0.80902777777777779</v>
      </c>
      <c r="C559" s="303" t="s">
        <v>378</v>
      </c>
      <c r="D559" s="304" t="s">
        <v>700</v>
      </c>
      <c r="E559" s="304" t="s">
        <v>688</v>
      </c>
      <c r="F559" s="305"/>
      <c r="G559" s="306">
        <v>1</v>
      </c>
      <c r="H559" s="306"/>
      <c r="I559" s="306"/>
      <c r="J559" s="297"/>
      <c r="K559" s="305"/>
      <c r="L559" s="297"/>
    </row>
    <row r="560" spans="1:12" ht="33.4" customHeight="1" x14ac:dyDescent="0.45">
      <c r="A560" s="601" t="s">
        <v>336</v>
      </c>
      <c r="B560" s="303"/>
      <c r="C560" s="303" t="s">
        <v>660</v>
      </c>
      <c r="D560" s="304"/>
      <c r="E560" s="304"/>
      <c r="F560" s="305"/>
      <c r="G560" s="306"/>
      <c r="H560" s="306"/>
      <c r="I560" s="306"/>
      <c r="J560" s="297"/>
      <c r="K560" s="305"/>
      <c r="L560" s="297"/>
    </row>
    <row r="561" spans="1:12" ht="33.4" customHeight="1" x14ac:dyDescent="0.45">
      <c r="A561" s="601" t="s">
        <v>336</v>
      </c>
      <c r="B561" s="303"/>
      <c r="C561" s="303" t="s">
        <v>660</v>
      </c>
      <c r="D561" s="304"/>
      <c r="E561" s="304"/>
      <c r="F561" s="305"/>
      <c r="G561" s="306"/>
      <c r="H561" s="306"/>
      <c r="I561" s="306"/>
      <c r="J561" s="297"/>
      <c r="K561" s="305"/>
      <c r="L561" s="297"/>
    </row>
    <row r="562" spans="1:12" ht="33.4" customHeight="1" x14ac:dyDescent="0.45">
      <c r="A562" s="601" t="s">
        <v>336</v>
      </c>
      <c r="B562" s="303"/>
      <c r="C562" s="303" t="s">
        <v>660</v>
      </c>
      <c r="D562" s="304"/>
      <c r="E562" s="304"/>
      <c r="F562" s="305"/>
      <c r="G562" s="306"/>
      <c r="H562" s="306"/>
      <c r="I562" s="306"/>
      <c r="J562" s="297"/>
      <c r="K562" s="305"/>
      <c r="L562" s="297"/>
    </row>
    <row r="563" spans="1:12" ht="33.4" customHeight="1" x14ac:dyDescent="0.45">
      <c r="A563" s="601" t="s">
        <v>336</v>
      </c>
      <c r="B563" s="303"/>
      <c r="C563" s="303" t="s">
        <v>660</v>
      </c>
      <c r="D563" s="304"/>
      <c r="E563" s="304"/>
      <c r="F563" s="305"/>
      <c r="G563" s="306"/>
      <c r="H563" s="306"/>
      <c r="I563" s="306"/>
      <c r="J563" s="297"/>
      <c r="K563" s="305"/>
      <c r="L563" s="297"/>
    </row>
    <row r="564" spans="1:12" ht="33.4" customHeight="1" x14ac:dyDescent="0.45">
      <c r="C564" s="190" t="s">
        <v>691</v>
      </c>
      <c r="F564" s="137" t="s">
        <v>15</v>
      </c>
    </row>
    <row r="566" spans="1:12" ht="23.25" x14ac:dyDescent="0.45">
      <c r="A566" s="137" t="s">
        <v>18</v>
      </c>
      <c r="B566" s="260" t="s">
        <v>378</v>
      </c>
      <c r="C566" s="241"/>
      <c r="D566" s="241"/>
      <c r="E566" s="241"/>
    </row>
    <row r="567" spans="1:12" ht="21" x14ac:dyDescent="0.45">
      <c r="A567" s="137" t="s">
        <v>13</v>
      </c>
      <c r="B567" s="320" t="s">
        <v>700</v>
      </c>
      <c r="C567" s="254"/>
      <c r="D567" s="254"/>
      <c r="E567" s="598"/>
      <c r="J567" s="600"/>
      <c r="L567" s="600">
        <f>L546+1</f>
        <v>46171</v>
      </c>
    </row>
    <row r="569" spans="1:12" x14ac:dyDescent="0.45">
      <c r="A569" s="141"/>
      <c r="B569" s="142"/>
      <c r="C569" s="142"/>
      <c r="D569" s="142"/>
      <c r="E569" s="142"/>
      <c r="F569" s="142"/>
      <c r="G569" s="142"/>
      <c r="H569" s="142"/>
      <c r="I569" s="142"/>
      <c r="J569" s="319"/>
      <c r="K569" s="319" t="s">
        <v>337</v>
      </c>
      <c r="L569" s="294"/>
    </row>
    <row r="570" spans="1:12" ht="63" x14ac:dyDescent="0.45">
      <c r="A570" s="297" t="s">
        <v>534</v>
      </c>
      <c r="B570" s="298" t="s">
        <v>0</v>
      </c>
      <c r="C570" s="298" t="s">
        <v>332</v>
      </c>
      <c r="D570" s="298" t="s">
        <v>333</v>
      </c>
      <c r="E570" s="298" t="s">
        <v>535</v>
      </c>
      <c r="F570" s="298" t="s">
        <v>1</v>
      </c>
      <c r="G570" s="298" t="s">
        <v>334</v>
      </c>
      <c r="H570" s="298" t="s">
        <v>335</v>
      </c>
      <c r="I570" s="298" t="s">
        <v>23</v>
      </c>
      <c r="J570" s="300" t="s">
        <v>22</v>
      </c>
      <c r="K570" s="298" t="s">
        <v>17</v>
      </c>
      <c r="L570" s="301" t="s">
        <v>12</v>
      </c>
    </row>
    <row r="571" spans="1:12" ht="33.4" customHeight="1" x14ac:dyDescent="0.45">
      <c r="A571" s="344" t="s">
        <v>501</v>
      </c>
      <c r="B571" s="345">
        <v>0.2326388888888889</v>
      </c>
      <c r="C571" s="345" t="s">
        <v>378</v>
      </c>
      <c r="D571" s="304" t="s">
        <v>700</v>
      </c>
      <c r="E571" s="377" t="s">
        <v>503</v>
      </c>
      <c r="F571" s="580"/>
      <c r="G571" s="368">
        <v>1</v>
      </c>
      <c r="H571" s="363"/>
      <c r="I571" s="580"/>
      <c r="J571" s="365"/>
      <c r="K571" s="580"/>
      <c r="L571" s="366"/>
    </row>
    <row r="572" spans="1:12" ht="33.4" customHeight="1" x14ac:dyDescent="0.45">
      <c r="A572" s="344" t="s">
        <v>501</v>
      </c>
      <c r="B572" s="345">
        <v>0.27083333333333331</v>
      </c>
      <c r="C572" s="345" t="s">
        <v>378</v>
      </c>
      <c r="D572" s="304" t="s">
        <v>700</v>
      </c>
      <c r="E572" s="377" t="s">
        <v>503</v>
      </c>
      <c r="F572" s="580"/>
      <c r="G572" s="368">
        <v>1</v>
      </c>
      <c r="H572" s="363"/>
      <c r="I572" s="580"/>
      <c r="J572" s="365"/>
      <c r="K572" s="580"/>
      <c r="L572" s="366"/>
    </row>
    <row r="573" spans="1:12" ht="33.4" customHeight="1" x14ac:dyDescent="0.45">
      <c r="A573" s="344" t="s">
        <v>501</v>
      </c>
      <c r="B573" s="345">
        <v>0.28819444444444442</v>
      </c>
      <c r="C573" s="345" t="s">
        <v>378</v>
      </c>
      <c r="D573" s="304" t="s">
        <v>700</v>
      </c>
      <c r="E573" s="377" t="s">
        <v>504</v>
      </c>
      <c r="F573" s="367"/>
      <c r="G573" s="368">
        <v>1</v>
      </c>
      <c r="H573" s="368"/>
      <c r="I573" s="370"/>
      <c r="J573" s="370"/>
      <c r="K573" s="367"/>
      <c r="L573" s="370"/>
    </row>
    <row r="574" spans="1:12" ht="33.4" customHeight="1" x14ac:dyDescent="0.45">
      <c r="A574" s="344" t="s">
        <v>376</v>
      </c>
      <c r="B574" s="345">
        <v>0.3263888888888889</v>
      </c>
      <c r="C574" s="345" t="s">
        <v>378</v>
      </c>
      <c r="D574" s="304" t="s">
        <v>700</v>
      </c>
      <c r="E574" s="377" t="s">
        <v>504</v>
      </c>
      <c r="F574" s="367"/>
      <c r="G574" s="368">
        <v>1</v>
      </c>
      <c r="H574" s="368"/>
      <c r="I574" s="370"/>
      <c r="J574" s="370"/>
      <c r="K574" s="367"/>
      <c r="L574" s="370"/>
    </row>
    <row r="575" spans="1:12" ht="33.4" customHeight="1" x14ac:dyDescent="0.45">
      <c r="A575" s="344" t="s">
        <v>376</v>
      </c>
      <c r="B575" s="303">
        <v>0.58333333333333337</v>
      </c>
      <c r="C575" s="303" t="s">
        <v>378</v>
      </c>
      <c r="D575" s="304" t="s">
        <v>700</v>
      </c>
      <c r="E575" s="377" t="s">
        <v>503</v>
      </c>
      <c r="F575" s="367"/>
      <c r="G575" s="368">
        <v>1</v>
      </c>
      <c r="H575" s="368"/>
      <c r="I575" s="370"/>
      <c r="J575" s="370"/>
      <c r="K575" s="367"/>
      <c r="L575" s="370"/>
    </row>
    <row r="576" spans="1:12" ht="33.4" customHeight="1" x14ac:dyDescent="0.45">
      <c r="A576" s="344" t="s">
        <v>376</v>
      </c>
      <c r="B576" s="303">
        <v>0.61458333333333337</v>
      </c>
      <c r="C576" s="303" t="s">
        <v>378</v>
      </c>
      <c r="D576" s="304" t="s">
        <v>700</v>
      </c>
      <c r="E576" s="377" t="s">
        <v>503</v>
      </c>
      <c r="F576" s="367"/>
      <c r="G576" s="368">
        <v>1</v>
      </c>
      <c r="H576" s="368"/>
      <c r="I576" s="370"/>
      <c r="J576" s="370"/>
      <c r="K576" s="367"/>
      <c r="L576" s="370"/>
    </row>
    <row r="577" spans="1:12" ht="33.4" customHeight="1" x14ac:dyDescent="0.45">
      <c r="A577" s="344" t="s">
        <v>376</v>
      </c>
      <c r="B577" s="303">
        <v>0.63888888888888884</v>
      </c>
      <c r="C577" s="303" t="s">
        <v>378</v>
      </c>
      <c r="D577" s="304" t="s">
        <v>700</v>
      </c>
      <c r="E577" s="377" t="s">
        <v>503</v>
      </c>
      <c r="F577" s="367"/>
      <c r="G577" s="368">
        <v>1</v>
      </c>
      <c r="H577" s="368"/>
      <c r="I577" s="370"/>
      <c r="J577" s="370"/>
      <c r="K577" s="367"/>
      <c r="L577" s="370"/>
    </row>
    <row r="578" spans="1:12" ht="33.4" customHeight="1" x14ac:dyDescent="0.45">
      <c r="A578" s="344" t="s">
        <v>501</v>
      </c>
      <c r="B578" s="303">
        <v>0.76041666666666663</v>
      </c>
      <c r="C578" s="303" t="s">
        <v>378</v>
      </c>
      <c r="D578" s="304" t="s">
        <v>700</v>
      </c>
      <c r="E578" s="377" t="s">
        <v>504</v>
      </c>
      <c r="F578" s="367"/>
      <c r="G578" s="368">
        <v>1</v>
      </c>
      <c r="H578" s="368"/>
      <c r="I578" s="370"/>
      <c r="J578" s="370"/>
      <c r="K578" s="367"/>
      <c r="L578" s="370"/>
    </row>
    <row r="579" spans="1:12" ht="33.4" customHeight="1" x14ac:dyDescent="0.45">
      <c r="A579" s="344" t="s">
        <v>376</v>
      </c>
      <c r="B579" s="303">
        <v>0.78125</v>
      </c>
      <c r="C579" s="303" t="s">
        <v>378</v>
      </c>
      <c r="D579" s="304" t="s">
        <v>700</v>
      </c>
      <c r="E579" s="377" t="s">
        <v>503</v>
      </c>
      <c r="F579" s="367"/>
      <c r="G579" s="368">
        <v>1</v>
      </c>
      <c r="H579" s="368"/>
      <c r="I579" s="370"/>
      <c r="J579" s="370"/>
      <c r="K579" s="367"/>
      <c r="L579" s="370"/>
    </row>
    <row r="580" spans="1:12" ht="33.4" customHeight="1" x14ac:dyDescent="0.45">
      <c r="A580" s="601" t="s">
        <v>663</v>
      </c>
      <c r="B580" s="303">
        <v>0.80902777777777779</v>
      </c>
      <c r="C580" s="303" t="s">
        <v>378</v>
      </c>
      <c r="D580" s="304" t="s">
        <v>700</v>
      </c>
      <c r="E580" s="304" t="s">
        <v>688</v>
      </c>
      <c r="F580" s="305"/>
      <c r="G580" s="306">
        <v>1</v>
      </c>
      <c r="H580" s="306"/>
      <c r="I580" s="306"/>
      <c r="J580" s="297"/>
      <c r="K580" s="305"/>
      <c r="L580" s="297"/>
    </row>
    <row r="581" spans="1:12" ht="33.4" customHeight="1" x14ac:dyDescent="0.45">
      <c r="A581" s="601" t="s">
        <v>336</v>
      </c>
      <c r="B581" s="303"/>
      <c r="C581" s="303" t="s">
        <v>660</v>
      </c>
      <c r="D581" s="304"/>
      <c r="E581" s="304"/>
      <c r="F581" s="305"/>
      <c r="G581" s="306"/>
      <c r="H581" s="306"/>
      <c r="I581" s="306"/>
      <c r="J581" s="297"/>
      <c r="K581" s="305"/>
      <c r="L581" s="297"/>
    </row>
    <row r="582" spans="1:12" ht="33.4" customHeight="1" x14ac:dyDescent="0.45">
      <c r="A582" s="601" t="s">
        <v>336</v>
      </c>
      <c r="B582" s="303"/>
      <c r="C582" s="303" t="s">
        <v>660</v>
      </c>
      <c r="D582" s="304"/>
      <c r="E582" s="304"/>
      <c r="F582" s="305"/>
      <c r="G582" s="306"/>
      <c r="H582" s="306"/>
      <c r="I582" s="306"/>
      <c r="J582" s="297"/>
      <c r="K582" s="305"/>
      <c r="L582" s="297"/>
    </row>
    <row r="583" spans="1:12" ht="33.4" customHeight="1" x14ac:dyDescent="0.45">
      <c r="A583" s="601" t="s">
        <v>336</v>
      </c>
      <c r="B583" s="303"/>
      <c r="C583" s="303" t="s">
        <v>660</v>
      </c>
      <c r="D583" s="304"/>
      <c r="E583" s="304"/>
      <c r="F583" s="305"/>
      <c r="G583" s="306"/>
      <c r="H583" s="306"/>
      <c r="I583" s="306"/>
      <c r="J583" s="297"/>
      <c r="K583" s="305"/>
      <c r="L583" s="297"/>
    </row>
    <row r="584" spans="1:12" ht="33.4" customHeight="1" x14ac:dyDescent="0.45">
      <c r="A584" s="601" t="s">
        <v>336</v>
      </c>
      <c r="B584" s="303"/>
      <c r="C584" s="303" t="s">
        <v>660</v>
      </c>
      <c r="D584" s="304"/>
      <c r="E584" s="304"/>
      <c r="F584" s="305"/>
      <c r="G584" s="306"/>
      <c r="H584" s="306"/>
      <c r="I584" s="306"/>
      <c r="J584" s="297"/>
      <c r="K584" s="305"/>
      <c r="L584" s="297"/>
    </row>
    <row r="585" spans="1:12" ht="33.4" customHeight="1" x14ac:dyDescent="0.45">
      <c r="C585" s="190" t="s">
        <v>691</v>
      </c>
      <c r="F585" s="137" t="s">
        <v>15</v>
      </c>
    </row>
    <row r="587" spans="1:12" ht="23.25" x14ac:dyDescent="0.45">
      <c r="A587" s="137" t="s">
        <v>18</v>
      </c>
      <c r="B587" s="260" t="s">
        <v>378</v>
      </c>
      <c r="C587" s="241"/>
      <c r="D587" s="241"/>
      <c r="E587" s="241"/>
    </row>
    <row r="588" spans="1:12" ht="21" x14ac:dyDescent="0.45">
      <c r="A588" s="137" t="s">
        <v>13</v>
      </c>
      <c r="B588" s="320" t="s">
        <v>700</v>
      </c>
      <c r="C588" s="254"/>
      <c r="D588" s="254"/>
      <c r="E588" s="598"/>
      <c r="J588" s="600"/>
      <c r="L588" s="600">
        <f>L567+1</f>
        <v>46172</v>
      </c>
    </row>
    <row r="590" spans="1:12" x14ac:dyDescent="0.45">
      <c r="A590" s="141"/>
      <c r="B590" s="142"/>
      <c r="C590" s="142"/>
      <c r="D590" s="142"/>
      <c r="E590" s="142"/>
      <c r="F590" s="142"/>
      <c r="G590" s="142"/>
      <c r="H590" s="142"/>
      <c r="I590" s="142"/>
      <c r="J590" s="319"/>
      <c r="K590" s="319" t="s">
        <v>337</v>
      </c>
      <c r="L590" s="294"/>
    </row>
    <row r="591" spans="1:12" ht="63" x14ac:dyDescent="0.45">
      <c r="A591" s="297" t="s">
        <v>534</v>
      </c>
      <c r="B591" s="298" t="s">
        <v>0</v>
      </c>
      <c r="C591" s="298" t="s">
        <v>332</v>
      </c>
      <c r="D591" s="298" t="s">
        <v>333</v>
      </c>
      <c r="E591" s="298" t="s">
        <v>535</v>
      </c>
      <c r="F591" s="298" t="s">
        <v>1</v>
      </c>
      <c r="G591" s="298" t="s">
        <v>334</v>
      </c>
      <c r="H591" s="298" t="s">
        <v>335</v>
      </c>
      <c r="I591" s="298" t="s">
        <v>23</v>
      </c>
      <c r="J591" s="300" t="s">
        <v>22</v>
      </c>
      <c r="K591" s="298" t="s">
        <v>17</v>
      </c>
      <c r="L591" s="301" t="s">
        <v>12</v>
      </c>
    </row>
    <row r="592" spans="1:12" ht="33" customHeight="1" x14ac:dyDescent="0.45">
      <c r="A592" s="344" t="s">
        <v>501</v>
      </c>
      <c r="B592" s="345">
        <v>0.2326388888888889</v>
      </c>
      <c r="C592" s="345" t="s">
        <v>378</v>
      </c>
      <c r="D592" s="304" t="s">
        <v>700</v>
      </c>
      <c r="E592" s="377" t="s">
        <v>503</v>
      </c>
      <c r="F592" s="580"/>
      <c r="G592" s="368">
        <v>1</v>
      </c>
      <c r="H592" s="363"/>
      <c r="I592" s="580"/>
      <c r="J592" s="365"/>
      <c r="K592" s="580"/>
      <c r="L592" s="366"/>
    </row>
    <row r="593" spans="1:12" ht="33" customHeight="1" x14ac:dyDescent="0.45">
      <c r="A593" s="344" t="s">
        <v>501</v>
      </c>
      <c r="B593" s="345">
        <v>0.27083333333333331</v>
      </c>
      <c r="C593" s="345" t="s">
        <v>378</v>
      </c>
      <c r="D593" s="304" t="s">
        <v>700</v>
      </c>
      <c r="E593" s="377" t="s">
        <v>503</v>
      </c>
      <c r="F593" s="580"/>
      <c r="G593" s="368">
        <v>1</v>
      </c>
      <c r="H593" s="363"/>
      <c r="I593" s="580"/>
      <c r="J593" s="365"/>
      <c r="K593" s="580"/>
      <c r="L593" s="366"/>
    </row>
    <row r="594" spans="1:12" ht="33" customHeight="1" x14ac:dyDescent="0.45">
      <c r="A594" s="344" t="s">
        <v>501</v>
      </c>
      <c r="B594" s="345">
        <v>0.28819444444444442</v>
      </c>
      <c r="C594" s="345" t="s">
        <v>378</v>
      </c>
      <c r="D594" s="304" t="s">
        <v>700</v>
      </c>
      <c r="E594" s="377" t="s">
        <v>504</v>
      </c>
      <c r="F594" s="367"/>
      <c r="G594" s="368">
        <v>1</v>
      </c>
      <c r="H594" s="368"/>
      <c r="I594" s="370"/>
      <c r="J594" s="370"/>
      <c r="K594" s="367"/>
      <c r="L594" s="370"/>
    </row>
    <row r="595" spans="1:12" ht="33" customHeight="1" x14ac:dyDescent="0.45">
      <c r="A595" s="344" t="s">
        <v>376</v>
      </c>
      <c r="B595" s="345">
        <v>0.3263888888888889</v>
      </c>
      <c r="C595" s="345" t="s">
        <v>378</v>
      </c>
      <c r="D595" s="304" t="s">
        <v>700</v>
      </c>
      <c r="E595" s="377" t="s">
        <v>504</v>
      </c>
      <c r="F595" s="367"/>
      <c r="G595" s="368">
        <v>1</v>
      </c>
      <c r="H595" s="368"/>
      <c r="I595" s="370"/>
      <c r="J595" s="370"/>
      <c r="K595" s="367"/>
      <c r="L595" s="370"/>
    </row>
    <row r="596" spans="1:12" ht="33" customHeight="1" x14ac:dyDescent="0.45">
      <c r="A596" s="344" t="s">
        <v>376</v>
      </c>
      <c r="B596" s="303">
        <v>0.58333333333333337</v>
      </c>
      <c r="C596" s="303" t="s">
        <v>378</v>
      </c>
      <c r="D596" s="304" t="s">
        <v>700</v>
      </c>
      <c r="E596" s="377" t="s">
        <v>503</v>
      </c>
      <c r="F596" s="367"/>
      <c r="G596" s="368">
        <v>1</v>
      </c>
      <c r="H596" s="368"/>
      <c r="I596" s="370"/>
      <c r="J596" s="370"/>
      <c r="K596" s="367"/>
      <c r="L596" s="370"/>
    </row>
    <row r="597" spans="1:12" ht="33" customHeight="1" x14ac:dyDescent="0.45">
      <c r="A597" s="344" t="s">
        <v>376</v>
      </c>
      <c r="B597" s="303">
        <v>0.61458333333333337</v>
      </c>
      <c r="C597" s="303" t="s">
        <v>378</v>
      </c>
      <c r="D597" s="304" t="s">
        <v>700</v>
      </c>
      <c r="E597" s="377" t="s">
        <v>503</v>
      </c>
      <c r="F597" s="367"/>
      <c r="G597" s="368">
        <v>1</v>
      </c>
      <c r="H597" s="368"/>
      <c r="I597" s="370"/>
      <c r="J597" s="370"/>
      <c r="K597" s="367"/>
      <c r="L597" s="370"/>
    </row>
    <row r="598" spans="1:12" ht="33" customHeight="1" x14ac:dyDescent="0.45">
      <c r="A598" s="344" t="s">
        <v>376</v>
      </c>
      <c r="B598" s="303">
        <v>0.63888888888888884</v>
      </c>
      <c r="C598" s="303" t="s">
        <v>378</v>
      </c>
      <c r="D598" s="304" t="s">
        <v>700</v>
      </c>
      <c r="E598" s="377" t="s">
        <v>503</v>
      </c>
      <c r="F598" s="367"/>
      <c r="G598" s="368">
        <v>1</v>
      </c>
      <c r="H598" s="368"/>
      <c r="I598" s="370"/>
      <c r="J598" s="370"/>
      <c r="K598" s="367"/>
      <c r="L598" s="370"/>
    </row>
    <row r="599" spans="1:12" ht="33" customHeight="1" x14ac:dyDescent="0.45">
      <c r="A599" s="344" t="s">
        <v>501</v>
      </c>
      <c r="B599" s="303">
        <v>0.76041666666666663</v>
      </c>
      <c r="C599" s="303" t="s">
        <v>378</v>
      </c>
      <c r="D599" s="304" t="s">
        <v>700</v>
      </c>
      <c r="E599" s="377" t="s">
        <v>504</v>
      </c>
      <c r="F599" s="367"/>
      <c r="G599" s="368">
        <v>1</v>
      </c>
      <c r="H599" s="368"/>
      <c r="I599" s="370"/>
      <c r="J599" s="370"/>
      <c r="K599" s="367"/>
      <c r="L599" s="370"/>
    </row>
    <row r="600" spans="1:12" ht="33" customHeight="1" x14ac:dyDescent="0.45">
      <c r="A600" s="344" t="s">
        <v>376</v>
      </c>
      <c r="B600" s="303">
        <v>0.78125</v>
      </c>
      <c r="C600" s="303" t="s">
        <v>378</v>
      </c>
      <c r="D600" s="304" t="s">
        <v>700</v>
      </c>
      <c r="E600" s="377" t="s">
        <v>503</v>
      </c>
      <c r="F600" s="367"/>
      <c r="G600" s="368">
        <v>1</v>
      </c>
      <c r="H600" s="368"/>
      <c r="I600" s="370"/>
      <c r="J600" s="370"/>
      <c r="K600" s="367"/>
      <c r="L600" s="370"/>
    </row>
    <row r="601" spans="1:12" ht="33" customHeight="1" x14ac:dyDescent="0.45">
      <c r="A601" s="601" t="s">
        <v>663</v>
      </c>
      <c r="B601" s="303">
        <v>0.80902777777777779</v>
      </c>
      <c r="C601" s="303" t="s">
        <v>378</v>
      </c>
      <c r="D601" s="304" t="s">
        <v>700</v>
      </c>
      <c r="E601" s="304" t="s">
        <v>688</v>
      </c>
      <c r="F601" s="305"/>
      <c r="G601" s="306">
        <v>1</v>
      </c>
      <c r="H601" s="306"/>
      <c r="I601" s="306"/>
      <c r="J601" s="297"/>
      <c r="K601" s="305"/>
      <c r="L601" s="297"/>
    </row>
    <row r="602" spans="1:12" ht="33" customHeight="1" x14ac:dyDescent="0.45">
      <c r="A602" s="601" t="s">
        <v>336</v>
      </c>
      <c r="B602" s="303"/>
      <c r="C602" s="303" t="s">
        <v>660</v>
      </c>
      <c r="D602" s="304"/>
      <c r="E602" s="304"/>
      <c r="F602" s="305"/>
      <c r="G602" s="306"/>
      <c r="H602" s="306"/>
      <c r="I602" s="306"/>
      <c r="J602" s="297"/>
      <c r="K602" s="305"/>
      <c r="L602" s="297"/>
    </row>
    <row r="603" spans="1:12" ht="33" customHeight="1" x14ac:dyDescent="0.45">
      <c r="A603" s="601" t="s">
        <v>336</v>
      </c>
      <c r="B603" s="303"/>
      <c r="C603" s="303" t="s">
        <v>660</v>
      </c>
      <c r="D603" s="304"/>
      <c r="E603" s="304"/>
      <c r="F603" s="305"/>
      <c r="G603" s="306"/>
      <c r="H603" s="306"/>
      <c r="I603" s="306"/>
      <c r="J603" s="297"/>
      <c r="K603" s="305"/>
      <c r="L603" s="297"/>
    </row>
    <row r="604" spans="1:12" ht="33" customHeight="1" x14ac:dyDescent="0.45">
      <c r="A604" s="601" t="s">
        <v>336</v>
      </c>
      <c r="B604" s="303"/>
      <c r="C604" s="303" t="s">
        <v>660</v>
      </c>
      <c r="D604" s="304"/>
      <c r="E604" s="304"/>
      <c r="F604" s="305"/>
      <c r="G604" s="306"/>
      <c r="H604" s="306"/>
      <c r="I604" s="306"/>
      <c r="J604" s="297"/>
      <c r="K604" s="305"/>
      <c r="L604" s="297"/>
    </row>
    <row r="605" spans="1:12" ht="33" customHeight="1" x14ac:dyDescent="0.45">
      <c r="A605" s="601" t="s">
        <v>336</v>
      </c>
      <c r="B605" s="303"/>
      <c r="C605" s="303" t="s">
        <v>660</v>
      </c>
      <c r="D605" s="304"/>
      <c r="E605" s="304"/>
      <c r="F605" s="305"/>
      <c r="G605" s="306"/>
      <c r="H605" s="306"/>
      <c r="I605" s="306"/>
      <c r="J605" s="297"/>
      <c r="K605" s="305"/>
      <c r="L605" s="297"/>
    </row>
    <row r="606" spans="1:12" ht="33" customHeight="1" x14ac:dyDescent="0.45">
      <c r="C606" s="190" t="s">
        <v>691</v>
      </c>
      <c r="F606" s="137" t="s">
        <v>15</v>
      </c>
    </row>
    <row r="608" spans="1:12" ht="23.25" x14ac:dyDescent="0.45">
      <c r="A608" s="137" t="s">
        <v>18</v>
      </c>
      <c r="B608" s="260" t="s">
        <v>378</v>
      </c>
      <c r="C608" s="241"/>
      <c r="D608" s="241"/>
      <c r="E608" s="241"/>
    </row>
    <row r="609" spans="1:12" ht="21" x14ac:dyDescent="0.45">
      <c r="A609" s="137" t="s">
        <v>13</v>
      </c>
      <c r="B609" s="320" t="s">
        <v>700</v>
      </c>
      <c r="C609" s="254"/>
      <c r="D609" s="254"/>
      <c r="E609" s="598"/>
      <c r="J609" s="600"/>
      <c r="L609" s="607">
        <f>L588+1</f>
        <v>46173</v>
      </c>
    </row>
    <row r="611" spans="1:12" x14ac:dyDescent="0.45">
      <c r="A611" s="141"/>
      <c r="B611" s="142"/>
      <c r="C611" s="142"/>
      <c r="D611" s="142"/>
      <c r="E611" s="142"/>
      <c r="F611" s="142"/>
      <c r="G611" s="142"/>
      <c r="H611" s="142"/>
      <c r="I611" s="142"/>
      <c r="J611" s="319"/>
      <c r="K611" s="319" t="s">
        <v>337</v>
      </c>
      <c r="L611" s="294"/>
    </row>
    <row r="612" spans="1:12" ht="63" x14ac:dyDescent="0.45">
      <c r="A612" s="297" t="s">
        <v>534</v>
      </c>
      <c r="B612" s="298" t="s">
        <v>0</v>
      </c>
      <c r="C612" s="298" t="s">
        <v>332</v>
      </c>
      <c r="D612" s="298" t="s">
        <v>333</v>
      </c>
      <c r="E612" s="298" t="s">
        <v>535</v>
      </c>
      <c r="F612" s="298" t="s">
        <v>1</v>
      </c>
      <c r="G612" s="298" t="s">
        <v>334</v>
      </c>
      <c r="H612" s="298" t="s">
        <v>335</v>
      </c>
      <c r="I612" s="298" t="s">
        <v>23</v>
      </c>
      <c r="J612" s="300" t="s">
        <v>22</v>
      </c>
      <c r="K612" s="298" t="s">
        <v>17</v>
      </c>
      <c r="L612" s="301" t="s">
        <v>12</v>
      </c>
    </row>
    <row r="613" spans="1:12" ht="25.9" customHeight="1" x14ac:dyDescent="0.45">
      <c r="A613" s="344" t="s">
        <v>501</v>
      </c>
      <c r="B613" s="345">
        <v>0.2326388888888889</v>
      </c>
      <c r="C613" s="345" t="s">
        <v>378</v>
      </c>
      <c r="D613" s="304" t="s">
        <v>700</v>
      </c>
      <c r="E613" s="377" t="s">
        <v>503</v>
      </c>
      <c r="F613" s="580"/>
      <c r="G613" s="368">
        <v>1</v>
      </c>
      <c r="H613" s="363"/>
      <c r="I613" s="580"/>
      <c r="J613" s="365"/>
      <c r="K613" s="580"/>
      <c r="L613" s="366"/>
    </row>
    <row r="614" spans="1:12" ht="25.9" customHeight="1" x14ac:dyDescent="0.45">
      <c r="A614" s="344" t="s">
        <v>501</v>
      </c>
      <c r="B614" s="345">
        <v>0.27083333333333331</v>
      </c>
      <c r="C614" s="345" t="s">
        <v>378</v>
      </c>
      <c r="D614" s="304" t="s">
        <v>700</v>
      </c>
      <c r="E614" s="377" t="s">
        <v>503</v>
      </c>
      <c r="F614" s="580"/>
      <c r="G614" s="368">
        <v>1</v>
      </c>
      <c r="H614" s="363"/>
      <c r="I614" s="580"/>
      <c r="J614" s="365"/>
      <c r="K614" s="580"/>
      <c r="L614" s="366"/>
    </row>
    <row r="615" spans="1:12" ht="25.9" customHeight="1" x14ac:dyDescent="0.45">
      <c r="A615" s="344" t="s">
        <v>501</v>
      </c>
      <c r="B615" s="345">
        <v>0.28819444444444442</v>
      </c>
      <c r="C615" s="345" t="s">
        <v>378</v>
      </c>
      <c r="D615" s="304" t="s">
        <v>700</v>
      </c>
      <c r="E615" s="377" t="s">
        <v>504</v>
      </c>
      <c r="F615" s="580"/>
      <c r="G615" s="368">
        <v>1</v>
      </c>
      <c r="H615" s="363"/>
      <c r="I615" s="580"/>
      <c r="J615" s="365"/>
      <c r="K615" s="580"/>
      <c r="L615" s="366"/>
    </row>
    <row r="616" spans="1:12" ht="25.9" customHeight="1" x14ac:dyDescent="0.45">
      <c r="A616" s="344" t="s">
        <v>376</v>
      </c>
      <c r="B616" s="345">
        <v>0.58333333333333337</v>
      </c>
      <c r="C616" s="345" t="s">
        <v>378</v>
      </c>
      <c r="D616" s="304" t="s">
        <v>700</v>
      </c>
      <c r="E616" s="377" t="s">
        <v>503</v>
      </c>
      <c r="F616" s="367"/>
      <c r="G616" s="368">
        <v>1</v>
      </c>
      <c r="H616" s="368"/>
      <c r="I616" s="370"/>
      <c r="J616" s="370"/>
      <c r="K616" s="367"/>
      <c r="L616" s="370"/>
    </row>
    <row r="617" spans="1:12" ht="25.9" customHeight="1" x14ac:dyDescent="0.45">
      <c r="A617" s="344" t="s">
        <v>376</v>
      </c>
      <c r="B617" s="345">
        <v>0.61458333333333337</v>
      </c>
      <c r="C617" s="345" t="s">
        <v>378</v>
      </c>
      <c r="D617" s="304" t="s">
        <v>700</v>
      </c>
      <c r="E617" s="377" t="s">
        <v>503</v>
      </c>
      <c r="F617" s="367"/>
      <c r="G617" s="368">
        <v>1</v>
      </c>
      <c r="H617" s="368"/>
      <c r="I617" s="370"/>
      <c r="J617" s="370"/>
      <c r="K617" s="367"/>
      <c r="L617" s="370"/>
    </row>
    <row r="618" spans="1:12" ht="25.9" customHeight="1" x14ac:dyDescent="0.45">
      <c r="A618" s="344" t="s">
        <v>376</v>
      </c>
      <c r="B618" s="345">
        <v>0.63888888888888884</v>
      </c>
      <c r="C618" s="345" t="s">
        <v>378</v>
      </c>
      <c r="D618" s="304" t="s">
        <v>700</v>
      </c>
      <c r="E618" s="377" t="s">
        <v>503</v>
      </c>
      <c r="F618" s="367"/>
      <c r="G618" s="368">
        <v>1</v>
      </c>
      <c r="H618" s="368"/>
      <c r="I618" s="370"/>
      <c r="J618" s="370"/>
      <c r="K618" s="367"/>
      <c r="L618" s="370"/>
    </row>
    <row r="619" spans="1:12" ht="30" customHeight="1" x14ac:dyDescent="0.45">
      <c r="A619" s="344" t="s">
        <v>336</v>
      </c>
      <c r="B619" s="345"/>
      <c r="C619" s="345" t="s">
        <v>660</v>
      </c>
      <c r="D619" s="304"/>
      <c r="E619" s="377"/>
      <c r="F619" s="367"/>
      <c r="G619" s="368"/>
      <c r="H619" s="368"/>
      <c r="I619" s="370"/>
      <c r="J619" s="370"/>
      <c r="K619" s="367"/>
      <c r="L619" s="370"/>
    </row>
    <row r="620" spans="1:12" ht="30" customHeight="1" x14ac:dyDescent="0.45">
      <c r="A620" s="344" t="s">
        <v>336</v>
      </c>
      <c r="B620" s="345"/>
      <c r="C620" s="345" t="s">
        <v>660</v>
      </c>
      <c r="D620" s="304"/>
      <c r="E620" s="377"/>
      <c r="F620" s="367"/>
      <c r="G620" s="368"/>
      <c r="H620" s="368"/>
      <c r="I620" s="370"/>
      <c r="J620" s="370"/>
      <c r="K620" s="367"/>
      <c r="L620" s="370"/>
    </row>
    <row r="621" spans="1:12" ht="30" customHeight="1" x14ac:dyDescent="0.45">
      <c r="A621" s="344" t="s">
        <v>336</v>
      </c>
      <c r="B621" s="345"/>
      <c r="C621" s="345" t="s">
        <v>660</v>
      </c>
      <c r="D621" s="304"/>
      <c r="E621" s="377"/>
      <c r="F621" s="367"/>
      <c r="G621" s="368"/>
      <c r="H621" s="368"/>
      <c r="I621" s="370"/>
      <c r="J621" s="370"/>
      <c r="K621" s="367"/>
      <c r="L621" s="370"/>
    </row>
    <row r="622" spans="1:12" ht="30" customHeight="1" x14ac:dyDescent="0.45">
      <c r="A622" s="344" t="s">
        <v>336</v>
      </c>
      <c r="B622" s="345"/>
      <c r="C622" s="345" t="s">
        <v>660</v>
      </c>
      <c r="D622" s="304"/>
      <c r="E622" s="377"/>
      <c r="F622" s="367"/>
      <c r="G622" s="368"/>
      <c r="H622" s="368"/>
      <c r="I622" s="370"/>
      <c r="J622" s="370"/>
      <c r="K622" s="367"/>
      <c r="L622" s="370"/>
    </row>
    <row r="623" spans="1:12" ht="30" customHeight="1" x14ac:dyDescent="0.45">
      <c r="A623" s="344" t="s">
        <v>336</v>
      </c>
      <c r="B623" s="345"/>
      <c r="C623" s="345" t="s">
        <v>660</v>
      </c>
      <c r="D623" s="304"/>
      <c r="E623" s="377"/>
      <c r="F623" s="367"/>
      <c r="G623" s="368"/>
      <c r="H623" s="368"/>
      <c r="I623" s="370"/>
      <c r="J623" s="370"/>
      <c r="K623" s="367"/>
      <c r="L623" s="370"/>
    </row>
    <row r="624" spans="1:12" x14ac:dyDescent="0.45">
      <c r="C624" s="190" t="s">
        <v>691</v>
      </c>
      <c r="F624" s="137" t="s">
        <v>15</v>
      </c>
    </row>
  </sheetData>
  <sheetProtection formatCells="0" formatColumns="0" formatRows="0" autoFilter="0"/>
  <autoFilter ref="A7:P19" xr:uid="{5B5BBBDE-33E3-4462-B288-63EC9F5FA152}"/>
  <mergeCells count="1">
    <mergeCell ref="B3:D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0" fitToHeight="0" orientation="portrait" copies="10" r:id="rId1"/>
  <rowBreaks count="30" manualBreakCount="30">
    <brk id="20" max="16383" man="1"/>
    <brk id="41" max="11" man="1"/>
    <brk id="58" max="16383" man="1"/>
    <brk id="80" max="11" man="1"/>
    <brk id="101" max="11" man="1"/>
    <brk id="121" max="11" man="1"/>
    <brk id="142" max="11" man="1"/>
    <brk id="159" max="11" man="1"/>
    <brk id="181" max="11" man="1"/>
    <brk id="198" max="16383" man="1"/>
    <brk id="219" max="11" man="1"/>
    <brk id="241" max="16383" man="1"/>
    <brk id="262" max="16383" man="1"/>
    <brk id="280" max="16383" man="1"/>
    <brk id="301" max="16383" man="1"/>
    <brk id="322" max="16383" man="1"/>
    <brk id="340" max="16383" man="1"/>
    <brk id="361" max="16383" man="1"/>
    <brk id="383" max="11" man="1"/>
    <brk id="404" max="16383" man="1"/>
    <brk id="425" max="16383" man="1"/>
    <brk id="446" max="16383" man="1"/>
    <brk id="467" max="16383" man="1"/>
    <brk id="485" max="16383" man="1"/>
    <brk id="503" max="16383" man="1"/>
    <brk id="525" max="11" man="1"/>
    <brk id="543" max="16383" man="1"/>
    <brk id="564" max="16383" man="1"/>
    <brk id="585" max="16383" man="1"/>
    <brk id="60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CBD6-7A25-48C4-856D-25AA3425E1AA}">
  <dimension ref="A1:Q620"/>
  <sheetViews>
    <sheetView showGridLines="0" view="pageBreakPreview" topLeftCell="A598" zoomScale="60" zoomScaleNormal="85" workbookViewId="0">
      <selection activeCell="A2" sqref="A2:L621"/>
    </sheetView>
  </sheetViews>
  <sheetFormatPr baseColWidth="10" defaultColWidth="10.796875" defaultRowHeight="14.25" outlineLevelCol="1" x14ac:dyDescent="0.45"/>
  <cols>
    <col min="1" max="1" width="16.1328125" style="137" customWidth="1"/>
    <col min="2" max="2" width="11" style="137" customWidth="1"/>
    <col min="3" max="3" width="10.796875" style="137" customWidth="1" outlineLevel="1"/>
    <col min="4" max="4" width="28.9296875" style="137" customWidth="1" outlineLevel="1"/>
    <col min="5" max="5" width="11.86328125" style="137" customWidth="1" outlineLevel="1"/>
    <col min="6" max="6" width="10.796875" style="137"/>
    <col min="7" max="8" width="10.796875" style="137" hidden="1" customWidth="1"/>
    <col min="9" max="9" width="11.73046875" style="137" customWidth="1"/>
    <col min="10" max="10" width="10.796875" style="137" customWidth="1"/>
    <col min="11" max="11" width="13.1328125" style="137" customWidth="1"/>
    <col min="12" max="12" width="34.796875" style="137" customWidth="1"/>
    <col min="13" max="16" width="10.796875" style="137" hidden="1" customWidth="1"/>
    <col min="17" max="17" width="0" style="137" hidden="1" customWidth="1"/>
    <col min="18" max="16384" width="10.796875" style="137"/>
  </cols>
  <sheetData>
    <row r="1" spans="1:17" x14ac:dyDescent="0.45">
      <c r="G1" s="137" t="s">
        <v>658</v>
      </c>
    </row>
    <row r="2" spans="1:17" ht="23.25" x14ac:dyDescent="0.45">
      <c r="A2" s="137" t="s">
        <v>18</v>
      </c>
      <c r="B2" s="260" t="s">
        <v>384</v>
      </c>
      <c r="C2" s="241"/>
      <c r="D2" s="241"/>
      <c r="E2" s="241"/>
    </row>
    <row r="3" spans="1:17" ht="22.5" hidden="1" customHeight="1" x14ac:dyDescent="0.45">
      <c r="A3" s="137" t="s">
        <v>14</v>
      </c>
      <c r="B3" s="320" t="e">
        <f>#REF!</f>
        <v>#REF!</v>
      </c>
      <c r="C3" s="254"/>
      <c r="D3" s="254"/>
      <c r="E3" s="598"/>
      <c r="F3" s="599"/>
      <c r="G3" s="599"/>
      <c r="H3" s="599"/>
      <c r="I3" s="143"/>
    </row>
    <row r="4" spans="1:17" ht="28.5" customHeight="1" x14ac:dyDescent="0.45">
      <c r="A4" s="137" t="s">
        <v>13</v>
      </c>
      <c r="B4" s="320" t="str">
        <f>VLOOKUP(B2,'Liste chauffeur'!$B$5:$L$19,2,TRUE)&amp;" "&amp;VLOOKUP(B2,'Liste chauffeur'!$B$5:$L$19,3,TRUE)</f>
        <v>SAID ALI Kamile</v>
      </c>
      <c r="C4" s="254"/>
      <c r="D4" s="254"/>
      <c r="E4" s="598"/>
      <c r="J4" s="600"/>
      <c r="L4" s="607">
        <v>46143</v>
      </c>
    </row>
    <row r="6" spans="1:17" ht="15.75" x14ac:dyDescent="0.45">
      <c r="A6" s="297"/>
      <c r="B6" s="298"/>
      <c r="C6" s="298"/>
      <c r="D6" s="298"/>
      <c r="E6" s="298"/>
      <c r="F6" s="298"/>
      <c r="G6" s="298"/>
      <c r="H6" s="298"/>
      <c r="I6" s="298"/>
      <c r="J6" s="300"/>
      <c r="K6" s="298" t="s">
        <v>337</v>
      </c>
      <c r="L6" s="301"/>
      <c r="M6" s="294"/>
      <c r="N6" s="294"/>
      <c r="O6" s="294">
        <v>8</v>
      </c>
      <c r="P6" s="294"/>
    </row>
    <row r="7" spans="1:17" ht="63" x14ac:dyDescent="0.45">
      <c r="A7" s="344" t="s">
        <v>534</v>
      </c>
      <c r="B7" s="345" t="s">
        <v>0</v>
      </c>
      <c r="C7" s="345" t="s">
        <v>332</v>
      </c>
      <c r="D7" s="304" t="s">
        <v>333</v>
      </c>
      <c r="E7" s="377" t="s">
        <v>535</v>
      </c>
      <c r="F7" s="362" t="s">
        <v>1</v>
      </c>
      <c r="G7" s="368" t="s">
        <v>334</v>
      </c>
      <c r="H7" s="363" t="s">
        <v>335</v>
      </c>
      <c r="I7" s="362" t="s">
        <v>23</v>
      </c>
      <c r="J7" s="365" t="s">
        <v>22</v>
      </c>
      <c r="K7" s="362" t="s">
        <v>17</v>
      </c>
      <c r="L7" s="366" t="s">
        <v>12</v>
      </c>
      <c r="M7" s="297" t="s">
        <v>20</v>
      </c>
      <c r="N7" s="302" t="s">
        <v>38</v>
      </c>
      <c r="O7" s="302" t="s">
        <v>39</v>
      </c>
      <c r="P7" s="302" t="s">
        <v>40</v>
      </c>
      <c r="Q7" s="297"/>
    </row>
    <row r="8" spans="1:17" ht="33" customHeight="1" x14ac:dyDescent="0.45">
      <c r="A8" s="344" t="s">
        <v>501</v>
      </c>
      <c r="B8" s="345">
        <v>0.25</v>
      </c>
      <c r="C8" s="345" t="s">
        <v>384</v>
      </c>
      <c r="D8" s="304" t="s">
        <v>701</v>
      </c>
      <c r="E8" s="377" t="s">
        <v>503</v>
      </c>
      <c r="F8" s="367"/>
      <c r="G8" s="368">
        <v>1</v>
      </c>
      <c r="H8" s="368"/>
      <c r="I8" s="369"/>
      <c r="J8" s="369"/>
      <c r="K8" s="367"/>
      <c r="L8" s="370"/>
      <c r="M8" s="307" t="str">
        <f t="shared" ref="M8:M16" si="0">IF(G8=1,"",K8-F8)</f>
        <v/>
      </c>
      <c r="N8" s="306">
        <f>J8</f>
        <v>0</v>
      </c>
      <c r="O8" s="306">
        <f t="shared" ref="O8:O18" si="1">IF(G8=1,0,O$6)</f>
        <v>0</v>
      </c>
      <c r="P8" s="308">
        <f t="shared" ref="P8:P17" si="2">IF(O8=0,0,N8/O8)</f>
        <v>0</v>
      </c>
      <c r="Q8" s="297"/>
    </row>
    <row r="9" spans="1:17" ht="29" customHeight="1" x14ac:dyDescent="0.45">
      <c r="A9" s="344" t="s">
        <v>376</v>
      </c>
      <c r="B9" s="345">
        <v>0.27083333333333331</v>
      </c>
      <c r="C9" s="345" t="s">
        <v>384</v>
      </c>
      <c r="D9" s="304" t="s">
        <v>701</v>
      </c>
      <c r="E9" s="377" t="s">
        <v>504</v>
      </c>
      <c r="F9" s="367"/>
      <c r="G9" s="368">
        <v>1</v>
      </c>
      <c r="H9" s="368"/>
      <c r="I9" s="369"/>
      <c r="J9" s="369"/>
      <c r="K9" s="367"/>
      <c r="L9" s="370"/>
      <c r="M9" s="307" t="str">
        <f t="shared" si="0"/>
        <v/>
      </c>
      <c r="N9" s="306">
        <f t="shared" ref="N9:N18" si="3">J9</f>
        <v>0</v>
      </c>
      <c r="O9" s="306">
        <f t="shared" si="1"/>
        <v>0</v>
      </c>
      <c r="P9" s="308">
        <f t="shared" si="2"/>
        <v>0</v>
      </c>
      <c r="Q9" s="297"/>
    </row>
    <row r="10" spans="1:17" ht="35.25" customHeight="1" x14ac:dyDescent="0.45">
      <c r="A10" s="344" t="s">
        <v>376</v>
      </c>
      <c r="B10" s="345">
        <v>0.2951388888888889</v>
      </c>
      <c r="C10" s="345" t="s">
        <v>384</v>
      </c>
      <c r="D10" s="304" t="s">
        <v>701</v>
      </c>
      <c r="E10" s="377" t="s">
        <v>504</v>
      </c>
      <c r="F10" s="362"/>
      <c r="G10" s="368">
        <v>1</v>
      </c>
      <c r="H10" s="363"/>
      <c r="I10" s="362"/>
      <c r="J10" s="365"/>
      <c r="K10" s="362"/>
      <c r="L10" s="366"/>
      <c r="M10" s="307" t="str">
        <f t="shared" si="0"/>
        <v/>
      </c>
      <c r="N10" s="306">
        <f t="shared" si="3"/>
        <v>0</v>
      </c>
      <c r="O10" s="306">
        <f t="shared" si="1"/>
        <v>0</v>
      </c>
      <c r="P10" s="308">
        <f t="shared" si="2"/>
        <v>0</v>
      </c>
      <c r="Q10" s="297"/>
    </row>
    <row r="11" spans="1:17" ht="40.049999999999997" customHeight="1" x14ac:dyDescent="0.45">
      <c r="A11" s="344" t="s">
        <v>501</v>
      </c>
      <c r="B11" s="345">
        <v>0.58333333333333337</v>
      </c>
      <c r="C11" s="345" t="s">
        <v>384</v>
      </c>
      <c r="D11" s="304" t="s">
        <v>701</v>
      </c>
      <c r="E11" s="377" t="s">
        <v>504</v>
      </c>
      <c r="F11" s="367"/>
      <c r="G11" s="368">
        <v>1</v>
      </c>
      <c r="H11" s="368"/>
      <c r="I11" s="369"/>
      <c r="J11" s="369"/>
      <c r="K11" s="367"/>
      <c r="L11" s="370"/>
      <c r="M11" s="307" t="str">
        <f t="shared" si="0"/>
        <v/>
      </c>
      <c r="N11" s="306">
        <f t="shared" si="3"/>
        <v>0</v>
      </c>
      <c r="O11" s="306">
        <f t="shared" si="1"/>
        <v>0</v>
      </c>
      <c r="P11" s="308">
        <f t="shared" si="2"/>
        <v>0</v>
      </c>
      <c r="Q11" s="297"/>
    </row>
    <row r="12" spans="1:17" ht="40.049999999999997" customHeight="1" x14ac:dyDescent="0.45">
      <c r="A12" s="344" t="s">
        <v>501</v>
      </c>
      <c r="B12" s="345">
        <v>0.625</v>
      </c>
      <c r="C12" s="345" t="s">
        <v>384</v>
      </c>
      <c r="D12" s="304" t="s">
        <v>701</v>
      </c>
      <c r="E12" s="377" t="s">
        <v>504</v>
      </c>
      <c r="F12" s="367"/>
      <c r="G12" s="368">
        <v>1</v>
      </c>
      <c r="H12" s="368"/>
      <c r="I12" s="369"/>
      <c r="J12" s="369"/>
      <c r="K12" s="367"/>
      <c r="L12" s="370"/>
      <c r="M12" s="307" t="str">
        <f t="shared" si="0"/>
        <v/>
      </c>
      <c r="N12" s="306">
        <f t="shared" si="3"/>
        <v>0</v>
      </c>
      <c r="O12" s="306">
        <f t="shared" si="1"/>
        <v>0</v>
      </c>
      <c r="P12" s="309">
        <f t="shared" si="2"/>
        <v>0</v>
      </c>
      <c r="Q12" s="297"/>
    </row>
    <row r="13" spans="1:17" ht="40.049999999999997" customHeight="1" x14ac:dyDescent="0.45">
      <c r="A13" s="344" t="s">
        <v>501</v>
      </c>
      <c r="B13" s="345">
        <v>0.76041666666666663</v>
      </c>
      <c r="C13" s="345" t="s">
        <v>384</v>
      </c>
      <c r="D13" s="304" t="s">
        <v>701</v>
      </c>
      <c r="E13" s="377" t="s">
        <v>504</v>
      </c>
      <c r="F13" s="367"/>
      <c r="G13" s="368">
        <v>1</v>
      </c>
      <c r="H13" s="368"/>
      <c r="I13" s="369"/>
      <c r="J13" s="369"/>
      <c r="K13" s="367"/>
      <c r="L13" s="370"/>
      <c r="M13" s="307" t="str">
        <f t="shared" si="0"/>
        <v/>
      </c>
      <c r="N13" s="306">
        <f t="shared" si="3"/>
        <v>0</v>
      </c>
      <c r="O13" s="306">
        <f t="shared" si="1"/>
        <v>0</v>
      </c>
      <c r="P13" s="309">
        <f t="shared" si="2"/>
        <v>0</v>
      </c>
      <c r="Q13" s="297"/>
    </row>
    <row r="14" spans="1:17" ht="32.25" customHeight="1" x14ac:dyDescent="0.45">
      <c r="A14" s="315" t="s">
        <v>376</v>
      </c>
      <c r="B14" s="303">
        <v>0.78125</v>
      </c>
      <c r="C14" s="303" t="s">
        <v>384</v>
      </c>
      <c r="D14" s="304" t="s">
        <v>701</v>
      </c>
      <c r="E14" s="304" t="s">
        <v>503</v>
      </c>
      <c r="F14" s="305"/>
      <c r="G14" s="306">
        <v>1</v>
      </c>
      <c r="H14" s="306"/>
      <c r="I14" s="306"/>
      <c r="J14" s="297"/>
      <c r="K14" s="305"/>
      <c r="L14" s="297"/>
      <c r="M14" s="307" t="str">
        <f t="shared" si="0"/>
        <v/>
      </c>
      <c r="N14" s="306">
        <f t="shared" si="3"/>
        <v>0</v>
      </c>
      <c r="O14" s="306">
        <f t="shared" si="1"/>
        <v>0</v>
      </c>
      <c r="P14" s="309">
        <f t="shared" si="2"/>
        <v>0</v>
      </c>
      <c r="Q14" s="297"/>
    </row>
    <row r="15" spans="1:17" ht="40.049999999999997" customHeight="1" x14ac:dyDescent="0.45">
      <c r="A15" s="315" t="s">
        <v>336</v>
      </c>
      <c r="B15" s="303"/>
      <c r="C15" s="303" t="s">
        <v>660</v>
      </c>
      <c r="D15" s="304"/>
      <c r="E15" s="304"/>
      <c r="F15" s="305"/>
      <c r="G15" s="306"/>
      <c r="H15" s="306"/>
      <c r="I15" s="306"/>
      <c r="J15" s="297"/>
      <c r="K15" s="305"/>
      <c r="L15" s="297"/>
      <c r="M15" s="307">
        <f t="shared" si="0"/>
        <v>0</v>
      </c>
      <c r="N15" s="306">
        <f t="shared" si="3"/>
        <v>0</v>
      </c>
      <c r="O15" s="306">
        <f t="shared" si="1"/>
        <v>8</v>
      </c>
      <c r="P15" s="309">
        <f t="shared" si="2"/>
        <v>0</v>
      </c>
      <c r="Q15" s="297"/>
    </row>
    <row r="16" spans="1:17" ht="40.049999999999997" customHeight="1" x14ac:dyDescent="0.45">
      <c r="A16" s="315" t="s">
        <v>336</v>
      </c>
      <c r="B16" s="303"/>
      <c r="C16" s="303" t="s">
        <v>660</v>
      </c>
      <c r="D16" s="304"/>
      <c r="E16" s="304"/>
      <c r="F16" s="305"/>
      <c r="G16" s="306"/>
      <c r="H16" s="306"/>
      <c r="I16" s="306"/>
      <c r="J16" s="297"/>
      <c r="K16" s="305"/>
      <c r="L16" s="297"/>
      <c r="M16" s="307">
        <f t="shared" si="0"/>
        <v>0</v>
      </c>
      <c r="N16" s="306">
        <f t="shared" si="3"/>
        <v>0</v>
      </c>
      <c r="O16" s="306">
        <f t="shared" si="1"/>
        <v>8</v>
      </c>
      <c r="P16" s="309">
        <f t="shared" si="2"/>
        <v>0</v>
      </c>
      <c r="Q16" s="297"/>
    </row>
    <row r="17" spans="1:17" ht="40.049999999999997" customHeight="1" x14ac:dyDescent="0.45">
      <c r="A17" s="315" t="s">
        <v>336</v>
      </c>
      <c r="B17" s="303"/>
      <c r="C17" s="303" t="s">
        <v>660</v>
      </c>
      <c r="D17" s="304"/>
      <c r="E17" s="304"/>
      <c r="F17" s="305"/>
      <c r="G17" s="306"/>
      <c r="H17" s="306"/>
      <c r="I17" s="306"/>
      <c r="J17" s="297"/>
      <c r="K17" s="305"/>
      <c r="L17" s="297"/>
      <c r="M17" s="307"/>
      <c r="N17" s="306">
        <f t="shared" si="3"/>
        <v>0</v>
      </c>
      <c r="O17" s="306">
        <f t="shared" si="1"/>
        <v>8</v>
      </c>
      <c r="P17" s="309">
        <f t="shared" si="2"/>
        <v>0</v>
      </c>
      <c r="Q17" s="297"/>
    </row>
    <row r="18" spans="1:17" ht="40.049999999999997" customHeight="1" x14ac:dyDescent="0.45">
      <c r="A18" s="315" t="s">
        <v>336</v>
      </c>
      <c r="B18" s="303"/>
      <c r="C18" s="303" t="s">
        <v>660</v>
      </c>
      <c r="D18" s="304"/>
      <c r="E18" s="304"/>
      <c r="F18" s="305"/>
      <c r="G18" s="306"/>
      <c r="H18" s="306"/>
      <c r="I18" s="306"/>
      <c r="J18" s="297"/>
      <c r="K18" s="305"/>
      <c r="L18" s="297"/>
      <c r="M18" s="307"/>
      <c r="N18" s="306">
        <f t="shared" si="3"/>
        <v>0</v>
      </c>
      <c r="O18" s="306">
        <f t="shared" si="1"/>
        <v>8</v>
      </c>
      <c r="P18" s="309"/>
      <c r="Q18" s="297"/>
    </row>
    <row r="19" spans="1:17" x14ac:dyDescent="0.45">
      <c r="C19" s="190" t="s">
        <v>691</v>
      </c>
      <c r="F19" s="137" t="s">
        <v>15</v>
      </c>
    </row>
    <row r="20" spans="1:17" ht="23.25" x14ac:dyDescent="0.45">
      <c r="A20" s="137" t="s">
        <v>18</v>
      </c>
      <c r="B20" s="260" t="s">
        <v>384</v>
      </c>
      <c r="C20" s="241"/>
      <c r="D20" s="241"/>
      <c r="E20" s="241"/>
    </row>
    <row r="21" spans="1:17" ht="21" x14ac:dyDescent="0.45">
      <c r="A21" s="137" t="s">
        <v>13</v>
      </c>
      <c r="B21" s="320" t="s">
        <v>701</v>
      </c>
      <c r="C21" s="254"/>
      <c r="D21" s="254"/>
      <c r="E21" s="598"/>
      <c r="J21" s="600"/>
      <c r="L21" s="600">
        <f>L4+1</f>
        <v>46144</v>
      </c>
    </row>
    <row r="23" spans="1:17" x14ac:dyDescent="0.45">
      <c r="A23" s="141"/>
      <c r="B23" s="142"/>
      <c r="C23" s="142"/>
      <c r="D23" s="142"/>
      <c r="E23" s="142"/>
      <c r="F23" s="142"/>
      <c r="G23" s="142"/>
      <c r="H23" s="142"/>
      <c r="I23" s="142"/>
      <c r="J23" s="319"/>
      <c r="K23" s="319" t="s">
        <v>337</v>
      </c>
      <c r="L23" s="294"/>
    </row>
    <row r="24" spans="1:17" ht="63" x14ac:dyDescent="0.45">
      <c r="A24" s="297" t="s">
        <v>534</v>
      </c>
      <c r="B24" s="298" t="s">
        <v>0</v>
      </c>
      <c r="C24" s="298" t="s">
        <v>332</v>
      </c>
      <c r="D24" s="298" t="s">
        <v>333</v>
      </c>
      <c r="E24" s="298" t="s">
        <v>535</v>
      </c>
      <c r="F24" s="298" t="s">
        <v>1</v>
      </c>
      <c r="G24" s="298" t="s">
        <v>334</v>
      </c>
      <c r="H24" s="298" t="s">
        <v>335</v>
      </c>
      <c r="I24" s="298" t="s">
        <v>23</v>
      </c>
      <c r="J24" s="300" t="s">
        <v>22</v>
      </c>
      <c r="K24" s="298" t="s">
        <v>17</v>
      </c>
      <c r="L24" s="301" t="s">
        <v>12</v>
      </c>
    </row>
    <row r="25" spans="1:17" ht="33.85" customHeight="1" x14ac:dyDescent="0.45">
      <c r="A25" s="344" t="s">
        <v>501</v>
      </c>
      <c r="B25" s="345">
        <v>0.25</v>
      </c>
      <c r="C25" s="345" t="s">
        <v>384</v>
      </c>
      <c r="D25" s="304" t="s">
        <v>701</v>
      </c>
      <c r="E25" s="377" t="s">
        <v>503</v>
      </c>
      <c r="F25" s="580"/>
      <c r="G25" s="368">
        <v>1</v>
      </c>
      <c r="H25" s="363"/>
      <c r="I25" s="580"/>
      <c r="J25" s="365"/>
      <c r="K25" s="580"/>
      <c r="L25" s="366"/>
    </row>
    <row r="26" spans="1:17" ht="33.85" customHeight="1" x14ac:dyDescent="0.45">
      <c r="A26" s="344" t="s">
        <v>376</v>
      </c>
      <c r="B26" s="345">
        <v>0.27083333333333331</v>
      </c>
      <c r="C26" s="345" t="s">
        <v>384</v>
      </c>
      <c r="D26" s="304" t="s">
        <v>701</v>
      </c>
      <c r="E26" s="377" t="s">
        <v>504</v>
      </c>
      <c r="F26" s="367"/>
      <c r="G26" s="368">
        <v>1</v>
      </c>
      <c r="H26" s="368"/>
      <c r="I26" s="370"/>
      <c r="J26" s="370"/>
      <c r="K26" s="367"/>
      <c r="L26" s="370"/>
    </row>
    <row r="27" spans="1:17" ht="33.85" customHeight="1" x14ac:dyDescent="0.45">
      <c r="A27" s="344" t="s">
        <v>376</v>
      </c>
      <c r="B27" s="345">
        <v>0.2951388888888889</v>
      </c>
      <c r="C27" s="345" t="s">
        <v>384</v>
      </c>
      <c r="D27" s="304" t="s">
        <v>701</v>
      </c>
      <c r="E27" s="377" t="s">
        <v>688</v>
      </c>
      <c r="F27" s="367"/>
      <c r="G27" s="368">
        <v>1</v>
      </c>
      <c r="H27" s="368"/>
      <c r="I27" s="370"/>
      <c r="J27" s="370"/>
      <c r="K27" s="367"/>
      <c r="L27" s="370"/>
    </row>
    <row r="28" spans="1:17" ht="33.85" customHeight="1" x14ac:dyDescent="0.45">
      <c r="A28" s="344" t="s">
        <v>501</v>
      </c>
      <c r="B28" s="303">
        <v>0.58333333333333337</v>
      </c>
      <c r="C28" s="303" t="s">
        <v>384</v>
      </c>
      <c r="D28" s="304" t="s">
        <v>701</v>
      </c>
      <c r="E28" s="377" t="s">
        <v>504</v>
      </c>
      <c r="F28" s="367"/>
      <c r="G28" s="368">
        <v>1</v>
      </c>
      <c r="H28" s="368"/>
      <c r="I28" s="370"/>
      <c r="J28" s="370"/>
      <c r="K28" s="367"/>
      <c r="L28" s="370"/>
    </row>
    <row r="29" spans="1:17" ht="33.85" customHeight="1" x14ac:dyDescent="0.45">
      <c r="A29" s="344" t="s">
        <v>376</v>
      </c>
      <c r="B29" s="303">
        <v>0.61805555555555558</v>
      </c>
      <c r="C29" s="303" t="s">
        <v>384</v>
      </c>
      <c r="D29" s="304" t="s">
        <v>701</v>
      </c>
      <c r="E29" s="377" t="s">
        <v>503</v>
      </c>
      <c r="F29" s="367"/>
      <c r="G29" s="368">
        <v>1</v>
      </c>
      <c r="H29" s="368"/>
      <c r="I29" s="370"/>
      <c r="J29" s="370"/>
      <c r="K29" s="367"/>
      <c r="L29" s="370"/>
    </row>
    <row r="30" spans="1:17" ht="33.85" customHeight="1" x14ac:dyDescent="0.45">
      <c r="A30" s="344" t="s">
        <v>376</v>
      </c>
      <c r="B30" s="303">
        <v>0.76041666666666663</v>
      </c>
      <c r="C30" s="303" t="s">
        <v>384</v>
      </c>
      <c r="D30" s="304" t="s">
        <v>701</v>
      </c>
      <c r="E30" s="377" t="s">
        <v>504</v>
      </c>
      <c r="F30" s="367"/>
      <c r="G30" s="368"/>
      <c r="H30" s="368"/>
      <c r="I30" s="370"/>
      <c r="J30" s="370"/>
      <c r="K30" s="367"/>
      <c r="L30" s="370"/>
    </row>
    <row r="31" spans="1:17" ht="33.85" customHeight="1" x14ac:dyDescent="0.45">
      <c r="A31" s="344" t="s">
        <v>501</v>
      </c>
      <c r="B31" s="303">
        <v>0.78125</v>
      </c>
      <c r="C31" s="303" t="s">
        <v>384</v>
      </c>
      <c r="D31" s="304" t="s">
        <v>701</v>
      </c>
      <c r="E31" s="377" t="s">
        <v>504</v>
      </c>
      <c r="F31" s="367"/>
      <c r="G31" s="368"/>
      <c r="H31" s="368"/>
      <c r="I31" s="370"/>
      <c r="J31" s="370"/>
      <c r="K31" s="367"/>
      <c r="L31" s="370"/>
    </row>
    <row r="32" spans="1:17" ht="33.85" customHeight="1" x14ac:dyDescent="0.45">
      <c r="A32" s="344" t="s">
        <v>376</v>
      </c>
      <c r="B32" s="303">
        <v>0.80208333333333337</v>
      </c>
      <c r="C32" s="303" t="s">
        <v>384</v>
      </c>
      <c r="D32" s="304" t="s">
        <v>701</v>
      </c>
      <c r="E32" s="377" t="s">
        <v>503</v>
      </c>
      <c r="F32" s="367"/>
      <c r="G32" s="368"/>
      <c r="H32" s="368"/>
      <c r="I32" s="370"/>
      <c r="J32" s="370"/>
      <c r="K32" s="367"/>
      <c r="L32" s="370"/>
    </row>
    <row r="33" spans="1:12" ht="33.85" customHeight="1" x14ac:dyDescent="0.45">
      <c r="A33" s="344" t="s">
        <v>376</v>
      </c>
      <c r="B33" s="303">
        <v>0.82291666666666663</v>
      </c>
      <c r="C33" s="303" t="s">
        <v>384</v>
      </c>
      <c r="D33" s="304" t="s">
        <v>701</v>
      </c>
      <c r="E33" s="377" t="s">
        <v>503</v>
      </c>
      <c r="F33" s="367"/>
      <c r="G33" s="368"/>
      <c r="H33" s="368"/>
      <c r="I33" s="370"/>
      <c r="J33" s="370"/>
      <c r="K33" s="367"/>
      <c r="L33" s="370"/>
    </row>
    <row r="34" spans="1:12" ht="33.85" customHeight="1" x14ac:dyDescent="0.45">
      <c r="A34" s="315" t="s">
        <v>336</v>
      </c>
      <c r="B34" s="303"/>
      <c r="C34" s="303" t="s">
        <v>660</v>
      </c>
      <c r="D34" s="304"/>
      <c r="E34" s="304"/>
      <c r="F34" s="305"/>
      <c r="G34" s="306"/>
      <c r="H34" s="306"/>
      <c r="I34" s="306"/>
      <c r="J34" s="297"/>
      <c r="K34" s="305"/>
      <c r="L34" s="297"/>
    </row>
    <row r="35" spans="1:12" ht="33.85" customHeight="1" x14ac:dyDescent="0.45">
      <c r="A35" s="315" t="s">
        <v>336</v>
      </c>
      <c r="B35" s="303"/>
      <c r="C35" s="303" t="s">
        <v>660</v>
      </c>
      <c r="D35" s="304"/>
      <c r="E35" s="304"/>
      <c r="F35" s="305"/>
      <c r="G35" s="306"/>
      <c r="H35" s="306"/>
      <c r="I35" s="306"/>
      <c r="J35" s="297"/>
      <c r="K35" s="305"/>
      <c r="L35" s="297"/>
    </row>
    <row r="36" spans="1:12" ht="33.85" customHeight="1" x14ac:dyDescent="0.45">
      <c r="A36" s="315" t="s">
        <v>336</v>
      </c>
      <c r="B36" s="303"/>
      <c r="C36" s="303" t="s">
        <v>660</v>
      </c>
      <c r="D36" s="304"/>
      <c r="E36" s="304"/>
      <c r="F36" s="305"/>
      <c r="G36" s="306"/>
      <c r="H36" s="306"/>
      <c r="I36" s="306"/>
      <c r="J36" s="297"/>
      <c r="K36" s="305"/>
      <c r="L36" s="297"/>
    </row>
    <row r="37" spans="1:12" ht="33.85" customHeight="1" x14ac:dyDescent="0.45">
      <c r="A37" s="315" t="s">
        <v>336</v>
      </c>
      <c r="B37" s="303"/>
      <c r="C37" s="303" t="s">
        <v>660</v>
      </c>
      <c r="D37" s="304"/>
      <c r="E37" s="304"/>
      <c r="F37" s="305"/>
      <c r="G37" s="306"/>
      <c r="H37" s="306"/>
      <c r="I37" s="306"/>
      <c r="J37" s="297"/>
      <c r="K37" s="305"/>
      <c r="L37" s="297"/>
    </row>
    <row r="38" spans="1:12" ht="33.85" customHeight="1" x14ac:dyDescent="0.45">
      <c r="A38" s="315" t="s">
        <v>336</v>
      </c>
      <c r="B38" s="303"/>
      <c r="C38" s="303" t="s">
        <v>660</v>
      </c>
      <c r="D38" s="304"/>
      <c r="E38" s="304"/>
      <c r="F38" s="305"/>
      <c r="G38" s="306"/>
      <c r="H38" s="306"/>
      <c r="I38" s="306"/>
      <c r="J38" s="297"/>
      <c r="K38" s="305"/>
      <c r="L38" s="297"/>
    </row>
    <row r="39" spans="1:12" x14ac:dyDescent="0.45">
      <c r="C39" s="190" t="s">
        <v>691</v>
      </c>
      <c r="F39" s="137" t="s">
        <v>15</v>
      </c>
    </row>
    <row r="40" spans="1:12" x14ac:dyDescent="0.45">
      <c r="C40" s="190"/>
    </row>
    <row r="41" spans="1:12" ht="23.25" x14ac:dyDescent="0.45">
      <c r="A41" s="137" t="s">
        <v>18</v>
      </c>
      <c r="B41" s="260" t="s">
        <v>384</v>
      </c>
      <c r="C41" s="241"/>
      <c r="D41" s="241"/>
      <c r="E41" s="241"/>
    </row>
    <row r="42" spans="1:12" ht="21" x14ac:dyDescent="0.45">
      <c r="A42" s="137" t="s">
        <v>13</v>
      </c>
      <c r="B42" s="320" t="s">
        <v>701</v>
      </c>
      <c r="C42" s="254"/>
      <c r="D42" s="254"/>
      <c r="E42" s="598"/>
      <c r="J42" s="600"/>
      <c r="L42" s="607">
        <f>L21+1</f>
        <v>46145</v>
      </c>
    </row>
    <row r="44" spans="1:12" ht="15.75" x14ac:dyDescent="0.45">
      <c r="A44" s="297"/>
      <c r="B44" s="298"/>
      <c r="C44" s="298"/>
      <c r="D44" s="298"/>
      <c r="E44" s="298"/>
      <c r="F44" s="298"/>
      <c r="G44" s="298"/>
      <c r="H44" s="298"/>
      <c r="I44" s="298"/>
      <c r="J44" s="300"/>
      <c r="K44" s="298" t="s">
        <v>337</v>
      </c>
      <c r="L44" s="301"/>
    </row>
    <row r="45" spans="1:12" ht="63" x14ac:dyDescent="0.45">
      <c r="A45" s="344" t="s">
        <v>534</v>
      </c>
      <c r="B45" s="345" t="s">
        <v>0</v>
      </c>
      <c r="C45" s="345" t="s">
        <v>332</v>
      </c>
      <c r="D45" s="304" t="s">
        <v>333</v>
      </c>
      <c r="E45" s="377" t="s">
        <v>535</v>
      </c>
      <c r="F45" s="362" t="s">
        <v>1</v>
      </c>
      <c r="G45" s="368" t="s">
        <v>334</v>
      </c>
      <c r="H45" s="363" t="s">
        <v>335</v>
      </c>
      <c r="I45" s="362" t="s">
        <v>23</v>
      </c>
      <c r="J45" s="365" t="s">
        <v>22</v>
      </c>
      <c r="K45" s="362" t="s">
        <v>17</v>
      </c>
      <c r="L45" s="366" t="s">
        <v>12</v>
      </c>
    </row>
    <row r="46" spans="1:12" ht="33.4" customHeight="1" x14ac:dyDescent="0.45">
      <c r="A46" s="344" t="s">
        <v>501</v>
      </c>
      <c r="B46" s="345">
        <v>0.25</v>
      </c>
      <c r="C46" s="345" t="s">
        <v>384</v>
      </c>
      <c r="D46" s="304" t="s">
        <v>701</v>
      </c>
      <c r="E46" s="377" t="s">
        <v>503</v>
      </c>
      <c r="F46" s="367"/>
      <c r="G46" s="368">
        <v>1</v>
      </c>
      <c r="H46" s="368"/>
      <c r="I46" s="369"/>
      <c r="J46" s="369"/>
      <c r="K46" s="367"/>
      <c r="L46" s="370"/>
    </row>
    <row r="47" spans="1:12" ht="33.4" customHeight="1" x14ac:dyDescent="0.45">
      <c r="A47" s="344" t="s">
        <v>376</v>
      </c>
      <c r="B47" s="345">
        <v>0.27083333333333331</v>
      </c>
      <c r="C47" s="345" t="s">
        <v>384</v>
      </c>
      <c r="D47" s="304" t="s">
        <v>701</v>
      </c>
      <c r="E47" s="377" t="s">
        <v>504</v>
      </c>
      <c r="F47" s="367"/>
      <c r="G47" s="368">
        <v>1</v>
      </c>
      <c r="H47" s="368"/>
      <c r="I47" s="369"/>
      <c r="J47" s="369"/>
      <c r="K47" s="367"/>
      <c r="L47" s="370"/>
    </row>
    <row r="48" spans="1:12" ht="33.4" customHeight="1" x14ac:dyDescent="0.45">
      <c r="A48" s="344" t="s">
        <v>376</v>
      </c>
      <c r="B48" s="345">
        <v>0.2951388888888889</v>
      </c>
      <c r="C48" s="345" t="s">
        <v>384</v>
      </c>
      <c r="D48" s="304" t="s">
        <v>701</v>
      </c>
      <c r="E48" s="377" t="s">
        <v>504</v>
      </c>
      <c r="F48" s="362"/>
      <c r="G48" s="368">
        <v>1</v>
      </c>
      <c r="H48" s="363"/>
      <c r="I48" s="362"/>
      <c r="J48" s="365"/>
      <c r="K48" s="362"/>
      <c r="L48" s="366"/>
    </row>
    <row r="49" spans="1:12" ht="33.4" customHeight="1" x14ac:dyDescent="0.45">
      <c r="A49" s="344" t="s">
        <v>501</v>
      </c>
      <c r="B49" s="345">
        <v>0.58333333333333337</v>
      </c>
      <c r="C49" s="345" t="s">
        <v>384</v>
      </c>
      <c r="D49" s="304" t="s">
        <v>701</v>
      </c>
      <c r="E49" s="377" t="s">
        <v>504</v>
      </c>
      <c r="F49" s="367"/>
      <c r="G49" s="368">
        <v>1</v>
      </c>
      <c r="H49" s="368"/>
      <c r="I49" s="369"/>
      <c r="J49" s="369"/>
      <c r="K49" s="367"/>
      <c r="L49" s="370"/>
    </row>
    <row r="50" spans="1:12" ht="33.4" customHeight="1" x14ac:dyDescent="0.45">
      <c r="A50" s="344" t="s">
        <v>501</v>
      </c>
      <c r="B50" s="345">
        <v>0.625</v>
      </c>
      <c r="C50" s="345" t="s">
        <v>384</v>
      </c>
      <c r="D50" s="304" t="s">
        <v>701</v>
      </c>
      <c r="E50" s="377" t="s">
        <v>504</v>
      </c>
      <c r="F50" s="367"/>
      <c r="G50" s="368">
        <v>1</v>
      </c>
      <c r="H50" s="368"/>
      <c r="I50" s="369"/>
      <c r="J50" s="369"/>
      <c r="K50" s="367"/>
      <c r="L50" s="370"/>
    </row>
    <row r="51" spans="1:12" ht="33.4" customHeight="1" x14ac:dyDescent="0.45">
      <c r="A51" s="344" t="s">
        <v>501</v>
      </c>
      <c r="B51" s="345">
        <v>0.76041666666666663</v>
      </c>
      <c r="C51" s="345" t="s">
        <v>384</v>
      </c>
      <c r="D51" s="304" t="s">
        <v>701</v>
      </c>
      <c r="E51" s="377" t="s">
        <v>504</v>
      </c>
      <c r="F51" s="367"/>
      <c r="G51" s="368">
        <v>1</v>
      </c>
      <c r="H51" s="368"/>
      <c r="I51" s="369"/>
      <c r="J51" s="369"/>
      <c r="K51" s="367"/>
      <c r="L51" s="370"/>
    </row>
    <row r="52" spans="1:12" ht="33.4" customHeight="1" x14ac:dyDescent="0.45">
      <c r="A52" s="315" t="s">
        <v>376</v>
      </c>
      <c r="B52" s="303">
        <v>0.78125</v>
      </c>
      <c r="C52" s="303" t="s">
        <v>384</v>
      </c>
      <c r="D52" s="304" t="s">
        <v>701</v>
      </c>
      <c r="E52" s="304" t="s">
        <v>503</v>
      </c>
      <c r="F52" s="305"/>
      <c r="G52" s="306">
        <v>1</v>
      </c>
      <c r="H52" s="306"/>
      <c r="I52" s="306"/>
      <c r="J52" s="297"/>
      <c r="K52" s="305"/>
      <c r="L52" s="297"/>
    </row>
    <row r="53" spans="1:12" ht="33.4" customHeight="1" x14ac:dyDescent="0.45">
      <c r="A53" s="315" t="s">
        <v>336</v>
      </c>
      <c r="B53" s="303"/>
      <c r="C53" s="303" t="s">
        <v>660</v>
      </c>
      <c r="D53" s="304"/>
      <c r="E53" s="304"/>
      <c r="F53" s="305"/>
      <c r="G53" s="306"/>
      <c r="H53" s="306"/>
      <c r="I53" s="306"/>
      <c r="J53" s="297"/>
      <c r="K53" s="305"/>
      <c r="L53" s="297"/>
    </row>
    <row r="54" spans="1:12" ht="33.4" customHeight="1" x14ac:dyDescent="0.45">
      <c r="A54" s="315" t="s">
        <v>336</v>
      </c>
      <c r="B54" s="303"/>
      <c r="C54" s="303" t="s">
        <v>660</v>
      </c>
      <c r="D54" s="304"/>
      <c r="E54" s="304"/>
      <c r="F54" s="305"/>
      <c r="G54" s="306"/>
      <c r="H54" s="306"/>
      <c r="I54" s="306"/>
      <c r="J54" s="297"/>
      <c r="K54" s="305"/>
      <c r="L54" s="297"/>
    </row>
    <row r="55" spans="1:12" ht="33.4" customHeight="1" x14ac:dyDescent="0.45">
      <c r="A55" s="315" t="s">
        <v>336</v>
      </c>
      <c r="B55" s="303"/>
      <c r="C55" s="303" t="s">
        <v>660</v>
      </c>
      <c r="D55" s="304"/>
      <c r="E55" s="304"/>
      <c r="F55" s="305"/>
      <c r="G55" s="306"/>
      <c r="H55" s="306"/>
      <c r="I55" s="306"/>
      <c r="J55" s="297"/>
      <c r="K55" s="305"/>
      <c r="L55" s="297"/>
    </row>
    <row r="56" spans="1:12" ht="33.4" customHeight="1" x14ac:dyDescent="0.45">
      <c r="A56" s="315" t="s">
        <v>336</v>
      </c>
      <c r="B56" s="303"/>
      <c r="C56" s="303" t="s">
        <v>660</v>
      </c>
      <c r="D56" s="304"/>
      <c r="E56" s="304"/>
      <c r="F56" s="305"/>
      <c r="G56" s="306"/>
      <c r="H56" s="306"/>
      <c r="I56" s="306"/>
      <c r="J56" s="297"/>
      <c r="K56" s="305"/>
      <c r="L56" s="297"/>
    </row>
    <row r="57" spans="1:12" ht="33.4" customHeight="1" x14ac:dyDescent="0.45">
      <c r="C57" s="190" t="s">
        <v>691</v>
      </c>
      <c r="F57" s="137" t="s">
        <v>15</v>
      </c>
    </row>
    <row r="59" spans="1:12" ht="23.25" x14ac:dyDescent="0.45">
      <c r="A59" s="137" t="s">
        <v>18</v>
      </c>
      <c r="B59" s="260" t="s">
        <v>384</v>
      </c>
      <c r="C59" s="241"/>
      <c r="D59" s="241"/>
      <c r="E59" s="241"/>
    </row>
    <row r="60" spans="1:12" ht="21" x14ac:dyDescent="0.45">
      <c r="A60" s="137" t="s">
        <v>13</v>
      </c>
      <c r="B60" s="320" t="s">
        <v>701</v>
      </c>
      <c r="C60" s="254"/>
      <c r="D60" s="254"/>
      <c r="E60" s="598"/>
      <c r="J60" s="600"/>
      <c r="L60" s="600">
        <f>L42+1</f>
        <v>46146</v>
      </c>
    </row>
    <row r="62" spans="1:12" x14ac:dyDescent="0.45">
      <c r="A62" s="141"/>
      <c r="B62" s="142"/>
      <c r="C62" s="142"/>
      <c r="D62" s="142"/>
      <c r="E62" s="142"/>
      <c r="F62" s="142"/>
      <c r="G62" s="142"/>
      <c r="H62" s="142"/>
      <c r="I62" s="142"/>
      <c r="J62" s="319"/>
      <c r="K62" s="319" t="s">
        <v>337</v>
      </c>
      <c r="L62" s="294"/>
    </row>
    <row r="63" spans="1:12" ht="63" x14ac:dyDescent="0.45">
      <c r="A63" s="297" t="s">
        <v>534</v>
      </c>
      <c r="B63" s="298" t="s">
        <v>0</v>
      </c>
      <c r="C63" s="298" t="s">
        <v>332</v>
      </c>
      <c r="D63" s="298" t="s">
        <v>333</v>
      </c>
      <c r="E63" s="298" t="s">
        <v>535</v>
      </c>
      <c r="F63" s="298" t="s">
        <v>1</v>
      </c>
      <c r="G63" s="298" t="s">
        <v>334</v>
      </c>
      <c r="H63" s="298" t="s">
        <v>335</v>
      </c>
      <c r="I63" s="298" t="s">
        <v>23</v>
      </c>
      <c r="J63" s="300" t="s">
        <v>22</v>
      </c>
      <c r="K63" s="298" t="s">
        <v>17</v>
      </c>
      <c r="L63" s="301" t="s">
        <v>12</v>
      </c>
    </row>
    <row r="64" spans="1:12" ht="33" customHeight="1" x14ac:dyDescent="0.45">
      <c r="A64" s="344" t="s">
        <v>501</v>
      </c>
      <c r="B64" s="345">
        <v>0.25</v>
      </c>
      <c r="C64" s="345" t="s">
        <v>384</v>
      </c>
      <c r="D64" s="304" t="s">
        <v>701</v>
      </c>
      <c r="E64" s="377" t="s">
        <v>503</v>
      </c>
      <c r="F64" s="580"/>
      <c r="G64" s="368">
        <v>1</v>
      </c>
      <c r="H64" s="363"/>
      <c r="I64" s="580"/>
      <c r="J64" s="365"/>
      <c r="K64" s="580"/>
      <c r="L64" s="366"/>
    </row>
    <row r="65" spans="1:12" ht="33" customHeight="1" x14ac:dyDescent="0.45">
      <c r="A65" s="344" t="s">
        <v>376</v>
      </c>
      <c r="B65" s="345">
        <v>0.27083333333333331</v>
      </c>
      <c r="C65" s="345" t="s">
        <v>384</v>
      </c>
      <c r="D65" s="304" t="s">
        <v>701</v>
      </c>
      <c r="E65" s="377" t="s">
        <v>504</v>
      </c>
      <c r="F65" s="367"/>
      <c r="G65" s="368">
        <v>1</v>
      </c>
      <c r="H65" s="368"/>
      <c r="I65" s="370"/>
      <c r="J65" s="370"/>
      <c r="K65" s="367"/>
      <c r="L65" s="370"/>
    </row>
    <row r="66" spans="1:12" ht="33" customHeight="1" x14ac:dyDescent="0.45">
      <c r="A66" s="344" t="s">
        <v>376</v>
      </c>
      <c r="B66" s="345">
        <v>0.2951388888888889</v>
      </c>
      <c r="C66" s="345" t="s">
        <v>384</v>
      </c>
      <c r="D66" s="304" t="s">
        <v>701</v>
      </c>
      <c r="E66" s="377" t="s">
        <v>688</v>
      </c>
      <c r="F66" s="367"/>
      <c r="G66" s="368">
        <v>1</v>
      </c>
      <c r="H66" s="368"/>
      <c r="I66" s="370"/>
      <c r="J66" s="370"/>
      <c r="K66" s="367"/>
      <c r="L66" s="370"/>
    </row>
    <row r="67" spans="1:12" ht="33" customHeight="1" x14ac:dyDescent="0.45">
      <c r="A67" s="344" t="s">
        <v>501</v>
      </c>
      <c r="B67" s="303">
        <v>0.58333333333333337</v>
      </c>
      <c r="C67" s="303" t="s">
        <v>384</v>
      </c>
      <c r="D67" s="304" t="s">
        <v>701</v>
      </c>
      <c r="E67" s="377" t="s">
        <v>504</v>
      </c>
      <c r="F67" s="367"/>
      <c r="G67" s="368">
        <v>1</v>
      </c>
      <c r="H67" s="368"/>
      <c r="I67" s="370"/>
      <c r="J67" s="370"/>
      <c r="K67" s="367"/>
      <c r="L67" s="370"/>
    </row>
    <row r="68" spans="1:12" ht="33" customHeight="1" x14ac:dyDescent="0.45">
      <c r="A68" s="344" t="s">
        <v>376</v>
      </c>
      <c r="B68" s="303">
        <v>0.61805555555555558</v>
      </c>
      <c r="C68" s="303" t="s">
        <v>384</v>
      </c>
      <c r="D68" s="304" t="s">
        <v>701</v>
      </c>
      <c r="E68" s="377" t="s">
        <v>503</v>
      </c>
      <c r="F68" s="367"/>
      <c r="G68" s="368">
        <v>1</v>
      </c>
      <c r="H68" s="368"/>
      <c r="I68" s="370"/>
      <c r="J68" s="370"/>
      <c r="K68" s="367"/>
      <c r="L68" s="370"/>
    </row>
    <row r="69" spans="1:12" ht="33" customHeight="1" x14ac:dyDescent="0.45">
      <c r="A69" s="344" t="s">
        <v>376</v>
      </c>
      <c r="B69" s="303">
        <v>0.76041666666666663</v>
      </c>
      <c r="C69" s="303" t="s">
        <v>384</v>
      </c>
      <c r="D69" s="304" t="s">
        <v>701</v>
      </c>
      <c r="E69" s="377" t="s">
        <v>504</v>
      </c>
      <c r="F69" s="367"/>
      <c r="G69" s="368"/>
      <c r="H69" s="368"/>
      <c r="I69" s="370"/>
      <c r="J69" s="370"/>
      <c r="K69" s="367"/>
      <c r="L69" s="370"/>
    </row>
    <row r="70" spans="1:12" ht="33" customHeight="1" x14ac:dyDescent="0.45">
      <c r="A70" s="344" t="s">
        <v>501</v>
      </c>
      <c r="B70" s="303">
        <v>0.78125</v>
      </c>
      <c r="C70" s="303" t="s">
        <v>384</v>
      </c>
      <c r="D70" s="304" t="s">
        <v>701</v>
      </c>
      <c r="E70" s="377" t="s">
        <v>504</v>
      </c>
      <c r="F70" s="367"/>
      <c r="G70" s="368"/>
      <c r="H70" s="368"/>
      <c r="I70" s="370"/>
      <c r="J70" s="370"/>
      <c r="K70" s="367"/>
      <c r="L70" s="370"/>
    </row>
    <row r="71" spans="1:12" ht="33" customHeight="1" x14ac:dyDescent="0.45">
      <c r="A71" s="344" t="s">
        <v>376</v>
      </c>
      <c r="B71" s="303">
        <v>0.80208333333333337</v>
      </c>
      <c r="C71" s="303" t="s">
        <v>384</v>
      </c>
      <c r="D71" s="304" t="s">
        <v>701</v>
      </c>
      <c r="E71" s="377" t="s">
        <v>503</v>
      </c>
      <c r="F71" s="367"/>
      <c r="G71" s="368"/>
      <c r="H71" s="368"/>
      <c r="I71" s="370"/>
      <c r="J71" s="370"/>
      <c r="K71" s="367"/>
      <c r="L71" s="370"/>
    </row>
    <row r="72" spans="1:12" ht="33" customHeight="1" x14ac:dyDescent="0.45">
      <c r="A72" s="344" t="s">
        <v>376</v>
      </c>
      <c r="B72" s="303">
        <v>0.82291666666666663</v>
      </c>
      <c r="C72" s="303" t="s">
        <v>384</v>
      </c>
      <c r="D72" s="304" t="s">
        <v>701</v>
      </c>
      <c r="E72" s="377" t="s">
        <v>503</v>
      </c>
      <c r="F72" s="367"/>
      <c r="G72" s="368"/>
      <c r="H72" s="368"/>
      <c r="I72" s="370"/>
      <c r="J72" s="370"/>
      <c r="K72" s="367"/>
      <c r="L72" s="370"/>
    </row>
    <row r="73" spans="1:12" ht="33" customHeight="1" x14ac:dyDescent="0.45">
      <c r="A73" s="315" t="s">
        <v>336</v>
      </c>
      <c r="B73" s="303"/>
      <c r="C73" s="303" t="s">
        <v>660</v>
      </c>
      <c r="D73" s="304"/>
      <c r="E73" s="304"/>
      <c r="F73" s="305"/>
      <c r="G73" s="306"/>
      <c r="H73" s="306"/>
      <c r="I73" s="306"/>
      <c r="J73" s="297"/>
      <c r="K73" s="305"/>
      <c r="L73" s="297"/>
    </row>
    <row r="74" spans="1:12" ht="33" customHeight="1" x14ac:dyDescent="0.45">
      <c r="A74" s="315" t="s">
        <v>336</v>
      </c>
      <c r="B74" s="303"/>
      <c r="C74" s="303" t="s">
        <v>660</v>
      </c>
      <c r="D74" s="304"/>
      <c r="E74" s="304"/>
      <c r="F74" s="305"/>
      <c r="G74" s="306"/>
      <c r="H74" s="306"/>
      <c r="I74" s="306"/>
      <c r="J74" s="297"/>
      <c r="K74" s="305"/>
      <c r="L74" s="297"/>
    </row>
    <row r="75" spans="1:12" ht="33" customHeight="1" x14ac:dyDescent="0.45">
      <c r="A75" s="315" t="s">
        <v>336</v>
      </c>
      <c r="B75" s="303"/>
      <c r="C75" s="303" t="s">
        <v>660</v>
      </c>
      <c r="D75" s="304"/>
      <c r="E75" s="304"/>
      <c r="F75" s="305"/>
      <c r="G75" s="306"/>
      <c r="H75" s="306"/>
      <c r="I75" s="306"/>
      <c r="J75" s="297"/>
      <c r="K75" s="305"/>
      <c r="L75" s="297"/>
    </row>
    <row r="76" spans="1:12" ht="33" customHeight="1" x14ac:dyDescent="0.45">
      <c r="A76" s="315" t="s">
        <v>336</v>
      </c>
      <c r="B76" s="303"/>
      <c r="C76" s="303" t="s">
        <v>660</v>
      </c>
      <c r="D76" s="304"/>
      <c r="E76" s="304"/>
      <c r="F76" s="305"/>
      <c r="G76" s="306"/>
      <c r="H76" s="306"/>
      <c r="I76" s="306"/>
      <c r="J76" s="297"/>
      <c r="K76" s="305"/>
      <c r="L76" s="297"/>
    </row>
    <row r="77" spans="1:12" ht="33" customHeight="1" x14ac:dyDescent="0.45">
      <c r="A77" s="315" t="s">
        <v>336</v>
      </c>
      <c r="B77" s="303"/>
      <c r="C77" s="303" t="s">
        <v>660</v>
      </c>
      <c r="D77" s="304"/>
      <c r="E77" s="304"/>
      <c r="F77" s="305"/>
      <c r="G77" s="306"/>
      <c r="H77" s="306"/>
      <c r="I77" s="306"/>
      <c r="J77" s="297"/>
      <c r="K77" s="305"/>
      <c r="L77" s="297"/>
    </row>
    <row r="78" spans="1:12" x14ac:dyDescent="0.45">
      <c r="C78" s="190" t="s">
        <v>691</v>
      </c>
      <c r="F78" s="137" t="s">
        <v>15</v>
      </c>
    </row>
    <row r="79" spans="1:12" ht="23.25" x14ac:dyDescent="0.45">
      <c r="A79" s="137" t="s">
        <v>18</v>
      </c>
      <c r="B79" s="260" t="s">
        <v>384</v>
      </c>
      <c r="C79" s="241"/>
      <c r="D79" s="241"/>
      <c r="E79" s="241"/>
      <c r="L79" s="600">
        <f>L60+1</f>
        <v>46147</v>
      </c>
    </row>
    <row r="80" spans="1:12" ht="21" x14ac:dyDescent="0.45">
      <c r="A80" s="137" t="s">
        <v>13</v>
      </c>
      <c r="B80" s="320" t="s">
        <v>701</v>
      </c>
      <c r="C80" s="254"/>
      <c r="D80" s="254"/>
      <c r="E80" s="598"/>
      <c r="J80" s="600"/>
      <c r="L80" s="600"/>
    </row>
    <row r="82" spans="1:14" x14ac:dyDescent="0.45">
      <c r="A82" s="141"/>
      <c r="B82" s="142"/>
      <c r="C82" s="142"/>
      <c r="D82" s="142"/>
      <c r="E82" s="142"/>
      <c r="F82" s="142"/>
      <c r="G82" s="142"/>
      <c r="H82" s="142"/>
      <c r="I82" s="142"/>
      <c r="J82" s="319"/>
      <c r="K82" s="319" t="s">
        <v>337</v>
      </c>
      <c r="L82" s="294"/>
      <c r="M82" s="137" t="s">
        <v>337</v>
      </c>
    </row>
    <row r="83" spans="1:14" ht="63" x14ac:dyDescent="0.45">
      <c r="A83" s="297" t="s">
        <v>534</v>
      </c>
      <c r="B83" s="298" t="s">
        <v>0</v>
      </c>
      <c r="C83" s="298" t="s">
        <v>332</v>
      </c>
      <c r="D83" s="298" t="s">
        <v>333</v>
      </c>
      <c r="E83" s="298" t="s">
        <v>535</v>
      </c>
      <c r="F83" s="298" t="s">
        <v>1</v>
      </c>
      <c r="G83" s="298" t="s">
        <v>334</v>
      </c>
      <c r="H83" s="298" t="s">
        <v>335</v>
      </c>
      <c r="I83" s="298" t="s">
        <v>23</v>
      </c>
      <c r="J83" s="300" t="s">
        <v>22</v>
      </c>
      <c r="K83" s="298" t="s">
        <v>17</v>
      </c>
      <c r="L83" s="301" t="s">
        <v>12</v>
      </c>
      <c r="M83" s="137" t="s">
        <v>17</v>
      </c>
      <c r="N83" s="137" t="s">
        <v>12</v>
      </c>
    </row>
    <row r="84" spans="1:14" ht="33" customHeight="1" x14ac:dyDescent="0.45">
      <c r="A84" s="344" t="s">
        <v>501</v>
      </c>
      <c r="B84" s="345">
        <v>0.25</v>
      </c>
      <c r="C84" s="345" t="s">
        <v>384</v>
      </c>
      <c r="D84" s="304" t="s">
        <v>701</v>
      </c>
      <c r="E84" s="377" t="s">
        <v>503</v>
      </c>
      <c r="F84" s="580"/>
      <c r="G84" s="368">
        <v>1</v>
      </c>
      <c r="H84" s="363"/>
      <c r="I84" s="580"/>
      <c r="J84" s="365"/>
      <c r="K84" s="580"/>
      <c r="L84" s="366"/>
    </row>
    <row r="85" spans="1:14" ht="33" customHeight="1" x14ac:dyDescent="0.45">
      <c r="A85" s="344" t="s">
        <v>376</v>
      </c>
      <c r="B85" s="345">
        <v>0.27083333333333331</v>
      </c>
      <c r="C85" s="345" t="s">
        <v>384</v>
      </c>
      <c r="D85" s="304" t="s">
        <v>701</v>
      </c>
      <c r="E85" s="377" t="s">
        <v>504</v>
      </c>
      <c r="F85" s="367"/>
      <c r="G85" s="368">
        <v>1</v>
      </c>
      <c r="H85" s="368"/>
      <c r="I85" s="370"/>
      <c r="J85" s="370"/>
      <c r="K85" s="367"/>
      <c r="L85" s="370"/>
    </row>
    <row r="86" spans="1:14" ht="33" customHeight="1" x14ac:dyDescent="0.45">
      <c r="A86" s="344" t="s">
        <v>376</v>
      </c>
      <c r="B86" s="345">
        <v>0.2951388888888889</v>
      </c>
      <c r="C86" s="345" t="s">
        <v>384</v>
      </c>
      <c r="D86" s="304" t="s">
        <v>701</v>
      </c>
      <c r="E86" s="377" t="s">
        <v>688</v>
      </c>
      <c r="F86" s="367"/>
      <c r="G86" s="368">
        <v>1</v>
      </c>
      <c r="H86" s="368"/>
      <c r="I86" s="370"/>
      <c r="J86" s="370"/>
      <c r="K86" s="367"/>
      <c r="L86" s="370"/>
    </row>
    <row r="87" spans="1:14" ht="33" customHeight="1" x14ac:dyDescent="0.45">
      <c r="A87" s="344" t="s">
        <v>501</v>
      </c>
      <c r="B87" s="303">
        <v>0.58333333333333337</v>
      </c>
      <c r="C87" s="303" t="s">
        <v>384</v>
      </c>
      <c r="D87" s="304" t="s">
        <v>701</v>
      </c>
      <c r="E87" s="377" t="s">
        <v>504</v>
      </c>
      <c r="F87" s="367"/>
      <c r="G87" s="368">
        <v>1</v>
      </c>
      <c r="H87" s="368"/>
      <c r="I87" s="370"/>
      <c r="J87" s="370"/>
      <c r="K87" s="367"/>
      <c r="L87" s="370"/>
    </row>
    <row r="88" spans="1:14" ht="33" customHeight="1" x14ac:dyDescent="0.45">
      <c r="A88" s="344" t="s">
        <v>376</v>
      </c>
      <c r="B88" s="303">
        <v>0.61805555555555558</v>
      </c>
      <c r="C88" s="303" t="s">
        <v>384</v>
      </c>
      <c r="D88" s="304" t="s">
        <v>701</v>
      </c>
      <c r="E88" s="377" t="s">
        <v>503</v>
      </c>
      <c r="F88" s="367"/>
      <c r="G88" s="368">
        <v>1</v>
      </c>
      <c r="H88" s="368"/>
      <c r="I88" s="370"/>
      <c r="J88" s="370"/>
      <c r="K88" s="367"/>
      <c r="L88" s="370"/>
    </row>
    <row r="89" spans="1:14" ht="33" customHeight="1" x14ac:dyDescent="0.45">
      <c r="A89" s="344" t="s">
        <v>376</v>
      </c>
      <c r="B89" s="303">
        <v>0.76041666666666663</v>
      </c>
      <c r="C89" s="303" t="s">
        <v>384</v>
      </c>
      <c r="D89" s="304" t="s">
        <v>701</v>
      </c>
      <c r="E89" s="377" t="s">
        <v>504</v>
      </c>
      <c r="F89" s="367"/>
      <c r="G89" s="368"/>
      <c r="H89" s="368"/>
      <c r="I89" s="370"/>
      <c r="J89" s="370"/>
      <c r="K89" s="367"/>
      <c r="L89" s="370"/>
    </row>
    <row r="90" spans="1:14" ht="33" customHeight="1" x14ac:dyDescent="0.45">
      <c r="A90" s="344" t="s">
        <v>501</v>
      </c>
      <c r="B90" s="303">
        <v>0.78125</v>
      </c>
      <c r="C90" s="303" t="s">
        <v>384</v>
      </c>
      <c r="D90" s="304" t="s">
        <v>701</v>
      </c>
      <c r="E90" s="377" t="s">
        <v>504</v>
      </c>
      <c r="F90" s="367"/>
      <c r="G90" s="368"/>
      <c r="H90" s="368"/>
      <c r="I90" s="370"/>
      <c r="J90" s="370"/>
      <c r="K90" s="367"/>
      <c r="L90" s="370"/>
    </row>
    <row r="91" spans="1:14" ht="33" customHeight="1" x14ac:dyDescent="0.45">
      <c r="A91" s="344" t="s">
        <v>376</v>
      </c>
      <c r="B91" s="303">
        <v>0.80208333333333337</v>
      </c>
      <c r="C91" s="303" t="s">
        <v>384</v>
      </c>
      <c r="D91" s="304" t="s">
        <v>701</v>
      </c>
      <c r="E91" s="377" t="s">
        <v>503</v>
      </c>
      <c r="F91" s="367"/>
      <c r="G91" s="368"/>
      <c r="H91" s="368"/>
      <c r="I91" s="370"/>
      <c r="J91" s="370"/>
      <c r="K91" s="367"/>
      <c r="L91" s="370"/>
    </row>
    <row r="92" spans="1:14" ht="33" customHeight="1" x14ac:dyDescent="0.45">
      <c r="A92" s="344" t="s">
        <v>376</v>
      </c>
      <c r="B92" s="303">
        <v>0.82291666666666663</v>
      </c>
      <c r="C92" s="303" t="s">
        <v>384</v>
      </c>
      <c r="D92" s="304" t="s">
        <v>701</v>
      </c>
      <c r="E92" s="377" t="s">
        <v>503</v>
      </c>
      <c r="F92" s="367"/>
      <c r="G92" s="368"/>
      <c r="H92" s="368"/>
      <c r="I92" s="370"/>
      <c r="J92" s="370"/>
      <c r="K92" s="367"/>
      <c r="L92" s="370"/>
    </row>
    <row r="93" spans="1:14" ht="33" customHeight="1" x14ac:dyDescent="0.45">
      <c r="A93" s="315" t="s">
        <v>336</v>
      </c>
      <c r="B93" s="303"/>
      <c r="C93" s="303" t="s">
        <v>660</v>
      </c>
      <c r="D93" s="304"/>
      <c r="E93" s="304"/>
      <c r="F93" s="305"/>
      <c r="G93" s="306"/>
      <c r="H93" s="306"/>
      <c r="I93" s="306"/>
      <c r="J93" s="297"/>
      <c r="K93" s="305"/>
      <c r="L93" s="297"/>
    </row>
    <row r="94" spans="1:14" ht="33" customHeight="1" x14ac:dyDescent="0.45">
      <c r="A94" s="315" t="s">
        <v>336</v>
      </c>
      <c r="B94" s="303"/>
      <c r="C94" s="303" t="s">
        <v>660</v>
      </c>
      <c r="D94" s="304"/>
      <c r="E94" s="304"/>
      <c r="F94" s="305"/>
      <c r="G94" s="306"/>
      <c r="H94" s="306"/>
      <c r="I94" s="306"/>
      <c r="J94" s="297"/>
      <c r="K94" s="305"/>
      <c r="L94" s="297"/>
    </row>
    <row r="95" spans="1:14" ht="33" customHeight="1" x14ac:dyDescent="0.45">
      <c r="A95" s="315" t="s">
        <v>336</v>
      </c>
      <c r="B95" s="303"/>
      <c r="C95" s="303" t="s">
        <v>660</v>
      </c>
      <c r="D95" s="304"/>
      <c r="E95" s="304"/>
      <c r="F95" s="305"/>
      <c r="G95" s="306"/>
      <c r="H95" s="306"/>
      <c r="I95" s="306"/>
      <c r="J95" s="297"/>
      <c r="K95" s="305"/>
      <c r="L95" s="297"/>
    </row>
    <row r="96" spans="1:14" ht="33" customHeight="1" x14ac:dyDescent="0.45">
      <c r="A96" s="315" t="s">
        <v>336</v>
      </c>
      <c r="B96" s="303"/>
      <c r="C96" s="303" t="s">
        <v>660</v>
      </c>
      <c r="D96" s="304"/>
      <c r="E96" s="304"/>
      <c r="F96" s="305"/>
      <c r="G96" s="306"/>
      <c r="H96" s="306"/>
      <c r="I96" s="306"/>
      <c r="J96" s="297"/>
      <c r="K96" s="305"/>
      <c r="L96" s="297"/>
    </row>
    <row r="97" spans="1:12" ht="33" customHeight="1" x14ac:dyDescent="0.45">
      <c r="A97" s="315" t="s">
        <v>336</v>
      </c>
      <c r="B97" s="303"/>
      <c r="C97" s="303" t="s">
        <v>660</v>
      </c>
      <c r="D97" s="304"/>
      <c r="E97" s="304"/>
      <c r="F97" s="305"/>
      <c r="G97" s="306"/>
      <c r="H97" s="306"/>
      <c r="I97" s="306"/>
      <c r="J97" s="297"/>
      <c r="K97" s="305"/>
      <c r="L97" s="297"/>
    </row>
    <row r="98" spans="1:12" x14ac:dyDescent="0.45">
      <c r="C98" s="190" t="s">
        <v>691</v>
      </c>
      <c r="F98" s="137" t="s">
        <v>15</v>
      </c>
    </row>
    <row r="99" spans="1:12" x14ac:dyDescent="0.45">
      <c r="C99" s="190"/>
    </row>
    <row r="100" spans="1:12" ht="23.25" x14ac:dyDescent="0.45">
      <c r="A100" s="137" t="s">
        <v>18</v>
      </c>
      <c r="B100" s="260" t="s">
        <v>384</v>
      </c>
      <c r="C100" s="241"/>
      <c r="D100" s="241"/>
      <c r="E100" s="241"/>
      <c r="J100" s="600"/>
      <c r="L100" s="600">
        <f>L79+1</f>
        <v>46148</v>
      </c>
    </row>
    <row r="101" spans="1:12" ht="21" x14ac:dyDescent="0.45">
      <c r="A101" s="137" t="s">
        <v>13</v>
      </c>
      <c r="B101" s="320" t="s">
        <v>701</v>
      </c>
      <c r="C101" s="254"/>
      <c r="D101" s="254"/>
      <c r="E101" s="598"/>
      <c r="J101" s="600"/>
      <c r="L101" s="600"/>
    </row>
    <row r="103" spans="1:12" x14ac:dyDescent="0.45">
      <c r="A103" s="141"/>
      <c r="B103" s="142"/>
      <c r="C103" s="142"/>
      <c r="D103" s="142"/>
      <c r="E103" s="142"/>
      <c r="F103" s="142"/>
      <c r="G103" s="142"/>
      <c r="H103" s="142"/>
      <c r="I103" s="142"/>
      <c r="J103" s="319"/>
      <c r="K103" s="319" t="s">
        <v>337</v>
      </c>
      <c r="L103" s="294"/>
    </row>
    <row r="104" spans="1:12" ht="63" x14ac:dyDescent="0.45">
      <c r="A104" s="297" t="s">
        <v>534</v>
      </c>
      <c r="B104" s="298" t="s">
        <v>0</v>
      </c>
      <c r="C104" s="298" t="s">
        <v>332</v>
      </c>
      <c r="D104" s="298" t="s">
        <v>333</v>
      </c>
      <c r="E104" s="298" t="s">
        <v>535</v>
      </c>
      <c r="F104" s="298" t="s">
        <v>1</v>
      </c>
      <c r="G104" s="298" t="s">
        <v>334</v>
      </c>
      <c r="H104" s="298" t="s">
        <v>335</v>
      </c>
      <c r="I104" s="298" t="s">
        <v>23</v>
      </c>
      <c r="J104" s="300" t="s">
        <v>22</v>
      </c>
      <c r="K104" s="298" t="s">
        <v>17</v>
      </c>
      <c r="L104" s="301" t="s">
        <v>12</v>
      </c>
    </row>
    <row r="105" spans="1:12" ht="32.75" customHeight="1" x14ac:dyDescent="0.45">
      <c r="A105" s="344" t="s">
        <v>501</v>
      </c>
      <c r="B105" s="345">
        <v>0.25</v>
      </c>
      <c r="C105" s="345" t="s">
        <v>384</v>
      </c>
      <c r="D105" s="304" t="s">
        <v>701</v>
      </c>
      <c r="E105" s="377" t="s">
        <v>503</v>
      </c>
      <c r="F105" s="580"/>
      <c r="G105" s="368">
        <v>1</v>
      </c>
      <c r="H105" s="363"/>
      <c r="I105" s="580"/>
      <c r="J105" s="365"/>
      <c r="K105" s="580"/>
      <c r="L105" s="366"/>
    </row>
    <row r="106" spans="1:12" ht="32.75" customHeight="1" x14ac:dyDescent="0.45">
      <c r="A106" s="344" t="s">
        <v>376</v>
      </c>
      <c r="B106" s="345">
        <v>0.27083333333333331</v>
      </c>
      <c r="C106" s="345" t="s">
        <v>384</v>
      </c>
      <c r="D106" s="304" t="s">
        <v>701</v>
      </c>
      <c r="E106" s="377" t="s">
        <v>504</v>
      </c>
      <c r="F106" s="367"/>
      <c r="G106" s="368">
        <v>1</v>
      </c>
      <c r="H106" s="368"/>
      <c r="I106" s="370"/>
      <c r="J106" s="370"/>
      <c r="K106" s="367"/>
      <c r="L106" s="370"/>
    </row>
    <row r="107" spans="1:12" ht="32.75" customHeight="1" x14ac:dyDescent="0.45">
      <c r="A107" s="344" t="s">
        <v>376</v>
      </c>
      <c r="B107" s="345">
        <v>0.2951388888888889</v>
      </c>
      <c r="C107" s="345" t="s">
        <v>384</v>
      </c>
      <c r="D107" s="304" t="s">
        <v>701</v>
      </c>
      <c r="E107" s="377" t="s">
        <v>688</v>
      </c>
      <c r="F107" s="367"/>
      <c r="G107" s="368">
        <v>1</v>
      </c>
      <c r="H107" s="368"/>
      <c r="I107" s="370"/>
      <c r="J107" s="370"/>
      <c r="K107" s="367"/>
      <c r="L107" s="370"/>
    </row>
    <row r="108" spans="1:12" ht="32.75" customHeight="1" x14ac:dyDescent="0.45">
      <c r="A108" s="344" t="s">
        <v>501</v>
      </c>
      <c r="B108" s="303">
        <v>0.58333333333333337</v>
      </c>
      <c r="C108" s="303" t="s">
        <v>384</v>
      </c>
      <c r="D108" s="304" t="s">
        <v>701</v>
      </c>
      <c r="E108" s="377" t="s">
        <v>504</v>
      </c>
      <c r="F108" s="367"/>
      <c r="G108" s="368">
        <v>1</v>
      </c>
      <c r="H108" s="368"/>
      <c r="I108" s="370"/>
      <c r="J108" s="370"/>
      <c r="K108" s="367"/>
      <c r="L108" s="370"/>
    </row>
    <row r="109" spans="1:12" ht="32.75" customHeight="1" x14ac:dyDescent="0.45">
      <c r="A109" s="344" t="s">
        <v>376</v>
      </c>
      <c r="B109" s="303">
        <v>0.61805555555555558</v>
      </c>
      <c r="C109" s="303" t="s">
        <v>384</v>
      </c>
      <c r="D109" s="304" t="s">
        <v>701</v>
      </c>
      <c r="E109" s="377" t="s">
        <v>503</v>
      </c>
      <c r="F109" s="367"/>
      <c r="G109" s="368">
        <v>1</v>
      </c>
      <c r="H109" s="368"/>
      <c r="I109" s="370"/>
      <c r="J109" s="370"/>
      <c r="K109" s="367"/>
      <c r="L109" s="370"/>
    </row>
    <row r="110" spans="1:12" ht="32.75" customHeight="1" x14ac:dyDescent="0.45">
      <c r="A110" s="344" t="s">
        <v>376</v>
      </c>
      <c r="B110" s="303">
        <v>0.76041666666666663</v>
      </c>
      <c r="C110" s="303" t="s">
        <v>384</v>
      </c>
      <c r="D110" s="304" t="s">
        <v>701</v>
      </c>
      <c r="E110" s="377" t="s">
        <v>504</v>
      </c>
      <c r="F110" s="367"/>
      <c r="G110" s="368"/>
      <c r="H110" s="368"/>
      <c r="I110" s="370"/>
      <c r="J110" s="370"/>
      <c r="K110" s="367"/>
      <c r="L110" s="370"/>
    </row>
    <row r="111" spans="1:12" ht="32.75" customHeight="1" x14ac:dyDescent="0.45">
      <c r="A111" s="344" t="s">
        <v>501</v>
      </c>
      <c r="B111" s="303">
        <v>0.78125</v>
      </c>
      <c r="C111" s="303" t="s">
        <v>384</v>
      </c>
      <c r="D111" s="304" t="s">
        <v>701</v>
      </c>
      <c r="E111" s="377" t="s">
        <v>504</v>
      </c>
      <c r="F111" s="367"/>
      <c r="G111" s="368"/>
      <c r="H111" s="368"/>
      <c r="I111" s="370"/>
      <c r="J111" s="370"/>
      <c r="K111" s="367"/>
      <c r="L111" s="370"/>
    </row>
    <row r="112" spans="1:12" ht="32.75" customHeight="1" x14ac:dyDescent="0.45">
      <c r="A112" s="344" t="s">
        <v>376</v>
      </c>
      <c r="B112" s="303">
        <v>0.80208333333333337</v>
      </c>
      <c r="C112" s="303" t="s">
        <v>384</v>
      </c>
      <c r="D112" s="304" t="s">
        <v>701</v>
      </c>
      <c r="E112" s="377" t="s">
        <v>503</v>
      </c>
      <c r="F112" s="367"/>
      <c r="G112" s="368"/>
      <c r="H112" s="368"/>
      <c r="I112" s="370"/>
      <c r="J112" s="370"/>
      <c r="K112" s="367"/>
      <c r="L112" s="370"/>
    </row>
    <row r="113" spans="1:12" ht="32.75" customHeight="1" x14ac:dyDescent="0.45">
      <c r="A113" s="344" t="s">
        <v>376</v>
      </c>
      <c r="B113" s="303">
        <v>0.82291666666666663</v>
      </c>
      <c r="C113" s="303" t="s">
        <v>384</v>
      </c>
      <c r="D113" s="304" t="s">
        <v>701</v>
      </c>
      <c r="E113" s="377" t="s">
        <v>503</v>
      </c>
      <c r="F113" s="367"/>
      <c r="G113" s="368"/>
      <c r="H113" s="368"/>
      <c r="I113" s="370"/>
      <c r="J113" s="370"/>
      <c r="K113" s="367"/>
      <c r="L113" s="370"/>
    </row>
    <row r="114" spans="1:12" ht="32.75" customHeight="1" x14ac:dyDescent="0.45">
      <c r="A114" s="315" t="s">
        <v>336</v>
      </c>
      <c r="B114" s="303"/>
      <c r="C114" s="303" t="s">
        <v>660</v>
      </c>
      <c r="D114" s="304"/>
      <c r="E114" s="304"/>
      <c r="F114" s="305"/>
      <c r="G114" s="306"/>
      <c r="H114" s="306"/>
      <c r="I114" s="306"/>
      <c r="J114" s="297"/>
      <c r="K114" s="305"/>
      <c r="L114" s="297"/>
    </row>
    <row r="115" spans="1:12" ht="32.75" customHeight="1" x14ac:dyDescent="0.45">
      <c r="A115" s="315" t="s">
        <v>336</v>
      </c>
      <c r="B115" s="303"/>
      <c r="C115" s="303" t="s">
        <v>660</v>
      </c>
      <c r="D115" s="304"/>
      <c r="E115" s="304"/>
      <c r="F115" s="305"/>
      <c r="G115" s="306"/>
      <c r="H115" s="306"/>
      <c r="I115" s="306"/>
      <c r="J115" s="297"/>
      <c r="K115" s="305"/>
      <c r="L115" s="297"/>
    </row>
    <row r="116" spans="1:12" ht="32.75" customHeight="1" x14ac:dyDescent="0.45">
      <c r="A116" s="315" t="s">
        <v>336</v>
      </c>
      <c r="B116" s="303"/>
      <c r="C116" s="303" t="s">
        <v>660</v>
      </c>
      <c r="D116" s="304"/>
      <c r="E116" s="304"/>
      <c r="F116" s="305"/>
      <c r="G116" s="306"/>
      <c r="H116" s="306"/>
      <c r="I116" s="306"/>
      <c r="J116" s="297"/>
      <c r="K116" s="305"/>
      <c r="L116" s="297"/>
    </row>
    <row r="117" spans="1:12" ht="32.75" customHeight="1" x14ac:dyDescent="0.45">
      <c r="A117" s="315" t="s">
        <v>336</v>
      </c>
      <c r="B117" s="303"/>
      <c r="C117" s="303" t="s">
        <v>660</v>
      </c>
      <c r="D117" s="304"/>
      <c r="E117" s="304"/>
      <c r="F117" s="305"/>
      <c r="G117" s="306"/>
      <c r="H117" s="306"/>
      <c r="I117" s="306"/>
      <c r="J117" s="297"/>
      <c r="K117" s="305"/>
      <c r="L117" s="297"/>
    </row>
    <row r="118" spans="1:12" ht="32.75" customHeight="1" x14ac:dyDescent="0.45">
      <c r="A118" s="315" t="s">
        <v>336</v>
      </c>
      <c r="B118" s="303"/>
      <c r="C118" s="303" t="s">
        <v>660</v>
      </c>
      <c r="D118" s="304"/>
      <c r="E118" s="304"/>
      <c r="F118" s="305"/>
      <c r="G118" s="306"/>
      <c r="H118" s="306"/>
      <c r="I118" s="306"/>
      <c r="J118" s="297"/>
      <c r="K118" s="305"/>
      <c r="L118" s="297"/>
    </row>
    <row r="119" spans="1:12" x14ac:dyDescent="0.45">
      <c r="C119" s="190" t="s">
        <v>691</v>
      </c>
      <c r="F119" s="137" t="s">
        <v>15</v>
      </c>
    </row>
    <row r="120" spans="1:12" ht="23.25" x14ac:dyDescent="0.45">
      <c r="A120" s="137" t="s">
        <v>18</v>
      </c>
      <c r="B120" s="260" t="s">
        <v>384</v>
      </c>
      <c r="C120" s="241"/>
      <c r="D120" s="241"/>
      <c r="E120" s="241"/>
    </row>
    <row r="121" spans="1:12" ht="21" x14ac:dyDescent="0.45">
      <c r="A121" s="137" t="s">
        <v>13</v>
      </c>
      <c r="B121" s="320" t="s">
        <v>701</v>
      </c>
      <c r="C121" s="254"/>
      <c r="D121" s="254"/>
      <c r="E121" s="598"/>
      <c r="J121" s="600"/>
      <c r="L121" s="600">
        <f>L100+1</f>
        <v>46149</v>
      </c>
    </row>
    <row r="123" spans="1:12" x14ac:dyDescent="0.45">
      <c r="A123" s="141"/>
      <c r="B123" s="142"/>
      <c r="C123" s="142"/>
      <c r="D123" s="142"/>
      <c r="E123" s="142"/>
      <c r="F123" s="142"/>
      <c r="G123" s="142"/>
      <c r="H123" s="142"/>
      <c r="I123" s="142"/>
      <c r="J123" s="319"/>
      <c r="K123" s="319" t="s">
        <v>337</v>
      </c>
      <c r="L123" s="294"/>
    </row>
    <row r="124" spans="1:12" ht="63" x14ac:dyDescent="0.45">
      <c r="A124" s="297" t="s">
        <v>534</v>
      </c>
      <c r="B124" s="298" t="s">
        <v>0</v>
      </c>
      <c r="C124" s="298" t="s">
        <v>332</v>
      </c>
      <c r="D124" s="298" t="s">
        <v>333</v>
      </c>
      <c r="E124" s="298" t="s">
        <v>535</v>
      </c>
      <c r="F124" s="298" t="s">
        <v>1</v>
      </c>
      <c r="G124" s="298" t="s">
        <v>334</v>
      </c>
      <c r="H124" s="298" t="s">
        <v>335</v>
      </c>
      <c r="I124" s="298" t="s">
        <v>23</v>
      </c>
      <c r="J124" s="300" t="s">
        <v>22</v>
      </c>
      <c r="K124" s="298" t="s">
        <v>17</v>
      </c>
      <c r="L124" s="301" t="s">
        <v>12</v>
      </c>
    </row>
    <row r="125" spans="1:12" ht="33.4" customHeight="1" x14ac:dyDescent="0.45">
      <c r="A125" s="344" t="s">
        <v>501</v>
      </c>
      <c r="B125" s="345">
        <v>0.25</v>
      </c>
      <c r="C125" s="345" t="s">
        <v>384</v>
      </c>
      <c r="D125" s="304" t="s">
        <v>701</v>
      </c>
      <c r="E125" s="377" t="s">
        <v>503</v>
      </c>
      <c r="F125" s="580"/>
      <c r="G125" s="368">
        <v>1</v>
      </c>
      <c r="H125" s="363"/>
      <c r="I125" s="580"/>
      <c r="J125" s="365"/>
      <c r="K125" s="580"/>
      <c r="L125" s="366"/>
    </row>
    <row r="126" spans="1:12" ht="33.4" customHeight="1" x14ac:dyDescent="0.45">
      <c r="A126" s="344" t="s">
        <v>376</v>
      </c>
      <c r="B126" s="345">
        <v>0.27083333333333331</v>
      </c>
      <c r="C126" s="345" t="s">
        <v>384</v>
      </c>
      <c r="D126" s="304" t="s">
        <v>701</v>
      </c>
      <c r="E126" s="377" t="s">
        <v>504</v>
      </c>
      <c r="F126" s="367"/>
      <c r="G126" s="368">
        <v>1</v>
      </c>
      <c r="H126" s="368"/>
      <c r="I126" s="370"/>
      <c r="J126" s="370"/>
      <c r="K126" s="367"/>
      <c r="L126" s="370"/>
    </row>
    <row r="127" spans="1:12" ht="33.4" customHeight="1" x14ac:dyDescent="0.45">
      <c r="A127" s="344" t="s">
        <v>376</v>
      </c>
      <c r="B127" s="345">
        <v>0.2951388888888889</v>
      </c>
      <c r="C127" s="345" t="s">
        <v>384</v>
      </c>
      <c r="D127" s="304" t="s">
        <v>701</v>
      </c>
      <c r="E127" s="377" t="s">
        <v>688</v>
      </c>
      <c r="F127" s="367"/>
      <c r="G127" s="368">
        <v>1</v>
      </c>
      <c r="H127" s="368"/>
      <c r="I127" s="370"/>
      <c r="J127" s="370"/>
      <c r="K127" s="367"/>
      <c r="L127" s="370"/>
    </row>
    <row r="128" spans="1:12" ht="33.4" customHeight="1" x14ac:dyDescent="0.45">
      <c r="A128" s="344" t="s">
        <v>501</v>
      </c>
      <c r="B128" s="303">
        <v>0.58333333333333337</v>
      </c>
      <c r="C128" s="303" t="s">
        <v>384</v>
      </c>
      <c r="D128" s="304" t="s">
        <v>701</v>
      </c>
      <c r="E128" s="377" t="s">
        <v>504</v>
      </c>
      <c r="F128" s="367"/>
      <c r="G128" s="368">
        <v>1</v>
      </c>
      <c r="H128" s="368"/>
      <c r="I128" s="370"/>
      <c r="J128" s="370"/>
      <c r="K128" s="367"/>
      <c r="L128" s="370"/>
    </row>
    <row r="129" spans="1:12" ht="33.4" customHeight="1" x14ac:dyDescent="0.45">
      <c r="A129" s="344" t="s">
        <v>376</v>
      </c>
      <c r="B129" s="303">
        <v>0.61805555555555558</v>
      </c>
      <c r="C129" s="303" t="s">
        <v>384</v>
      </c>
      <c r="D129" s="304" t="s">
        <v>701</v>
      </c>
      <c r="E129" s="377" t="s">
        <v>503</v>
      </c>
      <c r="F129" s="367"/>
      <c r="G129" s="368">
        <v>1</v>
      </c>
      <c r="H129" s="368"/>
      <c r="I129" s="370"/>
      <c r="J129" s="370"/>
      <c r="K129" s="367"/>
      <c r="L129" s="370"/>
    </row>
    <row r="130" spans="1:12" ht="33.4" customHeight="1" x14ac:dyDescent="0.45">
      <c r="A130" s="344" t="s">
        <v>376</v>
      </c>
      <c r="B130" s="303">
        <v>0.76041666666666663</v>
      </c>
      <c r="C130" s="303" t="s">
        <v>384</v>
      </c>
      <c r="D130" s="304" t="s">
        <v>701</v>
      </c>
      <c r="E130" s="377" t="s">
        <v>504</v>
      </c>
      <c r="F130" s="367"/>
      <c r="G130" s="368"/>
      <c r="H130" s="368"/>
      <c r="I130" s="370"/>
      <c r="J130" s="370"/>
      <c r="K130" s="367"/>
      <c r="L130" s="370"/>
    </row>
    <row r="131" spans="1:12" ht="33.4" customHeight="1" x14ac:dyDescent="0.45">
      <c r="A131" s="344" t="s">
        <v>501</v>
      </c>
      <c r="B131" s="303">
        <v>0.78125</v>
      </c>
      <c r="C131" s="303" t="s">
        <v>384</v>
      </c>
      <c r="D131" s="304" t="s">
        <v>701</v>
      </c>
      <c r="E131" s="377" t="s">
        <v>504</v>
      </c>
      <c r="F131" s="367"/>
      <c r="G131" s="368"/>
      <c r="H131" s="368"/>
      <c r="I131" s="370"/>
      <c r="J131" s="370"/>
      <c r="K131" s="367"/>
      <c r="L131" s="370"/>
    </row>
    <row r="132" spans="1:12" ht="33.4" customHeight="1" x14ac:dyDescent="0.45">
      <c r="A132" s="344" t="s">
        <v>376</v>
      </c>
      <c r="B132" s="303">
        <v>0.80208333333333337</v>
      </c>
      <c r="C132" s="303" t="s">
        <v>384</v>
      </c>
      <c r="D132" s="304" t="s">
        <v>701</v>
      </c>
      <c r="E132" s="377" t="s">
        <v>503</v>
      </c>
      <c r="F132" s="367"/>
      <c r="G132" s="368"/>
      <c r="H132" s="368"/>
      <c r="I132" s="370"/>
      <c r="J132" s="370"/>
      <c r="K132" s="367"/>
      <c r="L132" s="370"/>
    </row>
    <row r="133" spans="1:12" ht="33.4" customHeight="1" x14ac:dyDescent="0.45">
      <c r="A133" s="344" t="s">
        <v>376</v>
      </c>
      <c r="B133" s="303">
        <v>0.82291666666666663</v>
      </c>
      <c r="C133" s="303" t="s">
        <v>384</v>
      </c>
      <c r="D133" s="304" t="s">
        <v>701</v>
      </c>
      <c r="E133" s="377" t="s">
        <v>503</v>
      </c>
      <c r="F133" s="367"/>
      <c r="G133" s="368"/>
      <c r="H133" s="368"/>
      <c r="I133" s="370"/>
      <c r="J133" s="370"/>
      <c r="K133" s="367"/>
      <c r="L133" s="370"/>
    </row>
    <row r="134" spans="1:12" ht="33.4" customHeight="1" x14ac:dyDescent="0.45">
      <c r="A134" s="315" t="s">
        <v>336</v>
      </c>
      <c r="B134" s="303"/>
      <c r="C134" s="303" t="s">
        <v>660</v>
      </c>
      <c r="D134" s="304"/>
      <c r="E134" s="304"/>
      <c r="F134" s="305"/>
      <c r="G134" s="306"/>
      <c r="H134" s="306"/>
      <c r="I134" s="306"/>
      <c r="J134" s="297"/>
      <c r="K134" s="305"/>
      <c r="L134" s="297"/>
    </row>
    <row r="135" spans="1:12" ht="33.4" customHeight="1" x14ac:dyDescent="0.45">
      <c r="A135" s="315" t="s">
        <v>336</v>
      </c>
      <c r="B135" s="303"/>
      <c r="C135" s="303" t="s">
        <v>660</v>
      </c>
      <c r="D135" s="304"/>
      <c r="E135" s="304"/>
      <c r="F135" s="305"/>
      <c r="G135" s="306"/>
      <c r="H135" s="306"/>
      <c r="I135" s="306"/>
      <c r="J135" s="297"/>
      <c r="K135" s="305"/>
      <c r="L135" s="297"/>
    </row>
    <row r="136" spans="1:12" ht="33.4" customHeight="1" x14ac:dyDescent="0.45">
      <c r="A136" s="315" t="s">
        <v>336</v>
      </c>
      <c r="B136" s="303"/>
      <c r="C136" s="303" t="s">
        <v>660</v>
      </c>
      <c r="D136" s="304"/>
      <c r="E136" s="304"/>
      <c r="F136" s="305"/>
      <c r="G136" s="306"/>
      <c r="H136" s="306"/>
      <c r="I136" s="306"/>
      <c r="J136" s="297"/>
      <c r="K136" s="305"/>
      <c r="L136" s="297"/>
    </row>
    <row r="137" spans="1:12" ht="33.4" customHeight="1" x14ac:dyDescent="0.45">
      <c r="A137" s="315" t="s">
        <v>336</v>
      </c>
      <c r="B137" s="303"/>
      <c r="C137" s="303" t="s">
        <v>660</v>
      </c>
      <c r="D137" s="304"/>
      <c r="E137" s="304"/>
      <c r="F137" s="305"/>
      <c r="G137" s="306"/>
      <c r="H137" s="306"/>
      <c r="I137" s="306"/>
      <c r="J137" s="297"/>
      <c r="K137" s="305"/>
      <c r="L137" s="297"/>
    </row>
    <row r="138" spans="1:12" ht="33.4" customHeight="1" x14ac:dyDescent="0.45">
      <c r="A138" s="315" t="s">
        <v>336</v>
      </c>
      <c r="B138" s="303"/>
      <c r="C138" s="303" t="s">
        <v>660</v>
      </c>
      <c r="D138" s="304"/>
      <c r="E138" s="304"/>
      <c r="F138" s="305"/>
      <c r="G138" s="306"/>
      <c r="H138" s="306"/>
      <c r="I138" s="306"/>
      <c r="J138" s="297"/>
      <c r="K138" s="305"/>
      <c r="L138" s="297"/>
    </row>
    <row r="139" spans="1:12" x14ac:dyDescent="0.45">
      <c r="C139" s="190" t="s">
        <v>691</v>
      </c>
      <c r="F139" s="137" t="s">
        <v>15</v>
      </c>
    </row>
    <row r="140" spans="1:12" ht="23.25" x14ac:dyDescent="0.45">
      <c r="A140" s="137" t="s">
        <v>18</v>
      </c>
      <c r="B140" s="260" t="s">
        <v>384</v>
      </c>
      <c r="C140" s="241"/>
      <c r="D140" s="241"/>
      <c r="E140" s="241"/>
    </row>
    <row r="141" spans="1:12" ht="21" x14ac:dyDescent="0.45">
      <c r="A141" s="137" t="s">
        <v>13</v>
      </c>
      <c r="B141" s="320" t="s">
        <v>701</v>
      </c>
      <c r="C141" s="254"/>
      <c r="D141" s="254"/>
      <c r="E141" s="598"/>
      <c r="J141" s="600"/>
      <c r="L141" s="607">
        <f>L121+1</f>
        <v>46150</v>
      </c>
    </row>
    <row r="143" spans="1:12" ht="15.75" x14ac:dyDescent="0.45">
      <c r="A143" s="297"/>
      <c r="B143" s="298"/>
      <c r="C143" s="298"/>
      <c r="D143" s="298"/>
      <c r="E143" s="298"/>
      <c r="F143" s="298"/>
      <c r="G143" s="298"/>
      <c r="H143" s="298"/>
      <c r="I143" s="298"/>
      <c r="J143" s="300"/>
      <c r="K143" s="298" t="s">
        <v>337</v>
      </c>
      <c r="L143" s="301"/>
    </row>
    <row r="144" spans="1:12" ht="63" x14ac:dyDescent="0.45">
      <c r="A144" s="344" t="s">
        <v>534</v>
      </c>
      <c r="B144" s="345" t="s">
        <v>0</v>
      </c>
      <c r="C144" s="345" t="s">
        <v>332</v>
      </c>
      <c r="D144" s="304" t="s">
        <v>333</v>
      </c>
      <c r="E144" s="377" t="s">
        <v>535</v>
      </c>
      <c r="F144" s="362" t="s">
        <v>1</v>
      </c>
      <c r="G144" s="368" t="s">
        <v>334</v>
      </c>
      <c r="H144" s="363" t="s">
        <v>335</v>
      </c>
      <c r="I144" s="362" t="s">
        <v>23</v>
      </c>
      <c r="J144" s="365" t="s">
        <v>22</v>
      </c>
      <c r="K144" s="362" t="s">
        <v>17</v>
      </c>
      <c r="L144" s="366" t="s">
        <v>12</v>
      </c>
    </row>
    <row r="145" spans="1:12" ht="33.4" customHeight="1" x14ac:dyDescent="0.45">
      <c r="A145" s="344" t="s">
        <v>501</v>
      </c>
      <c r="B145" s="345">
        <v>0.25</v>
      </c>
      <c r="C145" s="345" t="s">
        <v>384</v>
      </c>
      <c r="D145" s="304" t="s">
        <v>701</v>
      </c>
      <c r="E145" s="377" t="s">
        <v>503</v>
      </c>
      <c r="F145" s="367"/>
      <c r="G145" s="368">
        <v>1</v>
      </c>
      <c r="H145" s="368"/>
      <c r="I145" s="369"/>
      <c r="J145" s="369"/>
      <c r="K145" s="367"/>
      <c r="L145" s="370"/>
    </row>
    <row r="146" spans="1:12" ht="33.4" customHeight="1" x14ac:dyDescent="0.45">
      <c r="A146" s="344" t="s">
        <v>376</v>
      </c>
      <c r="B146" s="345">
        <v>0.27083333333333331</v>
      </c>
      <c r="C146" s="345" t="s">
        <v>384</v>
      </c>
      <c r="D146" s="304" t="s">
        <v>701</v>
      </c>
      <c r="E146" s="377" t="s">
        <v>504</v>
      </c>
      <c r="F146" s="367"/>
      <c r="G146" s="368">
        <v>1</v>
      </c>
      <c r="H146" s="368"/>
      <c r="I146" s="369"/>
      <c r="J146" s="369"/>
      <c r="K146" s="367"/>
      <c r="L146" s="370"/>
    </row>
    <row r="147" spans="1:12" ht="33.4" customHeight="1" x14ac:dyDescent="0.45">
      <c r="A147" s="344" t="s">
        <v>376</v>
      </c>
      <c r="B147" s="345">
        <v>0.2951388888888889</v>
      </c>
      <c r="C147" s="345" t="s">
        <v>384</v>
      </c>
      <c r="D147" s="304" t="s">
        <v>701</v>
      </c>
      <c r="E147" s="377" t="s">
        <v>504</v>
      </c>
      <c r="F147" s="362"/>
      <c r="G147" s="368">
        <v>1</v>
      </c>
      <c r="H147" s="363"/>
      <c r="I147" s="362"/>
      <c r="J147" s="365"/>
      <c r="K147" s="362"/>
      <c r="L147" s="366"/>
    </row>
    <row r="148" spans="1:12" ht="33.4" customHeight="1" x14ac:dyDescent="0.45">
      <c r="A148" s="344" t="s">
        <v>501</v>
      </c>
      <c r="B148" s="345">
        <v>0.58333333333333337</v>
      </c>
      <c r="C148" s="345" t="s">
        <v>384</v>
      </c>
      <c r="D148" s="304" t="s">
        <v>701</v>
      </c>
      <c r="E148" s="377" t="s">
        <v>504</v>
      </c>
      <c r="F148" s="367"/>
      <c r="G148" s="368">
        <v>1</v>
      </c>
      <c r="H148" s="368"/>
      <c r="I148" s="369"/>
      <c r="J148" s="369"/>
      <c r="K148" s="367"/>
      <c r="L148" s="370"/>
    </row>
    <row r="149" spans="1:12" ht="33.4" customHeight="1" x14ac:dyDescent="0.45">
      <c r="A149" s="344" t="s">
        <v>501</v>
      </c>
      <c r="B149" s="345">
        <v>0.625</v>
      </c>
      <c r="C149" s="345" t="s">
        <v>384</v>
      </c>
      <c r="D149" s="304" t="s">
        <v>701</v>
      </c>
      <c r="E149" s="377" t="s">
        <v>504</v>
      </c>
      <c r="F149" s="367"/>
      <c r="G149" s="368">
        <v>1</v>
      </c>
      <c r="H149" s="368"/>
      <c r="I149" s="369"/>
      <c r="J149" s="369"/>
      <c r="K149" s="367"/>
      <c r="L149" s="370"/>
    </row>
    <row r="150" spans="1:12" ht="33.4" customHeight="1" x14ac:dyDescent="0.45">
      <c r="A150" s="344" t="s">
        <v>501</v>
      </c>
      <c r="B150" s="345">
        <v>0.76041666666666663</v>
      </c>
      <c r="C150" s="345" t="s">
        <v>384</v>
      </c>
      <c r="D150" s="304" t="s">
        <v>701</v>
      </c>
      <c r="E150" s="377" t="s">
        <v>504</v>
      </c>
      <c r="F150" s="367"/>
      <c r="G150" s="368">
        <v>1</v>
      </c>
      <c r="H150" s="368"/>
      <c r="I150" s="369"/>
      <c r="J150" s="369"/>
      <c r="K150" s="367"/>
      <c r="L150" s="370"/>
    </row>
    <row r="151" spans="1:12" ht="33.4" customHeight="1" x14ac:dyDescent="0.45">
      <c r="A151" s="315" t="s">
        <v>376</v>
      </c>
      <c r="B151" s="303">
        <v>0.78125</v>
      </c>
      <c r="C151" s="303" t="s">
        <v>384</v>
      </c>
      <c r="D151" s="304" t="s">
        <v>701</v>
      </c>
      <c r="E151" s="304" t="s">
        <v>503</v>
      </c>
      <c r="F151" s="305"/>
      <c r="G151" s="306">
        <v>1</v>
      </c>
      <c r="H151" s="306"/>
      <c r="I151" s="306"/>
      <c r="J151" s="297"/>
      <c r="K151" s="305"/>
      <c r="L151" s="297"/>
    </row>
    <row r="152" spans="1:12" ht="33.4" customHeight="1" x14ac:dyDescent="0.45">
      <c r="A152" s="315" t="s">
        <v>336</v>
      </c>
      <c r="B152" s="303"/>
      <c r="C152" s="303" t="s">
        <v>660</v>
      </c>
      <c r="D152" s="304"/>
      <c r="E152" s="304"/>
      <c r="F152" s="305"/>
      <c r="G152" s="306"/>
      <c r="H152" s="306"/>
      <c r="I152" s="306"/>
      <c r="J152" s="297"/>
      <c r="K152" s="305"/>
      <c r="L152" s="297"/>
    </row>
    <row r="153" spans="1:12" ht="33.4" customHeight="1" x14ac:dyDescent="0.45">
      <c r="A153" s="315" t="s">
        <v>336</v>
      </c>
      <c r="B153" s="303"/>
      <c r="C153" s="303" t="s">
        <v>660</v>
      </c>
      <c r="D153" s="304"/>
      <c r="E153" s="304"/>
      <c r="F153" s="305"/>
      <c r="G153" s="306"/>
      <c r="H153" s="306"/>
      <c r="I153" s="306"/>
      <c r="J153" s="297"/>
      <c r="K153" s="305"/>
      <c r="L153" s="297"/>
    </row>
    <row r="154" spans="1:12" ht="33.4" customHeight="1" x14ac:dyDescent="0.45">
      <c r="A154" s="315" t="s">
        <v>336</v>
      </c>
      <c r="B154" s="303"/>
      <c r="C154" s="303" t="s">
        <v>660</v>
      </c>
      <c r="D154" s="304"/>
      <c r="E154" s="304"/>
      <c r="F154" s="305"/>
      <c r="G154" s="306"/>
      <c r="H154" s="306"/>
      <c r="I154" s="306"/>
      <c r="J154" s="297"/>
      <c r="K154" s="305"/>
      <c r="L154" s="297"/>
    </row>
    <row r="155" spans="1:12" ht="33.4" customHeight="1" x14ac:dyDescent="0.45">
      <c r="A155" s="315" t="s">
        <v>336</v>
      </c>
      <c r="B155" s="303"/>
      <c r="C155" s="303" t="s">
        <v>660</v>
      </c>
      <c r="D155" s="304"/>
      <c r="E155" s="304"/>
      <c r="F155" s="305"/>
      <c r="G155" s="306"/>
      <c r="H155" s="306"/>
      <c r="I155" s="306"/>
      <c r="J155" s="297"/>
      <c r="K155" s="305"/>
      <c r="L155" s="297"/>
    </row>
    <row r="156" spans="1:12" ht="33.4" customHeight="1" x14ac:dyDescent="0.45">
      <c r="C156" s="190" t="s">
        <v>691</v>
      </c>
      <c r="F156" s="137" t="s">
        <v>15</v>
      </c>
    </row>
    <row r="158" spans="1:12" ht="23.25" x14ac:dyDescent="0.45">
      <c r="A158" s="137" t="s">
        <v>18</v>
      </c>
      <c r="B158" s="260" t="s">
        <v>384</v>
      </c>
      <c r="C158" s="241"/>
      <c r="D158" s="241"/>
      <c r="E158" s="241"/>
    </row>
    <row r="159" spans="1:12" ht="21" x14ac:dyDescent="0.45">
      <c r="A159" s="137" t="s">
        <v>13</v>
      </c>
      <c r="B159" s="320" t="s">
        <v>701</v>
      </c>
      <c r="C159" s="254"/>
      <c r="D159" s="254"/>
      <c r="E159" s="598"/>
      <c r="J159" s="600"/>
      <c r="L159" s="600">
        <f>L141+1</f>
        <v>46151</v>
      </c>
    </row>
    <row r="161" spans="1:12" x14ac:dyDescent="0.45">
      <c r="A161" s="141"/>
      <c r="B161" s="142"/>
      <c r="C161" s="142"/>
      <c r="D161" s="142"/>
      <c r="E161" s="142"/>
      <c r="F161" s="142"/>
      <c r="G161" s="142"/>
      <c r="H161" s="142"/>
      <c r="I161" s="142"/>
      <c r="J161" s="319"/>
      <c r="K161" s="319" t="s">
        <v>337</v>
      </c>
      <c r="L161" s="294"/>
    </row>
    <row r="162" spans="1:12" ht="63" x14ac:dyDescent="0.45">
      <c r="A162" s="297" t="s">
        <v>534</v>
      </c>
      <c r="B162" s="298" t="s">
        <v>0</v>
      </c>
      <c r="C162" s="298" t="s">
        <v>332</v>
      </c>
      <c r="D162" s="298" t="s">
        <v>333</v>
      </c>
      <c r="E162" s="298" t="s">
        <v>535</v>
      </c>
      <c r="F162" s="298" t="s">
        <v>1</v>
      </c>
      <c r="G162" s="298" t="s">
        <v>334</v>
      </c>
      <c r="H162" s="298" t="s">
        <v>335</v>
      </c>
      <c r="I162" s="298" t="s">
        <v>23</v>
      </c>
      <c r="J162" s="300" t="s">
        <v>22</v>
      </c>
      <c r="K162" s="298" t="s">
        <v>17</v>
      </c>
      <c r="L162" s="301" t="s">
        <v>12</v>
      </c>
    </row>
    <row r="163" spans="1:12" ht="33" customHeight="1" x14ac:dyDescent="0.45">
      <c r="A163" s="344" t="s">
        <v>501</v>
      </c>
      <c r="B163" s="345">
        <v>0.25</v>
      </c>
      <c r="C163" s="345" t="s">
        <v>384</v>
      </c>
      <c r="D163" s="304" t="s">
        <v>701</v>
      </c>
      <c r="E163" s="377" t="s">
        <v>503</v>
      </c>
      <c r="F163" s="580"/>
      <c r="G163" s="368">
        <v>1</v>
      </c>
      <c r="H163" s="363"/>
      <c r="I163" s="580"/>
      <c r="J163" s="365"/>
      <c r="K163" s="580"/>
      <c r="L163" s="366"/>
    </row>
    <row r="164" spans="1:12" ht="33" customHeight="1" x14ac:dyDescent="0.45">
      <c r="A164" s="344" t="s">
        <v>376</v>
      </c>
      <c r="B164" s="345">
        <v>0.27083333333333331</v>
      </c>
      <c r="C164" s="345" t="s">
        <v>384</v>
      </c>
      <c r="D164" s="304" t="s">
        <v>701</v>
      </c>
      <c r="E164" s="377" t="s">
        <v>504</v>
      </c>
      <c r="F164" s="367"/>
      <c r="G164" s="368">
        <v>1</v>
      </c>
      <c r="H164" s="368"/>
      <c r="I164" s="370"/>
      <c r="J164" s="370"/>
      <c r="K164" s="367"/>
      <c r="L164" s="370"/>
    </row>
    <row r="165" spans="1:12" ht="33" customHeight="1" x14ac:dyDescent="0.45">
      <c r="A165" s="344" t="s">
        <v>376</v>
      </c>
      <c r="B165" s="345">
        <v>0.2951388888888889</v>
      </c>
      <c r="C165" s="345" t="s">
        <v>384</v>
      </c>
      <c r="D165" s="304" t="s">
        <v>701</v>
      </c>
      <c r="E165" s="377" t="s">
        <v>688</v>
      </c>
      <c r="F165" s="367"/>
      <c r="G165" s="368">
        <v>1</v>
      </c>
      <c r="H165" s="368"/>
      <c r="I165" s="370"/>
      <c r="J165" s="370"/>
      <c r="K165" s="367"/>
      <c r="L165" s="370"/>
    </row>
    <row r="166" spans="1:12" ht="33" customHeight="1" x14ac:dyDescent="0.45">
      <c r="A166" s="344" t="s">
        <v>501</v>
      </c>
      <c r="B166" s="303">
        <v>0.58333333333333337</v>
      </c>
      <c r="C166" s="303" t="s">
        <v>384</v>
      </c>
      <c r="D166" s="304" t="s">
        <v>701</v>
      </c>
      <c r="E166" s="377" t="s">
        <v>504</v>
      </c>
      <c r="F166" s="367"/>
      <c r="G166" s="368">
        <v>1</v>
      </c>
      <c r="H166" s="368"/>
      <c r="I166" s="370"/>
      <c r="J166" s="370"/>
      <c r="K166" s="367"/>
      <c r="L166" s="370"/>
    </row>
    <row r="167" spans="1:12" ht="33" customHeight="1" x14ac:dyDescent="0.45">
      <c r="A167" s="344" t="s">
        <v>376</v>
      </c>
      <c r="B167" s="303">
        <v>0.61805555555555558</v>
      </c>
      <c r="C167" s="303" t="s">
        <v>384</v>
      </c>
      <c r="D167" s="304" t="s">
        <v>701</v>
      </c>
      <c r="E167" s="377" t="s">
        <v>503</v>
      </c>
      <c r="F167" s="367"/>
      <c r="G167" s="368">
        <v>1</v>
      </c>
      <c r="H167" s="368"/>
      <c r="I167" s="370"/>
      <c r="J167" s="370"/>
      <c r="K167" s="367"/>
      <c r="L167" s="370"/>
    </row>
    <row r="168" spans="1:12" ht="33" customHeight="1" x14ac:dyDescent="0.45">
      <c r="A168" s="344" t="s">
        <v>376</v>
      </c>
      <c r="B168" s="303">
        <v>0.76041666666666663</v>
      </c>
      <c r="C168" s="303" t="s">
        <v>384</v>
      </c>
      <c r="D168" s="304" t="s">
        <v>701</v>
      </c>
      <c r="E168" s="377" t="s">
        <v>504</v>
      </c>
      <c r="F168" s="367"/>
      <c r="G168" s="368"/>
      <c r="H168" s="368"/>
      <c r="I168" s="370"/>
      <c r="J168" s="370"/>
      <c r="K168" s="367"/>
      <c r="L168" s="370"/>
    </row>
    <row r="169" spans="1:12" ht="33" customHeight="1" x14ac:dyDescent="0.45">
      <c r="A169" s="344" t="s">
        <v>501</v>
      </c>
      <c r="B169" s="303">
        <v>0.78125</v>
      </c>
      <c r="C169" s="303" t="s">
        <v>384</v>
      </c>
      <c r="D169" s="304" t="s">
        <v>701</v>
      </c>
      <c r="E169" s="377" t="s">
        <v>504</v>
      </c>
      <c r="F169" s="367"/>
      <c r="G169" s="368"/>
      <c r="H169" s="368"/>
      <c r="I169" s="370"/>
      <c r="J169" s="370"/>
      <c r="K169" s="367"/>
      <c r="L169" s="370"/>
    </row>
    <row r="170" spans="1:12" ht="33" customHeight="1" x14ac:dyDescent="0.45">
      <c r="A170" s="344" t="s">
        <v>376</v>
      </c>
      <c r="B170" s="303">
        <v>0.80208333333333337</v>
      </c>
      <c r="C170" s="303" t="s">
        <v>384</v>
      </c>
      <c r="D170" s="304" t="s">
        <v>701</v>
      </c>
      <c r="E170" s="377" t="s">
        <v>503</v>
      </c>
      <c r="F170" s="367"/>
      <c r="G170" s="368"/>
      <c r="H170" s="368"/>
      <c r="I170" s="370"/>
      <c r="J170" s="370"/>
      <c r="K170" s="367"/>
      <c r="L170" s="370"/>
    </row>
    <row r="171" spans="1:12" ht="33" customHeight="1" x14ac:dyDescent="0.45">
      <c r="A171" s="344" t="s">
        <v>376</v>
      </c>
      <c r="B171" s="303">
        <v>0.82291666666666663</v>
      </c>
      <c r="C171" s="303" t="s">
        <v>384</v>
      </c>
      <c r="D171" s="304" t="s">
        <v>701</v>
      </c>
      <c r="E171" s="377" t="s">
        <v>503</v>
      </c>
      <c r="F171" s="367"/>
      <c r="G171" s="368"/>
      <c r="H171" s="368"/>
      <c r="I171" s="370"/>
      <c r="J171" s="370"/>
      <c r="K171" s="367"/>
      <c r="L171" s="370"/>
    </row>
    <row r="172" spans="1:12" ht="33" customHeight="1" x14ac:dyDescent="0.45">
      <c r="A172" s="315" t="s">
        <v>336</v>
      </c>
      <c r="B172" s="303"/>
      <c r="C172" s="303" t="s">
        <v>660</v>
      </c>
      <c r="D172" s="304"/>
      <c r="E172" s="304"/>
      <c r="F172" s="305"/>
      <c r="G172" s="306"/>
      <c r="H172" s="306"/>
      <c r="I172" s="306"/>
      <c r="J172" s="297"/>
      <c r="K172" s="305"/>
      <c r="L172" s="297"/>
    </row>
    <row r="173" spans="1:12" ht="33" customHeight="1" x14ac:dyDescent="0.45">
      <c r="A173" s="315" t="s">
        <v>336</v>
      </c>
      <c r="B173" s="303"/>
      <c r="C173" s="303" t="s">
        <v>660</v>
      </c>
      <c r="D173" s="304"/>
      <c r="E173" s="304"/>
      <c r="F173" s="305"/>
      <c r="G173" s="306"/>
      <c r="H173" s="306"/>
      <c r="I173" s="306"/>
      <c r="J173" s="297"/>
      <c r="K173" s="305"/>
      <c r="L173" s="297"/>
    </row>
    <row r="174" spans="1:12" ht="33" customHeight="1" x14ac:dyDescent="0.45">
      <c r="A174" s="315" t="s">
        <v>336</v>
      </c>
      <c r="B174" s="303"/>
      <c r="C174" s="303" t="s">
        <v>660</v>
      </c>
      <c r="D174" s="304"/>
      <c r="E174" s="304"/>
      <c r="F174" s="305"/>
      <c r="G174" s="306"/>
      <c r="H174" s="306"/>
      <c r="I174" s="306"/>
      <c r="J174" s="297"/>
      <c r="K174" s="305"/>
      <c r="L174" s="297"/>
    </row>
    <row r="175" spans="1:12" ht="33" customHeight="1" x14ac:dyDescent="0.45">
      <c r="A175" s="315" t="s">
        <v>336</v>
      </c>
      <c r="B175" s="303"/>
      <c r="C175" s="303" t="s">
        <v>660</v>
      </c>
      <c r="D175" s="304"/>
      <c r="E175" s="304"/>
      <c r="F175" s="305"/>
      <c r="G175" s="306"/>
      <c r="H175" s="306"/>
      <c r="I175" s="306"/>
      <c r="J175" s="297"/>
      <c r="K175" s="305"/>
      <c r="L175" s="297"/>
    </row>
    <row r="176" spans="1:12" ht="33" customHeight="1" x14ac:dyDescent="0.45">
      <c r="A176" s="315" t="s">
        <v>336</v>
      </c>
      <c r="B176" s="303"/>
      <c r="C176" s="303" t="s">
        <v>660</v>
      </c>
      <c r="D176" s="304"/>
      <c r="E176" s="304"/>
      <c r="F176" s="305"/>
      <c r="G176" s="306"/>
      <c r="H176" s="306"/>
      <c r="I176" s="306"/>
      <c r="J176" s="297"/>
      <c r="K176" s="305"/>
      <c r="L176" s="297"/>
    </row>
    <row r="177" spans="1:12" x14ac:dyDescent="0.45">
      <c r="C177" s="190" t="s">
        <v>691</v>
      </c>
      <c r="F177" s="137" t="s">
        <v>15</v>
      </c>
    </row>
    <row r="178" spans="1:12" ht="23.25" x14ac:dyDescent="0.45">
      <c r="A178" s="137" t="s">
        <v>18</v>
      </c>
      <c r="B178" s="260" t="s">
        <v>384</v>
      </c>
      <c r="C178" s="241"/>
      <c r="D178" s="241"/>
      <c r="E178" s="241"/>
    </row>
    <row r="179" spans="1:12" ht="21" x14ac:dyDescent="0.45">
      <c r="A179" s="137" t="s">
        <v>13</v>
      </c>
      <c r="B179" s="320" t="s">
        <v>701</v>
      </c>
      <c r="C179" s="254"/>
      <c r="D179" s="254"/>
      <c r="E179" s="598"/>
      <c r="J179" s="600"/>
      <c r="L179" s="607">
        <f>L159+1</f>
        <v>46152</v>
      </c>
    </row>
    <row r="181" spans="1:12" ht="15.75" x14ac:dyDescent="0.45">
      <c r="A181" s="297"/>
      <c r="B181" s="298"/>
      <c r="C181" s="298"/>
      <c r="D181" s="298"/>
      <c r="E181" s="298"/>
      <c r="F181" s="298"/>
      <c r="G181" s="298"/>
      <c r="H181" s="298"/>
      <c r="I181" s="298"/>
      <c r="J181" s="300"/>
      <c r="K181" s="298" t="s">
        <v>337</v>
      </c>
      <c r="L181" s="301"/>
    </row>
    <row r="182" spans="1:12" ht="63" x14ac:dyDescent="0.45">
      <c r="A182" s="344" t="s">
        <v>534</v>
      </c>
      <c r="B182" s="345" t="s">
        <v>0</v>
      </c>
      <c r="C182" s="345" t="s">
        <v>332</v>
      </c>
      <c r="D182" s="304" t="s">
        <v>333</v>
      </c>
      <c r="E182" s="377" t="s">
        <v>535</v>
      </c>
      <c r="F182" s="362" t="s">
        <v>1</v>
      </c>
      <c r="G182" s="368" t="s">
        <v>334</v>
      </c>
      <c r="H182" s="363" t="s">
        <v>335</v>
      </c>
      <c r="I182" s="362" t="s">
        <v>23</v>
      </c>
      <c r="J182" s="365" t="s">
        <v>22</v>
      </c>
      <c r="K182" s="362" t="s">
        <v>17</v>
      </c>
      <c r="L182" s="366" t="s">
        <v>12</v>
      </c>
    </row>
    <row r="183" spans="1:12" ht="32.75" customHeight="1" x14ac:dyDescent="0.45">
      <c r="A183" s="344" t="s">
        <v>501</v>
      </c>
      <c r="B183" s="345">
        <v>0.25</v>
      </c>
      <c r="C183" s="345" t="s">
        <v>384</v>
      </c>
      <c r="D183" s="304" t="s">
        <v>701</v>
      </c>
      <c r="E183" s="377" t="s">
        <v>503</v>
      </c>
      <c r="F183" s="367"/>
      <c r="G183" s="368">
        <v>1</v>
      </c>
      <c r="H183" s="368"/>
      <c r="I183" s="369"/>
      <c r="J183" s="369"/>
      <c r="K183" s="367"/>
      <c r="L183" s="370"/>
    </row>
    <row r="184" spans="1:12" ht="32.75" customHeight="1" x14ac:dyDescent="0.45">
      <c r="A184" s="344" t="s">
        <v>376</v>
      </c>
      <c r="B184" s="345">
        <v>0.27083333333333331</v>
      </c>
      <c r="C184" s="345" t="s">
        <v>384</v>
      </c>
      <c r="D184" s="304" t="s">
        <v>701</v>
      </c>
      <c r="E184" s="377" t="s">
        <v>504</v>
      </c>
      <c r="F184" s="367"/>
      <c r="G184" s="368">
        <v>1</v>
      </c>
      <c r="H184" s="368"/>
      <c r="I184" s="369"/>
      <c r="J184" s="369"/>
      <c r="K184" s="367"/>
      <c r="L184" s="370"/>
    </row>
    <row r="185" spans="1:12" ht="32.75" customHeight="1" x14ac:dyDescent="0.45">
      <c r="A185" s="344" t="s">
        <v>376</v>
      </c>
      <c r="B185" s="345">
        <v>0.2951388888888889</v>
      </c>
      <c r="C185" s="345" t="s">
        <v>384</v>
      </c>
      <c r="D185" s="304" t="s">
        <v>701</v>
      </c>
      <c r="E185" s="377" t="s">
        <v>504</v>
      </c>
      <c r="F185" s="362"/>
      <c r="G185" s="368">
        <v>1</v>
      </c>
      <c r="H185" s="363"/>
      <c r="I185" s="362"/>
      <c r="J185" s="365"/>
      <c r="K185" s="362"/>
      <c r="L185" s="366"/>
    </row>
    <row r="186" spans="1:12" ht="32.75" customHeight="1" x14ac:dyDescent="0.45">
      <c r="A186" s="344" t="s">
        <v>501</v>
      </c>
      <c r="B186" s="345">
        <v>0.58333333333333337</v>
      </c>
      <c r="C186" s="345" t="s">
        <v>384</v>
      </c>
      <c r="D186" s="304" t="s">
        <v>701</v>
      </c>
      <c r="E186" s="377" t="s">
        <v>504</v>
      </c>
      <c r="F186" s="367"/>
      <c r="G186" s="368">
        <v>1</v>
      </c>
      <c r="H186" s="368"/>
      <c r="I186" s="369"/>
      <c r="J186" s="369"/>
      <c r="K186" s="367"/>
      <c r="L186" s="370"/>
    </row>
    <row r="187" spans="1:12" ht="32.75" customHeight="1" x14ac:dyDescent="0.45">
      <c r="A187" s="344" t="s">
        <v>501</v>
      </c>
      <c r="B187" s="345">
        <v>0.625</v>
      </c>
      <c r="C187" s="345" t="s">
        <v>384</v>
      </c>
      <c r="D187" s="304" t="s">
        <v>701</v>
      </c>
      <c r="E187" s="377" t="s">
        <v>504</v>
      </c>
      <c r="F187" s="367"/>
      <c r="G187" s="368">
        <v>1</v>
      </c>
      <c r="H187" s="368"/>
      <c r="I187" s="369"/>
      <c r="J187" s="369"/>
      <c r="K187" s="367"/>
      <c r="L187" s="370"/>
    </row>
    <row r="188" spans="1:12" ht="32.75" customHeight="1" x14ac:dyDescent="0.45">
      <c r="A188" s="344" t="s">
        <v>501</v>
      </c>
      <c r="B188" s="345">
        <v>0.76041666666666663</v>
      </c>
      <c r="C188" s="345" t="s">
        <v>384</v>
      </c>
      <c r="D188" s="304" t="s">
        <v>701</v>
      </c>
      <c r="E188" s="377" t="s">
        <v>504</v>
      </c>
      <c r="F188" s="367"/>
      <c r="G188" s="368">
        <v>1</v>
      </c>
      <c r="H188" s="368"/>
      <c r="I188" s="369"/>
      <c r="J188" s="369"/>
      <c r="K188" s="367"/>
      <c r="L188" s="370"/>
    </row>
    <row r="189" spans="1:12" ht="32.75" customHeight="1" x14ac:dyDescent="0.45">
      <c r="A189" s="315" t="s">
        <v>376</v>
      </c>
      <c r="B189" s="303">
        <v>0.78125</v>
      </c>
      <c r="C189" s="303" t="s">
        <v>384</v>
      </c>
      <c r="D189" s="304" t="s">
        <v>701</v>
      </c>
      <c r="E189" s="304" t="s">
        <v>503</v>
      </c>
      <c r="F189" s="305"/>
      <c r="G189" s="306">
        <v>1</v>
      </c>
      <c r="H189" s="306"/>
      <c r="I189" s="306"/>
      <c r="J189" s="297"/>
      <c r="K189" s="305"/>
      <c r="L189" s="297"/>
    </row>
    <row r="190" spans="1:12" ht="32.75" customHeight="1" x14ac:dyDescent="0.45">
      <c r="A190" s="315" t="s">
        <v>336</v>
      </c>
      <c r="B190" s="303"/>
      <c r="C190" s="303" t="s">
        <v>660</v>
      </c>
      <c r="D190" s="304"/>
      <c r="E190" s="304"/>
      <c r="F190" s="305"/>
      <c r="G190" s="306"/>
      <c r="H190" s="306"/>
      <c r="I190" s="306"/>
      <c r="J190" s="297"/>
      <c r="K190" s="305"/>
      <c r="L190" s="297"/>
    </row>
    <row r="191" spans="1:12" ht="32.75" customHeight="1" x14ac:dyDescent="0.45">
      <c r="A191" s="315" t="s">
        <v>336</v>
      </c>
      <c r="B191" s="303"/>
      <c r="C191" s="303" t="s">
        <v>660</v>
      </c>
      <c r="D191" s="304"/>
      <c r="E191" s="304"/>
      <c r="F191" s="305"/>
      <c r="G191" s="306"/>
      <c r="H191" s="306"/>
      <c r="I191" s="306"/>
      <c r="J191" s="297"/>
      <c r="K191" s="305"/>
      <c r="L191" s="297"/>
    </row>
    <row r="192" spans="1:12" ht="32.75" customHeight="1" x14ac:dyDescent="0.45">
      <c r="A192" s="315" t="s">
        <v>336</v>
      </c>
      <c r="B192" s="303"/>
      <c r="C192" s="303" t="s">
        <v>660</v>
      </c>
      <c r="D192" s="304"/>
      <c r="E192" s="304"/>
      <c r="F192" s="305"/>
      <c r="G192" s="306"/>
      <c r="H192" s="306"/>
      <c r="I192" s="306"/>
      <c r="J192" s="297"/>
      <c r="K192" s="305"/>
      <c r="L192" s="297"/>
    </row>
    <row r="193" spans="1:12" ht="32.75" customHeight="1" x14ac:dyDescent="0.45">
      <c r="A193" s="315" t="s">
        <v>336</v>
      </c>
      <c r="B193" s="303"/>
      <c r="C193" s="303" t="s">
        <v>660</v>
      </c>
      <c r="D193" s="304"/>
      <c r="E193" s="304"/>
      <c r="F193" s="305"/>
      <c r="G193" s="306"/>
      <c r="H193" s="306"/>
      <c r="I193" s="306"/>
      <c r="J193" s="297"/>
      <c r="K193" s="305"/>
      <c r="L193" s="297"/>
    </row>
    <row r="194" spans="1:12" ht="32.75" customHeight="1" x14ac:dyDescent="0.45">
      <c r="C194" s="190" t="s">
        <v>691</v>
      </c>
      <c r="F194" s="137" t="s">
        <v>15</v>
      </c>
    </row>
    <row r="196" spans="1:12" ht="23.25" x14ac:dyDescent="0.45">
      <c r="A196" s="137" t="s">
        <v>18</v>
      </c>
      <c r="B196" s="260" t="s">
        <v>384</v>
      </c>
      <c r="C196" s="241"/>
      <c r="D196" s="241"/>
      <c r="E196" s="241"/>
    </row>
    <row r="197" spans="1:12" ht="21" x14ac:dyDescent="0.45">
      <c r="A197" s="137" t="s">
        <v>13</v>
      </c>
      <c r="B197" s="320" t="s">
        <v>701</v>
      </c>
      <c r="C197" s="254"/>
      <c r="D197" s="254"/>
      <c r="E197" s="598"/>
      <c r="J197" s="600"/>
      <c r="L197" s="600">
        <f>L179+1</f>
        <v>46153</v>
      </c>
    </row>
    <row r="199" spans="1:12" x14ac:dyDescent="0.45">
      <c r="A199" s="141"/>
      <c r="B199" s="142"/>
      <c r="C199" s="142"/>
      <c r="D199" s="142"/>
      <c r="E199" s="142"/>
      <c r="F199" s="142"/>
      <c r="G199" s="142"/>
      <c r="H199" s="142"/>
      <c r="I199" s="142"/>
      <c r="J199" s="319"/>
      <c r="K199" s="319" t="s">
        <v>337</v>
      </c>
      <c r="L199" s="294"/>
    </row>
    <row r="200" spans="1:12" ht="63" x14ac:dyDescent="0.45">
      <c r="A200" s="297" t="s">
        <v>534</v>
      </c>
      <c r="B200" s="298" t="s">
        <v>0</v>
      </c>
      <c r="C200" s="298" t="s">
        <v>332</v>
      </c>
      <c r="D200" s="298" t="s">
        <v>333</v>
      </c>
      <c r="E200" s="298" t="s">
        <v>535</v>
      </c>
      <c r="F200" s="298" t="s">
        <v>1</v>
      </c>
      <c r="G200" s="298" t="s">
        <v>334</v>
      </c>
      <c r="H200" s="298" t="s">
        <v>335</v>
      </c>
      <c r="I200" s="298" t="s">
        <v>23</v>
      </c>
      <c r="J200" s="300" t="s">
        <v>22</v>
      </c>
      <c r="K200" s="298" t="s">
        <v>17</v>
      </c>
      <c r="L200" s="301" t="s">
        <v>12</v>
      </c>
    </row>
    <row r="201" spans="1:12" ht="33" customHeight="1" x14ac:dyDescent="0.45">
      <c r="A201" s="344" t="s">
        <v>501</v>
      </c>
      <c r="B201" s="345">
        <v>0.25</v>
      </c>
      <c r="C201" s="345" t="s">
        <v>384</v>
      </c>
      <c r="D201" s="304" t="s">
        <v>701</v>
      </c>
      <c r="E201" s="377" t="s">
        <v>503</v>
      </c>
      <c r="F201" s="580"/>
      <c r="G201" s="368">
        <v>1</v>
      </c>
      <c r="H201" s="363"/>
      <c r="I201" s="580"/>
      <c r="J201" s="365"/>
      <c r="K201" s="580"/>
      <c r="L201" s="366"/>
    </row>
    <row r="202" spans="1:12" ht="33" customHeight="1" x14ac:dyDescent="0.45">
      <c r="A202" s="344" t="s">
        <v>376</v>
      </c>
      <c r="B202" s="345">
        <v>0.27083333333333331</v>
      </c>
      <c r="C202" s="345" t="s">
        <v>384</v>
      </c>
      <c r="D202" s="304" t="s">
        <v>701</v>
      </c>
      <c r="E202" s="377" t="s">
        <v>504</v>
      </c>
      <c r="F202" s="367"/>
      <c r="G202" s="368">
        <v>1</v>
      </c>
      <c r="H202" s="368"/>
      <c r="I202" s="370"/>
      <c r="J202" s="370"/>
      <c r="K202" s="367"/>
      <c r="L202" s="370"/>
    </row>
    <row r="203" spans="1:12" ht="33" customHeight="1" x14ac:dyDescent="0.45">
      <c r="A203" s="344" t="s">
        <v>376</v>
      </c>
      <c r="B203" s="345">
        <v>0.2951388888888889</v>
      </c>
      <c r="C203" s="345" t="s">
        <v>384</v>
      </c>
      <c r="D203" s="304" t="s">
        <v>701</v>
      </c>
      <c r="E203" s="377" t="s">
        <v>688</v>
      </c>
      <c r="F203" s="367"/>
      <c r="G203" s="368">
        <v>1</v>
      </c>
      <c r="H203" s="368"/>
      <c r="I203" s="370"/>
      <c r="J203" s="370"/>
      <c r="K203" s="367"/>
      <c r="L203" s="370"/>
    </row>
    <row r="204" spans="1:12" ht="33" customHeight="1" x14ac:dyDescent="0.45">
      <c r="A204" s="344" t="s">
        <v>501</v>
      </c>
      <c r="B204" s="303">
        <v>0.58333333333333337</v>
      </c>
      <c r="C204" s="303" t="s">
        <v>384</v>
      </c>
      <c r="D204" s="304" t="s">
        <v>701</v>
      </c>
      <c r="E204" s="377" t="s">
        <v>504</v>
      </c>
      <c r="F204" s="367"/>
      <c r="G204" s="368">
        <v>1</v>
      </c>
      <c r="H204" s="368"/>
      <c r="I204" s="370"/>
      <c r="J204" s="370"/>
      <c r="K204" s="367"/>
      <c r="L204" s="370"/>
    </row>
    <row r="205" spans="1:12" ht="33" customHeight="1" x14ac:dyDescent="0.45">
      <c r="A205" s="344" t="s">
        <v>376</v>
      </c>
      <c r="B205" s="303">
        <v>0.61805555555555558</v>
      </c>
      <c r="C205" s="303" t="s">
        <v>384</v>
      </c>
      <c r="D205" s="304" t="s">
        <v>701</v>
      </c>
      <c r="E205" s="377" t="s">
        <v>503</v>
      </c>
      <c r="F205" s="367"/>
      <c r="G205" s="368">
        <v>1</v>
      </c>
      <c r="H205" s="368"/>
      <c r="I205" s="370"/>
      <c r="J205" s="370"/>
      <c r="K205" s="367"/>
      <c r="L205" s="370"/>
    </row>
    <row r="206" spans="1:12" ht="33" customHeight="1" x14ac:dyDescent="0.45">
      <c r="A206" s="344" t="s">
        <v>376</v>
      </c>
      <c r="B206" s="303">
        <v>0.76041666666666663</v>
      </c>
      <c r="C206" s="303" t="s">
        <v>384</v>
      </c>
      <c r="D206" s="304" t="s">
        <v>701</v>
      </c>
      <c r="E206" s="377" t="s">
        <v>504</v>
      </c>
      <c r="F206" s="367"/>
      <c r="G206" s="368"/>
      <c r="H206" s="368"/>
      <c r="I206" s="370"/>
      <c r="J206" s="370"/>
      <c r="K206" s="367"/>
      <c r="L206" s="370"/>
    </row>
    <row r="207" spans="1:12" ht="33" customHeight="1" x14ac:dyDescent="0.45">
      <c r="A207" s="344" t="s">
        <v>501</v>
      </c>
      <c r="B207" s="303">
        <v>0.78125</v>
      </c>
      <c r="C207" s="303" t="s">
        <v>384</v>
      </c>
      <c r="D207" s="304" t="s">
        <v>701</v>
      </c>
      <c r="E207" s="377" t="s">
        <v>504</v>
      </c>
      <c r="F207" s="367"/>
      <c r="G207" s="368"/>
      <c r="H207" s="368"/>
      <c r="I207" s="370"/>
      <c r="J207" s="370"/>
      <c r="K207" s="367"/>
      <c r="L207" s="370"/>
    </row>
    <row r="208" spans="1:12" ht="33" customHeight="1" x14ac:dyDescent="0.45">
      <c r="A208" s="344" t="s">
        <v>376</v>
      </c>
      <c r="B208" s="303">
        <v>0.80208333333333337</v>
      </c>
      <c r="C208" s="303" t="s">
        <v>384</v>
      </c>
      <c r="D208" s="304" t="s">
        <v>701</v>
      </c>
      <c r="E208" s="377" t="s">
        <v>503</v>
      </c>
      <c r="F208" s="367"/>
      <c r="G208" s="368"/>
      <c r="H208" s="368"/>
      <c r="I208" s="370"/>
      <c r="J208" s="370"/>
      <c r="K208" s="367"/>
      <c r="L208" s="370"/>
    </row>
    <row r="209" spans="1:12" ht="33" customHeight="1" x14ac:dyDescent="0.45">
      <c r="A209" s="344" t="s">
        <v>376</v>
      </c>
      <c r="B209" s="303">
        <v>0.82291666666666663</v>
      </c>
      <c r="C209" s="303" t="s">
        <v>384</v>
      </c>
      <c r="D209" s="304" t="s">
        <v>701</v>
      </c>
      <c r="E209" s="377" t="s">
        <v>503</v>
      </c>
      <c r="F209" s="367"/>
      <c r="G209" s="368"/>
      <c r="H209" s="368"/>
      <c r="I209" s="370"/>
      <c r="J209" s="370"/>
      <c r="K209" s="367"/>
      <c r="L209" s="370"/>
    </row>
    <row r="210" spans="1:12" ht="33" customHeight="1" x14ac:dyDescent="0.45">
      <c r="A210" s="315" t="s">
        <v>336</v>
      </c>
      <c r="B210" s="303"/>
      <c r="C210" s="303" t="s">
        <v>660</v>
      </c>
      <c r="D210" s="304"/>
      <c r="E210" s="304"/>
      <c r="F210" s="305"/>
      <c r="G210" s="306"/>
      <c r="H210" s="306"/>
      <c r="I210" s="306"/>
      <c r="J210" s="297"/>
      <c r="K210" s="305"/>
      <c r="L210" s="297"/>
    </row>
    <row r="211" spans="1:12" ht="33" customHeight="1" x14ac:dyDescent="0.45">
      <c r="A211" s="315" t="s">
        <v>336</v>
      </c>
      <c r="B211" s="303"/>
      <c r="C211" s="303" t="s">
        <v>660</v>
      </c>
      <c r="D211" s="304"/>
      <c r="E211" s="304"/>
      <c r="F211" s="305"/>
      <c r="G211" s="306"/>
      <c r="H211" s="306"/>
      <c r="I211" s="306"/>
      <c r="J211" s="297"/>
      <c r="K211" s="305"/>
      <c r="L211" s="297"/>
    </row>
    <row r="212" spans="1:12" ht="33" customHeight="1" x14ac:dyDescent="0.45">
      <c r="A212" s="315" t="s">
        <v>336</v>
      </c>
      <c r="B212" s="303"/>
      <c r="C212" s="303" t="s">
        <v>660</v>
      </c>
      <c r="D212" s="304"/>
      <c r="E212" s="304"/>
      <c r="F212" s="305"/>
      <c r="G212" s="306"/>
      <c r="H212" s="306"/>
      <c r="I212" s="306"/>
      <c r="J212" s="297"/>
      <c r="K212" s="305"/>
      <c r="L212" s="297"/>
    </row>
    <row r="213" spans="1:12" ht="33" customHeight="1" x14ac:dyDescent="0.45">
      <c r="A213" s="315" t="s">
        <v>336</v>
      </c>
      <c r="B213" s="303"/>
      <c r="C213" s="303" t="s">
        <v>660</v>
      </c>
      <c r="D213" s="304"/>
      <c r="E213" s="304"/>
      <c r="F213" s="305"/>
      <c r="G213" s="306"/>
      <c r="H213" s="306"/>
      <c r="I213" s="306"/>
      <c r="J213" s="297"/>
      <c r="K213" s="305"/>
      <c r="L213" s="297"/>
    </row>
    <row r="214" spans="1:12" ht="33" customHeight="1" x14ac:dyDescent="0.45">
      <c r="A214" s="315" t="s">
        <v>336</v>
      </c>
      <c r="B214" s="303"/>
      <c r="C214" s="303" t="s">
        <v>660</v>
      </c>
      <c r="D214" s="304"/>
      <c r="E214" s="304"/>
      <c r="F214" s="305"/>
      <c r="G214" s="306"/>
      <c r="H214" s="306"/>
      <c r="I214" s="306"/>
      <c r="J214" s="297"/>
      <c r="K214" s="305"/>
      <c r="L214" s="297"/>
    </row>
    <row r="215" spans="1:12" x14ac:dyDescent="0.45">
      <c r="C215" s="190" t="s">
        <v>691</v>
      </c>
      <c r="F215" s="137" t="s">
        <v>15</v>
      </c>
    </row>
    <row r="216" spans="1:12" x14ac:dyDescent="0.45">
      <c r="C216" s="190"/>
    </row>
    <row r="217" spans="1:12" x14ac:dyDescent="0.45">
      <c r="C217" s="190"/>
    </row>
    <row r="218" spans="1:12" ht="23.25" x14ac:dyDescent="0.45">
      <c r="A218" s="137" t="s">
        <v>18</v>
      </c>
      <c r="B218" s="260" t="s">
        <v>384</v>
      </c>
      <c r="C218" s="241"/>
      <c r="D218" s="241"/>
      <c r="E218" s="241"/>
      <c r="L218" s="600">
        <f>L197+1</f>
        <v>46154</v>
      </c>
    </row>
    <row r="219" spans="1:12" ht="21" x14ac:dyDescent="0.45">
      <c r="A219" s="137" t="s">
        <v>13</v>
      </c>
      <c r="B219" s="320" t="s">
        <v>701</v>
      </c>
      <c r="C219" s="254"/>
      <c r="D219" s="254"/>
      <c r="E219" s="598"/>
      <c r="J219" s="600"/>
      <c r="L219" s="600"/>
    </row>
    <row r="221" spans="1:12" x14ac:dyDescent="0.45">
      <c r="A221" s="141"/>
      <c r="B221" s="142"/>
      <c r="C221" s="142"/>
      <c r="D221" s="142"/>
      <c r="E221" s="142"/>
      <c r="F221" s="142"/>
      <c r="G221" s="142"/>
      <c r="H221" s="142"/>
      <c r="I221" s="142"/>
      <c r="J221" s="319"/>
      <c r="K221" s="319" t="s">
        <v>337</v>
      </c>
      <c r="L221" s="294"/>
    </row>
    <row r="222" spans="1:12" ht="63" x14ac:dyDescent="0.45">
      <c r="A222" s="297" t="s">
        <v>534</v>
      </c>
      <c r="B222" s="298" t="s">
        <v>0</v>
      </c>
      <c r="C222" s="298" t="s">
        <v>332</v>
      </c>
      <c r="D222" s="298" t="s">
        <v>333</v>
      </c>
      <c r="E222" s="298" t="s">
        <v>535</v>
      </c>
      <c r="F222" s="298" t="s">
        <v>1</v>
      </c>
      <c r="G222" s="298" t="s">
        <v>334</v>
      </c>
      <c r="H222" s="298" t="s">
        <v>335</v>
      </c>
      <c r="I222" s="298" t="s">
        <v>23</v>
      </c>
      <c r="J222" s="300" t="s">
        <v>22</v>
      </c>
      <c r="K222" s="298" t="s">
        <v>17</v>
      </c>
      <c r="L222" s="301" t="s">
        <v>12</v>
      </c>
    </row>
    <row r="223" spans="1:12" ht="33.4" customHeight="1" x14ac:dyDescent="0.45">
      <c r="A223" s="344" t="s">
        <v>501</v>
      </c>
      <c r="B223" s="345">
        <v>0.25</v>
      </c>
      <c r="C223" s="345" t="s">
        <v>384</v>
      </c>
      <c r="D223" s="304" t="s">
        <v>701</v>
      </c>
      <c r="E223" s="377" t="s">
        <v>503</v>
      </c>
      <c r="F223" s="580"/>
      <c r="G223" s="368">
        <v>1</v>
      </c>
      <c r="H223" s="363"/>
      <c r="I223" s="580"/>
      <c r="J223" s="365"/>
      <c r="K223" s="580"/>
      <c r="L223" s="366"/>
    </row>
    <row r="224" spans="1:12" ht="33.4" customHeight="1" x14ac:dyDescent="0.45">
      <c r="A224" s="344" t="s">
        <v>376</v>
      </c>
      <c r="B224" s="345">
        <v>0.27083333333333331</v>
      </c>
      <c r="C224" s="345" t="s">
        <v>384</v>
      </c>
      <c r="D224" s="304" t="s">
        <v>701</v>
      </c>
      <c r="E224" s="377" t="s">
        <v>504</v>
      </c>
      <c r="F224" s="367"/>
      <c r="G224" s="368">
        <v>1</v>
      </c>
      <c r="H224" s="368"/>
      <c r="I224" s="370"/>
      <c r="J224" s="370"/>
      <c r="K224" s="367"/>
      <c r="L224" s="370"/>
    </row>
    <row r="225" spans="1:12" ht="33.4" customHeight="1" x14ac:dyDescent="0.45">
      <c r="A225" s="344" t="s">
        <v>376</v>
      </c>
      <c r="B225" s="345">
        <v>0.2951388888888889</v>
      </c>
      <c r="C225" s="345" t="s">
        <v>384</v>
      </c>
      <c r="D225" s="304" t="s">
        <v>701</v>
      </c>
      <c r="E225" s="377" t="s">
        <v>688</v>
      </c>
      <c r="F225" s="367"/>
      <c r="G225" s="368">
        <v>1</v>
      </c>
      <c r="H225" s="368"/>
      <c r="I225" s="370"/>
      <c r="J225" s="370"/>
      <c r="K225" s="367"/>
      <c r="L225" s="370"/>
    </row>
    <row r="226" spans="1:12" ht="33.4" customHeight="1" x14ac:dyDescent="0.45">
      <c r="A226" s="344" t="s">
        <v>501</v>
      </c>
      <c r="B226" s="303">
        <v>0.58333333333333337</v>
      </c>
      <c r="C226" s="303" t="s">
        <v>384</v>
      </c>
      <c r="D226" s="304" t="s">
        <v>701</v>
      </c>
      <c r="E226" s="377" t="s">
        <v>504</v>
      </c>
      <c r="F226" s="367"/>
      <c r="G226" s="368">
        <v>1</v>
      </c>
      <c r="H226" s="368"/>
      <c r="I226" s="370"/>
      <c r="J226" s="370"/>
      <c r="K226" s="367"/>
      <c r="L226" s="370"/>
    </row>
    <row r="227" spans="1:12" ht="33.4" customHeight="1" x14ac:dyDescent="0.45">
      <c r="A227" s="344" t="s">
        <v>376</v>
      </c>
      <c r="B227" s="303">
        <v>0.61805555555555558</v>
      </c>
      <c r="C227" s="303" t="s">
        <v>384</v>
      </c>
      <c r="D227" s="304" t="s">
        <v>701</v>
      </c>
      <c r="E227" s="377" t="s">
        <v>503</v>
      </c>
      <c r="F227" s="367"/>
      <c r="G227" s="368">
        <v>1</v>
      </c>
      <c r="H227" s="368"/>
      <c r="I227" s="370"/>
      <c r="J227" s="370"/>
      <c r="K227" s="367"/>
      <c r="L227" s="370"/>
    </row>
    <row r="228" spans="1:12" ht="33.4" customHeight="1" x14ac:dyDescent="0.45">
      <c r="A228" s="344" t="s">
        <v>376</v>
      </c>
      <c r="B228" s="303">
        <v>0.76041666666666663</v>
      </c>
      <c r="C228" s="303" t="s">
        <v>384</v>
      </c>
      <c r="D228" s="304" t="s">
        <v>701</v>
      </c>
      <c r="E228" s="377" t="s">
        <v>504</v>
      </c>
      <c r="F228" s="367"/>
      <c r="G228" s="368"/>
      <c r="H228" s="368"/>
      <c r="I228" s="370"/>
      <c r="J228" s="370"/>
      <c r="K228" s="367"/>
      <c r="L228" s="370"/>
    </row>
    <row r="229" spans="1:12" ht="33.4" customHeight="1" x14ac:dyDescent="0.45">
      <c r="A229" s="344" t="s">
        <v>501</v>
      </c>
      <c r="B229" s="303">
        <v>0.78125</v>
      </c>
      <c r="C229" s="303" t="s">
        <v>384</v>
      </c>
      <c r="D229" s="304" t="s">
        <v>701</v>
      </c>
      <c r="E229" s="377" t="s">
        <v>504</v>
      </c>
      <c r="F229" s="367"/>
      <c r="G229" s="368"/>
      <c r="H229" s="368"/>
      <c r="I229" s="370"/>
      <c r="J229" s="370"/>
      <c r="K229" s="367"/>
      <c r="L229" s="370"/>
    </row>
    <row r="230" spans="1:12" ht="33.4" customHeight="1" x14ac:dyDescent="0.45">
      <c r="A230" s="344" t="s">
        <v>376</v>
      </c>
      <c r="B230" s="303">
        <v>0.80208333333333337</v>
      </c>
      <c r="C230" s="303" t="s">
        <v>384</v>
      </c>
      <c r="D230" s="304" t="s">
        <v>701</v>
      </c>
      <c r="E230" s="377" t="s">
        <v>503</v>
      </c>
      <c r="F230" s="367"/>
      <c r="G230" s="368"/>
      <c r="H230" s="368"/>
      <c r="I230" s="370"/>
      <c r="J230" s="370"/>
      <c r="K230" s="367"/>
      <c r="L230" s="370"/>
    </row>
    <row r="231" spans="1:12" ht="33.4" customHeight="1" x14ac:dyDescent="0.45">
      <c r="A231" s="344" t="s">
        <v>376</v>
      </c>
      <c r="B231" s="303">
        <v>0.82291666666666663</v>
      </c>
      <c r="C231" s="303" t="s">
        <v>384</v>
      </c>
      <c r="D231" s="304" t="s">
        <v>701</v>
      </c>
      <c r="E231" s="377" t="s">
        <v>503</v>
      </c>
      <c r="F231" s="367"/>
      <c r="G231" s="368"/>
      <c r="H231" s="368"/>
      <c r="I231" s="370"/>
      <c r="J231" s="370"/>
      <c r="K231" s="367"/>
      <c r="L231" s="370"/>
    </row>
    <row r="232" spans="1:12" ht="33.4" customHeight="1" x14ac:dyDescent="0.45">
      <c r="A232" s="315" t="s">
        <v>336</v>
      </c>
      <c r="B232" s="303"/>
      <c r="C232" s="303" t="s">
        <v>660</v>
      </c>
      <c r="D232" s="304"/>
      <c r="E232" s="304"/>
      <c r="F232" s="305"/>
      <c r="G232" s="306"/>
      <c r="H232" s="306"/>
      <c r="I232" s="306"/>
      <c r="J232" s="297"/>
      <c r="K232" s="305"/>
      <c r="L232" s="297"/>
    </row>
    <row r="233" spans="1:12" ht="33.4" customHeight="1" x14ac:dyDescent="0.45">
      <c r="A233" s="315" t="s">
        <v>336</v>
      </c>
      <c r="B233" s="303"/>
      <c r="C233" s="303" t="s">
        <v>660</v>
      </c>
      <c r="D233" s="304"/>
      <c r="E233" s="304"/>
      <c r="F233" s="305"/>
      <c r="G233" s="306"/>
      <c r="H233" s="306"/>
      <c r="I233" s="306"/>
      <c r="J233" s="297"/>
      <c r="K233" s="305"/>
      <c r="L233" s="297"/>
    </row>
    <row r="234" spans="1:12" ht="33.4" customHeight="1" x14ac:dyDescent="0.45">
      <c r="A234" s="315" t="s">
        <v>336</v>
      </c>
      <c r="B234" s="303"/>
      <c r="C234" s="303" t="s">
        <v>660</v>
      </c>
      <c r="D234" s="304"/>
      <c r="E234" s="304"/>
      <c r="F234" s="305"/>
      <c r="G234" s="306"/>
      <c r="H234" s="306"/>
      <c r="I234" s="306"/>
      <c r="J234" s="297"/>
      <c r="K234" s="305"/>
      <c r="L234" s="297"/>
    </row>
    <row r="235" spans="1:12" ht="33.4" customHeight="1" x14ac:dyDescent="0.45">
      <c r="A235" s="315" t="s">
        <v>336</v>
      </c>
      <c r="B235" s="303"/>
      <c r="C235" s="303" t="s">
        <v>660</v>
      </c>
      <c r="D235" s="304"/>
      <c r="E235" s="304"/>
      <c r="F235" s="305"/>
      <c r="G235" s="306"/>
      <c r="H235" s="306"/>
      <c r="I235" s="306"/>
      <c r="J235" s="297"/>
      <c r="K235" s="305"/>
      <c r="L235" s="297"/>
    </row>
    <row r="236" spans="1:12" ht="33.4" customHeight="1" x14ac:dyDescent="0.45">
      <c r="A236" s="315" t="s">
        <v>336</v>
      </c>
      <c r="B236" s="303"/>
      <c r="C236" s="303" t="s">
        <v>660</v>
      </c>
      <c r="D236" s="304"/>
      <c r="E236" s="304"/>
      <c r="F236" s="305"/>
      <c r="G236" s="306"/>
      <c r="H236" s="306"/>
      <c r="I236" s="306"/>
      <c r="J236" s="297"/>
      <c r="K236" s="305"/>
      <c r="L236" s="297"/>
    </row>
    <row r="237" spans="1:12" ht="33.4" customHeight="1" x14ac:dyDescent="0.45">
      <c r="C237" s="190" t="s">
        <v>691</v>
      </c>
      <c r="F237" s="137" t="s">
        <v>15</v>
      </c>
    </row>
    <row r="238" spans="1:12" ht="33.4" customHeight="1" x14ac:dyDescent="0.45"/>
    <row r="239" spans="1:12" ht="23.25" x14ac:dyDescent="0.45">
      <c r="A239" s="137" t="s">
        <v>18</v>
      </c>
      <c r="B239" s="260" t="s">
        <v>384</v>
      </c>
      <c r="C239" s="241"/>
      <c r="D239" s="241"/>
      <c r="E239" s="241"/>
    </row>
    <row r="240" spans="1:12" ht="21" x14ac:dyDescent="0.45">
      <c r="A240" s="137" t="s">
        <v>13</v>
      </c>
      <c r="B240" s="320" t="s">
        <v>701</v>
      </c>
      <c r="C240" s="254"/>
      <c r="D240" s="254"/>
      <c r="E240" s="598"/>
      <c r="J240" s="600"/>
      <c r="L240" s="600">
        <f>L218+1</f>
        <v>46155</v>
      </c>
    </row>
    <row r="242" spans="1:12" x14ac:dyDescent="0.45">
      <c r="A242" s="141"/>
      <c r="B242" s="142"/>
      <c r="C242" s="142"/>
      <c r="D242" s="142"/>
      <c r="E242" s="142"/>
      <c r="F242" s="142"/>
      <c r="G242" s="142"/>
      <c r="H242" s="142"/>
      <c r="I242" s="142"/>
      <c r="J242" s="319"/>
      <c r="K242" s="319" t="s">
        <v>337</v>
      </c>
      <c r="L242" s="294"/>
    </row>
    <row r="243" spans="1:12" ht="63" x14ac:dyDescent="0.45">
      <c r="A243" s="297" t="s">
        <v>534</v>
      </c>
      <c r="B243" s="298" t="s">
        <v>0</v>
      </c>
      <c r="C243" s="298" t="s">
        <v>332</v>
      </c>
      <c r="D243" s="298" t="s">
        <v>333</v>
      </c>
      <c r="E243" s="298" t="s">
        <v>535</v>
      </c>
      <c r="F243" s="298" t="s">
        <v>1</v>
      </c>
      <c r="G243" s="298" t="s">
        <v>334</v>
      </c>
      <c r="H243" s="298" t="s">
        <v>335</v>
      </c>
      <c r="I243" s="298" t="s">
        <v>23</v>
      </c>
      <c r="J243" s="300" t="s">
        <v>22</v>
      </c>
      <c r="K243" s="298" t="s">
        <v>17</v>
      </c>
      <c r="L243" s="301" t="s">
        <v>12</v>
      </c>
    </row>
    <row r="244" spans="1:12" ht="33" customHeight="1" x14ac:dyDescent="0.45">
      <c r="A244" s="344" t="s">
        <v>501</v>
      </c>
      <c r="B244" s="345">
        <v>0.25</v>
      </c>
      <c r="C244" s="345" t="s">
        <v>384</v>
      </c>
      <c r="D244" s="304" t="s">
        <v>701</v>
      </c>
      <c r="E244" s="377" t="s">
        <v>503</v>
      </c>
      <c r="F244" s="580"/>
      <c r="G244" s="368">
        <v>1</v>
      </c>
      <c r="H244" s="363"/>
      <c r="I244" s="580"/>
      <c r="J244" s="365"/>
      <c r="K244" s="580"/>
      <c r="L244" s="366"/>
    </row>
    <row r="245" spans="1:12" ht="33" customHeight="1" x14ac:dyDescent="0.45">
      <c r="A245" s="344" t="s">
        <v>376</v>
      </c>
      <c r="B245" s="345">
        <v>0.27083333333333331</v>
      </c>
      <c r="C245" s="345" t="s">
        <v>384</v>
      </c>
      <c r="D245" s="304" t="s">
        <v>701</v>
      </c>
      <c r="E245" s="377" t="s">
        <v>504</v>
      </c>
      <c r="F245" s="367"/>
      <c r="G245" s="368">
        <v>1</v>
      </c>
      <c r="H245" s="368"/>
      <c r="I245" s="370"/>
      <c r="J245" s="370"/>
      <c r="K245" s="367"/>
      <c r="L245" s="370"/>
    </row>
    <row r="246" spans="1:12" ht="33" customHeight="1" x14ac:dyDescent="0.45">
      <c r="A246" s="344" t="s">
        <v>376</v>
      </c>
      <c r="B246" s="345">
        <v>0.2951388888888889</v>
      </c>
      <c r="C246" s="345" t="s">
        <v>384</v>
      </c>
      <c r="D246" s="304" t="s">
        <v>701</v>
      </c>
      <c r="E246" s="377" t="s">
        <v>688</v>
      </c>
      <c r="F246" s="367"/>
      <c r="G246" s="368">
        <v>1</v>
      </c>
      <c r="H246" s="368"/>
      <c r="I246" s="370"/>
      <c r="J246" s="370"/>
      <c r="K246" s="367"/>
      <c r="L246" s="370"/>
    </row>
    <row r="247" spans="1:12" ht="33" customHeight="1" x14ac:dyDescent="0.45">
      <c r="A247" s="344" t="s">
        <v>501</v>
      </c>
      <c r="B247" s="303">
        <v>0.58333333333333337</v>
      </c>
      <c r="C247" s="303" t="s">
        <v>384</v>
      </c>
      <c r="D247" s="304" t="s">
        <v>701</v>
      </c>
      <c r="E247" s="377" t="s">
        <v>504</v>
      </c>
      <c r="F247" s="367"/>
      <c r="G247" s="368">
        <v>1</v>
      </c>
      <c r="H247" s="368"/>
      <c r="I247" s="370"/>
      <c r="J247" s="370"/>
      <c r="K247" s="367"/>
      <c r="L247" s="370"/>
    </row>
    <row r="248" spans="1:12" ht="33" customHeight="1" x14ac:dyDescent="0.45">
      <c r="A248" s="344" t="s">
        <v>376</v>
      </c>
      <c r="B248" s="303">
        <v>0.61805555555555558</v>
      </c>
      <c r="C248" s="303" t="s">
        <v>384</v>
      </c>
      <c r="D248" s="304" t="s">
        <v>701</v>
      </c>
      <c r="E248" s="377" t="s">
        <v>503</v>
      </c>
      <c r="F248" s="367"/>
      <c r="G248" s="368">
        <v>1</v>
      </c>
      <c r="H248" s="368"/>
      <c r="I248" s="370"/>
      <c r="J248" s="370"/>
      <c r="K248" s="367"/>
      <c r="L248" s="370"/>
    </row>
    <row r="249" spans="1:12" ht="33" customHeight="1" x14ac:dyDescent="0.45">
      <c r="A249" s="344" t="s">
        <v>376</v>
      </c>
      <c r="B249" s="303">
        <v>0.76041666666666663</v>
      </c>
      <c r="C249" s="303" t="s">
        <v>384</v>
      </c>
      <c r="D249" s="304" t="s">
        <v>701</v>
      </c>
      <c r="E249" s="377" t="s">
        <v>504</v>
      </c>
      <c r="F249" s="367"/>
      <c r="G249" s="368"/>
      <c r="H249" s="368"/>
      <c r="I249" s="370"/>
      <c r="J249" s="370"/>
      <c r="K249" s="367"/>
      <c r="L249" s="370"/>
    </row>
    <row r="250" spans="1:12" ht="33" customHeight="1" x14ac:dyDescent="0.45">
      <c r="A250" s="344" t="s">
        <v>501</v>
      </c>
      <c r="B250" s="303">
        <v>0.78125</v>
      </c>
      <c r="C250" s="303" t="s">
        <v>384</v>
      </c>
      <c r="D250" s="304" t="s">
        <v>701</v>
      </c>
      <c r="E250" s="377" t="s">
        <v>504</v>
      </c>
      <c r="F250" s="367"/>
      <c r="G250" s="368"/>
      <c r="H250" s="368"/>
      <c r="I250" s="370"/>
      <c r="J250" s="370"/>
      <c r="K250" s="367"/>
      <c r="L250" s="370"/>
    </row>
    <row r="251" spans="1:12" ht="33" customHeight="1" x14ac:dyDescent="0.45">
      <c r="A251" s="344" t="s">
        <v>376</v>
      </c>
      <c r="B251" s="303">
        <v>0.80208333333333337</v>
      </c>
      <c r="C251" s="303" t="s">
        <v>384</v>
      </c>
      <c r="D251" s="304" t="s">
        <v>701</v>
      </c>
      <c r="E251" s="377" t="s">
        <v>503</v>
      </c>
      <c r="F251" s="367"/>
      <c r="G251" s="368"/>
      <c r="H251" s="368"/>
      <c r="I251" s="370"/>
      <c r="J251" s="370"/>
      <c r="K251" s="367"/>
      <c r="L251" s="370"/>
    </row>
    <row r="252" spans="1:12" ht="33" customHeight="1" x14ac:dyDescent="0.45">
      <c r="A252" s="344" t="s">
        <v>376</v>
      </c>
      <c r="B252" s="303">
        <v>0.82291666666666663</v>
      </c>
      <c r="C252" s="303" t="s">
        <v>384</v>
      </c>
      <c r="D252" s="304" t="s">
        <v>701</v>
      </c>
      <c r="E252" s="377" t="s">
        <v>503</v>
      </c>
      <c r="F252" s="367"/>
      <c r="G252" s="368"/>
      <c r="H252" s="368"/>
      <c r="I252" s="370"/>
      <c r="J252" s="370"/>
      <c r="K252" s="367"/>
      <c r="L252" s="370"/>
    </row>
    <row r="253" spans="1:12" ht="33" customHeight="1" x14ac:dyDescent="0.45">
      <c r="A253" s="315" t="s">
        <v>336</v>
      </c>
      <c r="B253" s="303"/>
      <c r="C253" s="303" t="s">
        <v>660</v>
      </c>
      <c r="D253" s="304"/>
      <c r="E253" s="304"/>
      <c r="F253" s="305"/>
      <c r="G253" s="306"/>
      <c r="H253" s="306"/>
      <c r="I253" s="306"/>
      <c r="J253" s="297"/>
      <c r="K253" s="305"/>
      <c r="L253" s="297"/>
    </row>
    <row r="254" spans="1:12" ht="33" customHeight="1" x14ac:dyDescent="0.45">
      <c r="A254" s="315" t="s">
        <v>336</v>
      </c>
      <c r="B254" s="303"/>
      <c r="C254" s="303" t="s">
        <v>660</v>
      </c>
      <c r="D254" s="304"/>
      <c r="E254" s="304"/>
      <c r="F254" s="305"/>
      <c r="G254" s="306"/>
      <c r="H254" s="306"/>
      <c r="I254" s="306"/>
      <c r="J254" s="297"/>
      <c r="K254" s="305"/>
      <c r="L254" s="297"/>
    </row>
    <row r="255" spans="1:12" ht="33" customHeight="1" x14ac:dyDescent="0.45">
      <c r="A255" s="315" t="s">
        <v>336</v>
      </c>
      <c r="B255" s="303"/>
      <c r="C255" s="303" t="s">
        <v>660</v>
      </c>
      <c r="D255" s="304"/>
      <c r="E255" s="304"/>
      <c r="F255" s="305"/>
      <c r="G255" s="306"/>
      <c r="H255" s="306"/>
      <c r="I255" s="306"/>
      <c r="J255" s="297"/>
      <c r="K255" s="305"/>
      <c r="L255" s="297"/>
    </row>
    <row r="256" spans="1:12" ht="33" customHeight="1" x14ac:dyDescent="0.45">
      <c r="A256" s="315" t="s">
        <v>336</v>
      </c>
      <c r="B256" s="303"/>
      <c r="C256" s="303" t="s">
        <v>660</v>
      </c>
      <c r="D256" s="304"/>
      <c r="E256" s="304"/>
      <c r="F256" s="305"/>
      <c r="G256" s="306"/>
      <c r="H256" s="306"/>
      <c r="I256" s="306"/>
      <c r="J256" s="297"/>
      <c r="K256" s="305"/>
      <c r="L256" s="297"/>
    </row>
    <row r="257" spans="1:12" ht="33" customHeight="1" x14ac:dyDescent="0.45">
      <c r="A257" s="315" t="s">
        <v>336</v>
      </c>
      <c r="B257" s="303"/>
      <c r="C257" s="303" t="s">
        <v>660</v>
      </c>
      <c r="D257" s="304"/>
      <c r="E257" s="304"/>
      <c r="F257" s="305"/>
      <c r="G257" s="306"/>
      <c r="H257" s="306"/>
      <c r="I257" s="306"/>
      <c r="J257" s="297"/>
      <c r="K257" s="305"/>
      <c r="L257" s="297"/>
    </row>
    <row r="258" spans="1:12" ht="33" customHeight="1" x14ac:dyDescent="0.45">
      <c r="C258" s="190" t="s">
        <v>691</v>
      </c>
      <c r="F258" s="137" t="s">
        <v>15</v>
      </c>
    </row>
    <row r="260" spans="1:12" ht="23.25" x14ac:dyDescent="0.45">
      <c r="A260" s="137" t="s">
        <v>18</v>
      </c>
      <c r="B260" s="260" t="s">
        <v>384</v>
      </c>
      <c r="C260" s="241"/>
      <c r="D260" s="241"/>
      <c r="E260" s="241"/>
    </row>
    <row r="261" spans="1:12" ht="21" x14ac:dyDescent="0.45">
      <c r="A261" s="137" t="s">
        <v>13</v>
      </c>
      <c r="B261" s="320" t="s">
        <v>701</v>
      </c>
      <c r="C261" s="254"/>
      <c r="D261" s="254"/>
      <c r="E261" s="598"/>
      <c r="J261" s="600"/>
      <c r="L261" s="607">
        <f>L240+1</f>
        <v>46156</v>
      </c>
    </row>
    <row r="263" spans="1:12" ht="15.75" x14ac:dyDescent="0.45">
      <c r="A263" s="297"/>
      <c r="B263" s="298"/>
      <c r="C263" s="298"/>
      <c r="D263" s="298"/>
      <c r="E263" s="298"/>
      <c r="F263" s="298"/>
      <c r="G263" s="298"/>
      <c r="H263" s="298"/>
      <c r="I263" s="298"/>
      <c r="J263" s="300"/>
      <c r="K263" s="298" t="s">
        <v>337</v>
      </c>
      <c r="L263" s="301"/>
    </row>
    <row r="264" spans="1:12" ht="63" x14ac:dyDescent="0.45">
      <c r="A264" s="344" t="s">
        <v>534</v>
      </c>
      <c r="B264" s="345" t="s">
        <v>0</v>
      </c>
      <c r="C264" s="345" t="s">
        <v>332</v>
      </c>
      <c r="D264" s="304" t="s">
        <v>333</v>
      </c>
      <c r="E264" s="377" t="s">
        <v>535</v>
      </c>
      <c r="F264" s="362" t="s">
        <v>1</v>
      </c>
      <c r="G264" s="368" t="s">
        <v>334</v>
      </c>
      <c r="H264" s="363" t="s">
        <v>335</v>
      </c>
      <c r="I264" s="362" t="s">
        <v>23</v>
      </c>
      <c r="J264" s="365" t="s">
        <v>22</v>
      </c>
      <c r="K264" s="362" t="s">
        <v>17</v>
      </c>
      <c r="L264" s="366" t="s">
        <v>12</v>
      </c>
    </row>
    <row r="265" spans="1:12" ht="33" customHeight="1" x14ac:dyDescent="0.45">
      <c r="A265" s="344" t="s">
        <v>501</v>
      </c>
      <c r="B265" s="345">
        <v>0.25</v>
      </c>
      <c r="C265" s="345" t="s">
        <v>384</v>
      </c>
      <c r="D265" s="304" t="s">
        <v>701</v>
      </c>
      <c r="E265" s="377" t="s">
        <v>503</v>
      </c>
      <c r="F265" s="367"/>
      <c r="G265" s="368">
        <v>1</v>
      </c>
      <c r="H265" s="368"/>
      <c r="I265" s="369"/>
      <c r="J265" s="369"/>
      <c r="K265" s="367"/>
      <c r="L265" s="370"/>
    </row>
    <row r="266" spans="1:12" ht="33" customHeight="1" x14ac:dyDescent="0.45">
      <c r="A266" s="344" t="s">
        <v>376</v>
      </c>
      <c r="B266" s="345">
        <v>0.27083333333333331</v>
      </c>
      <c r="C266" s="345" t="s">
        <v>384</v>
      </c>
      <c r="D266" s="304" t="s">
        <v>701</v>
      </c>
      <c r="E266" s="377" t="s">
        <v>504</v>
      </c>
      <c r="F266" s="367"/>
      <c r="G266" s="368">
        <v>1</v>
      </c>
      <c r="H266" s="368"/>
      <c r="I266" s="369"/>
      <c r="J266" s="369"/>
      <c r="K266" s="367"/>
      <c r="L266" s="370"/>
    </row>
    <row r="267" spans="1:12" ht="33" customHeight="1" x14ac:dyDescent="0.45">
      <c r="A267" s="344" t="s">
        <v>376</v>
      </c>
      <c r="B267" s="345">
        <v>0.2951388888888889</v>
      </c>
      <c r="C267" s="345" t="s">
        <v>384</v>
      </c>
      <c r="D267" s="304" t="s">
        <v>701</v>
      </c>
      <c r="E267" s="377" t="s">
        <v>504</v>
      </c>
      <c r="F267" s="362"/>
      <c r="G267" s="368">
        <v>1</v>
      </c>
      <c r="H267" s="363"/>
      <c r="I267" s="362"/>
      <c r="J267" s="365"/>
      <c r="K267" s="362"/>
      <c r="L267" s="366"/>
    </row>
    <row r="268" spans="1:12" ht="33" customHeight="1" x14ac:dyDescent="0.45">
      <c r="A268" s="344" t="s">
        <v>501</v>
      </c>
      <c r="B268" s="345">
        <v>0.58333333333333337</v>
      </c>
      <c r="C268" s="345" t="s">
        <v>384</v>
      </c>
      <c r="D268" s="304" t="s">
        <v>701</v>
      </c>
      <c r="E268" s="377" t="s">
        <v>504</v>
      </c>
      <c r="F268" s="367"/>
      <c r="G268" s="368">
        <v>1</v>
      </c>
      <c r="H268" s="368"/>
      <c r="I268" s="369"/>
      <c r="J268" s="369"/>
      <c r="K268" s="367"/>
      <c r="L268" s="370"/>
    </row>
    <row r="269" spans="1:12" ht="33" customHeight="1" x14ac:dyDescent="0.45">
      <c r="A269" s="344" t="s">
        <v>501</v>
      </c>
      <c r="B269" s="345">
        <v>0.625</v>
      </c>
      <c r="C269" s="345" t="s">
        <v>384</v>
      </c>
      <c r="D269" s="304" t="s">
        <v>701</v>
      </c>
      <c r="E269" s="377" t="s">
        <v>504</v>
      </c>
      <c r="F269" s="367"/>
      <c r="G269" s="368">
        <v>1</v>
      </c>
      <c r="H269" s="368"/>
      <c r="I269" s="369"/>
      <c r="J269" s="369"/>
      <c r="K269" s="367"/>
      <c r="L269" s="370"/>
    </row>
    <row r="270" spans="1:12" ht="33" customHeight="1" x14ac:dyDescent="0.45">
      <c r="A270" s="344" t="s">
        <v>501</v>
      </c>
      <c r="B270" s="345">
        <v>0.76041666666666663</v>
      </c>
      <c r="C270" s="345" t="s">
        <v>384</v>
      </c>
      <c r="D270" s="304" t="s">
        <v>701</v>
      </c>
      <c r="E270" s="377" t="s">
        <v>504</v>
      </c>
      <c r="F270" s="367"/>
      <c r="G270" s="368">
        <v>1</v>
      </c>
      <c r="H270" s="368"/>
      <c r="I270" s="369"/>
      <c r="J270" s="369"/>
      <c r="K270" s="367"/>
      <c r="L270" s="370"/>
    </row>
    <row r="271" spans="1:12" ht="33" customHeight="1" x14ac:dyDescent="0.45">
      <c r="A271" s="315" t="s">
        <v>376</v>
      </c>
      <c r="B271" s="303">
        <v>0.78125</v>
      </c>
      <c r="C271" s="303" t="s">
        <v>384</v>
      </c>
      <c r="D271" s="304" t="s">
        <v>701</v>
      </c>
      <c r="E271" s="304" t="s">
        <v>503</v>
      </c>
      <c r="F271" s="305"/>
      <c r="G271" s="306">
        <v>1</v>
      </c>
      <c r="H271" s="306"/>
      <c r="I271" s="306"/>
      <c r="J271" s="297"/>
      <c r="K271" s="305"/>
      <c r="L271" s="297"/>
    </row>
    <row r="272" spans="1:12" ht="33" customHeight="1" x14ac:dyDescent="0.45">
      <c r="A272" s="315" t="s">
        <v>336</v>
      </c>
      <c r="B272" s="303"/>
      <c r="C272" s="303" t="s">
        <v>660</v>
      </c>
      <c r="D272" s="304"/>
      <c r="E272" s="304"/>
      <c r="F272" s="305"/>
      <c r="G272" s="306"/>
      <c r="H272" s="306"/>
      <c r="I272" s="306"/>
      <c r="J272" s="297"/>
      <c r="K272" s="305"/>
      <c r="L272" s="297"/>
    </row>
    <row r="273" spans="1:12" ht="33" customHeight="1" x14ac:dyDescent="0.45">
      <c r="A273" s="315" t="s">
        <v>336</v>
      </c>
      <c r="B273" s="303"/>
      <c r="C273" s="303" t="s">
        <v>660</v>
      </c>
      <c r="D273" s="304"/>
      <c r="E273" s="304"/>
      <c r="F273" s="305"/>
      <c r="G273" s="306"/>
      <c r="H273" s="306"/>
      <c r="I273" s="306"/>
      <c r="J273" s="297"/>
      <c r="K273" s="305"/>
      <c r="L273" s="297"/>
    </row>
    <row r="274" spans="1:12" ht="33" customHeight="1" x14ac:dyDescent="0.45">
      <c r="A274" s="315" t="s">
        <v>336</v>
      </c>
      <c r="B274" s="303"/>
      <c r="C274" s="303" t="s">
        <v>660</v>
      </c>
      <c r="D274" s="304"/>
      <c r="E274" s="304"/>
      <c r="F274" s="305"/>
      <c r="G274" s="306"/>
      <c r="H274" s="306"/>
      <c r="I274" s="306"/>
      <c r="J274" s="297"/>
      <c r="K274" s="305"/>
      <c r="L274" s="297"/>
    </row>
    <row r="275" spans="1:12" ht="33" customHeight="1" x14ac:dyDescent="0.45">
      <c r="A275" s="315" t="s">
        <v>336</v>
      </c>
      <c r="B275" s="303"/>
      <c r="C275" s="303" t="s">
        <v>660</v>
      </c>
      <c r="D275" s="304"/>
      <c r="E275" s="304"/>
      <c r="F275" s="305"/>
      <c r="G275" s="306"/>
      <c r="H275" s="306"/>
      <c r="I275" s="306"/>
      <c r="J275" s="297"/>
      <c r="K275" s="305"/>
      <c r="L275" s="297"/>
    </row>
    <row r="276" spans="1:12" ht="33" customHeight="1" x14ac:dyDescent="0.45">
      <c r="C276" s="190" t="s">
        <v>691</v>
      </c>
      <c r="F276" s="137" t="s">
        <v>15</v>
      </c>
    </row>
    <row r="278" spans="1:12" ht="23.25" x14ac:dyDescent="0.45">
      <c r="A278" s="137" t="s">
        <v>18</v>
      </c>
      <c r="B278" s="260" t="s">
        <v>384</v>
      </c>
      <c r="C278" s="241"/>
      <c r="D278" s="241"/>
      <c r="E278" s="241"/>
    </row>
    <row r="279" spans="1:12" ht="21" x14ac:dyDescent="0.45">
      <c r="A279" s="137" t="s">
        <v>13</v>
      </c>
      <c r="B279" s="320" t="s">
        <v>701</v>
      </c>
      <c r="C279" s="254"/>
      <c r="D279" s="254"/>
      <c r="E279" s="598"/>
      <c r="J279" s="600"/>
      <c r="L279" s="600">
        <f>L261+1</f>
        <v>46157</v>
      </c>
    </row>
    <row r="281" spans="1:12" x14ac:dyDescent="0.45">
      <c r="A281" s="141"/>
      <c r="B281" s="142"/>
      <c r="C281" s="142"/>
      <c r="D281" s="142"/>
      <c r="E281" s="142"/>
      <c r="F281" s="142"/>
      <c r="G281" s="142"/>
      <c r="H281" s="142"/>
      <c r="I281" s="142"/>
      <c r="J281" s="319"/>
      <c r="K281" s="319" t="s">
        <v>337</v>
      </c>
      <c r="L281" s="294"/>
    </row>
    <row r="282" spans="1:12" ht="63" x14ac:dyDescent="0.45">
      <c r="A282" s="297" t="s">
        <v>534</v>
      </c>
      <c r="B282" s="298" t="s">
        <v>0</v>
      </c>
      <c r="C282" s="298" t="s">
        <v>332</v>
      </c>
      <c r="D282" s="298" t="s">
        <v>333</v>
      </c>
      <c r="E282" s="298" t="s">
        <v>535</v>
      </c>
      <c r="F282" s="298" t="s">
        <v>1</v>
      </c>
      <c r="G282" s="298" t="s">
        <v>334</v>
      </c>
      <c r="H282" s="298" t="s">
        <v>335</v>
      </c>
      <c r="I282" s="298" t="s">
        <v>23</v>
      </c>
      <c r="J282" s="300" t="s">
        <v>22</v>
      </c>
      <c r="K282" s="298" t="s">
        <v>17</v>
      </c>
      <c r="L282" s="301" t="s">
        <v>12</v>
      </c>
    </row>
    <row r="283" spans="1:12" ht="33" customHeight="1" x14ac:dyDescent="0.45">
      <c r="A283" s="344" t="s">
        <v>501</v>
      </c>
      <c r="B283" s="345">
        <v>0.25</v>
      </c>
      <c r="C283" s="345" t="s">
        <v>384</v>
      </c>
      <c r="D283" s="304" t="s">
        <v>701</v>
      </c>
      <c r="E283" s="377" t="s">
        <v>503</v>
      </c>
      <c r="F283" s="580"/>
      <c r="G283" s="368">
        <v>1</v>
      </c>
      <c r="H283" s="363"/>
      <c r="I283" s="580"/>
      <c r="J283" s="365"/>
      <c r="K283" s="580"/>
      <c r="L283" s="366"/>
    </row>
    <row r="284" spans="1:12" ht="33" customHeight="1" x14ac:dyDescent="0.45">
      <c r="A284" s="344" t="s">
        <v>376</v>
      </c>
      <c r="B284" s="345">
        <v>0.27083333333333331</v>
      </c>
      <c r="C284" s="345" t="s">
        <v>384</v>
      </c>
      <c r="D284" s="304" t="s">
        <v>701</v>
      </c>
      <c r="E284" s="377" t="s">
        <v>504</v>
      </c>
      <c r="F284" s="367"/>
      <c r="G284" s="368">
        <v>1</v>
      </c>
      <c r="H284" s="368"/>
      <c r="I284" s="370"/>
      <c r="J284" s="370"/>
      <c r="K284" s="367"/>
      <c r="L284" s="370"/>
    </row>
    <row r="285" spans="1:12" ht="33" customHeight="1" x14ac:dyDescent="0.45">
      <c r="A285" s="344" t="s">
        <v>376</v>
      </c>
      <c r="B285" s="345">
        <v>0.2951388888888889</v>
      </c>
      <c r="C285" s="345" t="s">
        <v>384</v>
      </c>
      <c r="D285" s="304" t="s">
        <v>701</v>
      </c>
      <c r="E285" s="377" t="s">
        <v>688</v>
      </c>
      <c r="F285" s="367"/>
      <c r="G285" s="368">
        <v>1</v>
      </c>
      <c r="H285" s="368"/>
      <c r="I285" s="370"/>
      <c r="J285" s="370"/>
      <c r="K285" s="367"/>
      <c r="L285" s="370"/>
    </row>
    <row r="286" spans="1:12" ht="33" customHeight="1" x14ac:dyDescent="0.45">
      <c r="A286" s="344" t="s">
        <v>501</v>
      </c>
      <c r="B286" s="303">
        <v>0.58333333333333337</v>
      </c>
      <c r="C286" s="303" t="s">
        <v>384</v>
      </c>
      <c r="D286" s="304" t="s">
        <v>701</v>
      </c>
      <c r="E286" s="377" t="s">
        <v>504</v>
      </c>
      <c r="F286" s="367"/>
      <c r="G286" s="368">
        <v>1</v>
      </c>
      <c r="H286" s="368"/>
      <c r="I286" s="370"/>
      <c r="J286" s="370"/>
      <c r="K286" s="367"/>
      <c r="L286" s="370"/>
    </row>
    <row r="287" spans="1:12" ht="33" customHeight="1" x14ac:dyDescent="0.45">
      <c r="A287" s="344" t="s">
        <v>376</v>
      </c>
      <c r="B287" s="303">
        <v>0.61805555555555558</v>
      </c>
      <c r="C287" s="303" t="s">
        <v>384</v>
      </c>
      <c r="D287" s="304" t="s">
        <v>701</v>
      </c>
      <c r="E287" s="377" t="s">
        <v>503</v>
      </c>
      <c r="F287" s="367"/>
      <c r="G287" s="368">
        <v>1</v>
      </c>
      <c r="H287" s="368"/>
      <c r="I287" s="370"/>
      <c r="J287" s="370"/>
      <c r="K287" s="367"/>
      <c r="L287" s="370"/>
    </row>
    <row r="288" spans="1:12" ht="33" customHeight="1" x14ac:dyDescent="0.45">
      <c r="A288" s="344" t="s">
        <v>376</v>
      </c>
      <c r="B288" s="303">
        <v>0.76041666666666663</v>
      </c>
      <c r="C288" s="303" t="s">
        <v>384</v>
      </c>
      <c r="D288" s="304" t="s">
        <v>701</v>
      </c>
      <c r="E288" s="377" t="s">
        <v>504</v>
      </c>
      <c r="F288" s="367"/>
      <c r="G288" s="368"/>
      <c r="H288" s="368"/>
      <c r="I288" s="370"/>
      <c r="J288" s="370"/>
      <c r="K288" s="367"/>
      <c r="L288" s="370"/>
    </row>
    <row r="289" spans="1:12" ht="33" customHeight="1" x14ac:dyDescent="0.45">
      <c r="A289" s="344" t="s">
        <v>501</v>
      </c>
      <c r="B289" s="303">
        <v>0.78125</v>
      </c>
      <c r="C289" s="303" t="s">
        <v>384</v>
      </c>
      <c r="D289" s="304" t="s">
        <v>701</v>
      </c>
      <c r="E289" s="377" t="s">
        <v>504</v>
      </c>
      <c r="F289" s="367"/>
      <c r="G289" s="368"/>
      <c r="H289" s="368"/>
      <c r="I289" s="370"/>
      <c r="J289" s="370"/>
      <c r="K289" s="367"/>
      <c r="L289" s="370"/>
    </row>
    <row r="290" spans="1:12" ht="33" customHeight="1" x14ac:dyDescent="0.45">
      <c r="A290" s="344" t="s">
        <v>376</v>
      </c>
      <c r="B290" s="303">
        <v>0.80208333333333337</v>
      </c>
      <c r="C290" s="303" t="s">
        <v>384</v>
      </c>
      <c r="D290" s="304" t="s">
        <v>701</v>
      </c>
      <c r="E290" s="377" t="s">
        <v>503</v>
      </c>
      <c r="F290" s="367"/>
      <c r="G290" s="368"/>
      <c r="H290" s="368"/>
      <c r="I290" s="370"/>
      <c r="J290" s="370"/>
      <c r="K290" s="367"/>
      <c r="L290" s="370"/>
    </row>
    <row r="291" spans="1:12" ht="33" customHeight="1" x14ac:dyDescent="0.45">
      <c r="A291" s="344" t="s">
        <v>376</v>
      </c>
      <c r="B291" s="303">
        <v>0.82291666666666663</v>
      </c>
      <c r="C291" s="303" t="s">
        <v>384</v>
      </c>
      <c r="D291" s="304" t="s">
        <v>701</v>
      </c>
      <c r="E291" s="377" t="s">
        <v>503</v>
      </c>
      <c r="F291" s="367"/>
      <c r="G291" s="368"/>
      <c r="H291" s="368"/>
      <c r="I291" s="370"/>
      <c r="J291" s="370"/>
      <c r="K291" s="367"/>
      <c r="L291" s="370"/>
    </row>
    <row r="292" spans="1:12" ht="33" customHeight="1" x14ac:dyDescent="0.45">
      <c r="A292" s="315" t="s">
        <v>336</v>
      </c>
      <c r="B292" s="303"/>
      <c r="C292" s="303" t="s">
        <v>660</v>
      </c>
      <c r="D292" s="304"/>
      <c r="E292" s="304"/>
      <c r="F292" s="305"/>
      <c r="G292" s="306"/>
      <c r="H292" s="306"/>
      <c r="I292" s="306"/>
      <c r="J292" s="297"/>
      <c r="K292" s="305"/>
      <c r="L292" s="297"/>
    </row>
    <row r="293" spans="1:12" ht="33" customHeight="1" x14ac:dyDescent="0.45">
      <c r="A293" s="315" t="s">
        <v>336</v>
      </c>
      <c r="B293" s="303"/>
      <c r="C293" s="303" t="s">
        <v>660</v>
      </c>
      <c r="D293" s="304"/>
      <c r="E293" s="304"/>
      <c r="F293" s="305"/>
      <c r="G293" s="306"/>
      <c r="H293" s="306"/>
      <c r="I293" s="306"/>
      <c r="J293" s="297"/>
      <c r="K293" s="305"/>
      <c r="L293" s="297"/>
    </row>
    <row r="294" spans="1:12" ht="33" customHeight="1" x14ac:dyDescent="0.45">
      <c r="A294" s="315" t="s">
        <v>336</v>
      </c>
      <c r="B294" s="303"/>
      <c r="C294" s="303" t="s">
        <v>660</v>
      </c>
      <c r="D294" s="304"/>
      <c r="E294" s="304"/>
      <c r="F294" s="305"/>
      <c r="G294" s="306"/>
      <c r="H294" s="306"/>
      <c r="I294" s="306"/>
      <c r="J294" s="297"/>
      <c r="K294" s="305"/>
      <c r="L294" s="297"/>
    </row>
    <row r="295" spans="1:12" ht="33" customHeight="1" x14ac:dyDescent="0.45">
      <c r="A295" s="315" t="s">
        <v>336</v>
      </c>
      <c r="B295" s="303"/>
      <c r="C295" s="303" t="s">
        <v>660</v>
      </c>
      <c r="D295" s="304"/>
      <c r="E295" s="304"/>
      <c r="F295" s="305"/>
      <c r="G295" s="306"/>
      <c r="H295" s="306"/>
      <c r="I295" s="306"/>
      <c r="J295" s="297"/>
      <c r="K295" s="305"/>
      <c r="L295" s="297"/>
    </row>
    <row r="296" spans="1:12" ht="33" customHeight="1" x14ac:dyDescent="0.45">
      <c r="A296" s="315" t="s">
        <v>336</v>
      </c>
      <c r="B296" s="303"/>
      <c r="C296" s="303" t="s">
        <v>660</v>
      </c>
      <c r="D296" s="304"/>
      <c r="E296" s="304"/>
      <c r="F296" s="305"/>
      <c r="G296" s="306"/>
      <c r="H296" s="306"/>
      <c r="I296" s="306"/>
      <c r="J296" s="297"/>
      <c r="K296" s="305"/>
      <c r="L296" s="297"/>
    </row>
    <row r="297" spans="1:12" ht="33" customHeight="1" x14ac:dyDescent="0.45">
      <c r="C297" s="190" t="s">
        <v>691</v>
      </c>
      <c r="F297" s="137" t="s">
        <v>15</v>
      </c>
    </row>
    <row r="299" spans="1:12" ht="23.25" x14ac:dyDescent="0.45">
      <c r="A299" s="137" t="s">
        <v>18</v>
      </c>
      <c r="B299" s="260" t="s">
        <v>384</v>
      </c>
      <c r="C299" s="241"/>
      <c r="D299" s="241"/>
      <c r="E299" s="241"/>
    </row>
    <row r="300" spans="1:12" ht="21" x14ac:dyDescent="0.45">
      <c r="A300" s="137" t="s">
        <v>13</v>
      </c>
      <c r="B300" s="320" t="s">
        <v>701</v>
      </c>
      <c r="C300" s="254"/>
      <c r="D300" s="254"/>
      <c r="E300" s="598"/>
      <c r="J300" s="600"/>
      <c r="L300" s="600">
        <f>L279+1</f>
        <v>46158</v>
      </c>
    </row>
    <row r="302" spans="1:12" x14ac:dyDescent="0.45">
      <c r="A302" s="141"/>
      <c r="B302" s="142"/>
      <c r="C302" s="142"/>
      <c r="D302" s="142"/>
      <c r="E302" s="142"/>
      <c r="F302" s="142"/>
      <c r="G302" s="142"/>
      <c r="H302" s="142"/>
      <c r="I302" s="142"/>
      <c r="J302" s="319"/>
      <c r="K302" s="319" t="s">
        <v>337</v>
      </c>
      <c r="L302" s="294"/>
    </row>
    <row r="303" spans="1:12" ht="63" x14ac:dyDescent="0.45">
      <c r="A303" s="297" t="s">
        <v>534</v>
      </c>
      <c r="B303" s="298" t="s">
        <v>0</v>
      </c>
      <c r="C303" s="298" t="s">
        <v>332</v>
      </c>
      <c r="D303" s="298" t="s">
        <v>333</v>
      </c>
      <c r="E303" s="298" t="s">
        <v>535</v>
      </c>
      <c r="F303" s="298" t="s">
        <v>1</v>
      </c>
      <c r="G303" s="298" t="s">
        <v>334</v>
      </c>
      <c r="H303" s="298" t="s">
        <v>335</v>
      </c>
      <c r="I303" s="298" t="s">
        <v>23</v>
      </c>
      <c r="J303" s="300" t="s">
        <v>22</v>
      </c>
      <c r="K303" s="298" t="s">
        <v>17</v>
      </c>
      <c r="L303" s="301" t="s">
        <v>12</v>
      </c>
    </row>
    <row r="304" spans="1:12" ht="33" customHeight="1" x14ac:dyDescent="0.45">
      <c r="A304" s="344" t="s">
        <v>501</v>
      </c>
      <c r="B304" s="345">
        <v>0.25</v>
      </c>
      <c r="C304" s="345" t="s">
        <v>384</v>
      </c>
      <c r="D304" s="304" t="s">
        <v>701</v>
      </c>
      <c r="E304" s="377" t="s">
        <v>503</v>
      </c>
      <c r="F304" s="580"/>
      <c r="G304" s="368">
        <v>1</v>
      </c>
      <c r="H304" s="363"/>
      <c r="I304" s="580"/>
      <c r="J304" s="365"/>
      <c r="K304" s="580"/>
      <c r="L304" s="366"/>
    </row>
    <row r="305" spans="1:12" ht="33" customHeight="1" x14ac:dyDescent="0.45">
      <c r="A305" s="344" t="s">
        <v>376</v>
      </c>
      <c r="B305" s="345">
        <v>0.27083333333333331</v>
      </c>
      <c r="C305" s="345" t="s">
        <v>384</v>
      </c>
      <c r="D305" s="304" t="s">
        <v>701</v>
      </c>
      <c r="E305" s="377" t="s">
        <v>504</v>
      </c>
      <c r="F305" s="367"/>
      <c r="G305" s="368">
        <v>1</v>
      </c>
      <c r="H305" s="368"/>
      <c r="I305" s="370"/>
      <c r="J305" s="370"/>
      <c r="K305" s="367"/>
      <c r="L305" s="370"/>
    </row>
    <row r="306" spans="1:12" ht="33" customHeight="1" x14ac:dyDescent="0.45">
      <c r="A306" s="344" t="s">
        <v>376</v>
      </c>
      <c r="B306" s="345">
        <v>0.2951388888888889</v>
      </c>
      <c r="C306" s="345" t="s">
        <v>384</v>
      </c>
      <c r="D306" s="304" t="s">
        <v>701</v>
      </c>
      <c r="E306" s="377" t="s">
        <v>688</v>
      </c>
      <c r="F306" s="367"/>
      <c r="G306" s="368">
        <v>1</v>
      </c>
      <c r="H306" s="368"/>
      <c r="I306" s="370"/>
      <c r="J306" s="370"/>
      <c r="K306" s="367"/>
      <c r="L306" s="370"/>
    </row>
    <row r="307" spans="1:12" ht="33" customHeight="1" x14ac:dyDescent="0.45">
      <c r="A307" s="344" t="s">
        <v>501</v>
      </c>
      <c r="B307" s="303">
        <v>0.58333333333333337</v>
      </c>
      <c r="C307" s="303" t="s">
        <v>384</v>
      </c>
      <c r="D307" s="304" t="s">
        <v>701</v>
      </c>
      <c r="E307" s="377" t="s">
        <v>504</v>
      </c>
      <c r="F307" s="367"/>
      <c r="G307" s="368">
        <v>1</v>
      </c>
      <c r="H307" s="368"/>
      <c r="I307" s="370"/>
      <c r="J307" s="370"/>
      <c r="K307" s="367"/>
      <c r="L307" s="370"/>
    </row>
    <row r="308" spans="1:12" ht="33" customHeight="1" x14ac:dyDescent="0.45">
      <c r="A308" s="344" t="s">
        <v>376</v>
      </c>
      <c r="B308" s="303">
        <v>0.61805555555555558</v>
      </c>
      <c r="C308" s="303" t="s">
        <v>384</v>
      </c>
      <c r="D308" s="304" t="s">
        <v>701</v>
      </c>
      <c r="E308" s="377" t="s">
        <v>503</v>
      </c>
      <c r="F308" s="367"/>
      <c r="G308" s="368">
        <v>1</v>
      </c>
      <c r="H308" s="368"/>
      <c r="I308" s="370"/>
      <c r="J308" s="370"/>
      <c r="K308" s="367"/>
      <c r="L308" s="370"/>
    </row>
    <row r="309" spans="1:12" ht="33" customHeight="1" x14ac:dyDescent="0.45">
      <c r="A309" s="344" t="s">
        <v>376</v>
      </c>
      <c r="B309" s="303">
        <v>0.76041666666666663</v>
      </c>
      <c r="C309" s="303" t="s">
        <v>384</v>
      </c>
      <c r="D309" s="304" t="s">
        <v>701</v>
      </c>
      <c r="E309" s="377" t="s">
        <v>504</v>
      </c>
      <c r="F309" s="367"/>
      <c r="G309" s="368"/>
      <c r="H309" s="368"/>
      <c r="I309" s="370"/>
      <c r="J309" s="370"/>
      <c r="K309" s="367"/>
      <c r="L309" s="370"/>
    </row>
    <row r="310" spans="1:12" ht="33" customHeight="1" x14ac:dyDescent="0.45">
      <c r="A310" s="344" t="s">
        <v>501</v>
      </c>
      <c r="B310" s="303">
        <v>0.78125</v>
      </c>
      <c r="C310" s="303" t="s">
        <v>384</v>
      </c>
      <c r="D310" s="304" t="s">
        <v>701</v>
      </c>
      <c r="E310" s="377" t="s">
        <v>504</v>
      </c>
      <c r="F310" s="367"/>
      <c r="G310" s="368"/>
      <c r="H310" s="368"/>
      <c r="I310" s="370"/>
      <c r="J310" s="370"/>
      <c r="K310" s="367"/>
      <c r="L310" s="370"/>
    </row>
    <row r="311" spans="1:12" ht="33" customHeight="1" x14ac:dyDescent="0.45">
      <c r="A311" s="344" t="s">
        <v>376</v>
      </c>
      <c r="B311" s="303">
        <v>0.80208333333333337</v>
      </c>
      <c r="C311" s="303" t="s">
        <v>384</v>
      </c>
      <c r="D311" s="304" t="s">
        <v>701</v>
      </c>
      <c r="E311" s="377" t="s">
        <v>503</v>
      </c>
      <c r="F311" s="367"/>
      <c r="G311" s="368"/>
      <c r="H311" s="368"/>
      <c r="I311" s="370"/>
      <c r="J311" s="370"/>
      <c r="K311" s="367"/>
      <c r="L311" s="370"/>
    </row>
    <row r="312" spans="1:12" ht="33" customHeight="1" x14ac:dyDescent="0.45">
      <c r="A312" s="344" t="s">
        <v>376</v>
      </c>
      <c r="B312" s="303">
        <v>0.82291666666666663</v>
      </c>
      <c r="C312" s="303" t="s">
        <v>384</v>
      </c>
      <c r="D312" s="304" t="s">
        <v>701</v>
      </c>
      <c r="E312" s="377" t="s">
        <v>503</v>
      </c>
      <c r="F312" s="367"/>
      <c r="G312" s="368"/>
      <c r="H312" s="368"/>
      <c r="I312" s="370"/>
      <c r="J312" s="370"/>
      <c r="K312" s="367"/>
      <c r="L312" s="370"/>
    </row>
    <row r="313" spans="1:12" ht="33" customHeight="1" x14ac:dyDescent="0.45">
      <c r="A313" s="315" t="s">
        <v>336</v>
      </c>
      <c r="B313" s="303"/>
      <c r="C313" s="303" t="s">
        <v>660</v>
      </c>
      <c r="D313" s="304"/>
      <c r="E313" s="304"/>
      <c r="F313" s="305"/>
      <c r="G313" s="306"/>
      <c r="H313" s="306"/>
      <c r="I313" s="306"/>
      <c r="J313" s="297"/>
      <c r="K313" s="305"/>
      <c r="L313" s="297"/>
    </row>
    <row r="314" spans="1:12" ht="33" customHeight="1" x14ac:dyDescent="0.45">
      <c r="A314" s="315" t="s">
        <v>336</v>
      </c>
      <c r="B314" s="303"/>
      <c r="C314" s="303" t="s">
        <v>660</v>
      </c>
      <c r="D314" s="304"/>
      <c r="E314" s="304"/>
      <c r="F314" s="305"/>
      <c r="G314" s="306"/>
      <c r="H314" s="306"/>
      <c r="I314" s="306"/>
      <c r="J314" s="297"/>
      <c r="K314" s="305"/>
      <c r="L314" s="297"/>
    </row>
    <row r="315" spans="1:12" ht="33" customHeight="1" x14ac:dyDescent="0.45">
      <c r="A315" s="315" t="s">
        <v>336</v>
      </c>
      <c r="B315" s="303"/>
      <c r="C315" s="303" t="s">
        <v>660</v>
      </c>
      <c r="D315" s="304"/>
      <c r="E315" s="304"/>
      <c r="F315" s="305"/>
      <c r="G315" s="306"/>
      <c r="H315" s="306"/>
      <c r="I315" s="306"/>
      <c r="J315" s="297"/>
      <c r="K315" s="305"/>
      <c r="L315" s="297"/>
    </row>
    <row r="316" spans="1:12" ht="33" customHeight="1" x14ac:dyDescent="0.45">
      <c r="A316" s="315" t="s">
        <v>336</v>
      </c>
      <c r="B316" s="303"/>
      <c r="C316" s="303" t="s">
        <v>660</v>
      </c>
      <c r="D316" s="304"/>
      <c r="E316" s="304"/>
      <c r="F316" s="305"/>
      <c r="G316" s="306"/>
      <c r="H316" s="306"/>
      <c r="I316" s="306"/>
      <c r="J316" s="297"/>
      <c r="K316" s="305"/>
      <c r="L316" s="297"/>
    </row>
    <row r="317" spans="1:12" ht="33" customHeight="1" x14ac:dyDescent="0.45">
      <c r="A317" s="315" t="s">
        <v>336</v>
      </c>
      <c r="B317" s="303"/>
      <c r="C317" s="303" t="s">
        <v>660</v>
      </c>
      <c r="D317" s="304"/>
      <c r="E317" s="304"/>
      <c r="F317" s="305"/>
      <c r="G317" s="306"/>
      <c r="H317" s="306"/>
      <c r="I317" s="306"/>
      <c r="J317" s="297"/>
      <c r="K317" s="305"/>
      <c r="L317" s="297"/>
    </row>
    <row r="318" spans="1:12" ht="33" customHeight="1" x14ac:dyDescent="0.45">
      <c r="C318" s="190" t="s">
        <v>691</v>
      </c>
      <c r="F318" s="137" t="s">
        <v>15</v>
      </c>
    </row>
    <row r="320" spans="1:12" ht="23.25" x14ac:dyDescent="0.45">
      <c r="A320" s="137" t="s">
        <v>18</v>
      </c>
      <c r="B320" s="260" t="s">
        <v>384</v>
      </c>
      <c r="C320" s="241"/>
      <c r="D320" s="241"/>
      <c r="E320" s="241"/>
    </row>
    <row r="321" spans="1:12" ht="21" x14ac:dyDescent="0.45">
      <c r="A321" s="137" t="s">
        <v>13</v>
      </c>
      <c r="B321" s="320" t="s">
        <v>701</v>
      </c>
      <c r="C321" s="254"/>
      <c r="D321" s="254"/>
      <c r="E321" s="598"/>
      <c r="J321" s="600"/>
      <c r="L321" s="607">
        <f>L300+1</f>
        <v>46159</v>
      </c>
    </row>
    <row r="323" spans="1:12" ht="15.75" x14ac:dyDescent="0.45">
      <c r="A323" s="297"/>
      <c r="B323" s="298"/>
      <c r="C323" s="298"/>
      <c r="D323" s="298"/>
      <c r="E323" s="298"/>
      <c r="F323" s="298"/>
      <c r="G323" s="298"/>
      <c r="H323" s="298"/>
      <c r="I323" s="298"/>
      <c r="J323" s="300"/>
      <c r="K323" s="298" t="s">
        <v>337</v>
      </c>
      <c r="L323" s="301"/>
    </row>
    <row r="324" spans="1:12" ht="63" x14ac:dyDescent="0.45">
      <c r="A324" s="344" t="s">
        <v>534</v>
      </c>
      <c r="B324" s="345" t="s">
        <v>0</v>
      </c>
      <c r="C324" s="345" t="s">
        <v>332</v>
      </c>
      <c r="D324" s="304" t="s">
        <v>333</v>
      </c>
      <c r="E324" s="377" t="s">
        <v>535</v>
      </c>
      <c r="F324" s="362" t="s">
        <v>1</v>
      </c>
      <c r="G324" s="368" t="s">
        <v>334</v>
      </c>
      <c r="H324" s="363" t="s">
        <v>335</v>
      </c>
      <c r="I324" s="362" t="s">
        <v>23</v>
      </c>
      <c r="J324" s="365" t="s">
        <v>22</v>
      </c>
      <c r="K324" s="362" t="s">
        <v>17</v>
      </c>
      <c r="L324" s="366" t="s">
        <v>12</v>
      </c>
    </row>
    <row r="325" spans="1:12" ht="33" customHeight="1" x14ac:dyDescent="0.45">
      <c r="A325" s="344" t="s">
        <v>501</v>
      </c>
      <c r="B325" s="345">
        <v>0.25</v>
      </c>
      <c r="C325" s="345" t="s">
        <v>384</v>
      </c>
      <c r="D325" s="304" t="s">
        <v>701</v>
      </c>
      <c r="E325" s="377" t="s">
        <v>503</v>
      </c>
      <c r="F325" s="367"/>
      <c r="G325" s="368">
        <v>1</v>
      </c>
      <c r="H325" s="368"/>
      <c r="I325" s="369"/>
      <c r="J325" s="369"/>
      <c r="K325" s="367"/>
      <c r="L325" s="370"/>
    </row>
    <row r="326" spans="1:12" ht="33" customHeight="1" x14ac:dyDescent="0.45">
      <c r="A326" s="344" t="s">
        <v>376</v>
      </c>
      <c r="B326" s="345">
        <v>0.27083333333333331</v>
      </c>
      <c r="C326" s="345" t="s">
        <v>384</v>
      </c>
      <c r="D326" s="304" t="s">
        <v>701</v>
      </c>
      <c r="E326" s="377" t="s">
        <v>504</v>
      </c>
      <c r="F326" s="367"/>
      <c r="G326" s="368">
        <v>1</v>
      </c>
      <c r="H326" s="368"/>
      <c r="I326" s="369"/>
      <c r="J326" s="369"/>
      <c r="K326" s="367"/>
      <c r="L326" s="370"/>
    </row>
    <row r="327" spans="1:12" ht="33" customHeight="1" x14ac:dyDescent="0.45">
      <c r="A327" s="344" t="s">
        <v>376</v>
      </c>
      <c r="B327" s="345">
        <v>0.2951388888888889</v>
      </c>
      <c r="C327" s="345" t="s">
        <v>384</v>
      </c>
      <c r="D327" s="304" t="s">
        <v>701</v>
      </c>
      <c r="E327" s="377" t="s">
        <v>504</v>
      </c>
      <c r="F327" s="362"/>
      <c r="G327" s="368">
        <v>1</v>
      </c>
      <c r="H327" s="363"/>
      <c r="I327" s="362"/>
      <c r="J327" s="365"/>
      <c r="K327" s="362"/>
      <c r="L327" s="366"/>
    </row>
    <row r="328" spans="1:12" ht="33" customHeight="1" x14ac:dyDescent="0.45">
      <c r="A328" s="344" t="s">
        <v>501</v>
      </c>
      <c r="B328" s="345">
        <v>0.58333333333333337</v>
      </c>
      <c r="C328" s="345" t="s">
        <v>384</v>
      </c>
      <c r="D328" s="304" t="s">
        <v>701</v>
      </c>
      <c r="E328" s="377" t="s">
        <v>504</v>
      </c>
      <c r="F328" s="367"/>
      <c r="G328" s="368">
        <v>1</v>
      </c>
      <c r="H328" s="368"/>
      <c r="I328" s="369"/>
      <c r="J328" s="369"/>
      <c r="K328" s="367"/>
      <c r="L328" s="370"/>
    </row>
    <row r="329" spans="1:12" ht="33" customHeight="1" x14ac:dyDescent="0.45">
      <c r="A329" s="344" t="s">
        <v>501</v>
      </c>
      <c r="B329" s="345">
        <v>0.625</v>
      </c>
      <c r="C329" s="345" t="s">
        <v>384</v>
      </c>
      <c r="D329" s="304" t="s">
        <v>701</v>
      </c>
      <c r="E329" s="377" t="s">
        <v>504</v>
      </c>
      <c r="F329" s="367"/>
      <c r="G329" s="368">
        <v>1</v>
      </c>
      <c r="H329" s="368"/>
      <c r="I329" s="369"/>
      <c r="J329" s="369"/>
      <c r="K329" s="367"/>
      <c r="L329" s="370"/>
    </row>
    <row r="330" spans="1:12" ht="33" customHeight="1" x14ac:dyDescent="0.45">
      <c r="A330" s="344" t="s">
        <v>501</v>
      </c>
      <c r="B330" s="345">
        <v>0.76041666666666663</v>
      </c>
      <c r="C330" s="345" t="s">
        <v>384</v>
      </c>
      <c r="D330" s="304" t="s">
        <v>701</v>
      </c>
      <c r="E330" s="377" t="s">
        <v>504</v>
      </c>
      <c r="F330" s="367"/>
      <c r="G330" s="368">
        <v>1</v>
      </c>
      <c r="H330" s="368"/>
      <c r="I330" s="369"/>
      <c r="J330" s="369"/>
      <c r="K330" s="367"/>
      <c r="L330" s="370"/>
    </row>
    <row r="331" spans="1:12" ht="33" customHeight="1" x14ac:dyDescent="0.45">
      <c r="A331" s="315" t="s">
        <v>376</v>
      </c>
      <c r="B331" s="303">
        <v>0.78125</v>
      </c>
      <c r="C331" s="303" t="s">
        <v>384</v>
      </c>
      <c r="D331" s="304" t="s">
        <v>701</v>
      </c>
      <c r="E331" s="304" t="s">
        <v>503</v>
      </c>
      <c r="F331" s="305"/>
      <c r="G331" s="306">
        <v>1</v>
      </c>
      <c r="H331" s="306"/>
      <c r="I331" s="306"/>
      <c r="J331" s="297"/>
      <c r="K331" s="305"/>
      <c r="L331" s="297"/>
    </row>
    <row r="332" spans="1:12" ht="33" customHeight="1" x14ac:dyDescent="0.45">
      <c r="A332" s="315" t="s">
        <v>336</v>
      </c>
      <c r="B332" s="303"/>
      <c r="C332" s="303" t="s">
        <v>660</v>
      </c>
      <c r="D332" s="304"/>
      <c r="E332" s="304"/>
      <c r="F332" s="305"/>
      <c r="G332" s="306"/>
      <c r="H332" s="306"/>
      <c r="I332" s="306"/>
      <c r="J332" s="297"/>
      <c r="K332" s="305"/>
      <c r="L332" s="297"/>
    </row>
    <row r="333" spans="1:12" ht="33" customHeight="1" x14ac:dyDescent="0.45">
      <c r="A333" s="315" t="s">
        <v>336</v>
      </c>
      <c r="B333" s="303"/>
      <c r="C333" s="303" t="s">
        <v>660</v>
      </c>
      <c r="D333" s="304"/>
      <c r="E333" s="304"/>
      <c r="F333" s="305"/>
      <c r="G333" s="306"/>
      <c r="H333" s="306"/>
      <c r="I333" s="306"/>
      <c r="J333" s="297"/>
      <c r="K333" s="305"/>
      <c r="L333" s="297"/>
    </row>
    <row r="334" spans="1:12" ht="33" customHeight="1" x14ac:dyDescent="0.45">
      <c r="A334" s="315" t="s">
        <v>336</v>
      </c>
      <c r="B334" s="303"/>
      <c r="C334" s="303" t="s">
        <v>660</v>
      </c>
      <c r="D334" s="304"/>
      <c r="E334" s="304"/>
      <c r="F334" s="305"/>
      <c r="G334" s="306"/>
      <c r="H334" s="306"/>
      <c r="I334" s="306"/>
      <c r="J334" s="297"/>
      <c r="K334" s="305"/>
      <c r="L334" s="297"/>
    </row>
    <row r="335" spans="1:12" ht="33" customHeight="1" x14ac:dyDescent="0.45">
      <c r="A335" s="315" t="s">
        <v>336</v>
      </c>
      <c r="B335" s="303"/>
      <c r="C335" s="303" t="s">
        <v>660</v>
      </c>
      <c r="D335" s="304"/>
      <c r="E335" s="304"/>
      <c r="F335" s="305"/>
      <c r="G335" s="306"/>
      <c r="H335" s="306"/>
      <c r="I335" s="306"/>
      <c r="J335" s="297"/>
      <c r="K335" s="305"/>
      <c r="L335" s="297"/>
    </row>
    <row r="336" spans="1:12" ht="33" customHeight="1" x14ac:dyDescent="0.45">
      <c r="C336" s="190" t="s">
        <v>691</v>
      </c>
      <c r="F336" s="137" t="s">
        <v>15</v>
      </c>
    </row>
    <row r="337" spans="1:12" ht="13.9" customHeight="1" x14ac:dyDescent="0.45"/>
    <row r="338" spans="1:12" ht="23.25" x14ac:dyDescent="0.45">
      <c r="A338" s="137" t="s">
        <v>18</v>
      </c>
      <c r="B338" s="260" t="s">
        <v>384</v>
      </c>
      <c r="C338" s="241"/>
      <c r="D338" s="241"/>
      <c r="E338" s="241"/>
    </row>
    <row r="339" spans="1:12" ht="21" x14ac:dyDescent="0.45">
      <c r="A339" s="137" t="s">
        <v>13</v>
      </c>
      <c r="B339" s="320" t="s">
        <v>701</v>
      </c>
      <c r="C339" s="254"/>
      <c r="D339" s="254"/>
      <c r="E339" s="598"/>
      <c r="J339" s="600"/>
      <c r="L339" s="600">
        <f>L321+1</f>
        <v>46160</v>
      </c>
    </row>
    <row r="341" spans="1:12" x14ac:dyDescent="0.45">
      <c r="A341" s="141"/>
      <c r="B341" s="142"/>
      <c r="C341" s="142"/>
      <c r="D341" s="142"/>
      <c r="E341" s="142"/>
      <c r="F341" s="142"/>
      <c r="G341" s="142"/>
      <c r="H341" s="142"/>
      <c r="I341" s="142"/>
      <c r="J341" s="319"/>
      <c r="K341" s="319" t="s">
        <v>337</v>
      </c>
      <c r="L341" s="294"/>
    </row>
    <row r="342" spans="1:12" ht="63" x14ac:dyDescent="0.45">
      <c r="A342" s="297" t="s">
        <v>534</v>
      </c>
      <c r="B342" s="298" t="s">
        <v>0</v>
      </c>
      <c r="C342" s="298" t="s">
        <v>332</v>
      </c>
      <c r="D342" s="298" t="s">
        <v>333</v>
      </c>
      <c r="E342" s="298" t="s">
        <v>535</v>
      </c>
      <c r="F342" s="298" t="s">
        <v>1</v>
      </c>
      <c r="G342" s="298" t="s">
        <v>334</v>
      </c>
      <c r="H342" s="298" t="s">
        <v>335</v>
      </c>
      <c r="I342" s="298" t="s">
        <v>23</v>
      </c>
      <c r="J342" s="300" t="s">
        <v>22</v>
      </c>
      <c r="K342" s="298" t="s">
        <v>17</v>
      </c>
      <c r="L342" s="301" t="s">
        <v>12</v>
      </c>
    </row>
    <row r="343" spans="1:12" ht="33.4" customHeight="1" x14ac:dyDescent="0.45">
      <c r="A343" s="344" t="s">
        <v>501</v>
      </c>
      <c r="B343" s="345">
        <v>0.25</v>
      </c>
      <c r="C343" s="345" t="s">
        <v>384</v>
      </c>
      <c r="D343" s="304" t="s">
        <v>701</v>
      </c>
      <c r="E343" s="377" t="s">
        <v>503</v>
      </c>
      <c r="F343" s="580"/>
      <c r="G343" s="368">
        <v>1</v>
      </c>
      <c r="H343" s="363"/>
      <c r="I343" s="580"/>
      <c r="J343" s="365"/>
      <c r="K343" s="580"/>
      <c r="L343" s="366"/>
    </row>
    <row r="344" spans="1:12" ht="33.4" customHeight="1" x14ac:dyDescent="0.45">
      <c r="A344" s="344" t="s">
        <v>376</v>
      </c>
      <c r="B344" s="345">
        <v>0.27083333333333331</v>
      </c>
      <c r="C344" s="345" t="s">
        <v>384</v>
      </c>
      <c r="D344" s="304" t="s">
        <v>701</v>
      </c>
      <c r="E344" s="377" t="s">
        <v>504</v>
      </c>
      <c r="F344" s="367"/>
      <c r="G344" s="368">
        <v>1</v>
      </c>
      <c r="H344" s="368"/>
      <c r="I344" s="370"/>
      <c r="J344" s="370"/>
      <c r="K344" s="367"/>
      <c r="L344" s="370"/>
    </row>
    <row r="345" spans="1:12" ht="33.4" customHeight="1" x14ac:dyDescent="0.45">
      <c r="A345" s="344" t="s">
        <v>376</v>
      </c>
      <c r="B345" s="345">
        <v>0.2951388888888889</v>
      </c>
      <c r="C345" s="345" t="s">
        <v>384</v>
      </c>
      <c r="D345" s="304" t="s">
        <v>701</v>
      </c>
      <c r="E345" s="377" t="s">
        <v>688</v>
      </c>
      <c r="F345" s="367"/>
      <c r="G345" s="368">
        <v>1</v>
      </c>
      <c r="H345" s="368"/>
      <c r="I345" s="370"/>
      <c r="J345" s="370"/>
      <c r="K345" s="367"/>
      <c r="L345" s="370"/>
    </row>
    <row r="346" spans="1:12" ht="33.4" customHeight="1" x14ac:dyDescent="0.45">
      <c r="A346" s="344" t="s">
        <v>501</v>
      </c>
      <c r="B346" s="303">
        <v>0.58333333333333337</v>
      </c>
      <c r="C346" s="303" t="s">
        <v>384</v>
      </c>
      <c r="D346" s="304" t="s">
        <v>701</v>
      </c>
      <c r="E346" s="377" t="s">
        <v>504</v>
      </c>
      <c r="F346" s="367"/>
      <c r="G346" s="368">
        <v>1</v>
      </c>
      <c r="H346" s="368"/>
      <c r="I346" s="370"/>
      <c r="J346" s="370"/>
      <c r="K346" s="367"/>
      <c r="L346" s="370"/>
    </row>
    <row r="347" spans="1:12" ht="33.4" customHeight="1" x14ac:dyDescent="0.45">
      <c r="A347" s="344" t="s">
        <v>376</v>
      </c>
      <c r="B347" s="303">
        <v>0.61805555555555558</v>
      </c>
      <c r="C347" s="303" t="s">
        <v>384</v>
      </c>
      <c r="D347" s="304" t="s">
        <v>701</v>
      </c>
      <c r="E347" s="377" t="s">
        <v>503</v>
      </c>
      <c r="F347" s="367"/>
      <c r="G347" s="368">
        <v>1</v>
      </c>
      <c r="H347" s="368"/>
      <c r="I347" s="370"/>
      <c r="J347" s="370"/>
      <c r="K347" s="367"/>
      <c r="L347" s="370"/>
    </row>
    <row r="348" spans="1:12" ht="33.4" customHeight="1" x14ac:dyDescent="0.45">
      <c r="A348" s="344" t="s">
        <v>376</v>
      </c>
      <c r="B348" s="303">
        <v>0.76041666666666663</v>
      </c>
      <c r="C348" s="303" t="s">
        <v>384</v>
      </c>
      <c r="D348" s="304" t="s">
        <v>701</v>
      </c>
      <c r="E348" s="377" t="s">
        <v>504</v>
      </c>
      <c r="F348" s="367"/>
      <c r="G348" s="368"/>
      <c r="H348" s="368"/>
      <c r="I348" s="370"/>
      <c r="J348" s="370"/>
      <c r="K348" s="367"/>
      <c r="L348" s="370"/>
    </row>
    <row r="349" spans="1:12" ht="33.4" customHeight="1" x14ac:dyDescent="0.45">
      <c r="A349" s="344" t="s">
        <v>501</v>
      </c>
      <c r="B349" s="303">
        <v>0.78125</v>
      </c>
      <c r="C349" s="303" t="s">
        <v>384</v>
      </c>
      <c r="D349" s="304" t="s">
        <v>701</v>
      </c>
      <c r="E349" s="377" t="s">
        <v>504</v>
      </c>
      <c r="F349" s="367"/>
      <c r="G349" s="368"/>
      <c r="H349" s="368"/>
      <c r="I349" s="370"/>
      <c r="J349" s="370"/>
      <c r="K349" s="367"/>
      <c r="L349" s="370"/>
    </row>
    <row r="350" spans="1:12" ht="33.4" customHeight="1" x14ac:dyDescent="0.45">
      <c r="A350" s="344" t="s">
        <v>376</v>
      </c>
      <c r="B350" s="303">
        <v>0.80208333333333337</v>
      </c>
      <c r="C350" s="303" t="s">
        <v>384</v>
      </c>
      <c r="D350" s="304" t="s">
        <v>701</v>
      </c>
      <c r="E350" s="377" t="s">
        <v>503</v>
      </c>
      <c r="F350" s="367"/>
      <c r="G350" s="368"/>
      <c r="H350" s="368"/>
      <c r="I350" s="370"/>
      <c r="J350" s="370"/>
      <c r="K350" s="367"/>
      <c r="L350" s="370"/>
    </row>
    <row r="351" spans="1:12" ht="33.4" customHeight="1" x14ac:dyDescent="0.45">
      <c r="A351" s="344" t="s">
        <v>376</v>
      </c>
      <c r="B351" s="303">
        <v>0.82291666666666663</v>
      </c>
      <c r="C351" s="303" t="s">
        <v>384</v>
      </c>
      <c r="D351" s="304" t="s">
        <v>701</v>
      </c>
      <c r="E351" s="377" t="s">
        <v>503</v>
      </c>
      <c r="F351" s="367"/>
      <c r="G351" s="368"/>
      <c r="H351" s="368"/>
      <c r="I351" s="370"/>
      <c r="J351" s="370"/>
      <c r="K351" s="367"/>
      <c r="L351" s="370"/>
    </row>
    <row r="352" spans="1:12" ht="33.4" customHeight="1" x14ac:dyDescent="0.45">
      <c r="A352" s="315" t="s">
        <v>336</v>
      </c>
      <c r="B352" s="303"/>
      <c r="C352" s="303" t="s">
        <v>660</v>
      </c>
      <c r="D352" s="304"/>
      <c r="E352" s="304"/>
      <c r="F352" s="305"/>
      <c r="G352" s="306"/>
      <c r="H352" s="306"/>
      <c r="I352" s="306"/>
      <c r="J352" s="297"/>
      <c r="K352" s="305"/>
      <c r="L352" s="297"/>
    </row>
    <row r="353" spans="1:12" ht="33.4" customHeight="1" x14ac:dyDescent="0.45">
      <c r="A353" s="315" t="s">
        <v>336</v>
      </c>
      <c r="B353" s="303"/>
      <c r="C353" s="303" t="s">
        <v>660</v>
      </c>
      <c r="D353" s="304"/>
      <c r="E353" s="304"/>
      <c r="F353" s="305"/>
      <c r="G353" s="306"/>
      <c r="H353" s="306"/>
      <c r="I353" s="306"/>
      <c r="J353" s="297"/>
      <c r="K353" s="305"/>
      <c r="L353" s="297"/>
    </row>
    <row r="354" spans="1:12" ht="33.4" customHeight="1" x14ac:dyDescent="0.45">
      <c r="A354" s="315" t="s">
        <v>336</v>
      </c>
      <c r="B354" s="303"/>
      <c r="C354" s="303" t="s">
        <v>660</v>
      </c>
      <c r="D354" s="304"/>
      <c r="E354" s="304"/>
      <c r="F354" s="305"/>
      <c r="G354" s="306"/>
      <c r="H354" s="306"/>
      <c r="I354" s="306"/>
      <c r="J354" s="297"/>
      <c r="K354" s="305"/>
      <c r="L354" s="297"/>
    </row>
    <row r="355" spans="1:12" ht="33.4" customHeight="1" x14ac:dyDescent="0.45">
      <c r="A355" s="315" t="s">
        <v>336</v>
      </c>
      <c r="B355" s="303"/>
      <c r="C355" s="303" t="s">
        <v>660</v>
      </c>
      <c r="D355" s="304"/>
      <c r="E355" s="304"/>
      <c r="F355" s="305"/>
      <c r="G355" s="306"/>
      <c r="H355" s="306"/>
      <c r="I355" s="306"/>
      <c r="J355" s="297"/>
      <c r="K355" s="305"/>
      <c r="L355" s="297"/>
    </row>
    <row r="356" spans="1:12" ht="33.4" customHeight="1" x14ac:dyDescent="0.45">
      <c r="A356" s="315" t="s">
        <v>336</v>
      </c>
      <c r="B356" s="303"/>
      <c r="C356" s="303" t="s">
        <v>660</v>
      </c>
      <c r="D356" s="304"/>
      <c r="E356" s="304"/>
      <c r="F356" s="305"/>
      <c r="G356" s="306"/>
      <c r="H356" s="306"/>
      <c r="I356" s="306"/>
      <c r="J356" s="297"/>
      <c r="K356" s="305"/>
      <c r="L356" s="297"/>
    </row>
    <row r="357" spans="1:12" ht="33.4" customHeight="1" x14ac:dyDescent="0.45">
      <c r="C357" s="190" t="s">
        <v>691</v>
      </c>
      <c r="F357" s="137" t="s">
        <v>15</v>
      </c>
    </row>
    <row r="359" spans="1:12" ht="23.25" x14ac:dyDescent="0.45">
      <c r="A359" s="137" t="s">
        <v>18</v>
      </c>
      <c r="B359" s="260" t="s">
        <v>384</v>
      </c>
      <c r="C359" s="241"/>
      <c r="D359" s="241"/>
      <c r="E359" s="241"/>
      <c r="L359" s="600">
        <f>L339+1</f>
        <v>46161</v>
      </c>
    </row>
    <row r="360" spans="1:12" ht="21" x14ac:dyDescent="0.45">
      <c r="A360" s="137" t="s">
        <v>13</v>
      </c>
      <c r="B360" s="320" t="s">
        <v>701</v>
      </c>
      <c r="C360" s="254"/>
      <c r="D360" s="254"/>
      <c r="E360" s="598"/>
      <c r="J360" s="600"/>
      <c r="L360" s="600"/>
    </row>
    <row r="362" spans="1:12" x14ac:dyDescent="0.45">
      <c r="A362" s="141"/>
      <c r="B362" s="142"/>
      <c r="C362" s="142"/>
      <c r="D362" s="142"/>
      <c r="E362" s="142"/>
      <c r="F362" s="142"/>
      <c r="G362" s="142"/>
      <c r="H362" s="142"/>
      <c r="I362" s="142"/>
      <c r="J362" s="319"/>
      <c r="K362" s="319" t="s">
        <v>337</v>
      </c>
      <c r="L362" s="294"/>
    </row>
    <row r="363" spans="1:12" ht="63" x14ac:dyDescent="0.45">
      <c r="A363" s="297" t="s">
        <v>534</v>
      </c>
      <c r="B363" s="298" t="s">
        <v>0</v>
      </c>
      <c r="C363" s="298" t="s">
        <v>332</v>
      </c>
      <c r="D363" s="298" t="s">
        <v>333</v>
      </c>
      <c r="E363" s="298" t="s">
        <v>535</v>
      </c>
      <c r="F363" s="298" t="s">
        <v>1</v>
      </c>
      <c r="G363" s="298" t="s">
        <v>334</v>
      </c>
      <c r="H363" s="298" t="s">
        <v>335</v>
      </c>
      <c r="I363" s="298" t="s">
        <v>23</v>
      </c>
      <c r="J363" s="300" t="s">
        <v>22</v>
      </c>
      <c r="K363" s="298" t="s">
        <v>17</v>
      </c>
      <c r="L363" s="301" t="s">
        <v>12</v>
      </c>
    </row>
    <row r="364" spans="1:12" ht="33" customHeight="1" x14ac:dyDescent="0.45">
      <c r="A364" s="344" t="s">
        <v>501</v>
      </c>
      <c r="B364" s="345">
        <v>0.25</v>
      </c>
      <c r="C364" s="345" t="s">
        <v>384</v>
      </c>
      <c r="D364" s="304" t="s">
        <v>701</v>
      </c>
      <c r="E364" s="377" t="s">
        <v>503</v>
      </c>
      <c r="F364" s="580"/>
      <c r="G364" s="368">
        <v>1</v>
      </c>
      <c r="H364" s="363"/>
      <c r="I364" s="580"/>
      <c r="J364" s="365"/>
      <c r="K364" s="580"/>
      <c r="L364" s="366"/>
    </row>
    <row r="365" spans="1:12" ht="33" customHeight="1" x14ac:dyDescent="0.45">
      <c r="A365" s="344" t="s">
        <v>376</v>
      </c>
      <c r="B365" s="345">
        <v>0.27083333333333331</v>
      </c>
      <c r="C365" s="345" t="s">
        <v>384</v>
      </c>
      <c r="D365" s="304" t="s">
        <v>701</v>
      </c>
      <c r="E365" s="377" t="s">
        <v>504</v>
      </c>
      <c r="F365" s="367"/>
      <c r="G365" s="368">
        <v>1</v>
      </c>
      <c r="H365" s="368"/>
      <c r="I365" s="370"/>
      <c r="J365" s="370"/>
      <c r="K365" s="367"/>
      <c r="L365" s="370"/>
    </row>
    <row r="366" spans="1:12" ht="33" customHeight="1" x14ac:dyDescent="0.45">
      <c r="A366" s="344" t="s">
        <v>376</v>
      </c>
      <c r="B366" s="345">
        <v>0.2951388888888889</v>
      </c>
      <c r="C366" s="345" t="s">
        <v>384</v>
      </c>
      <c r="D366" s="304" t="s">
        <v>701</v>
      </c>
      <c r="E366" s="377" t="s">
        <v>688</v>
      </c>
      <c r="F366" s="367"/>
      <c r="G366" s="368">
        <v>1</v>
      </c>
      <c r="H366" s="368"/>
      <c r="I366" s="370"/>
      <c r="J366" s="370"/>
      <c r="K366" s="367"/>
      <c r="L366" s="370"/>
    </row>
    <row r="367" spans="1:12" ht="33" customHeight="1" x14ac:dyDescent="0.45">
      <c r="A367" s="344" t="s">
        <v>501</v>
      </c>
      <c r="B367" s="303">
        <v>0.58333333333333337</v>
      </c>
      <c r="C367" s="303" t="s">
        <v>384</v>
      </c>
      <c r="D367" s="304" t="s">
        <v>701</v>
      </c>
      <c r="E367" s="377" t="s">
        <v>504</v>
      </c>
      <c r="F367" s="367"/>
      <c r="G367" s="368">
        <v>1</v>
      </c>
      <c r="H367" s="368"/>
      <c r="I367" s="370"/>
      <c r="J367" s="370"/>
      <c r="K367" s="367"/>
      <c r="L367" s="370"/>
    </row>
    <row r="368" spans="1:12" ht="33" customHeight="1" x14ac:dyDescent="0.45">
      <c r="A368" s="344" t="s">
        <v>376</v>
      </c>
      <c r="B368" s="303">
        <v>0.61805555555555558</v>
      </c>
      <c r="C368" s="303" t="s">
        <v>384</v>
      </c>
      <c r="D368" s="304" t="s">
        <v>701</v>
      </c>
      <c r="E368" s="377" t="s">
        <v>503</v>
      </c>
      <c r="F368" s="367"/>
      <c r="G368" s="368">
        <v>1</v>
      </c>
      <c r="H368" s="368"/>
      <c r="I368" s="370"/>
      <c r="J368" s="370"/>
      <c r="K368" s="367"/>
      <c r="L368" s="370"/>
    </row>
    <row r="369" spans="1:12" ht="33" customHeight="1" x14ac:dyDescent="0.45">
      <c r="A369" s="344" t="s">
        <v>376</v>
      </c>
      <c r="B369" s="303">
        <v>0.76041666666666663</v>
      </c>
      <c r="C369" s="303" t="s">
        <v>384</v>
      </c>
      <c r="D369" s="304" t="s">
        <v>701</v>
      </c>
      <c r="E369" s="377" t="s">
        <v>504</v>
      </c>
      <c r="F369" s="367"/>
      <c r="G369" s="368"/>
      <c r="H369" s="368"/>
      <c r="I369" s="370"/>
      <c r="J369" s="370"/>
      <c r="K369" s="367"/>
      <c r="L369" s="370"/>
    </row>
    <row r="370" spans="1:12" ht="33" customHeight="1" x14ac:dyDescent="0.45">
      <c r="A370" s="344" t="s">
        <v>501</v>
      </c>
      <c r="B370" s="303">
        <v>0.78125</v>
      </c>
      <c r="C370" s="303" t="s">
        <v>384</v>
      </c>
      <c r="D370" s="304" t="s">
        <v>701</v>
      </c>
      <c r="E370" s="377" t="s">
        <v>504</v>
      </c>
      <c r="F370" s="367"/>
      <c r="G370" s="368"/>
      <c r="H370" s="368"/>
      <c r="I370" s="370"/>
      <c r="J370" s="370"/>
      <c r="K370" s="367"/>
      <c r="L370" s="370"/>
    </row>
    <row r="371" spans="1:12" ht="33" customHeight="1" x14ac:dyDescent="0.45">
      <c r="A371" s="344" t="s">
        <v>376</v>
      </c>
      <c r="B371" s="303">
        <v>0.80208333333333337</v>
      </c>
      <c r="C371" s="303" t="s">
        <v>384</v>
      </c>
      <c r="D371" s="304" t="s">
        <v>701</v>
      </c>
      <c r="E371" s="377" t="s">
        <v>503</v>
      </c>
      <c r="F371" s="367"/>
      <c r="G371" s="368"/>
      <c r="H371" s="368"/>
      <c r="I371" s="370"/>
      <c r="J371" s="370"/>
      <c r="K371" s="367"/>
      <c r="L371" s="370"/>
    </row>
    <row r="372" spans="1:12" ht="33" customHeight="1" x14ac:dyDescent="0.45">
      <c r="A372" s="344" t="s">
        <v>376</v>
      </c>
      <c r="B372" s="303">
        <v>0.82291666666666663</v>
      </c>
      <c r="C372" s="303" t="s">
        <v>384</v>
      </c>
      <c r="D372" s="304" t="s">
        <v>701</v>
      </c>
      <c r="E372" s="377" t="s">
        <v>503</v>
      </c>
      <c r="F372" s="367"/>
      <c r="G372" s="368"/>
      <c r="H372" s="368"/>
      <c r="I372" s="370"/>
      <c r="J372" s="370"/>
      <c r="K372" s="367"/>
      <c r="L372" s="370"/>
    </row>
    <row r="373" spans="1:12" ht="33" customHeight="1" x14ac:dyDescent="0.45">
      <c r="A373" s="315" t="s">
        <v>336</v>
      </c>
      <c r="B373" s="303"/>
      <c r="C373" s="303" t="s">
        <v>660</v>
      </c>
      <c r="D373" s="304"/>
      <c r="E373" s="304"/>
      <c r="F373" s="305"/>
      <c r="G373" s="306"/>
      <c r="H373" s="306"/>
      <c r="I373" s="306"/>
      <c r="J373" s="297"/>
      <c r="K373" s="305"/>
      <c r="L373" s="297"/>
    </row>
    <row r="374" spans="1:12" ht="33" customHeight="1" x14ac:dyDescent="0.45">
      <c r="A374" s="315" t="s">
        <v>336</v>
      </c>
      <c r="B374" s="303"/>
      <c r="C374" s="303" t="s">
        <v>660</v>
      </c>
      <c r="D374" s="304"/>
      <c r="E374" s="304"/>
      <c r="F374" s="305"/>
      <c r="G374" s="306"/>
      <c r="H374" s="306"/>
      <c r="I374" s="306"/>
      <c r="J374" s="297"/>
      <c r="K374" s="305"/>
      <c r="L374" s="297"/>
    </row>
    <row r="375" spans="1:12" ht="33" customHeight="1" x14ac:dyDescent="0.45">
      <c r="A375" s="315" t="s">
        <v>336</v>
      </c>
      <c r="B375" s="303"/>
      <c r="C375" s="303" t="s">
        <v>660</v>
      </c>
      <c r="D375" s="304"/>
      <c r="E375" s="304"/>
      <c r="F375" s="305"/>
      <c r="G375" s="306"/>
      <c r="H375" s="306"/>
      <c r="I375" s="306"/>
      <c r="J375" s="297"/>
      <c r="K375" s="305"/>
      <c r="L375" s="297"/>
    </row>
    <row r="376" spans="1:12" ht="21" x14ac:dyDescent="0.45">
      <c r="A376" s="315" t="s">
        <v>336</v>
      </c>
      <c r="B376" s="303"/>
      <c r="C376" s="303" t="s">
        <v>660</v>
      </c>
      <c r="D376" s="304"/>
      <c r="E376" s="304"/>
      <c r="F376" s="305"/>
      <c r="G376" s="306"/>
      <c r="H376" s="306"/>
      <c r="I376" s="306"/>
      <c r="J376" s="297"/>
      <c r="K376" s="305"/>
      <c r="L376" s="297"/>
    </row>
    <row r="377" spans="1:12" ht="21" x14ac:dyDescent="0.45">
      <c r="A377" s="315" t="s">
        <v>336</v>
      </c>
      <c r="B377" s="303"/>
      <c r="C377" s="303" t="s">
        <v>660</v>
      </c>
      <c r="D377" s="304"/>
      <c r="E377" s="304"/>
      <c r="F377" s="305"/>
      <c r="G377" s="306"/>
      <c r="H377" s="306"/>
      <c r="I377" s="306"/>
      <c r="J377" s="297"/>
      <c r="K377" s="305"/>
      <c r="L377" s="297"/>
    </row>
    <row r="378" spans="1:12" x14ac:dyDescent="0.45">
      <c r="C378" s="190" t="s">
        <v>691</v>
      </c>
      <c r="F378" s="137" t="s">
        <v>15</v>
      </c>
    </row>
    <row r="381" spans="1:12" ht="23.25" x14ac:dyDescent="0.45">
      <c r="A381" s="137" t="s">
        <v>18</v>
      </c>
      <c r="B381" s="260" t="s">
        <v>384</v>
      </c>
      <c r="C381" s="241"/>
      <c r="D381" s="241"/>
      <c r="E381" s="241"/>
    </row>
    <row r="382" spans="1:12" ht="21" x14ac:dyDescent="0.45">
      <c r="A382" s="137" t="s">
        <v>13</v>
      </c>
      <c r="B382" s="320" t="s">
        <v>701</v>
      </c>
      <c r="C382" s="254"/>
      <c r="D382" s="254"/>
      <c r="E382" s="598"/>
      <c r="J382" s="600"/>
      <c r="L382" s="600">
        <f>L359+1</f>
        <v>46162</v>
      </c>
    </row>
    <row r="384" spans="1:12" x14ac:dyDescent="0.45">
      <c r="A384" s="141"/>
      <c r="B384" s="142"/>
      <c r="C384" s="142"/>
      <c r="D384" s="142"/>
      <c r="E384" s="142"/>
      <c r="F384" s="142"/>
      <c r="G384" s="142"/>
      <c r="H384" s="142"/>
      <c r="I384" s="142"/>
      <c r="J384" s="319"/>
      <c r="K384" s="319" t="s">
        <v>337</v>
      </c>
      <c r="L384" s="294"/>
    </row>
    <row r="385" spans="1:12" ht="63" x14ac:dyDescent="0.45">
      <c r="A385" s="297" t="s">
        <v>534</v>
      </c>
      <c r="B385" s="298" t="s">
        <v>0</v>
      </c>
      <c r="C385" s="298" t="s">
        <v>332</v>
      </c>
      <c r="D385" s="298" t="s">
        <v>333</v>
      </c>
      <c r="E385" s="298" t="s">
        <v>535</v>
      </c>
      <c r="F385" s="298" t="s">
        <v>1</v>
      </c>
      <c r="G385" s="298" t="s">
        <v>334</v>
      </c>
      <c r="H385" s="298" t="s">
        <v>335</v>
      </c>
      <c r="I385" s="298" t="s">
        <v>23</v>
      </c>
      <c r="J385" s="300" t="s">
        <v>22</v>
      </c>
      <c r="K385" s="298" t="s">
        <v>17</v>
      </c>
      <c r="L385" s="301" t="s">
        <v>12</v>
      </c>
    </row>
    <row r="386" spans="1:12" ht="33" customHeight="1" x14ac:dyDescent="0.45">
      <c r="A386" s="344" t="s">
        <v>501</v>
      </c>
      <c r="B386" s="345">
        <v>0.25</v>
      </c>
      <c r="C386" s="345" t="s">
        <v>384</v>
      </c>
      <c r="D386" s="304" t="s">
        <v>701</v>
      </c>
      <c r="E386" s="377" t="s">
        <v>503</v>
      </c>
      <c r="F386" s="580"/>
      <c r="G386" s="368">
        <v>1</v>
      </c>
      <c r="H386" s="363"/>
      <c r="I386" s="580"/>
      <c r="J386" s="365"/>
      <c r="K386" s="580"/>
      <c r="L386" s="366"/>
    </row>
    <row r="387" spans="1:12" ht="33" customHeight="1" x14ac:dyDescent="0.45">
      <c r="A387" s="344" t="s">
        <v>376</v>
      </c>
      <c r="B387" s="345">
        <v>0.27083333333333331</v>
      </c>
      <c r="C387" s="345" t="s">
        <v>384</v>
      </c>
      <c r="D387" s="304" t="s">
        <v>701</v>
      </c>
      <c r="E387" s="377" t="s">
        <v>504</v>
      </c>
      <c r="F387" s="367"/>
      <c r="G387" s="368">
        <v>1</v>
      </c>
      <c r="H387" s="368"/>
      <c r="I387" s="370"/>
      <c r="J387" s="370"/>
      <c r="K387" s="367"/>
      <c r="L387" s="370"/>
    </row>
    <row r="388" spans="1:12" ht="33" customHeight="1" x14ac:dyDescent="0.45">
      <c r="A388" s="344" t="s">
        <v>376</v>
      </c>
      <c r="B388" s="345">
        <v>0.2951388888888889</v>
      </c>
      <c r="C388" s="345" t="s">
        <v>384</v>
      </c>
      <c r="D388" s="304" t="s">
        <v>701</v>
      </c>
      <c r="E388" s="377" t="s">
        <v>688</v>
      </c>
      <c r="F388" s="367"/>
      <c r="G388" s="368">
        <v>1</v>
      </c>
      <c r="H388" s="368"/>
      <c r="I388" s="370"/>
      <c r="J388" s="370"/>
      <c r="K388" s="367"/>
      <c r="L388" s="370"/>
    </row>
    <row r="389" spans="1:12" ht="33" customHeight="1" x14ac:dyDescent="0.45">
      <c r="A389" s="344" t="s">
        <v>501</v>
      </c>
      <c r="B389" s="303">
        <v>0.58333333333333337</v>
      </c>
      <c r="C389" s="303" t="s">
        <v>384</v>
      </c>
      <c r="D389" s="304" t="s">
        <v>701</v>
      </c>
      <c r="E389" s="377" t="s">
        <v>504</v>
      </c>
      <c r="F389" s="367"/>
      <c r="G389" s="368">
        <v>1</v>
      </c>
      <c r="H389" s="368"/>
      <c r="I389" s="370"/>
      <c r="J389" s="370"/>
      <c r="K389" s="367"/>
      <c r="L389" s="370"/>
    </row>
    <row r="390" spans="1:12" ht="33" customHeight="1" x14ac:dyDescent="0.45">
      <c r="A390" s="344" t="s">
        <v>376</v>
      </c>
      <c r="B390" s="303">
        <v>0.61805555555555558</v>
      </c>
      <c r="C390" s="303" t="s">
        <v>384</v>
      </c>
      <c r="D390" s="304" t="s">
        <v>701</v>
      </c>
      <c r="E390" s="377" t="s">
        <v>503</v>
      </c>
      <c r="F390" s="367"/>
      <c r="G390" s="368">
        <v>1</v>
      </c>
      <c r="H390" s="368"/>
      <c r="I390" s="370"/>
      <c r="J390" s="370"/>
      <c r="K390" s="367"/>
      <c r="L390" s="370"/>
    </row>
    <row r="391" spans="1:12" ht="33" customHeight="1" x14ac:dyDescent="0.45">
      <c r="A391" s="344" t="s">
        <v>376</v>
      </c>
      <c r="B391" s="303">
        <v>0.76041666666666663</v>
      </c>
      <c r="C391" s="303" t="s">
        <v>384</v>
      </c>
      <c r="D391" s="304" t="s">
        <v>701</v>
      </c>
      <c r="E391" s="377" t="s">
        <v>504</v>
      </c>
      <c r="F391" s="367"/>
      <c r="G391" s="368"/>
      <c r="H391" s="368"/>
      <c r="I391" s="370"/>
      <c r="J391" s="370"/>
      <c r="K391" s="367"/>
      <c r="L391" s="370"/>
    </row>
    <row r="392" spans="1:12" ht="33" customHeight="1" x14ac:dyDescent="0.45">
      <c r="A392" s="344" t="s">
        <v>501</v>
      </c>
      <c r="B392" s="303">
        <v>0.78125</v>
      </c>
      <c r="C392" s="303" t="s">
        <v>384</v>
      </c>
      <c r="D392" s="304" t="s">
        <v>701</v>
      </c>
      <c r="E392" s="377" t="s">
        <v>504</v>
      </c>
      <c r="F392" s="367"/>
      <c r="G392" s="368"/>
      <c r="H392" s="368"/>
      <c r="I392" s="370"/>
      <c r="J392" s="370"/>
      <c r="K392" s="367"/>
      <c r="L392" s="370"/>
    </row>
    <row r="393" spans="1:12" ht="33" customHeight="1" x14ac:dyDescent="0.45">
      <c r="A393" s="344" t="s">
        <v>376</v>
      </c>
      <c r="B393" s="303">
        <v>0.80208333333333337</v>
      </c>
      <c r="C393" s="303" t="s">
        <v>384</v>
      </c>
      <c r="D393" s="304" t="s">
        <v>701</v>
      </c>
      <c r="E393" s="377" t="s">
        <v>503</v>
      </c>
      <c r="F393" s="367"/>
      <c r="G393" s="368"/>
      <c r="H393" s="368"/>
      <c r="I393" s="370"/>
      <c r="J393" s="370"/>
      <c r="K393" s="367"/>
      <c r="L393" s="370"/>
    </row>
    <row r="394" spans="1:12" ht="33" customHeight="1" x14ac:dyDescent="0.45">
      <c r="A394" s="344" t="s">
        <v>376</v>
      </c>
      <c r="B394" s="303">
        <v>0.82291666666666663</v>
      </c>
      <c r="C394" s="303" t="s">
        <v>384</v>
      </c>
      <c r="D394" s="304" t="s">
        <v>701</v>
      </c>
      <c r="E394" s="377" t="s">
        <v>503</v>
      </c>
      <c r="F394" s="367"/>
      <c r="G394" s="368"/>
      <c r="H394" s="368"/>
      <c r="I394" s="370"/>
      <c r="J394" s="370"/>
      <c r="K394" s="367"/>
      <c r="L394" s="370"/>
    </row>
    <row r="395" spans="1:12" ht="33" customHeight="1" x14ac:dyDescent="0.45">
      <c r="A395" s="315" t="s">
        <v>336</v>
      </c>
      <c r="B395" s="303"/>
      <c r="C395" s="303" t="s">
        <v>660</v>
      </c>
      <c r="D395" s="304"/>
      <c r="E395" s="304"/>
      <c r="F395" s="305"/>
      <c r="G395" s="306"/>
      <c r="H395" s="306"/>
      <c r="I395" s="306"/>
      <c r="J395" s="297"/>
      <c r="K395" s="305"/>
      <c r="L395" s="297"/>
    </row>
    <row r="396" spans="1:12" ht="33" customHeight="1" x14ac:dyDescent="0.45">
      <c r="A396" s="315" t="s">
        <v>336</v>
      </c>
      <c r="B396" s="303"/>
      <c r="C396" s="303" t="s">
        <v>660</v>
      </c>
      <c r="D396" s="304"/>
      <c r="E396" s="304"/>
      <c r="F396" s="305"/>
      <c r="G396" s="306"/>
      <c r="H396" s="306"/>
      <c r="I396" s="306"/>
      <c r="J396" s="297"/>
      <c r="K396" s="305"/>
      <c r="L396" s="297"/>
    </row>
    <row r="397" spans="1:12" ht="33" customHeight="1" x14ac:dyDescent="0.45">
      <c r="A397" s="315" t="s">
        <v>336</v>
      </c>
      <c r="B397" s="303"/>
      <c r="C397" s="303" t="s">
        <v>660</v>
      </c>
      <c r="D397" s="304"/>
      <c r="E397" s="304"/>
      <c r="F397" s="305"/>
      <c r="G397" s="306"/>
      <c r="H397" s="306"/>
      <c r="I397" s="306"/>
      <c r="J397" s="297"/>
      <c r="K397" s="305"/>
      <c r="L397" s="297"/>
    </row>
    <row r="398" spans="1:12" ht="33" customHeight="1" x14ac:dyDescent="0.45">
      <c r="A398" s="315" t="s">
        <v>336</v>
      </c>
      <c r="B398" s="303"/>
      <c r="C398" s="303" t="s">
        <v>660</v>
      </c>
      <c r="D398" s="304"/>
      <c r="E398" s="304"/>
      <c r="F398" s="305"/>
      <c r="G398" s="306"/>
      <c r="H398" s="306"/>
      <c r="I398" s="306"/>
      <c r="J398" s="297"/>
      <c r="K398" s="305"/>
      <c r="L398" s="297"/>
    </row>
    <row r="399" spans="1:12" ht="33" customHeight="1" x14ac:dyDescent="0.45">
      <c r="A399" s="315" t="s">
        <v>336</v>
      </c>
      <c r="B399" s="303"/>
      <c r="C399" s="303" t="s">
        <v>660</v>
      </c>
      <c r="D399" s="304"/>
      <c r="E399" s="304"/>
      <c r="F399" s="305"/>
      <c r="G399" s="306"/>
      <c r="H399" s="306"/>
      <c r="I399" s="306"/>
      <c r="J399" s="297"/>
      <c r="K399" s="305"/>
      <c r="L399" s="297"/>
    </row>
    <row r="400" spans="1:12" ht="33" customHeight="1" x14ac:dyDescent="0.45">
      <c r="C400" s="190" t="s">
        <v>691</v>
      </c>
      <c r="F400" s="137" t="s">
        <v>15</v>
      </c>
    </row>
    <row r="402" spans="1:12" ht="23.25" x14ac:dyDescent="0.45">
      <c r="A402" s="137" t="s">
        <v>18</v>
      </c>
      <c r="B402" s="260" t="s">
        <v>384</v>
      </c>
      <c r="C402" s="241"/>
      <c r="D402" s="241"/>
      <c r="E402" s="241"/>
    </row>
    <row r="403" spans="1:12" ht="21" x14ac:dyDescent="0.45">
      <c r="A403" s="137" t="s">
        <v>13</v>
      </c>
      <c r="B403" s="320" t="s">
        <v>701</v>
      </c>
      <c r="C403" s="254"/>
      <c r="D403" s="254"/>
      <c r="E403" s="598"/>
      <c r="J403" s="600"/>
      <c r="L403" s="600">
        <f>L382+1</f>
        <v>46163</v>
      </c>
    </row>
    <row r="405" spans="1:12" x14ac:dyDescent="0.45">
      <c r="A405" s="141"/>
      <c r="B405" s="142"/>
      <c r="C405" s="142"/>
      <c r="D405" s="142"/>
      <c r="E405" s="142"/>
      <c r="F405" s="142"/>
      <c r="G405" s="142"/>
      <c r="H405" s="142"/>
      <c r="I405" s="142"/>
      <c r="J405" s="319"/>
      <c r="K405" s="319" t="s">
        <v>337</v>
      </c>
      <c r="L405" s="294"/>
    </row>
    <row r="406" spans="1:12" ht="63" x14ac:dyDescent="0.45">
      <c r="A406" s="297" t="s">
        <v>534</v>
      </c>
      <c r="B406" s="298" t="s">
        <v>0</v>
      </c>
      <c r="C406" s="298" t="s">
        <v>332</v>
      </c>
      <c r="D406" s="298" t="s">
        <v>333</v>
      </c>
      <c r="E406" s="298" t="s">
        <v>535</v>
      </c>
      <c r="F406" s="298" t="s">
        <v>1</v>
      </c>
      <c r="G406" s="298" t="s">
        <v>334</v>
      </c>
      <c r="H406" s="298" t="s">
        <v>335</v>
      </c>
      <c r="I406" s="298" t="s">
        <v>23</v>
      </c>
      <c r="J406" s="300" t="s">
        <v>22</v>
      </c>
      <c r="K406" s="298" t="s">
        <v>17</v>
      </c>
      <c r="L406" s="301" t="s">
        <v>12</v>
      </c>
    </row>
    <row r="407" spans="1:12" ht="31.9" customHeight="1" x14ac:dyDescent="0.45">
      <c r="A407" s="344" t="s">
        <v>501</v>
      </c>
      <c r="B407" s="345">
        <v>0.25</v>
      </c>
      <c r="C407" s="345" t="s">
        <v>384</v>
      </c>
      <c r="D407" s="304" t="s">
        <v>701</v>
      </c>
      <c r="E407" s="377" t="s">
        <v>503</v>
      </c>
      <c r="F407" s="580"/>
      <c r="G407" s="368">
        <v>1</v>
      </c>
      <c r="H407" s="363"/>
      <c r="I407" s="580"/>
      <c r="J407" s="365"/>
      <c r="K407" s="580"/>
      <c r="L407" s="366"/>
    </row>
    <row r="408" spans="1:12" ht="31.9" customHeight="1" x14ac:dyDescent="0.45">
      <c r="A408" s="344" t="s">
        <v>376</v>
      </c>
      <c r="B408" s="345">
        <v>0.27083333333333331</v>
      </c>
      <c r="C408" s="345" t="s">
        <v>384</v>
      </c>
      <c r="D408" s="304" t="s">
        <v>701</v>
      </c>
      <c r="E408" s="377" t="s">
        <v>504</v>
      </c>
      <c r="F408" s="367"/>
      <c r="G408" s="368">
        <v>1</v>
      </c>
      <c r="H408" s="368"/>
      <c r="I408" s="370"/>
      <c r="J408" s="370"/>
      <c r="K408" s="367"/>
      <c r="L408" s="370"/>
    </row>
    <row r="409" spans="1:12" ht="31.9" customHeight="1" x14ac:dyDescent="0.45">
      <c r="A409" s="344" t="s">
        <v>376</v>
      </c>
      <c r="B409" s="345">
        <v>0.2951388888888889</v>
      </c>
      <c r="C409" s="345" t="s">
        <v>384</v>
      </c>
      <c r="D409" s="304" t="s">
        <v>701</v>
      </c>
      <c r="E409" s="377" t="s">
        <v>688</v>
      </c>
      <c r="F409" s="367"/>
      <c r="G409" s="368">
        <v>1</v>
      </c>
      <c r="H409" s="368"/>
      <c r="I409" s="370"/>
      <c r="J409" s="370"/>
      <c r="K409" s="367"/>
      <c r="L409" s="370"/>
    </row>
    <row r="410" spans="1:12" ht="31.9" customHeight="1" x14ac:dyDescent="0.45">
      <c r="A410" s="344" t="s">
        <v>501</v>
      </c>
      <c r="B410" s="303">
        <v>0.58333333333333337</v>
      </c>
      <c r="C410" s="303" t="s">
        <v>384</v>
      </c>
      <c r="D410" s="304" t="s">
        <v>701</v>
      </c>
      <c r="E410" s="377" t="s">
        <v>504</v>
      </c>
      <c r="F410" s="367"/>
      <c r="G410" s="368">
        <v>1</v>
      </c>
      <c r="H410" s="368"/>
      <c r="I410" s="370"/>
      <c r="J410" s="370"/>
      <c r="K410" s="367"/>
      <c r="L410" s="370"/>
    </row>
    <row r="411" spans="1:12" ht="31.9" customHeight="1" x14ac:dyDescent="0.45">
      <c r="A411" s="344" t="s">
        <v>376</v>
      </c>
      <c r="B411" s="303">
        <v>0.61805555555555558</v>
      </c>
      <c r="C411" s="303" t="s">
        <v>384</v>
      </c>
      <c r="D411" s="304" t="s">
        <v>701</v>
      </c>
      <c r="E411" s="377" t="s">
        <v>503</v>
      </c>
      <c r="F411" s="367"/>
      <c r="G411" s="368">
        <v>1</v>
      </c>
      <c r="H411" s="368"/>
      <c r="I411" s="370"/>
      <c r="J411" s="370"/>
      <c r="K411" s="367"/>
      <c r="L411" s="370"/>
    </row>
    <row r="412" spans="1:12" ht="31.9" customHeight="1" x14ac:dyDescent="0.45">
      <c r="A412" s="344" t="s">
        <v>376</v>
      </c>
      <c r="B412" s="303">
        <v>0.76041666666666663</v>
      </c>
      <c r="C412" s="303" t="s">
        <v>384</v>
      </c>
      <c r="D412" s="304" t="s">
        <v>701</v>
      </c>
      <c r="E412" s="377" t="s">
        <v>504</v>
      </c>
      <c r="F412" s="367"/>
      <c r="G412" s="368"/>
      <c r="H412" s="368"/>
      <c r="I412" s="370"/>
      <c r="J412" s="370"/>
      <c r="K412" s="367"/>
      <c r="L412" s="370"/>
    </row>
    <row r="413" spans="1:12" ht="31.9" customHeight="1" x14ac:dyDescent="0.45">
      <c r="A413" s="344" t="s">
        <v>501</v>
      </c>
      <c r="B413" s="303">
        <v>0.78125</v>
      </c>
      <c r="C413" s="303" t="s">
        <v>384</v>
      </c>
      <c r="D413" s="304" t="s">
        <v>701</v>
      </c>
      <c r="E413" s="377" t="s">
        <v>504</v>
      </c>
      <c r="F413" s="367"/>
      <c r="G413" s="368"/>
      <c r="H413" s="368"/>
      <c r="I413" s="370"/>
      <c r="J413" s="370"/>
      <c r="K413" s="367"/>
      <c r="L413" s="370"/>
    </row>
    <row r="414" spans="1:12" ht="31.9" customHeight="1" x14ac:dyDescent="0.45">
      <c r="A414" s="344" t="s">
        <v>376</v>
      </c>
      <c r="B414" s="303">
        <v>0.80208333333333337</v>
      </c>
      <c r="C414" s="303" t="s">
        <v>384</v>
      </c>
      <c r="D414" s="304" t="s">
        <v>701</v>
      </c>
      <c r="E414" s="377" t="s">
        <v>503</v>
      </c>
      <c r="F414" s="367"/>
      <c r="G414" s="368"/>
      <c r="H414" s="368"/>
      <c r="I414" s="370"/>
      <c r="J414" s="370"/>
      <c r="K414" s="367"/>
      <c r="L414" s="370"/>
    </row>
    <row r="415" spans="1:12" ht="31.9" customHeight="1" x14ac:dyDescent="0.45">
      <c r="A415" s="344" t="s">
        <v>376</v>
      </c>
      <c r="B415" s="303">
        <v>0.82291666666666663</v>
      </c>
      <c r="C415" s="303" t="s">
        <v>384</v>
      </c>
      <c r="D415" s="304" t="s">
        <v>701</v>
      </c>
      <c r="E415" s="377" t="s">
        <v>503</v>
      </c>
      <c r="F415" s="367"/>
      <c r="G415" s="368"/>
      <c r="H415" s="368"/>
      <c r="I415" s="370"/>
      <c r="J415" s="370"/>
      <c r="K415" s="367"/>
      <c r="L415" s="370"/>
    </row>
    <row r="416" spans="1:12" ht="31.9" customHeight="1" x14ac:dyDescent="0.45">
      <c r="A416" s="315" t="s">
        <v>336</v>
      </c>
      <c r="B416" s="303"/>
      <c r="C416" s="303" t="s">
        <v>660</v>
      </c>
      <c r="D416" s="304"/>
      <c r="E416" s="304"/>
      <c r="F416" s="305"/>
      <c r="G416" s="306"/>
      <c r="H416" s="306"/>
      <c r="I416" s="306"/>
      <c r="J416" s="297"/>
      <c r="K416" s="305"/>
      <c r="L416" s="297"/>
    </row>
    <row r="417" spans="1:12" ht="31.9" customHeight="1" x14ac:dyDescent="0.45">
      <c r="A417" s="315" t="s">
        <v>336</v>
      </c>
      <c r="B417" s="303"/>
      <c r="C417" s="303" t="s">
        <v>660</v>
      </c>
      <c r="D417" s="304"/>
      <c r="E417" s="304"/>
      <c r="F417" s="305"/>
      <c r="G417" s="306"/>
      <c r="H417" s="306"/>
      <c r="I417" s="306"/>
      <c r="J417" s="297"/>
      <c r="K417" s="305"/>
      <c r="L417" s="297"/>
    </row>
    <row r="418" spans="1:12" ht="31.9" customHeight="1" x14ac:dyDescent="0.45">
      <c r="A418" s="315" t="s">
        <v>336</v>
      </c>
      <c r="B418" s="303"/>
      <c r="C418" s="303" t="s">
        <v>660</v>
      </c>
      <c r="D418" s="304"/>
      <c r="E418" s="304"/>
      <c r="F418" s="305"/>
      <c r="G418" s="306"/>
      <c r="H418" s="306"/>
      <c r="I418" s="306"/>
      <c r="J418" s="297"/>
      <c r="K418" s="305"/>
      <c r="L418" s="297"/>
    </row>
    <row r="419" spans="1:12" ht="31.9" customHeight="1" x14ac:dyDescent="0.45">
      <c r="A419" s="315" t="s">
        <v>336</v>
      </c>
      <c r="B419" s="303"/>
      <c r="C419" s="303" t="s">
        <v>660</v>
      </c>
      <c r="D419" s="304"/>
      <c r="E419" s="304"/>
      <c r="F419" s="305"/>
      <c r="G419" s="306"/>
      <c r="H419" s="306"/>
      <c r="I419" s="306"/>
      <c r="J419" s="297"/>
      <c r="K419" s="305"/>
      <c r="L419" s="297"/>
    </row>
    <row r="420" spans="1:12" ht="31.9" customHeight="1" x14ac:dyDescent="0.45">
      <c r="A420" s="315" t="s">
        <v>336</v>
      </c>
      <c r="B420" s="303"/>
      <c r="C420" s="303" t="s">
        <v>660</v>
      </c>
      <c r="D420" s="304"/>
      <c r="E420" s="304"/>
      <c r="F420" s="305"/>
      <c r="G420" s="306"/>
      <c r="H420" s="306"/>
      <c r="I420" s="306"/>
      <c r="J420" s="297"/>
      <c r="K420" s="305"/>
      <c r="L420" s="297"/>
    </row>
    <row r="421" spans="1:12" ht="31.9" customHeight="1" x14ac:dyDescent="0.45">
      <c r="C421" s="190" t="s">
        <v>691</v>
      </c>
      <c r="F421" s="137" t="s">
        <v>15</v>
      </c>
    </row>
    <row r="423" spans="1:12" ht="23.25" x14ac:dyDescent="0.45">
      <c r="A423" s="137" t="s">
        <v>18</v>
      </c>
      <c r="B423" s="260" t="s">
        <v>384</v>
      </c>
      <c r="C423" s="241"/>
      <c r="D423" s="241"/>
      <c r="E423" s="241"/>
    </row>
    <row r="424" spans="1:12" ht="21" x14ac:dyDescent="0.45">
      <c r="A424" s="137" t="s">
        <v>13</v>
      </c>
      <c r="B424" s="320" t="s">
        <v>701</v>
      </c>
      <c r="C424" s="254"/>
      <c r="D424" s="254"/>
      <c r="E424" s="598"/>
      <c r="J424" s="600"/>
      <c r="L424" s="600">
        <f>L403+1</f>
        <v>46164</v>
      </c>
    </row>
    <row r="426" spans="1:12" x14ac:dyDescent="0.45">
      <c r="A426" s="141"/>
      <c r="B426" s="142"/>
      <c r="C426" s="142"/>
      <c r="D426" s="142"/>
      <c r="E426" s="142"/>
      <c r="F426" s="142"/>
      <c r="G426" s="142"/>
      <c r="H426" s="142"/>
      <c r="I426" s="142"/>
      <c r="J426" s="319"/>
      <c r="K426" s="319" t="s">
        <v>337</v>
      </c>
      <c r="L426" s="294"/>
    </row>
    <row r="427" spans="1:12" ht="63" x14ac:dyDescent="0.45">
      <c r="A427" s="297" t="s">
        <v>534</v>
      </c>
      <c r="B427" s="298" t="s">
        <v>0</v>
      </c>
      <c r="C427" s="298" t="s">
        <v>332</v>
      </c>
      <c r="D427" s="298" t="s">
        <v>333</v>
      </c>
      <c r="E427" s="298" t="s">
        <v>535</v>
      </c>
      <c r="F427" s="298" t="s">
        <v>1</v>
      </c>
      <c r="G427" s="298" t="s">
        <v>334</v>
      </c>
      <c r="H427" s="298" t="s">
        <v>335</v>
      </c>
      <c r="I427" s="298" t="s">
        <v>23</v>
      </c>
      <c r="J427" s="300" t="s">
        <v>22</v>
      </c>
      <c r="K427" s="298" t="s">
        <v>17</v>
      </c>
      <c r="L427" s="301" t="s">
        <v>12</v>
      </c>
    </row>
    <row r="428" spans="1:12" ht="33" customHeight="1" x14ac:dyDescent="0.45">
      <c r="A428" s="344" t="s">
        <v>501</v>
      </c>
      <c r="B428" s="345">
        <v>0.25</v>
      </c>
      <c r="C428" s="345" t="s">
        <v>384</v>
      </c>
      <c r="D428" s="304" t="s">
        <v>701</v>
      </c>
      <c r="E428" s="377" t="s">
        <v>503</v>
      </c>
      <c r="F428" s="580"/>
      <c r="G428" s="368">
        <v>1</v>
      </c>
      <c r="H428" s="363"/>
      <c r="I428" s="580"/>
      <c r="J428" s="365"/>
      <c r="K428" s="580"/>
      <c r="L428" s="366"/>
    </row>
    <row r="429" spans="1:12" ht="33" customHeight="1" x14ac:dyDescent="0.45">
      <c r="A429" s="344" t="s">
        <v>376</v>
      </c>
      <c r="B429" s="345">
        <v>0.27083333333333331</v>
      </c>
      <c r="C429" s="345" t="s">
        <v>384</v>
      </c>
      <c r="D429" s="304" t="s">
        <v>701</v>
      </c>
      <c r="E429" s="377" t="s">
        <v>504</v>
      </c>
      <c r="F429" s="367"/>
      <c r="G429" s="368">
        <v>1</v>
      </c>
      <c r="H429" s="368"/>
      <c r="I429" s="370"/>
      <c r="J429" s="370"/>
      <c r="K429" s="367"/>
      <c r="L429" s="370"/>
    </row>
    <row r="430" spans="1:12" ht="33" customHeight="1" x14ac:dyDescent="0.45">
      <c r="A430" s="344" t="s">
        <v>376</v>
      </c>
      <c r="B430" s="345">
        <v>0.2951388888888889</v>
      </c>
      <c r="C430" s="345" t="s">
        <v>384</v>
      </c>
      <c r="D430" s="304" t="s">
        <v>701</v>
      </c>
      <c r="E430" s="377" t="s">
        <v>688</v>
      </c>
      <c r="F430" s="367"/>
      <c r="G430" s="368">
        <v>1</v>
      </c>
      <c r="H430" s="368"/>
      <c r="I430" s="370"/>
      <c r="J430" s="370"/>
      <c r="K430" s="367"/>
      <c r="L430" s="370"/>
    </row>
    <row r="431" spans="1:12" ht="33" customHeight="1" x14ac:dyDescent="0.45">
      <c r="A431" s="344" t="s">
        <v>501</v>
      </c>
      <c r="B431" s="303">
        <v>0.58333333333333337</v>
      </c>
      <c r="C431" s="303" t="s">
        <v>384</v>
      </c>
      <c r="D431" s="304" t="s">
        <v>701</v>
      </c>
      <c r="E431" s="377" t="s">
        <v>504</v>
      </c>
      <c r="F431" s="367"/>
      <c r="G431" s="368">
        <v>1</v>
      </c>
      <c r="H431" s="368"/>
      <c r="I431" s="370"/>
      <c r="J431" s="370"/>
      <c r="K431" s="367"/>
      <c r="L431" s="370"/>
    </row>
    <row r="432" spans="1:12" ht="33" customHeight="1" x14ac:dyDescent="0.45">
      <c r="A432" s="344" t="s">
        <v>376</v>
      </c>
      <c r="B432" s="303">
        <v>0.61805555555555558</v>
      </c>
      <c r="C432" s="303" t="s">
        <v>384</v>
      </c>
      <c r="D432" s="304" t="s">
        <v>701</v>
      </c>
      <c r="E432" s="377" t="s">
        <v>503</v>
      </c>
      <c r="F432" s="367"/>
      <c r="G432" s="368">
        <v>1</v>
      </c>
      <c r="H432" s="368"/>
      <c r="I432" s="370"/>
      <c r="J432" s="370"/>
      <c r="K432" s="367"/>
      <c r="L432" s="370"/>
    </row>
    <row r="433" spans="1:12" ht="33" customHeight="1" x14ac:dyDescent="0.45">
      <c r="A433" s="344" t="s">
        <v>376</v>
      </c>
      <c r="B433" s="303">
        <v>0.76041666666666663</v>
      </c>
      <c r="C433" s="303" t="s">
        <v>384</v>
      </c>
      <c r="D433" s="304" t="s">
        <v>701</v>
      </c>
      <c r="E433" s="377" t="s">
        <v>504</v>
      </c>
      <c r="F433" s="367"/>
      <c r="G433" s="368"/>
      <c r="H433" s="368"/>
      <c r="I433" s="370"/>
      <c r="J433" s="370"/>
      <c r="K433" s="367"/>
      <c r="L433" s="370"/>
    </row>
    <row r="434" spans="1:12" ht="33" customHeight="1" x14ac:dyDescent="0.45">
      <c r="A434" s="344" t="s">
        <v>501</v>
      </c>
      <c r="B434" s="303">
        <v>0.78125</v>
      </c>
      <c r="C434" s="303" t="s">
        <v>384</v>
      </c>
      <c r="D434" s="304" t="s">
        <v>701</v>
      </c>
      <c r="E434" s="377" t="s">
        <v>504</v>
      </c>
      <c r="F434" s="367"/>
      <c r="G434" s="368"/>
      <c r="H434" s="368"/>
      <c r="I434" s="370"/>
      <c r="J434" s="370"/>
      <c r="K434" s="367"/>
      <c r="L434" s="370"/>
    </row>
    <row r="435" spans="1:12" ht="33" customHeight="1" x14ac:dyDescent="0.45">
      <c r="A435" s="344" t="s">
        <v>376</v>
      </c>
      <c r="B435" s="303">
        <v>0.80208333333333337</v>
      </c>
      <c r="C435" s="303" t="s">
        <v>384</v>
      </c>
      <c r="D435" s="304" t="s">
        <v>701</v>
      </c>
      <c r="E435" s="377" t="s">
        <v>503</v>
      </c>
      <c r="F435" s="367"/>
      <c r="G435" s="368"/>
      <c r="H435" s="368"/>
      <c r="I435" s="370"/>
      <c r="J435" s="370"/>
      <c r="K435" s="367"/>
      <c r="L435" s="370"/>
    </row>
    <row r="436" spans="1:12" ht="33" customHeight="1" x14ac:dyDescent="0.45">
      <c r="A436" s="344" t="s">
        <v>376</v>
      </c>
      <c r="B436" s="303">
        <v>0.82291666666666663</v>
      </c>
      <c r="C436" s="303" t="s">
        <v>384</v>
      </c>
      <c r="D436" s="304" t="s">
        <v>701</v>
      </c>
      <c r="E436" s="377" t="s">
        <v>503</v>
      </c>
      <c r="F436" s="367"/>
      <c r="G436" s="368"/>
      <c r="H436" s="368"/>
      <c r="I436" s="370"/>
      <c r="J436" s="370"/>
      <c r="K436" s="367"/>
      <c r="L436" s="370"/>
    </row>
    <row r="437" spans="1:12" ht="33" customHeight="1" x14ac:dyDescent="0.45">
      <c r="A437" s="315" t="s">
        <v>336</v>
      </c>
      <c r="B437" s="303"/>
      <c r="C437" s="303" t="s">
        <v>660</v>
      </c>
      <c r="D437" s="304"/>
      <c r="E437" s="304"/>
      <c r="F437" s="305"/>
      <c r="G437" s="306"/>
      <c r="H437" s="306"/>
      <c r="I437" s="306"/>
      <c r="J437" s="297"/>
      <c r="K437" s="305"/>
      <c r="L437" s="297"/>
    </row>
    <row r="438" spans="1:12" ht="33" customHeight="1" x14ac:dyDescent="0.45">
      <c r="A438" s="315" t="s">
        <v>336</v>
      </c>
      <c r="B438" s="303"/>
      <c r="C438" s="303" t="s">
        <v>660</v>
      </c>
      <c r="D438" s="304"/>
      <c r="E438" s="304"/>
      <c r="F438" s="305"/>
      <c r="G438" s="306"/>
      <c r="H438" s="306"/>
      <c r="I438" s="306"/>
      <c r="J438" s="297"/>
      <c r="K438" s="305"/>
      <c r="L438" s="297"/>
    </row>
    <row r="439" spans="1:12" ht="33" customHeight="1" x14ac:dyDescent="0.45">
      <c r="A439" s="315" t="s">
        <v>336</v>
      </c>
      <c r="B439" s="303"/>
      <c r="C439" s="303" t="s">
        <v>660</v>
      </c>
      <c r="D439" s="304"/>
      <c r="E439" s="304"/>
      <c r="F439" s="305"/>
      <c r="G439" s="306"/>
      <c r="H439" s="306"/>
      <c r="I439" s="306"/>
      <c r="J439" s="297"/>
      <c r="K439" s="305"/>
      <c r="L439" s="297"/>
    </row>
    <row r="440" spans="1:12" ht="33" customHeight="1" x14ac:dyDescent="0.45">
      <c r="A440" s="315" t="s">
        <v>336</v>
      </c>
      <c r="B440" s="303"/>
      <c r="C440" s="303" t="s">
        <v>660</v>
      </c>
      <c r="D440" s="304"/>
      <c r="E440" s="304"/>
      <c r="F440" s="305"/>
      <c r="G440" s="306"/>
      <c r="H440" s="306"/>
      <c r="I440" s="306"/>
      <c r="J440" s="297"/>
      <c r="K440" s="305"/>
      <c r="L440" s="297"/>
    </row>
    <row r="441" spans="1:12" ht="33" customHeight="1" x14ac:dyDescent="0.45">
      <c r="A441" s="315" t="s">
        <v>336</v>
      </c>
      <c r="B441" s="303"/>
      <c r="C441" s="303" t="s">
        <v>660</v>
      </c>
      <c r="D441" s="304"/>
      <c r="E441" s="304"/>
      <c r="F441" s="305"/>
      <c r="G441" s="306"/>
      <c r="H441" s="306"/>
      <c r="I441" s="306"/>
      <c r="J441" s="297"/>
      <c r="K441" s="305"/>
      <c r="L441" s="297"/>
    </row>
    <row r="442" spans="1:12" ht="33" customHeight="1" x14ac:dyDescent="0.45">
      <c r="C442" s="190" t="s">
        <v>691</v>
      </c>
      <c r="F442" s="137" t="s">
        <v>15</v>
      </c>
    </row>
    <row r="444" spans="1:12" ht="23.25" x14ac:dyDescent="0.45">
      <c r="A444" s="137" t="s">
        <v>18</v>
      </c>
      <c r="B444" s="260" t="s">
        <v>384</v>
      </c>
      <c r="C444" s="241"/>
      <c r="D444" s="241"/>
      <c r="E444" s="241"/>
    </row>
    <row r="445" spans="1:12" ht="21" x14ac:dyDescent="0.45">
      <c r="A445" s="137" t="s">
        <v>13</v>
      </c>
      <c r="B445" s="320" t="s">
        <v>701</v>
      </c>
      <c r="C445" s="254"/>
      <c r="D445" s="254"/>
      <c r="E445" s="598"/>
      <c r="J445" s="600"/>
      <c r="L445" s="600">
        <f>L424+1</f>
        <v>46165</v>
      </c>
    </row>
    <row r="447" spans="1:12" x14ac:dyDescent="0.45">
      <c r="A447" s="141"/>
      <c r="B447" s="142"/>
      <c r="C447" s="142"/>
      <c r="D447" s="142"/>
      <c r="E447" s="142"/>
      <c r="F447" s="142"/>
      <c r="G447" s="142"/>
      <c r="H447" s="142"/>
      <c r="I447" s="142"/>
      <c r="J447" s="319"/>
      <c r="K447" s="319" t="s">
        <v>337</v>
      </c>
      <c r="L447" s="294"/>
    </row>
    <row r="448" spans="1:12" ht="63" x14ac:dyDescent="0.45">
      <c r="A448" s="297" t="s">
        <v>534</v>
      </c>
      <c r="B448" s="298" t="s">
        <v>0</v>
      </c>
      <c r="C448" s="298" t="s">
        <v>332</v>
      </c>
      <c r="D448" s="298" t="s">
        <v>333</v>
      </c>
      <c r="E448" s="298" t="s">
        <v>535</v>
      </c>
      <c r="F448" s="298" t="s">
        <v>1</v>
      </c>
      <c r="G448" s="298" t="s">
        <v>334</v>
      </c>
      <c r="H448" s="298" t="s">
        <v>335</v>
      </c>
      <c r="I448" s="298" t="s">
        <v>23</v>
      </c>
      <c r="J448" s="300" t="s">
        <v>22</v>
      </c>
      <c r="K448" s="298" t="s">
        <v>17</v>
      </c>
      <c r="L448" s="301" t="s">
        <v>12</v>
      </c>
    </row>
    <row r="449" spans="1:12" ht="33.4" customHeight="1" x14ac:dyDescent="0.45">
      <c r="A449" s="344" t="s">
        <v>501</v>
      </c>
      <c r="B449" s="345">
        <v>0.25</v>
      </c>
      <c r="C449" s="345" t="s">
        <v>384</v>
      </c>
      <c r="D449" s="304" t="s">
        <v>701</v>
      </c>
      <c r="E449" s="377" t="s">
        <v>503</v>
      </c>
      <c r="F449" s="580"/>
      <c r="G449" s="368">
        <v>1</v>
      </c>
      <c r="H449" s="363"/>
      <c r="I449" s="580"/>
      <c r="J449" s="365"/>
      <c r="K449" s="580"/>
      <c r="L449" s="366"/>
    </row>
    <row r="450" spans="1:12" ht="33.4" customHeight="1" x14ac:dyDescent="0.45">
      <c r="A450" s="344" t="s">
        <v>376</v>
      </c>
      <c r="B450" s="345">
        <v>0.27083333333333331</v>
      </c>
      <c r="C450" s="345" t="s">
        <v>384</v>
      </c>
      <c r="D450" s="304" t="s">
        <v>701</v>
      </c>
      <c r="E450" s="377" t="s">
        <v>504</v>
      </c>
      <c r="F450" s="367"/>
      <c r="G450" s="368">
        <v>1</v>
      </c>
      <c r="H450" s="368"/>
      <c r="I450" s="370"/>
      <c r="J450" s="370"/>
      <c r="K450" s="367"/>
      <c r="L450" s="370"/>
    </row>
    <row r="451" spans="1:12" ht="33.4" customHeight="1" x14ac:dyDescent="0.45">
      <c r="A451" s="344" t="s">
        <v>376</v>
      </c>
      <c r="B451" s="345">
        <v>0.2951388888888889</v>
      </c>
      <c r="C451" s="345" t="s">
        <v>384</v>
      </c>
      <c r="D451" s="304" t="s">
        <v>701</v>
      </c>
      <c r="E451" s="377" t="s">
        <v>688</v>
      </c>
      <c r="F451" s="367"/>
      <c r="G451" s="368">
        <v>1</v>
      </c>
      <c r="H451" s="368"/>
      <c r="I451" s="370"/>
      <c r="J451" s="370"/>
      <c r="K451" s="367"/>
      <c r="L451" s="370"/>
    </row>
    <row r="452" spans="1:12" ht="33.4" customHeight="1" x14ac:dyDescent="0.45">
      <c r="A452" s="344" t="s">
        <v>501</v>
      </c>
      <c r="B452" s="303">
        <v>0.58333333333333337</v>
      </c>
      <c r="C452" s="303" t="s">
        <v>384</v>
      </c>
      <c r="D452" s="304" t="s">
        <v>701</v>
      </c>
      <c r="E452" s="377" t="s">
        <v>504</v>
      </c>
      <c r="F452" s="367"/>
      <c r="G452" s="368">
        <v>1</v>
      </c>
      <c r="H452" s="368"/>
      <c r="I452" s="370"/>
      <c r="J452" s="370"/>
      <c r="K452" s="367"/>
      <c r="L452" s="370"/>
    </row>
    <row r="453" spans="1:12" ht="33.4" customHeight="1" x14ac:dyDescent="0.45">
      <c r="A453" s="344" t="s">
        <v>376</v>
      </c>
      <c r="B453" s="303">
        <v>0.61805555555555558</v>
      </c>
      <c r="C453" s="303" t="s">
        <v>384</v>
      </c>
      <c r="D453" s="304" t="s">
        <v>701</v>
      </c>
      <c r="E453" s="377" t="s">
        <v>503</v>
      </c>
      <c r="F453" s="367"/>
      <c r="G453" s="368">
        <v>1</v>
      </c>
      <c r="H453" s="368"/>
      <c r="I453" s="370"/>
      <c r="J453" s="370"/>
      <c r="K453" s="367"/>
      <c r="L453" s="370"/>
    </row>
    <row r="454" spans="1:12" ht="33.4" customHeight="1" x14ac:dyDescent="0.45">
      <c r="A454" s="344" t="s">
        <v>376</v>
      </c>
      <c r="B454" s="303">
        <v>0.76041666666666663</v>
      </c>
      <c r="C454" s="303" t="s">
        <v>384</v>
      </c>
      <c r="D454" s="304" t="s">
        <v>701</v>
      </c>
      <c r="E454" s="377" t="s">
        <v>504</v>
      </c>
      <c r="F454" s="367"/>
      <c r="G454" s="368"/>
      <c r="H454" s="368"/>
      <c r="I454" s="370"/>
      <c r="J454" s="370"/>
      <c r="K454" s="367"/>
      <c r="L454" s="370"/>
    </row>
    <row r="455" spans="1:12" ht="33.4" customHeight="1" x14ac:dyDescent="0.45">
      <c r="A455" s="344" t="s">
        <v>501</v>
      </c>
      <c r="B455" s="303">
        <v>0.78125</v>
      </c>
      <c r="C455" s="303" t="s">
        <v>384</v>
      </c>
      <c r="D455" s="304" t="s">
        <v>701</v>
      </c>
      <c r="E455" s="377" t="s">
        <v>504</v>
      </c>
      <c r="F455" s="367"/>
      <c r="G455" s="368"/>
      <c r="H455" s="368"/>
      <c r="I455" s="370"/>
      <c r="J455" s="370"/>
      <c r="K455" s="367"/>
      <c r="L455" s="370"/>
    </row>
    <row r="456" spans="1:12" ht="33.4" customHeight="1" x14ac:dyDescent="0.45">
      <c r="A456" s="344" t="s">
        <v>376</v>
      </c>
      <c r="B456" s="303">
        <v>0.80208333333333337</v>
      </c>
      <c r="C456" s="303" t="s">
        <v>384</v>
      </c>
      <c r="D456" s="304" t="s">
        <v>701</v>
      </c>
      <c r="E456" s="377" t="s">
        <v>503</v>
      </c>
      <c r="F456" s="367"/>
      <c r="G456" s="368"/>
      <c r="H456" s="368"/>
      <c r="I456" s="370"/>
      <c r="J456" s="370"/>
      <c r="K456" s="367"/>
      <c r="L456" s="370"/>
    </row>
    <row r="457" spans="1:12" ht="33.4" customHeight="1" x14ac:dyDescent="0.45">
      <c r="A457" s="344" t="s">
        <v>376</v>
      </c>
      <c r="B457" s="303">
        <v>0.82291666666666663</v>
      </c>
      <c r="C457" s="303" t="s">
        <v>384</v>
      </c>
      <c r="D457" s="304" t="s">
        <v>701</v>
      </c>
      <c r="E457" s="377" t="s">
        <v>503</v>
      </c>
      <c r="F457" s="367"/>
      <c r="G457" s="368"/>
      <c r="H457" s="368"/>
      <c r="I457" s="370"/>
      <c r="J457" s="370"/>
      <c r="K457" s="367"/>
      <c r="L457" s="370"/>
    </row>
    <row r="458" spans="1:12" ht="33.4" customHeight="1" x14ac:dyDescent="0.45">
      <c r="A458" s="315" t="s">
        <v>336</v>
      </c>
      <c r="B458" s="303"/>
      <c r="C458" s="303" t="s">
        <v>660</v>
      </c>
      <c r="D458" s="304"/>
      <c r="E458" s="304"/>
      <c r="F458" s="305"/>
      <c r="G458" s="306"/>
      <c r="H458" s="306"/>
      <c r="I458" s="306"/>
      <c r="J458" s="297"/>
      <c r="K458" s="305"/>
      <c r="L458" s="297"/>
    </row>
    <row r="459" spans="1:12" ht="33.4" customHeight="1" x14ac:dyDescent="0.45">
      <c r="A459" s="315" t="s">
        <v>336</v>
      </c>
      <c r="B459" s="303"/>
      <c r="C459" s="303" t="s">
        <v>660</v>
      </c>
      <c r="D459" s="304"/>
      <c r="E459" s="304"/>
      <c r="F459" s="305"/>
      <c r="G459" s="306"/>
      <c r="H459" s="306"/>
      <c r="I459" s="306"/>
      <c r="J459" s="297"/>
      <c r="K459" s="305"/>
      <c r="L459" s="297"/>
    </row>
    <row r="460" spans="1:12" ht="33.4" customHeight="1" x14ac:dyDescent="0.45">
      <c r="A460" s="315" t="s">
        <v>336</v>
      </c>
      <c r="B460" s="303"/>
      <c r="C460" s="303" t="s">
        <v>660</v>
      </c>
      <c r="D460" s="304"/>
      <c r="E460" s="304"/>
      <c r="F460" s="305"/>
      <c r="G460" s="306"/>
      <c r="H460" s="306"/>
      <c r="I460" s="306"/>
      <c r="J460" s="297"/>
      <c r="K460" s="305"/>
      <c r="L460" s="297"/>
    </row>
    <row r="461" spans="1:12" ht="33.4" customHeight="1" x14ac:dyDescent="0.45">
      <c r="A461" s="315" t="s">
        <v>336</v>
      </c>
      <c r="B461" s="303"/>
      <c r="C461" s="303" t="s">
        <v>660</v>
      </c>
      <c r="D461" s="304"/>
      <c r="E461" s="304"/>
      <c r="F461" s="305"/>
      <c r="G461" s="306"/>
      <c r="H461" s="306"/>
      <c r="I461" s="306"/>
      <c r="J461" s="297"/>
      <c r="K461" s="305"/>
      <c r="L461" s="297"/>
    </row>
    <row r="462" spans="1:12" ht="33.4" customHeight="1" x14ac:dyDescent="0.45">
      <c r="A462" s="315" t="s">
        <v>336</v>
      </c>
      <c r="B462" s="303"/>
      <c r="C462" s="303" t="s">
        <v>660</v>
      </c>
      <c r="D462" s="304"/>
      <c r="E462" s="304"/>
      <c r="F462" s="305"/>
      <c r="G462" s="306"/>
      <c r="H462" s="306"/>
      <c r="I462" s="306"/>
      <c r="J462" s="297"/>
      <c r="K462" s="305"/>
      <c r="L462" s="297"/>
    </row>
    <row r="463" spans="1:12" ht="33.4" customHeight="1" x14ac:dyDescent="0.45">
      <c r="C463" s="190" t="s">
        <v>691</v>
      </c>
      <c r="F463" s="137" t="s">
        <v>15</v>
      </c>
    </row>
    <row r="465" spans="1:12" ht="23.25" x14ac:dyDescent="0.45">
      <c r="A465" s="137" t="s">
        <v>18</v>
      </c>
      <c r="B465" s="260" t="s">
        <v>384</v>
      </c>
      <c r="C465" s="241"/>
      <c r="D465" s="241"/>
      <c r="E465" s="241"/>
    </row>
    <row r="466" spans="1:12" ht="21" x14ac:dyDescent="0.45">
      <c r="A466" s="137" t="s">
        <v>13</v>
      </c>
      <c r="B466" s="320" t="s">
        <v>701</v>
      </c>
      <c r="C466" s="254"/>
      <c r="D466" s="254"/>
      <c r="E466" s="598"/>
      <c r="J466" s="600"/>
      <c r="L466" s="607">
        <f>L445+1</f>
        <v>46166</v>
      </c>
    </row>
    <row r="468" spans="1:12" ht="15.75" x14ac:dyDescent="0.45">
      <c r="A468" s="297"/>
      <c r="B468" s="298"/>
      <c r="C468" s="298"/>
      <c r="D468" s="298"/>
      <c r="E468" s="298"/>
      <c r="F468" s="298"/>
      <c r="G468" s="298"/>
      <c r="H468" s="298"/>
      <c r="I468" s="298"/>
      <c r="J468" s="300"/>
      <c r="K468" s="298" t="s">
        <v>337</v>
      </c>
      <c r="L468" s="301"/>
    </row>
    <row r="469" spans="1:12" ht="63" x14ac:dyDescent="0.45">
      <c r="A469" s="344" t="s">
        <v>534</v>
      </c>
      <c r="B469" s="345" t="s">
        <v>0</v>
      </c>
      <c r="C469" s="345" t="s">
        <v>332</v>
      </c>
      <c r="D469" s="304" t="s">
        <v>333</v>
      </c>
      <c r="E469" s="377" t="s">
        <v>535</v>
      </c>
      <c r="F469" s="362" t="s">
        <v>1</v>
      </c>
      <c r="G469" s="368" t="s">
        <v>334</v>
      </c>
      <c r="H469" s="363" t="s">
        <v>335</v>
      </c>
      <c r="I469" s="362" t="s">
        <v>23</v>
      </c>
      <c r="J469" s="365" t="s">
        <v>22</v>
      </c>
      <c r="K469" s="362" t="s">
        <v>17</v>
      </c>
      <c r="L469" s="366" t="s">
        <v>12</v>
      </c>
    </row>
    <row r="470" spans="1:12" ht="33" customHeight="1" x14ac:dyDescent="0.45">
      <c r="A470" s="344" t="s">
        <v>501</v>
      </c>
      <c r="B470" s="345">
        <v>0.25</v>
      </c>
      <c r="C470" s="345" t="s">
        <v>384</v>
      </c>
      <c r="D470" s="304" t="s">
        <v>701</v>
      </c>
      <c r="E470" s="377" t="s">
        <v>503</v>
      </c>
      <c r="F470" s="367"/>
      <c r="G470" s="368">
        <v>1</v>
      </c>
      <c r="H470" s="368"/>
      <c r="I470" s="369"/>
      <c r="J470" s="369"/>
      <c r="K470" s="367"/>
      <c r="L470" s="370"/>
    </row>
    <row r="471" spans="1:12" ht="33" customHeight="1" x14ac:dyDescent="0.45">
      <c r="A471" s="344" t="s">
        <v>376</v>
      </c>
      <c r="B471" s="345">
        <v>0.27083333333333331</v>
      </c>
      <c r="C471" s="345" t="s">
        <v>384</v>
      </c>
      <c r="D471" s="304" t="s">
        <v>701</v>
      </c>
      <c r="E471" s="377" t="s">
        <v>504</v>
      </c>
      <c r="F471" s="367"/>
      <c r="G471" s="368">
        <v>1</v>
      </c>
      <c r="H471" s="368"/>
      <c r="I471" s="369"/>
      <c r="J471" s="369"/>
      <c r="K471" s="367"/>
      <c r="L471" s="370"/>
    </row>
    <row r="472" spans="1:12" ht="33" customHeight="1" x14ac:dyDescent="0.45">
      <c r="A472" s="344" t="s">
        <v>376</v>
      </c>
      <c r="B472" s="345">
        <v>0.2951388888888889</v>
      </c>
      <c r="C472" s="345" t="s">
        <v>384</v>
      </c>
      <c r="D472" s="304" t="s">
        <v>701</v>
      </c>
      <c r="E472" s="377" t="s">
        <v>504</v>
      </c>
      <c r="F472" s="362"/>
      <c r="G472" s="368">
        <v>1</v>
      </c>
      <c r="H472" s="363"/>
      <c r="I472" s="362"/>
      <c r="J472" s="365"/>
      <c r="K472" s="362"/>
      <c r="L472" s="366"/>
    </row>
    <row r="473" spans="1:12" ht="33" customHeight="1" x14ac:dyDescent="0.45">
      <c r="A473" s="344" t="s">
        <v>501</v>
      </c>
      <c r="B473" s="345">
        <v>0.58333333333333337</v>
      </c>
      <c r="C473" s="345" t="s">
        <v>384</v>
      </c>
      <c r="D473" s="304" t="s">
        <v>701</v>
      </c>
      <c r="E473" s="377" t="s">
        <v>504</v>
      </c>
      <c r="F473" s="367"/>
      <c r="G473" s="368">
        <v>1</v>
      </c>
      <c r="H473" s="368"/>
      <c r="I473" s="369"/>
      <c r="J473" s="369"/>
      <c r="K473" s="367"/>
      <c r="L473" s="370"/>
    </row>
    <row r="474" spans="1:12" ht="33" customHeight="1" x14ac:dyDescent="0.45">
      <c r="A474" s="344" t="s">
        <v>501</v>
      </c>
      <c r="B474" s="345">
        <v>0.625</v>
      </c>
      <c r="C474" s="345" t="s">
        <v>384</v>
      </c>
      <c r="D474" s="304" t="s">
        <v>701</v>
      </c>
      <c r="E474" s="377" t="s">
        <v>504</v>
      </c>
      <c r="F474" s="367"/>
      <c r="G474" s="368">
        <v>1</v>
      </c>
      <c r="H474" s="368"/>
      <c r="I474" s="369"/>
      <c r="J474" s="369"/>
      <c r="K474" s="367"/>
      <c r="L474" s="370"/>
    </row>
    <row r="475" spans="1:12" ht="33" customHeight="1" x14ac:dyDescent="0.45">
      <c r="A475" s="344" t="s">
        <v>501</v>
      </c>
      <c r="B475" s="345">
        <v>0.76041666666666663</v>
      </c>
      <c r="C475" s="345" t="s">
        <v>384</v>
      </c>
      <c r="D475" s="304" t="s">
        <v>701</v>
      </c>
      <c r="E475" s="377" t="s">
        <v>504</v>
      </c>
      <c r="F475" s="367"/>
      <c r="G475" s="368">
        <v>1</v>
      </c>
      <c r="H475" s="368"/>
      <c r="I475" s="369"/>
      <c r="J475" s="369"/>
      <c r="K475" s="367"/>
      <c r="L475" s="370"/>
    </row>
    <row r="476" spans="1:12" ht="33" customHeight="1" x14ac:dyDescent="0.45">
      <c r="A476" s="315" t="s">
        <v>376</v>
      </c>
      <c r="B476" s="303">
        <v>0.78125</v>
      </c>
      <c r="C476" s="303" t="s">
        <v>384</v>
      </c>
      <c r="D476" s="304" t="s">
        <v>701</v>
      </c>
      <c r="E476" s="304" t="s">
        <v>503</v>
      </c>
      <c r="F476" s="305"/>
      <c r="G476" s="306">
        <v>1</v>
      </c>
      <c r="H476" s="306"/>
      <c r="I476" s="306"/>
      <c r="J476" s="297"/>
      <c r="K476" s="305"/>
      <c r="L476" s="297"/>
    </row>
    <row r="477" spans="1:12" ht="33" customHeight="1" x14ac:dyDescent="0.45">
      <c r="A477" s="315" t="s">
        <v>336</v>
      </c>
      <c r="B477" s="303"/>
      <c r="C477" s="303" t="s">
        <v>660</v>
      </c>
      <c r="D477" s="304"/>
      <c r="E477" s="304"/>
      <c r="F477" s="305"/>
      <c r="G477" s="306"/>
      <c r="H477" s="306"/>
      <c r="I477" s="306"/>
      <c r="J477" s="297"/>
      <c r="K477" s="305"/>
      <c r="L477" s="297"/>
    </row>
    <row r="478" spans="1:12" ht="33" customHeight="1" x14ac:dyDescent="0.45">
      <c r="A478" s="315" t="s">
        <v>336</v>
      </c>
      <c r="B478" s="303"/>
      <c r="C478" s="303" t="s">
        <v>660</v>
      </c>
      <c r="D478" s="304"/>
      <c r="E478" s="304"/>
      <c r="F478" s="305"/>
      <c r="G478" s="306"/>
      <c r="H478" s="306"/>
      <c r="I478" s="306"/>
      <c r="J478" s="297"/>
      <c r="K478" s="305"/>
      <c r="L478" s="297"/>
    </row>
    <row r="479" spans="1:12" ht="33" customHeight="1" x14ac:dyDescent="0.45">
      <c r="A479" s="315" t="s">
        <v>336</v>
      </c>
      <c r="B479" s="303"/>
      <c r="C479" s="303" t="s">
        <v>660</v>
      </c>
      <c r="D479" s="304"/>
      <c r="E479" s="304"/>
      <c r="F479" s="305"/>
      <c r="G479" s="306"/>
      <c r="H479" s="306"/>
      <c r="I479" s="306"/>
      <c r="J479" s="297"/>
      <c r="K479" s="305"/>
      <c r="L479" s="297"/>
    </row>
    <row r="480" spans="1:12" ht="33" customHeight="1" x14ac:dyDescent="0.45">
      <c r="A480" s="315" t="s">
        <v>336</v>
      </c>
      <c r="B480" s="303"/>
      <c r="C480" s="303" t="s">
        <v>660</v>
      </c>
      <c r="D480" s="304"/>
      <c r="E480" s="304"/>
      <c r="F480" s="305"/>
      <c r="G480" s="306"/>
      <c r="H480" s="306"/>
      <c r="I480" s="306"/>
      <c r="J480" s="297"/>
      <c r="K480" s="305"/>
      <c r="L480" s="297"/>
    </row>
    <row r="481" spans="1:12" ht="33" customHeight="1" x14ac:dyDescent="0.45">
      <c r="C481" s="190" t="s">
        <v>691</v>
      </c>
      <c r="F481" s="137" t="s">
        <v>15</v>
      </c>
    </row>
    <row r="483" spans="1:12" ht="23.25" x14ac:dyDescent="0.45">
      <c r="A483" s="137" t="s">
        <v>18</v>
      </c>
      <c r="B483" s="260" t="s">
        <v>384</v>
      </c>
      <c r="C483" s="241"/>
      <c r="D483" s="241"/>
      <c r="E483" s="241"/>
    </row>
    <row r="484" spans="1:12" ht="21" x14ac:dyDescent="0.45">
      <c r="A484" s="137" t="s">
        <v>13</v>
      </c>
      <c r="B484" s="320" t="s">
        <v>701</v>
      </c>
      <c r="C484" s="254"/>
      <c r="D484" s="254"/>
      <c r="E484" s="598"/>
      <c r="J484" s="600"/>
      <c r="L484" s="607">
        <f>L466+1</f>
        <v>46167</v>
      </c>
    </row>
    <row r="486" spans="1:12" ht="15.75" x14ac:dyDescent="0.45">
      <c r="A486" s="297"/>
      <c r="B486" s="298"/>
      <c r="C486" s="298"/>
      <c r="D486" s="298"/>
      <c r="E486" s="298"/>
      <c r="F486" s="298"/>
      <c r="G486" s="298"/>
      <c r="H486" s="298"/>
      <c r="I486" s="298"/>
      <c r="J486" s="300"/>
      <c r="K486" s="298" t="s">
        <v>337</v>
      </c>
      <c r="L486" s="301"/>
    </row>
    <row r="487" spans="1:12" ht="63" x14ac:dyDescent="0.45">
      <c r="A487" s="344" t="s">
        <v>534</v>
      </c>
      <c r="B487" s="345" t="s">
        <v>0</v>
      </c>
      <c r="C487" s="345" t="s">
        <v>332</v>
      </c>
      <c r="D487" s="304" t="s">
        <v>333</v>
      </c>
      <c r="E487" s="377" t="s">
        <v>535</v>
      </c>
      <c r="F487" s="362" t="s">
        <v>1</v>
      </c>
      <c r="G487" s="368" t="s">
        <v>334</v>
      </c>
      <c r="H487" s="363" t="s">
        <v>335</v>
      </c>
      <c r="I487" s="362" t="s">
        <v>23</v>
      </c>
      <c r="J487" s="365" t="s">
        <v>22</v>
      </c>
      <c r="K487" s="362" t="s">
        <v>17</v>
      </c>
      <c r="L487" s="366" t="s">
        <v>12</v>
      </c>
    </row>
    <row r="488" spans="1:12" ht="33" customHeight="1" x14ac:dyDescent="0.45">
      <c r="A488" s="344" t="s">
        <v>501</v>
      </c>
      <c r="B488" s="345">
        <v>0.25</v>
      </c>
      <c r="C488" s="345" t="s">
        <v>384</v>
      </c>
      <c r="D488" s="304" t="s">
        <v>701</v>
      </c>
      <c r="E488" s="377" t="s">
        <v>503</v>
      </c>
      <c r="F488" s="367"/>
      <c r="G488" s="368">
        <v>1</v>
      </c>
      <c r="H488" s="368"/>
      <c r="I488" s="369"/>
      <c r="J488" s="369"/>
      <c r="K488" s="367"/>
      <c r="L488" s="370"/>
    </row>
    <row r="489" spans="1:12" ht="33" customHeight="1" x14ac:dyDescent="0.45">
      <c r="A489" s="344" t="s">
        <v>376</v>
      </c>
      <c r="B489" s="345">
        <v>0.27083333333333331</v>
      </c>
      <c r="C489" s="345" t="s">
        <v>384</v>
      </c>
      <c r="D489" s="304" t="s">
        <v>701</v>
      </c>
      <c r="E489" s="377" t="s">
        <v>504</v>
      </c>
      <c r="F489" s="367"/>
      <c r="G489" s="368">
        <v>1</v>
      </c>
      <c r="H489" s="368"/>
      <c r="I489" s="369"/>
      <c r="J489" s="369"/>
      <c r="K489" s="367"/>
      <c r="L489" s="370"/>
    </row>
    <row r="490" spans="1:12" ht="33" customHeight="1" x14ac:dyDescent="0.45">
      <c r="A490" s="344" t="s">
        <v>376</v>
      </c>
      <c r="B490" s="345">
        <v>0.2951388888888889</v>
      </c>
      <c r="C490" s="345" t="s">
        <v>384</v>
      </c>
      <c r="D490" s="304" t="s">
        <v>701</v>
      </c>
      <c r="E490" s="377" t="s">
        <v>504</v>
      </c>
      <c r="F490" s="362"/>
      <c r="G490" s="368">
        <v>1</v>
      </c>
      <c r="H490" s="363"/>
      <c r="I490" s="362"/>
      <c r="J490" s="365"/>
      <c r="K490" s="362"/>
      <c r="L490" s="366"/>
    </row>
    <row r="491" spans="1:12" ht="33" customHeight="1" x14ac:dyDescent="0.45">
      <c r="A491" s="344" t="s">
        <v>501</v>
      </c>
      <c r="B491" s="345">
        <v>0.58333333333333337</v>
      </c>
      <c r="C491" s="345" t="s">
        <v>384</v>
      </c>
      <c r="D491" s="304" t="s">
        <v>701</v>
      </c>
      <c r="E491" s="377" t="s">
        <v>504</v>
      </c>
      <c r="F491" s="367"/>
      <c r="G491" s="368">
        <v>1</v>
      </c>
      <c r="H491" s="368"/>
      <c r="I491" s="369"/>
      <c r="J491" s="369"/>
      <c r="K491" s="367"/>
      <c r="L491" s="370"/>
    </row>
    <row r="492" spans="1:12" ht="33" customHeight="1" x14ac:dyDescent="0.45">
      <c r="A492" s="344" t="s">
        <v>501</v>
      </c>
      <c r="B492" s="345">
        <v>0.625</v>
      </c>
      <c r="C492" s="345" t="s">
        <v>384</v>
      </c>
      <c r="D492" s="304" t="s">
        <v>701</v>
      </c>
      <c r="E492" s="377" t="s">
        <v>504</v>
      </c>
      <c r="F492" s="367"/>
      <c r="G492" s="368">
        <v>1</v>
      </c>
      <c r="H492" s="368"/>
      <c r="I492" s="369"/>
      <c r="J492" s="369"/>
      <c r="K492" s="367"/>
      <c r="L492" s="370"/>
    </row>
    <row r="493" spans="1:12" ht="33" customHeight="1" x14ac:dyDescent="0.45">
      <c r="A493" s="344" t="s">
        <v>501</v>
      </c>
      <c r="B493" s="345">
        <v>0.76041666666666663</v>
      </c>
      <c r="C493" s="345" t="s">
        <v>384</v>
      </c>
      <c r="D493" s="304" t="s">
        <v>701</v>
      </c>
      <c r="E493" s="377" t="s">
        <v>504</v>
      </c>
      <c r="F493" s="367"/>
      <c r="G493" s="368">
        <v>1</v>
      </c>
      <c r="H493" s="368"/>
      <c r="I493" s="369"/>
      <c r="J493" s="369"/>
      <c r="K493" s="367"/>
      <c r="L493" s="370"/>
    </row>
    <row r="494" spans="1:12" ht="33" customHeight="1" x14ac:dyDescent="0.45">
      <c r="A494" s="315" t="s">
        <v>376</v>
      </c>
      <c r="B494" s="303">
        <v>0.78125</v>
      </c>
      <c r="C494" s="303" t="s">
        <v>384</v>
      </c>
      <c r="D494" s="304" t="s">
        <v>701</v>
      </c>
      <c r="E494" s="304" t="s">
        <v>503</v>
      </c>
      <c r="F494" s="305"/>
      <c r="G494" s="306">
        <v>1</v>
      </c>
      <c r="H494" s="306"/>
      <c r="I494" s="306"/>
      <c r="J494" s="297"/>
      <c r="K494" s="305"/>
      <c r="L494" s="297"/>
    </row>
    <row r="495" spans="1:12" ht="33" customHeight="1" x14ac:dyDescent="0.45">
      <c r="A495" s="315" t="s">
        <v>336</v>
      </c>
      <c r="B495" s="303"/>
      <c r="C495" s="303" t="s">
        <v>660</v>
      </c>
      <c r="D495" s="304"/>
      <c r="E495" s="304"/>
      <c r="F495" s="305"/>
      <c r="G495" s="306"/>
      <c r="H495" s="306"/>
      <c r="I495" s="306"/>
      <c r="J495" s="297"/>
      <c r="K495" s="305"/>
      <c r="L495" s="297"/>
    </row>
    <row r="496" spans="1:12" ht="33" customHeight="1" x14ac:dyDescent="0.45">
      <c r="A496" s="315" t="s">
        <v>336</v>
      </c>
      <c r="B496" s="303"/>
      <c r="C496" s="303" t="s">
        <v>660</v>
      </c>
      <c r="D496" s="304"/>
      <c r="E496" s="304"/>
      <c r="F496" s="305"/>
      <c r="G496" s="306"/>
      <c r="H496" s="306"/>
      <c r="I496" s="306"/>
      <c r="J496" s="297"/>
      <c r="K496" s="305"/>
      <c r="L496" s="297"/>
    </row>
    <row r="497" spans="1:12" ht="33" customHeight="1" x14ac:dyDescent="0.45">
      <c r="A497" s="315" t="s">
        <v>336</v>
      </c>
      <c r="B497" s="303"/>
      <c r="C497" s="303" t="s">
        <v>660</v>
      </c>
      <c r="D497" s="304"/>
      <c r="E497" s="304"/>
      <c r="F497" s="305"/>
      <c r="G497" s="306"/>
      <c r="H497" s="306"/>
      <c r="I497" s="306"/>
      <c r="J497" s="297"/>
      <c r="K497" s="305"/>
      <c r="L497" s="297"/>
    </row>
    <row r="498" spans="1:12" ht="33" customHeight="1" x14ac:dyDescent="0.45">
      <c r="A498" s="315" t="s">
        <v>336</v>
      </c>
      <c r="B498" s="303"/>
      <c r="C498" s="303" t="s">
        <v>660</v>
      </c>
      <c r="D498" s="304"/>
      <c r="E498" s="304"/>
      <c r="F498" s="305"/>
      <c r="G498" s="306"/>
      <c r="H498" s="306"/>
      <c r="I498" s="306"/>
      <c r="J498" s="297"/>
      <c r="K498" s="305"/>
      <c r="L498" s="297"/>
    </row>
    <row r="499" spans="1:12" ht="33" customHeight="1" x14ac:dyDescent="0.45">
      <c r="C499" s="190" t="s">
        <v>691</v>
      </c>
      <c r="F499" s="137" t="s">
        <v>15</v>
      </c>
    </row>
    <row r="501" spans="1:12" ht="23.25" x14ac:dyDescent="0.45">
      <c r="A501" s="137" t="s">
        <v>18</v>
      </c>
      <c r="B501" s="260" t="s">
        <v>384</v>
      </c>
      <c r="C501" s="241"/>
      <c r="D501" s="241"/>
      <c r="E501" s="241"/>
      <c r="L501" s="602">
        <f>L484+1</f>
        <v>46168</v>
      </c>
    </row>
    <row r="502" spans="1:12" ht="21" x14ac:dyDescent="0.45">
      <c r="A502" s="137" t="s">
        <v>13</v>
      </c>
      <c r="B502" s="320" t="s">
        <v>701</v>
      </c>
      <c r="C502" s="254"/>
      <c r="D502" s="254"/>
      <c r="E502" s="598"/>
      <c r="J502" s="600"/>
      <c r="L502" s="600"/>
    </row>
    <row r="504" spans="1:12" x14ac:dyDescent="0.45">
      <c r="A504" s="141"/>
      <c r="B504" s="142"/>
      <c r="C504" s="142"/>
      <c r="D504" s="142"/>
      <c r="E504" s="142"/>
      <c r="F504" s="142"/>
      <c r="G504" s="142"/>
      <c r="H504" s="142"/>
      <c r="I504" s="142"/>
      <c r="J504" s="319"/>
      <c r="K504" s="319" t="s">
        <v>337</v>
      </c>
      <c r="L504" s="294"/>
    </row>
    <row r="505" spans="1:12" ht="63" x14ac:dyDescent="0.45">
      <c r="A505" s="297" t="s">
        <v>534</v>
      </c>
      <c r="B505" s="298" t="s">
        <v>0</v>
      </c>
      <c r="C505" s="298" t="s">
        <v>332</v>
      </c>
      <c r="D505" s="298" t="s">
        <v>333</v>
      </c>
      <c r="E505" s="298" t="s">
        <v>535</v>
      </c>
      <c r="F505" s="298" t="s">
        <v>1</v>
      </c>
      <c r="G505" s="298" t="s">
        <v>334</v>
      </c>
      <c r="H505" s="298" t="s">
        <v>335</v>
      </c>
      <c r="I505" s="298" t="s">
        <v>23</v>
      </c>
      <c r="J505" s="300" t="s">
        <v>22</v>
      </c>
      <c r="K505" s="298" t="s">
        <v>17</v>
      </c>
      <c r="L505" s="301" t="s">
        <v>12</v>
      </c>
    </row>
    <row r="506" spans="1:12" ht="33" customHeight="1" x14ac:dyDescent="0.45">
      <c r="A506" s="344" t="s">
        <v>501</v>
      </c>
      <c r="B506" s="345">
        <v>0.25</v>
      </c>
      <c r="C506" s="345" t="s">
        <v>384</v>
      </c>
      <c r="D506" s="304" t="s">
        <v>701</v>
      </c>
      <c r="E506" s="377" t="s">
        <v>503</v>
      </c>
      <c r="F506" s="580"/>
      <c r="G506" s="368">
        <v>1</v>
      </c>
      <c r="H506" s="363"/>
      <c r="I506" s="580"/>
      <c r="J506" s="365"/>
      <c r="K506" s="580"/>
      <c r="L506" s="366"/>
    </row>
    <row r="507" spans="1:12" ht="33" customHeight="1" x14ac:dyDescent="0.45">
      <c r="A507" s="344" t="s">
        <v>376</v>
      </c>
      <c r="B507" s="345">
        <v>0.27083333333333331</v>
      </c>
      <c r="C507" s="345" t="s">
        <v>384</v>
      </c>
      <c r="D507" s="304" t="s">
        <v>701</v>
      </c>
      <c r="E507" s="377" t="s">
        <v>504</v>
      </c>
      <c r="F507" s="367"/>
      <c r="G507" s="368">
        <v>1</v>
      </c>
      <c r="H507" s="368"/>
      <c r="I507" s="370"/>
      <c r="J507" s="370"/>
      <c r="K507" s="367"/>
      <c r="L507" s="370"/>
    </row>
    <row r="508" spans="1:12" ht="33" customHeight="1" x14ac:dyDescent="0.45">
      <c r="A508" s="344" t="s">
        <v>376</v>
      </c>
      <c r="B508" s="345">
        <v>0.2951388888888889</v>
      </c>
      <c r="C508" s="345" t="s">
        <v>384</v>
      </c>
      <c r="D508" s="304" t="s">
        <v>701</v>
      </c>
      <c r="E508" s="377" t="s">
        <v>688</v>
      </c>
      <c r="F508" s="367"/>
      <c r="G508" s="368">
        <v>1</v>
      </c>
      <c r="H508" s="368"/>
      <c r="I508" s="370"/>
      <c r="J508" s="370"/>
      <c r="K508" s="367"/>
      <c r="L508" s="370"/>
    </row>
    <row r="509" spans="1:12" ht="33" customHeight="1" x14ac:dyDescent="0.45">
      <c r="A509" s="344" t="s">
        <v>501</v>
      </c>
      <c r="B509" s="303">
        <v>0.58333333333333337</v>
      </c>
      <c r="C509" s="303" t="s">
        <v>384</v>
      </c>
      <c r="D509" s="304" t="s">
        <v>701</v>
      </c>
      <c r="E509" s="377" t="s">
        <v>504</v>
      </c>
      <c r="F509" s="367"/>
      <c r="G509" s="368">
        <v>1</v>
      </c>
      <c r="H509" s="368"/>
      <c r="I509" s="370"/>
      <c r="J509" s="370"/>
      <c r="K509" s="367"/>
      <c r="L509" s="370"/>
    </row>
    <row r="510" spans="1:12" ht="33" customHeight="1" x14ac:dyDescent="0.45">
      <c r="A510" s="344" t="s">
        <v>376</v>
      </c>
      <c r="B510" s="303">
        <v>0.61805555555555558</v>
      </c>
      <c r="C510" s="303" t="s">
        <v>384</v>
      </c>
      <c r="D510" s="304" t="s">
        <v>701</v>
      </c>
      <c r="E510" s="377" t="s">
        <v>503</v>
      </c>
      <c r="F510" s="367"/>
      <c r="G510" s="368">
        <v>1</v>
      </c>
      <c r="H510" s="368"/>
      <c r="I510" s="370"/>
      <c r="J510" s="370"/>
      <c r="K510" s="367"/>
      <c r="L510" s="370"/>
    </row>
    <row r="511" spans="1:12" ht="33" customHeight="1" x14ac:dyDescent="0.45">
      <c r="A511" s="344" t="s">
        <v>376</v>
      </c>
      <c r="B511" s="303">
        <v>0.76041666666666663</v>
      </c>
      <c r="C511" s="303" t="s">
        <v>384</v>
      </c>
      <c r="D511" s="304" t="s">
        <v>701</v>
      </c>
      <c r="E511" s="377" t="s">
        <v>504</v>
      </c>
      <c r="F511" s="367"/>
      <c r="G511" s="368"/>
      <c r="H511" s="368"/>
      <c r="I511" s="370"/>
      <c r="J511" s="370"/>
      <c r="K511" s="367"/>
      <c r="L511" s="370"/>
    </row>
    <row r="512" spans="1:12" ht="33" customHeight="1" x14ac:dyDescent="0.45">
      <c r="A512" s="344" t="s">
        <v>501</v>
      </c>
      <c r="B512" s="303">
        <v>0.78125</v>
      </c>
      <c r="C512" s="303" t="s">
        <v>384</v>
      </c>
      <c r="D512" s="304" t="s">
        <v>701</v>
      </c>
      <c r="E512" s="377" t="s">
        <v>504</v>
      </c>
      <c r="F512" s="367"/>
      <c r="G512" s="368"/>
      <c r="H512" s="368"/>
      <c r="I512" s="370"/>
      <c r="J512" s="370"/>
      <c r="K512" s="367"/>
      <c r="L512" s="370"/>
    </row>
    <row r="513" spans="1:12" ht="33" customHeight="1" x14ac:dyDescent="0.45">
      <c r="A513" s="344" t="s">
        <v>376</v>
      </c>
      <c r="B513" s="303">
        <v>0.80208333333333337</v>
      </c>
      <c r="C513" s="303" t="s">
        <v>384</v>
      </c>
      <c r="D513" s="304" t="s">
        <v>701</v>
      </c>
      <c r="E513" s="377" t="s">
        <v>503</v>
      </c>
      <c r="F513" s="367"/>
      <c r="G513" s="368"/>
      <c r="H513" s="368"/>
      <c r="I513" s="370"/>
      <c r="J513" s="370"/>
      <c r="K513" s="367"/>
      <c r="L513" s="370"/>
    </row>
    <row r="514" spans="1:12" ht="33" customHeight="1" x14ac:dyDescent="0.45">
      <c r="A514" s="344" t="s">
        <v>376</v>
      </c>
      <c r="B514" s="303">
        <v>0.82291666666666663</v>
      </c>
      <c r="C514" s="303" t="s">
        <v>384</v>
      </c>
      <c r="D514" s="304" t="s">
        <v>701</v>
      </c>
      <c r="E514" s="377" t="s">
        <v>503</v>
      </c>
      <c r="F514" s="367"/>
      <c r="G514" s="368"/>
      <c r="H514" s="368"/>
      <c r="I514" s="370"/>
      <c r="J514" s="370"/>
      <c r="K514" s="367"/>
      <c r="L514" s="370"/>
    </row>
    <row r="515" spans="1:12" ht="33" customHeight="1" x14ac:dyDescent="0.45">
      <c r="A515" s="315" t="s">
        <v>336</v>
      </c>
      <c r="B515" s="303"/>
      <c r="C515" s="303" t="s">
        <v>660</v>
      </c>
      <c r="D515" s="304"/>
      <c r="E515" s="304"/>
      <c r="F515" s="305"/>
      <c r="G515" s="306"/>
      <c r="H515" s="306"/>
      <c r="I515" s="306"/>
      <c r="J515" s="297"/>
      <c r="K515" s="305"/>
      <c r="L515" s="297"/>
    </row>
    <row r="516" spans="1:12" ht="33" customHeight="1" x14ac:dyDescent="0.45">
      <c r="A516" s="315" t="s">
        <v>336</v>
      </c>
      <c r="B516" s="303"/>
      <c r="C516" s="303" t="s">
        <v>660</v>
      </c>
      <c r="D516" s="304"/>
      <c r="E516" s="304"/>
      <c r="F516" s="305"/>
      <c r="G516" s="306"/>
      <c r="H516" s="306"/>
      <c r="I516" s="306"/>
      <c r="J516" s="297"/>
      <c r="K516" s="305"/>
      <c r="L516" s="297"/>
    </row>
    <row r="517" spans="1:12" ht="33" customHeight="1" x14ac:dyDescent="0.45">
      <c r="A517" s="315" t="s">
        <v>336</v>
      </c>
      <c r="B517" s="303"/>
      <c r="C517" s="303" t="s">
        <v>660</v>
      </c>
      <c r="D517" s="304"/>
      <c r="E517" s="304"/>
      <c r="F517" s="305"/>
      <c r="G517" s="306"/>
      <c r="H517" s="306"/>
      <c r="I517" s="306"/>
      <c r="J517" s="297"/>
      <c r="K517" s="305"/>
      <c r="L517" s="297"/>
    </row>
    <row r="518" spans="1:12" ht="21" x14ac:dyDescent="0.45">
      <c r="A518" s="315" t="s">
        <v>336</v>
      </c>
      <c r="B518" s="303"/>
      <c r="C518" s="303" t="s">
        <v>660</v>
      </c>
      <c r="D518" s="304"/>
      <c r="E518" s="304"/>
      <c r="F518" s="305"/>
      <c r="G518" s="306"/>
      <c r="H518" s="306"/>
      <c r="I518" s="306"/>
      <c r="J518" s="297"/>
      <c r="K518" s="305"/>
      <c r="L518" s="297"/>
    </row>
    <row r="519" spans="1:12" ht="21" x14ac:dyDescent="0.45">
      <c r="A519" s="315" t="s">
        <v>336</v>
      </c>
      <c r="B519" s="303"/>
      <c r="C519" s="303" t="s">
        <v>660</v>
      </c>
      <c r="D519" s="304"/>
      <c r="E519" s="304"/>
      <c r="F519" s="305"/>
      <c r="G519" s="306"/>
      <c r="H519" s="306"/>
      <c r="I519" s="306"/>
      <c r="J519" s="297"/>
      <c r="K519" s="305"/>
      <c r="L519" s="297"/>
    </row>
    <row r="520" spans="1:12" x14ac:dyDescent="0.45">
      <c r="C520" s="190" t="s">
        <v>691</v>
      </c>
      <c r="F520" s="137" t="s">
        <v>15</v>
      </c>
    </row>
    <row r="523" spans="1:12" ht="23.25" x14ac:dyDescent="0.45">
      <c r="A523" s="137" t="s">
        <v>18</v>
      </c>
      <c r="B523" s="260" t="s">
        <v>384</v>
      </c>
      <c r="C523" s="241"/>
      <c r="D523" s="241"/>
      <c r="E523" s="241"/>
    </row>
    <row r="524" spans="1:12" ht="21" x14ac:dyDescent="0.45">
      <c r="A524" s="137" t="s">
        <v>13</v>
      </c>
      <c r="B524" s="320" t="s">
        <v>701</v>
      </c>
      <c r="C524" s="254"/>
      <c r="D524" s="254"/>
      <c r="E524" s="598"/>
      <c r="J524" s="600"/>
      <c r="L524" s="607">
        <f>L501+1</f>
        <v>46169</v>
      </c>
    </row>
    <row r="526" spans="1:12" ht="15.75" x14ac:dyDescent="0.45">
      <c r="A526" s="297"/>
      <c r="B526" s="298"/>
      <c r="C526" s="298"/>
      <c r="D526" s="298"/>
      <c r="E526" s="298"/>
      <c r="F526" s="298"/>
      <c r="G526" s="298"/>
      <c r="H526" s="298"/>
      <c r="I526" s="298"/>
      <c r="J526" s="300"/>
      <c r="K526" s="298" t="s">
        <v>337</v>
      </c>
      <c r="L526" s="301"/>
    </row>
    <row r="527" spans="1:12" ht="63" x14ac:dyDescent="0.45">
      <c r="A527" s="344" t="s">
        <v>534</v>
      </c>
      <c r="B527" s="345" t="s">
        <v>0</v>
      </c>
      <c r="C527" s="345" t="s">
        <v>332</v>
      </c>
      <c r="D527" s="304" t="s">
        <v>333</v>
      </c>
      <c r="E527" s="377" t="s">
        <v>535</v>
      </c>
      <c r="F527" s="362" t="s">
        <v>1</v>
      </c>
      <c r="G527" s="368" t="s">
        <v>334</v>
      </c>
      <c r="H527" s="363" t="s">
        <v>335</v>
      </c>
      <c r="I527" s="362" t="s">
        <v>23</v>
      </c>
      <c r="J527" s="365" t="s">
        <v>22</v>
      </c>
      <c r="K527" s="362" t="s">
        <v>17</v>
      </c>
      <c r="L527" s="366" t="s">
        <v>12</v>
      </c>
    </row>
    <row r="528" spans="1:12" ht="33" customHeight="1" x14ac:dyDescent="0.45">
      <c r="A528" s="344" t="s">
        <v>501</v>
      </c>
      <c r="B528" s="345">
        <v>0.25</v>
      </c>
      <c r="C528" s="345" t="s">
        <v>384</v>
      </c>
      <c r="D528" s="304" t="s">
        <v>701</v>
      </c>
      <c r="E528" s="377" t="s">
        <v>503</v>
      </c>
      <c r="F528" s="367"/>
      <c r="G528" s="368">
        <v>1</v>
      </c>
      <c r="H528" s="368"/>
      <c r="I528" s="369"/>
      <c r="J528" s="369"/>
      <c r="K528" s="367"/>
      <c r="L528" s="370"/>
    </row>
    <row r="529" spans="1:12" ht="33" customHeight="1" x14ac:dyDescent="0.45">
      <c r="A529" s="344" t="s">
        <v>376</v>
      </c>
      <c r="B529" s="345">
        <v>0.27083333333333331</v>
      </c>
      <c r="C529" s="345" t="s">
        <v>384</v>
      </c>
      <c r="D529" s="304" t="s">
        <v>701</v>
      </c>
      <c r="E529" s="377" t="s">
        <v>504</v>
      </c>
      <c r="F529" s="367"/>
      <c r="G529" s="368">
        <v>1</v>
      </c>
      <c r="H529" s="368"/>
      <c r="I529" s="369"/>
      <c r="J529" s="369"/>
      <c r="K529" s="367"/>
      <c r="L529" s="370"/>
    </row>
    <row r="530" spans="1:12" ht="33" customHeight="1" x14ac:dyDescent="0.45">
      <c r="A530" s="344" t="s">
        <v>376</v>
      </c>
      <c r="B530" s="345">
        <v>0.2951388888888889</v>
      </c>
      <c r="C530" s="345" t="s">
        <v>384</v>
      </c>
      <c r="D530" s="304" t="s">
        <v>701</v>
      </c>
      <c r="E530" s="377" t="s">
        <v>504</v>
      </c>
      <c r="F530" s="362"/>
      <c r="G530" s="368">
        <v>1</v>
      </c>
      <c r="H530" s="363"/>
      <c r="I530" s="362"/>
      <c r="J530" s="365"/>
      <c r="K530" s="362"/>
      <c r="L530" s="366"/>
    </row>
    <row r="531" spans="1:12" ht="33" customHeight="1" x14ac:dyDescent="0.45">
      <c r="A531" s="344" t="s">
        <v>501</v>
      </c>
      <c r="B531" s="345">
        <v>0.58333333333333337</v>
      </c>
      <c r="C531" s="345" t="s">
        <v>384</v>
      </c>
      <c r="D531" s="304" t="s">
        <v>701</v>
      </c>
      <c r="E531" s="377" t="s">
        <v>504</v>
      </c>
      <c r="F531" s="367"/>
      <c r="G531" s="368">
        <v>1</v>
      </c>
      <c r="H531" s="368"/>
      <c r="I531" s="369"/>
      <c r="J531" s="369"/>
      <c r="K531" s="367"/>
      <c r="L531" s="370"/>
    </row>
    <row r="532" spans="1:12" ht="33" customHeight="1" x14ac:dyDescent="0.45">
      <c r="A532" s="344" t="s">
        <v>501</v>
      </c>
      <c r="B532" s="345">
        <v>0.625</v>
      </c>
      <c r="C532" s="345" t="s">
        <v>384</v>
      </c>
      <c r="D532" s="304" t="s">
        <v>701</v>
      </c>
      <c r="E532" s="377" t="s">
        <v>504</v>
      </c>
      <c r="F532" s="367"/>
      <c r="G532" s="368">
        <v>1</v>
      </c>
      <c r="H532" s="368"/>
      <c r="I532" s="369"/>
      <c r="J532" s="369"/>
      <c r="K532" s="367"/>
      <c r="L532" s="370"/>
    </row>
    <row r="533" spans="1:12" ht="33" customHeight="1" x14ac:dyDescent="0.45">
      <c r="A533" s="344" t="s">
        <v>501</v>
      </c>
      <c r="B533" s="345">
        <v>0.76041666666666663</v>
      </c>
      <c r="C533" s="345" t="s">
        <v>384</v>
      </c>
      <c r="D533" s="304" t="s">
        <v>701</v>
      </c>
      <c r="E533" s="377" t="s">
        <v>504</v>
      </c>
      <c r="F533" s="367"/>
      <c r="G533" s="368">
        <v>1</v>
      </c>
      <c r="H533" s="368"/>
      <c r="I533" s="369"/>
      <c r="J533" s="369"/>
      <c r="K533" s="367"/>
      <c r="L533" s="370"/>
    </row>
    <row r="534" spans="1:12" ht="33" customHeight="1" x14ac:dyDescent="0.45">
      <c r="A534" s="315" t="s">
        <v>376</v>
      </c>
      <c r="B534" s="303">
        <v>0.78125</v>
      </c>
      <c r="C534" s="303" t="s">
        <v>384</v>
      </c>
      <c r="D534" s="304" t="s">
        <v>701</v>
      </c>
      <c r="E534" s="304" t="s">
        <v>503</v>
      </c>
      <c r="F534" s="305"/>
      <c r="G534" s="306">
        <v>1</v>
      </c>
      <c r="H534" s="306"/>
      <c r="I534" s="306"/>
      <c r="J534" s="297"/>
      <c r="K534" s="305"/>
      <c r="L534" s="297"/>
    </row>
    <row r="535" spans="1:12" ht="33" customHeight="1" x14ac:dyDescent="0.45">
      <c r="A535" s="315" t="s">
        <v>336</v>
      </c>
      <c r="B535" s="303"/>
      <c r="C535" s="303" t="s">
        <v>660</v>
      </c>
      <c r="D535" s="304"/>
      <c r="E535" s="304"/>
      <c r="F535" s="305"/>
      <c r="G535" s="306"/>
      <c r="H535" s="306"/>
      <c r="I535" s="306"/>
      <c r="J535" s="297"/>
      <c r="K535" s="305"/>
      <c r="L535" s="297"/>
    </row>
    <row r="536" spans="1:12" ht="33" customHeight="1" x14ac:dyDescent="0.45">
      <c r="A536" s="315" t="s">
        <v>336</v>
      </c>
      <c r="B536" s="303"/>
      <c r="C536" s="303" t="s">
        <v>660</v>
      </c>
      <c r="D536" s="304"/>
      <c r="E536" s="304"/>
      <c r="F536" s="305"/>
      <c r="G536" s="306"/>
      <c r="H536" s="306"/>
      <c r="I536" s="306"/>
      <c r="J536" s="297"/>
      <c r="K536" s="305"/>
      <c r="L536" s="297"/>
    </row>
    <row r="537" spans="1:12" ht="33" customHeight="1" x14ac:dyDescent="0.45">
      <c r="A537" s="315" t="s">
        <v>336</v>
      </c>
      <c r="B537" s="303"/>
      <c r="C537" s="303" t="s">
        <v>660</v>
      </c>
      <c r="D537" s="304"/>
      <c r="E537" s="304"/>
      <c r="F537" s="305"/>
      <c r="G537" s="306"/>
      <c r="H537" s="306"/>
      <c r="I537" s="306"/>
      <c r="J537" s="297"/>
      <c r="K537" s="305"/>
      <c r="L537" s="297"/>
    </row>
    <row r="538" spans="1:12" ht="33" customHeight="1" x14ac:dyDescent="0.45">
      <c r="A538" s="315" t="s">
        <v>336</v>
      </c>
      <c r="B538" s="303"/>
      <c r="C538" s="303" t="s">
        <v>660</v>
      </c>
      <c r="D538" s="304"/>
      <c r="E538" s="304"/>
      <c r="F538" s="305"/>
      <c r="G538" s="306"/>
      <c r="H538" s="306"/>
      <c r="I538" s="306"/>
      <c r="J538" s="297"/>
      <c r="K538" s="305"/>
      <c r="L538" s="297"/>
    </row>
    <row r="539" spans="1:12" ht="33" customHeight="1" x14ac:dyDescent="0.45">
      <c r="C539" s="190" t="s">
        <v>691</v>
      </c>
      <c r="F539" s="137" t="s">
        <v>15</v>
      </c>
    </row>
    <row r="541" spans="1:12" ht="23.25" x14ac:dyDescent="0.45">
      <c r="A541" s="137" t="s">
        <v>18</v>
      </c>
      <c r="B541" s="260" t="s">
        <v>384</v>
      </c>
      <c r="C541" s="241"/>
      <c r="D541" s="241"/>
      <c r="E541" s="241"/>
    </row>
    <row r="542" spans="1:12" ht="21" x14ac:dyDescent="0.45">
      <c r="A542" s="137" t="s">
        <v>13</v>
      </c>
      <c r="B542" s="320" t="s">
        <v>701</v>
      </c>
      <c r="C542" s="254"/>
      <c r="D542" s="254"/>
      <c r="E542" s="598"/>
      <c r="J542" s="600"/>
      <c r="L542" s="600">
        <f>L524+1</f>
        <v>46170</v>
      </c>
    </row>
    <row r="544" spans="1:12" x14ac:dyDescent="0.45">
      <c r="A544" s="141"/>
      <c r="B544" s="142"/>
      <c r="C544" s="142"/>
      <c r="D544" s="142"/>
      <c r="E544" s="142"/>
      <c r="F544" s="142"/>
      <c r="G544" s="142"/>
      <c r="H544" s="142"/>
      <c r="I544" s="142"/>
      <c r="J544" s="319"/>
      <c r="K544" s="319" t="s">
        <v>337</v>
      </c>
      <c r="L544" s="294"/>
    </row>
    <row r="545" spans="1:12" ht="63" x14ac:dyDescent="0.45">
      <c r="A545" s="297" t="s">
        <v>534</v>
      </c>
      <c r="B545" s="298" t="s">
        <v>0</v>
      </c>
      <c r="C545" s="298" t="s">
        <v>332</v>
      </c>
      <c r="D545" s="298" t="s">
        <v>333</v>
      </c>
      <c r="E545" s="298" t="s">
        <v>535</v>
      </c>
      <c r="F545" s="298" t="s">
        <v>1</v>
      </c>
      <c r="G545" s="298" t="s">
        <v>334</v>
      </c>
      <c r="H545" s="298" t="s">
        <v>335</v>
      </c>
      <c r="I545" s="298" t="s">
        <v>23</v>
      </c>
      <c r="J545" s="300" t="s">
        <v>22</v>
      </c>
      <c r="K545" s="298" t="s">
        <v>17</v>
      </c>
      <c r="L545" s="301" t="s">
        <v>12</v>
      </c>
    </row>
    <row r="546" spans="1:12" ht="33.4" customHeight="1" x14ac:dyDescent="0.45">
      <c r="A546" s="344" t="s">
        <v>501</v>
      </c>
      <c r="B546" s="345">
        <v>0.25</v>
      </c>
      <c r="C546" s="345" t="s">
        <v>384</v>
      </c>
      <c r="D546" s="304" t="s">
        <v>701</v>
      </c>
      <c r="E546" s="377" t="s">
        <v>503</v>
      </c>
      <c r="F546" s="580"/>
      <c r="G546" s="368">
        <v>1</v>
      </c>
      <c r="H546" s="363"/>
      <c r="I546" s="580"/>
      <c r="J546" s="365"/>
      <c r="K546" s="580"/>
      <c r="L546" s="366"/>
    </row>
    <row r="547" spans="1:12" ht="33.4" customHeight="1" x14ac:dyDescent="0.45">
      <c r="A547" s="344" t="s">
        <v>376</v>
      </c>
      <c r="B547" s="345">
        <v>0.27083333333333331</v>
      </c>
      <c r="C547" s="345" t="s">
        <v>384</v>
      </c>
      <c r="D547" s="304" t="s">
        <v>701</v>
      </c>
      <c r="E547" s="377" t="s">
        <v>504</v>
      </c>
      <c r="F547" s="367"/>
      <c r="G547" s="368">
        <v>1</v>
      </c>
      <c r="H547" s="368"/>
      <c r="I547" s="370"/>
      <c r="J547" s="370"/>
      <c r="K547" s="367"/>
      <c r="L547" s="370"/>
    </row>
    <row r="548" spans="1:12" ht="33.4" customHeight="1" x14ac:dyDescent="0.45">
      <c r="A548" s="344" t="s">
        <v>376</v>
      </c>
      <c r="B548" s="345">
        <v>0.2951388888888889</v>
      </c>
      <c r="C548" s="345" t="s">
        <v>384</v>
      </c>
      <c r="D548" s="304" t="s">
        <v>701</v>
      </c>
      <c r="E548" s="377" t="s">
        <v>688</v>
      </c>
      <c r="F548" s="367"/>
      <c r="G548" s="368">
        <v>1</v>
      </c>
      <c r="H548" s="368"/>
      <c r="I548" s="370"/>
      <c r="J548" s="370"/>
      <c r="K548" s="367"/>
      <c r="L548" s="370"/>
    </row>
    <row r="549" spans="1:12" ht="33.4" customHeight="1" x14ac:dyDescent="0.45">
      <c r="A549" s="344" t="s">
        <v>501</v>
      </c>
      <c r="B549" s="303">
        <v>0.58333333333333337</v>
      </c>
      <c r="C549" s="303" t="s">
        <v>384</v>
      </c>
      <c r="D549" s="304" t="s">
        <v>701</v>
      </c>
      <c r="E549" s="377" t="s">
        <v>504</v>
      </c>
      <c r="F549" s="367"/>
      <c r="G549" s="368">
        <v>1</v>
      </c>
      <c r="H549" s="368"/>
      <c r="I549" s="370"/>
      <c r="J549" s="370"/>
      <c r="K549" s="367"/>
      <c r="L549" s="370"/>
    </row>
    <row r="550" spans="1:12" ht="33.4" customHeight="1" x14ac:dyDescent="0.45">
      <c r="A550" s="344" t="s">
        <v>376</v>
      </c>
      <c r="B550" s="303">
        <v>0.61805555555555558</v>
      </c>
      <c r="C550" s="303" t="s">
        <v>384</v>
      </c>
      <c r="D550" s="304" t="s">
        <v>701</v>
      </c>
      <c r="E550" s="377" t="s">
        <v>503</v>
      </c>
      <c r="F550" s="367"/>
      <c r="G550" s="368">
        <v>1</v>
      </c>
      <c r="H550" s="368"/>
      <c r="I550" s="370"/>
      <c r="J550" s="370"/>
      <c r="K550" s="367"/>
      <c r="L550" s="370"/>
    </row>
    <row r="551" spans="1:12" ht="33.4" customHeight="1" x14ac:dyDescent="0.45">
      <c r="A551" s="344" t="s">
        <v>376</v>
      </c>
      <c r="B551" s="303">
        <v>0.76041666666666663</v>
      </c>
      <c r="C551" s="303" t="s">
        <v>384</v>
      </c>
      <c r="D551" s="304" t="s">
        <v>701</v>
      </c>
      <c r="E551" s="377" t="s">
        <v>504</v>
      </c>
      <c r="F551" s="367"/>
      <c r="G551" s="368"/>
      <c r="H551" s="368"/>
      <c r="I551" s="370"/>
      <c r="J551" s="370"/>
      <c r="K551" s="367"/>
      <c r="L551" s="370"/>
    </row>
    <row r="552" spans="1:12" ht="33.4" customHeight="1" x14ac:dyDescent="0.45">
      <c r="A552" s="344" t="s">
        <v>501</v>
      </c>
      <c r="B552" s="303">
        <v>0.78125</v>
      </c>
      <c r="C552" s="303" t="s">
        <v>384</v>
      </c>
      <c r="D552" s="304" t="s">
        <v>701</v>
      </c>
      <c r="E552" s="377" t="s">
        <v>504</v>
      </c>
      <c r="F552" s="367"/>
      <c r="G552" s="368"/>
      <c r="H552" s="368"/>
      <c r="I552" s="370"/>
      <c r="J552" s="370"/>
      <c r="K552" s="367"/>
      <c r="L552" s="370"/>
    </row>
    <row r="553" spans="1:12" ht="33.4" customHeight="1" x14ac:dyDescent="0.45">
      <c r="A553" s="344" t="s">
        <v>376</v>
      </c>
      <c r="B553" s="303">
        <v>0.80208333333333337</v>
      </c>
      <c r="C553" s="303" t="s">
        <v>384</v>
      </c>
      <c r="D553" s="304" t="s">
        <v>701</v>
      </c>
      <c r="E553" s="377" t="s">
        <v>503</v>
      </c>
      <c r="F553" s="367"/>
      <c r="G553" s="368"/>
      <c r="H553" s="368"/>
      <c r="I553" s="370"/>
      <c r="J553" s="370"/>
      <c r="K553" s="367"/>
      <c r="L553" s="370"/>
    </row>
    <row r="554" spans="1:12" ht="33.4" customHeight="1" x14ac:dyDescent="0.45">
      <c r="A554" s="344" t="s">
        <v>376</v>
      </c>
      <c r="B554" s="303">
        <v>0.82291666666666663</v>
      </c>
      <c r="C554" s="303" t="s">
        <v>384</v>
      </c>
      <c r="D554" s="304" t="s">
        <v>701</v>
      </c>
      <c r="E554" s="377" t="s">
        <v>503</v>
      </c>
      <c r="F554" s="367"/>
      <c r="G554" s="368"/>
      <c r="H554" s="368"/>
      <c r="I554" s="370"/>
      <c r="J554" s="370"/>
      <c r="K554" s="367"/>
      <c r="L554" s="370"/>
    </row>
    <row r="555" spans="1:12" ht="33.4" customHeight="1" x14ac:dyDescent="0.45">
      <c r="A555" s="315" t="s">
        <v>336</v>
      </c>
      <c r="B555" s="303"/>
      <c r="C555" s="303" t="s">
        <v>660</v>
      </c>
      <c r="D555" s="304"/>
      <c r="E555" s="304"/>
      <c r="F555" s="305"/>
      <c r="G555" s="306"/>
      <c r="H555" s="306"/>
      <c r="I555" s="306"/>
      <c r="J555" s="297"/>
      <c r="K555" s="305"/>
      <c r="L555" s="297"/>
    </row>
    <row r="556" spans="1:12" ht="33.4" customHeight="1" x14ac:dyDescent="0.45">
      <c r="A556" s="315" t="s">
        <v>336</v>
      </c>
      <c r="B556" s="303"/>
      <c r="C556" s="303" t="s">
        <v>660</v>
      </c>
      <c r="D556" s="304"/>
      <c r="E556" s="304"/>
      <c r="F556" s="305"/>
      <c r="G556" s="306"/>
      <c r="H556" s="306"/>
      <c r="I556" s="306"/>
      <c r="J556" s="297"/>
      <c r="K556" s="305"/>
      <c r="L556" s="297"/>
    </row>
    <row r="557" spans="1:12" ht="33.4" customHeight="1" x14ac:dyDescent="0.45">
      <c r="A557" s="315" t="s">
        <v>336</v>
      </c>
      <c r="B557" s="303"/>
      <c r="C557" s="303" t="s">
        <v>660</v>
      </c>
      <c r="D557" s="304"/>
      <c r="E557" s="304"/>
      <c r="F557" s="305"/>
      <c r="G557" s="306"/>
      <c r="H557" s="306"/>
      <c r="I557" s="306"/>
      <c r="J557" s="297"/>
      <c r="K557" s="305"/>
      <c r="L557" s="297"/>
    </row>
    <row r="558" spans="1:12" ht="33.4" customHeight="1" x14ac:dyDescent="0.45">
      <c r="A558" s="315" t="s">
        <v>336</v>
      </c>
      <c r="B558" s="303"/>
      <c r="C558" s="303" t="s">
        <v>660</v>
      </c>
      <c r="D558" s="304"/>
      <c r="E558" s="304"/>
      <c r="F558" s="305"/>
      <c r="G558" s="306"/>
      <c r="H558" s="306"/>
      <c r="I558" s="306"/>
      <c r="J558" s="297"/>
      <c r="K558" s="305"/>
      <c r="L558" s="297"/>
    </row>
    <row r="559" spans="1:12" ht="33.4" customHeight="1" x14ac:dyDescent="0.45">
      <c r="A559" s="315" t="s">
        <v>336</v>
      </c>
      <c r="B559" s="303"/>
      <c r="C559" s="303" t="s">
        <v>660</v>
      </c>
      <c r="D559" s="304"/>
      <c r="E559" s="304"/>
      <c r="F559" s="305"/>
      <c r="G559" s="306"/>
      <c r="H559" s="306"/>
      <c r="I559" s="306"/>
      <c r="J559" s="297"/>
      <c r="K559" s="305"/>
      <c r="L559" s="297"/>
    </row>
    <row r="560" spans="1:12" ht="33.4" customHeight="1" x14ac:dyDescent="0.45">
      <c r="C560" s="190" t="s">
        <v>691</v>
      </c>
      <c r="F560" s="137" t="s">
        <v>15</v>
      </c>
    </row>
    <row r="562" spans="1:12" ht="23.25" x14ac:dyDescent="0.45">
      <c r="A562" s="137" t="s">
        <v>18</v>
      </c>
      <c r="B562" s="260" t="s">
        <v>384</v>
      </c>
      <c r="C562" s="241"/>
      <c r="D562" s="241"/>
      <c r="E562" s="241"/>
    </row>
    <row r="563" spans="1:12" ht="21" x14ac:dyDescent="0.45">
      <c r="A563" s="137" t="s">
        <v>13</v>
      </c>
      <c r="B563" s="320" t="s">
        <v>701</v>
      </c>
      <c r="C563" s="254"/>
      <c r="D563" s="254"/>
      <c r="E563" s="598"/>
      <c r="J563" s="600"/>
      <c r="L563" s="600">
        <f>L542+1</f>
        <v>46171</v>
      </c>
    </row>
    <row r="565" spans="1:12" x14ac:dyDescent="0.45">
      <c r="A565" s="141"/>
      <c r="B565" s="142"/>
      <c r="C565" s="142"/>
      <c r="D565" s="142"/>
      <c r="E565" s="142"/>
      <c r="F565" s="142"/>
      <c r="G565" s="142"/>
      <c r="H565" s="142"/>
      <c r="I565" s="142"/>
      <c r="J565" s="319"/>
      <c r="K565" s="319" t="s">
        <v>337</v>
      </c>
      <c r="L565" s="294"/>
    </row>
    <row r="566" spans="1:12" ht="63" x14ac:dyDescent="0.45">
      <c r="A566" s="297" t="s">
        <v>534</v>
      </c>
      <c r="B566" s="298" t="s">
        <v>0</v>
      </c>
      <c r="C566" s="298" t="s">
        <v>332</v>
      </c>
      <c r="D566" s="298" t="s">
        <v>333</v>
      </c>
      <c r="E566" s="298" t="s">
        <v>535</v>
      </c>
      <c r="F566" s="298" t="s">
        <v>1</v>
      </c>
      <c r="G566" s="298" t="s">
        <v>334</v>
      </c>
      <c r="H566" s="298" t="s">
        <v>335</v>
      </c>
      <c r="I566" s="298" t="s">
        <v>23</v>
      </c>
      <c r="J566" s="300" t="s">
        <v>22</v>
      </c>
      <c r="K566" s="298" t="s">
        <v>17</v>
      </c>
      <c r="L566" s="301" t="s">
        <v>12</v>
      </c>
    </row>
    <row r="567" spans="1:12" ht="33.4" customHeight="1" x14ac:dyDescent="0.45">
      <c r="A567" s="344" t="s">
        <v>501</v>
      </c>
      <c r="B567" s="345">
        <v>0.25</v>
      </c>
      <c r="C567" s="345" t="s">
        <v>384</v>
      </c>
      <c r="D567" s="304" t="s">
        <v>701</v>
      </c>
      <c r="E567" s="377" t="s">
        <v>503</v>
      </c>
      <c r="F567" s="580"/>
      <c r="G567" s="368">
        <v>1</v>
      </c>
      <c r="H567" s="363"/>
      <c r="I567" s="580"/>
      <c r="J567" s="365"/>
      <c r="K567" s="580"/>
      <c r="L567" s="366"/>
    </row>
    <row r="568" spans="1:12" ht="33.4" customHeight="1" x14ac:dyDescent="0.45">
      <c r="A568" s="344" t="s">
        <v>376</v>
      </c>
      <c r="B568" s="345">
        <v>0.27083333333333331</v>
      </c>
      <c r="C568" s="345" t="s">
        <v>384</v>
      </c>
      <c r="D568" s="304" t="s">
        <v>701</v>
      </c>
      <c r="E568" s="377" t="s">
        <v>504</v>
      </c>
      <c r="F568" s="367"/>
      <c r="G568" s="368">
        <v>1</v>
      </c>
      <c r="H568" s="368"/>
      <c r="I568" s="370"/>
      <c r="J568" s="370"/>
      <c r="K568" s="367"/>
      <c r="L568" s="370"/>
    </row>
    <row r="569" spans="1:12" ht="33.4" customHeight="1" x14ac:dyDescent="0.45">
      <c r="A569" s="344" t="s">
        <v>376</v>
      </c>
      <c r="B569" s="345">
        <v>0.2951388888888889</v>
      </c>
      <c r="C569" s="345" t="s">
        <v>384</v>
      </c>
      <c r="D569" s="304" t="s">
        <v>701</v>
      </c>
      <c r="E569" s="377" t="s">
        <v>688</v>
      </c>
      <c r="F569" s="367"/>
      <c r="G569" s="368">
        <v>1</v>
      </c>
      <c r="H569" s="368"/>
      <c r="I569" s="370"/>
      <c r="J569" s="370"/>
      <c r="K569" s="367"/>
      <c r="L569" s="370"/>
    </row>
    <row r="570" spans="1:12" ht="33.4" customHeight="1" x14ac:dyDescent="0.45">
      <c r="A570" s="344" t="s">
        <v>501</v>
      </c>
      <c r="B570" s="303">
        <v>0.58333333333333337</v>
      </c>
      <c r="C570" s="303" t="s">
        <v>384</v>
      </c>
      <c r="D570" s="304" t="s">
        <v>701</v>
      </c>
      <c r="E570" s="377" t="s">
        <v>504</v>
      </c>
      <c r="F570" s="367"/>
      <c r="G570" s="368">
        <v>1</v>
      </c>
      <c r="H570" s="368"/>
      <c r="I570" s="370"/>
      <c r="J570" s="370"/>
      <c r="K570" s="367"/>
      <c r="L570" s="370"/>
    </row>
    <row r="571" spans="1:12" ht="33.4" customHeight="1" x14ac:dyDescent="0.45">
      <c r="A571" s="344" t="s">
        <v>376</v>
      </c>
      <c r="B571" s="303">
        <v>0.61805555555555558</v>
      </c>
      <c r="C571" s="303" t="s">
        <v>384</v>
      </c>
      <c r="D571" s="304" t="s">
        <v>701</v>
      </c>
      <c r="E571" s="377" t="s">
        <v>503</v>
      </c>
      <c r="F571" s="367"/>
      <c r="G571" s="368">
        <v>1</v>
      </c>
      <c r="H571" s="368"/>
      <c r="I571" s="370"/>
      <c r="J571" s="370"/>
      <c r="K571" s="367"/>
      <c r="L571" s="370"/>
    </row>
    <row r="572" spans="1:12" ht="33.4" customHeight="1" x14ac:dyDescent="0.45">
      <c r="A572" s="344" t="s">
        <v>376</v>
      </c>
      <c r="B572" s="303">
        <v>0.76041666666666663</v>
      </c>
      <c r="C572" s="303" t="s">
        <v>384</v>
      </c>
      <c r="D572" s="304" t="s">
        <v>701</v>
      </c>
      <c r="E572" s="377" t="s">
        <v>504</v>
      </c>
      <c r="F572" s="367"/>
      <c r="G572" s="368"/>
      <c r="H572" s="368"/>
      <c r="I572" s="370"/>
      <c r="J572" s="370"/>
      <c r="K572" s="367"/>
      <c r="L572" s="370"/>
    </row>
    <row r="573" spans="1:12" ht="33.4" customHeight="1" x14ac:dyDescent="0.45">
      <c r="A573" s="344" t="s">
        <v>501</v>
      </c>
      <c r="B573" s="303">
        <v>0.78125</v>
      </c>
      <c r="C573" s="303" t="s">
        <v>384</v>
      </c>
      <c r="D573" s="304" t="s">
        <v>701</v>
      </c>
      <c r="E573" s="377" t="s">
        <v>504</v>
      </c>
      <c r="F573" s="367"/>
      <c r="G573" s="368"/>
      <c r="H573" s="368"/>
      <c r="I573" s="370"/>
      <c r="J573" s="370"/>
      <c r="K573" s="367"/>
      <c r="L573" s="370"/>
    </row>
    <row r="574" spans="1:12" ht="33.4" customHeight="1" x14ac:dyDescent="0.45">
      <c r="A574" s="344" t="s">
        <v>376</v>
      </c>
      <c r="B574" s="303">
        <v>0.80208333333333337</v>
      </c>
      <c r="C574" s="303" t="s">
        <v>384</v>
      </c>
      <c r="D574" s="304" t="s">
        <v>701</v>
      </c>
      <c r="E574" s="377" t="s">
        <v>503</v>
      </c>
      <c r="F574" s="367"/>
      <c r="G574" s="368"/>
      <c r="H574" s="368"/>
      <c r="I574" s="370"/>
      <c r="J574" s="370"/>
      <c r="K574" s="367"/>
      <c r="L574" s="370"/>
    </row>
    <row r="575" spans="1:12" ht="33.4" customHeight="1" x14ac:dyDescent="0.45">
      <c r="A575" s="344" t="s">
        <v>376</v>
      </c>
      <c r="B575" s="303">
        <v>0.82291666666666663</v>
      </c>
      <c r="C575" s="303" t="s">
        <v>384</v>
      </c>
      <c r="D575" s="304" t="s">
        <v>701</v>
      </c>
      <c r="E575" s="377" t="s">
        <v>503</v>
      </c>
      <c r="F575" s="367"/>
      <c r="G575" s="368"/>
      <c r="H575" s="368"/>
      <c r="I575" s="370"/>
      <c r="J575" s="370"/>
      <c r="K575" s="367"/>
      <c r="L575" s="370"/>
    </row>
    <row r="576" spans="1:12" ht="33.4" customHeight="1" x14ac:dyDescent="0.45">
      <c r="A576" s="315" t="s">
        <v>336</v>
      </c>
      <c r="B576" s="303"/>
      <c r="C576" s="303" t="s">
        <v>660</v>
      </c>
      <c r="D576" s="304"/>
      <c r="E576" s="304"/>
      <c r="F576" s="305"/>
      <c r="G576" s="306"/>
      <c r="H576" s="306"/>
      <c r="I576" s="306"/>
      <c r="J576" s="297"/>
      <c r="K576" s="305"/>
      <c r="L576" s="297"/>
    </row>
    <row r="577" spans="1:12" ht="33.4" customHeight="1" x14ac:dyDescent="0.45">
      <c r="A577" s="315" t="s">
        <v>336</v>
      </c>
      <c r="B577" s="303"/>
      <c r="C577" s="303" t="s">
        <v>660</v>
      </c>
      <c r="D577" s="304"/>
      <c r="E577" s="304"/>
      <c r="F577" s="305"/>
      <c r="G577" s="306"/>
      <c r="H577" s="306"/>
      <c r="I577" s="306"/>
      <c r="J577" s="297"/>
      <c r="K577" s="305"/>
      <c r="L577" s="297"/>
    </row>
    <row r="578" spans="1:12" ht="33.4" customHeight="1" x14ac:dyDescent="0.45">
      <c r="A578" s="315" t="s">
        <v>336</v>
      </c>
      <c r="B578" s="303"/>
      <c r="C578" s="303" t="s">
        <v>660</v>
      </c>
      <c r="D578" s="304"/>
      <c r="E578" s="304"/>
      <c r="F578" s="305"/>
      <c r="G578" s="306"/>
      <c r="H578" s="306"/>
      <c r="I578" s="306"/>
      <c r="J578" s="297"/>
      <c r="K578" s="305"/>
      <c r="L578" s="297"/>
    </row>
    <row r="579" spans="1:12" ht="33.4" customHeight="1" x14ac:dyDescent="0.45">
      <c r="A579" s="315" t="s">
        <v>336</v>
      </c>
      <c r="B579" s="303"/>
      <c r="C579" s="303" t="s">
        <v>660</v>
      </c>
      <c r="D579" s="304"/>
      <c r="E579" s="304"/>
      <c r="F579" s="305"/>
      <c r="G579" s="306"/>
      <c r="H579" s="306"/>
      <c r="I579" s="306"/>
      <c r="J579" s="297"/>
      <c r="K579" s="305"/>
      <c r="L579" s="297"/>
    </row>
    <row r="580" spans="1:12" ht="33.4" customHeight="1" x14ac:dyDescent="0.45">
      <c r="A580" s="315" t="s">
        <v>336</v>
      </c>
      <c r="B580" s="303"/>
      <c r="C580" s="303" t="s">
        <v>660</v>
      </c>
      <c r="D580" s="304"/>
      <c r="E580" s="304"/>
      <c r="F580" s="305"/>
      <c r="G580" s="306"/>
      <c r="H580" s="306"/>
      <c r="I580" s="306"/>
      <c r="J580" s="297"/>
      <c r="K580" s="305"/>
      <c r="L580" s="297"/>
    </row>
    <row r="581" spans="1:12" ht="33.4" customHeight="1" x14ac:dyDescent="0.45">
      <c r="C581" s="190" t="s">
        <v>691</v>
      </c>
      <c r="F581" s="137" t="s">
        <v>15</v>
      </c>
    </row>
    <row r="583" spans="1:12" ht="23.25" x14ac:dyDescent="0.45">
      <c r="A583" s="137" t="s">
        <v>18</v>
      </c>
      <c r="B583" s="260" t="s">
        <v>384</v>
      </c>
      <c r="C583" s="241"/>
      <c r="D583" s="241"/>
      <c r="E583" s="241"/>
    </row>
    <row r="584" spans="1:12" ht="21" x14ac:dyDescent="0.45">
      <c r="A584" s="137" t="s">
        <v>13</v>
      </c>
      <c r="B584" s="320" t="s">
        <v>701</v>
      </c>
      <c r="C584" s="254"/>
      <c r="D584" s="254"/>
      <c r="E584" s="598"/>
      <c r="J584" s="600"/>
      <c r="L584" s="600">
        <f>L563+1</f>
        <v>46172</v>
      </c>
    </row>
    <row r="586" spans="1:12" x14ac:dyDescent="0.45">
      <c r="A586" s="141"/>
      <c r="B586" s="142"/>
      <c r="C586" s="142"/>
      <c r="D586" s="142"/>
      <c r="E586" s="142"/>
      <c r="F586" s="142"/>
      <c r="G586" s="142"/>
      <c r="H586" s="142"/>
      <c r="I586" s="142"/>
      <c r="J586" s="319"/>
      <c r="K586" s="319" t="s">
        <v>337</v>
      </c>
      <c r="L586" s="294"/>
    </row>
    <row r="587" spans="1:12" ht="63" x14ac:dyDescent="0.45">
      <c r="A587" s="297" t="s">
        <v>534</v>
      </c>
      <c r="B587" s="298" t="s">
        <v>0</v>
      </c>
      <c r="C587" s="298" t="s">
        <v>332</v>
      </c>
      <c r="D587" s="298" t="s">
        <v>333</v>
      </c>
      <c r="E587" s="298" t="s">
        <v>535</v>
      </c>
      <c r="F587" s="298" t="s">
        <v>1</v>
      </c>
      <c r="G587" s="298" t="s">
        <v>334</v>
      </c>
      <c r="H587" s="298" t="s">
        <v>335</v>
      </c>
      <c r="I587" s="298" t="s">
        <v>23</v>
      </c>
      <c r="J587" s="300" t="s">
        <v>22</v>
      </c>
      <c r="K587" s="298" t="s">
        <v>17</v>
      </c>
      <c r="L587" s="301" t="s">
        <v>12</v>
      </c>
    </row>
    <row r="588" spans="1:12" ht="33" customHeight="1" x14ac:dyDescent="0.45">
      <c r="A588" s="344" t="s">
        <v>501</v>
      </c>
      <c r="B588" s="345">
        <v>0.25</v>
      </c>
      <c r="C588" s="345" t="s">
        <v>384</v>
      </c>
      <c r="D588" s="304" t="s">
        <v>701</v>
      </c>
      <c r="E588" s="377" t="s">
        <v>503</v>
      </c>
      <c r="F588" s="580"/>
      <c r="G588" s="368">
        <v>1</v>
      </c>
      <c r="H588" s="363"/>
      <c r="I588" s="580"/>
      <c r="J588" s="365"/>
      <c r="K588" s="580"/>
      <c r="L588" s="366"/>
    </row>
    <row r="589" spans="1:12" ht="33" customHeight="1" x14ac:dyDescent="0.45">
      <c r="A589" s="344" t="s">
        <v>376</v>
      </c>
      <c r="B589" s="345">
        <v>0.27083333333333331</v>
      </c>
      <c r="C589" s="345" t="s">
        <v>384</v>
      </c>
      <c r="D589" s="304" t="s">
        <v>701</v>
      </c>
      <c r="E589" s="377" t="s">
        <v>504</v>
      </c>
      <c r="F589" s="367"/>
      <c r="G589" s="368">
        <v>1</v>
      </c>
      <c r="H589" s="368"/>
      <c r="I589" s="370"/>
      <c r="J589" s="370"/>
      <c r="K589" s="367"/>
      <c r="L589" s="370"/>
    </row>
    <row r="590" spans="1:12" ht="33" customHeight="1" x14ac:dyDescent="0.45">
      <c r="A590" s="344" t="s">
        <v>376</v>
      </c>
      <c r="B590" s="345">
        <v>0.2951388888888889</v>
      </c>
      <c r="C590" s="345" t="s">
        <v>384</v>
      </c>
      <c r="D590" s="304" t="s">
        <v>701</v>
      </c>
      <c r="E590" s="377" t="s">
        <v>688</v>
      </c>
      <c r="F590" s="367"/>
      <c r="G590" s="368">
        <v>1</v>
      </c>
      <c r="H590" s="368"/>
      <c r="I590" s="370"/>
      <c r="J590" s="370"/>
      <c r="K590" s="367"/>
      <c r="L590" s="370"/>
    </row>
    <row r="591" spans="1:12" ht="33" customHeight="1" x14ac:dyDescent="0.45">
      <c r="A591" s="344" t="s">
        <v>501</v>
      </c>
      <c r="B591" s="303">
        <v>0.58333333333333337</v>
      </c>
      <c r="C591" s="303" t="s">
        <v>384</v>
      </c>
      <c r="D591" s="304" t="s">
        <v>701</v>
      </c>
      <c r="E591" s="377" t="s">
        <v>504</v>
      </c>
      <c r="F591" s="367"/>
      <c r="G591" s="368">
        <v>1</v>
      </c>
      <c r="H591" s="368"/>
      <c r="I591" s="370"/>
      <c r="J591" s="370"/>
      <c r="K591" s="367"/>
      <c r="L591" s="370"/>
    </row>
    <row r="592" spans="1:12" ht="33" customHeight="1" x14ac:dyDescent="0.45">
      <c r="A592" s="344" t="s">
        <v>376</v>
      </c>
      <c r="B592" s="303">
        <v>0.61805555555555558</v>
      </c>
      <c r="C592" s="303" t="s">
        <v>384</v>
      </c>
      <c r="D592" s="304" t="s">
        <v>701</v>
      </c>
      <c r="E592" s="377" t="s">
        <v>503</v>
      </c>
      <c r="F592" s="367"/>
      <c r="G592" s="368">
        <v>1</v>
      </c>
      <c r="H592" s="368"/>
      <c r="I592" s="370"/>
      <c r="J592" s="370"/>
      <c r="K592" s="367"/>
      <c r="L592" s="370"/>
    </row>
    <row r="593" spans="1:12" ht="33" customHeight="1" x14ac:dyDescent="0.45">
      <c r="A593" s="344" t="s">
        <v>376</v>
      </c>
      <c r="B593" s="303">
        <v>0.76041666666666663</v>
      </c>
      <c r="C593" s="303" t="s">
        <v>384</v>
      </c>
      <c r="D593" s="304" t="s">
        <v>701</v>
      </c>
      <c r="E593" s="377" t="s">
        <v>504</v>
      </c>
      <c r="F593" s="367"/>
      <c r="G593" s="368"/>
      <c r="H593" s="368"/>
      <c r="I593" s="370"/>
      <c r="J593" s="370"/>
      <c r="K593" s="367"/>
      <c r="L593" s="370"/>
    </row>
    <row r="594" spans="1:12" ht="33" customHeight="1" x14ac:dyDescent="0.45">
      <c r="A594" s="344" t="s">
        <v>501</v>
      </c>
      <c r="B594" s="303">
        <v>0.78125</v>
      </c>
      <c r="C594" s="303" t="s">
        <v>384</v>
      </c>
      <c r="D594" s="304" t="s">
        <v>701</v>
      </c>
      <c r="E594" s="377" t="s">
        <v>504</v>
      </c>
      <c r="F594" s="367"/>
      <c r="G594" s="368"/>
      <c r="H594" s="368"/>
      <c r="I594" s="370"/>
      <c r="J594" s="370"/>
      <c r="K594" s="367"/>
      <c r="L594" s="370"/>
    </row>
    <row r="595" spans="1:12" ht="33" customHeight="1" x14ac:dyDescent="0.45">
      <c r="A595" s="344" t="s">
        <v>376</v>
      </c>
      <c r="B595" s="303">
        <v>0.80208333333333337</v>
      </c>
      <c r="C595" s="303" t="s">
        <v>384</v>
      </c>
      <c r="D595" s="304" t="s">
        <v>701</v>
      </c>
      <c r="E595" s="377" t="s">
        <v>503</v>
      </c>
      <c r="F595" s="367"/>
      <c r="G595" s="368"/>
      <c r="H595" s="368"/>
      <c r="I595" s="370"/>
      <c r="J595" s="370"/>
      <c r="K595" s="367"/>
      <c r="L595" s="370"/>
    </row>
    <row r="596" spans="1:12" ht="33" customHeight="1" x14ac:dyDescent="0.45">
      <c r="A596" s="344" t="s">
        <v>376</v>
      </c>
      <c r="B596" s="303">
        <v>0.82291666666666663</v>
      </c>
      <c r="C596" s="303" t="s">
        <v>384</v>
      </c>
      <c r="D596" s="304" t="s">
        <v>701</v>
      </c>
      <c r="E596" s="377" t="s">
        <v>503</v>
      </c>
      <c r="F596" s="367"/>
      <c r="G596" s="368"/>
      <c r="H596" s="368"/>
      <c r="I596" s="370"/>
      <c r="J596" s="370"/>
      <c r="K596" s="367"/>
      <c r="L596" s="370"/>
    </row>
    <row r="597" spans="1:12" ht="33" customHeight="1" x14ac:dyDescent="0.45">
      <c r="A597" s="315" t="s">
        <v>336</v>
      </c>
      <c r="B597" s="303"/>
      <c r="C597" s="303" t="s">
        <v>660</v>
      </c>
      <c r="D597" s="304"/>
      <c r="E597" s="304"/>
      <c r="F597" s="305"/>
      <c r="G597" s="306"/>
      <c r="H597" s="306"/>
      <c r="I597" s="306"/>
      <c r="J597" s="297"/>
      <c r="K597" s="305"/>
      <c r="L597" s="297"/>
    </row>
    <row r="598" spans="1:12" ht="33" customHeight="1" x14ac:dyDescent="0.45">
      <c r="A598" s="315" t="s">
        <v>336</v>
      </c>
      <c r="B598" s="303"/>
      <c r="C598" s="303" t="s">
        <v>660</v>
      </c>
      <c r="D598" s="304"/>
      <c r="E598" s="304"/>
      <c r="F598" s="305"/>
      <c r="G598" s="306"/>
      <c r="H598" s="306"/>
      <c r="I598" s="306"/>
      <c r="J598" s="297"/>
      <c r="K598" s="305"/>
      <c r="L598" s="297"/>
    </row>
    <row r="599" spans="1:12" ht="33" customHeight="1" x14ac:dyDescent="0.45">
      <c r="A599" s="315" t="s">
        <v>336</v>
      </c>
      <c r="B599" s="303"/>
      <c r="C599" s="303" t="s">
        <v>660</v>
      </c>
      <c r="D599" s="304"/>
      <c r="E599" s="304"/>
      <c r="F599" s="305"/>
      <c r="G599" s="306"/>
      <c r="H599" s="306"/>
      <c r="I599" s="306"/>
      <c r="J599" s="297"/>
      <c r="K599" s="305"/>
      <c r="L599" s="297"/>
    </row>
    <row r="600" spans="1:12" ht="33" customHeight="1" x14ac:dyDescent="0.45">
      <c r="A600" s="315" t="s">
        <v>336</v>
      </c>
      <c r="B600" s="303"/>
      <c r="C600" s="303" t="s">
        <v>660</v>
      </c>
      <c r="D600" s="304"/>
      <c r="E600" s="304"/>
      <c r="F600" s="305"/>
      <c r="G600" s="306"/>
      <c r="H600" s="306"/>
      <c r="I600" s="306"/>
      <c r="J600" s="297"/>
      <c r="K600" s="305"/>
      <c r="L600" s="297"/>
    </row>
    <row r="601" spans="1:12" ht="33" customHeight="1" x14ac:dyDescent="0.45">
      <c r="A601" s="315" t="s">
        <v>336</v>
      </c>
      <c r="B601" s="303"/>
      <c r="C601" s="303" t="s">
        <v>660</v>
      </c>
      <c r="D601" s="304"/>
      <c r="E601" s="304"/>
      <c r="F601" s="305"/>
      <c r="G601" s="306"/>
      <c r="H601" s="306"/>
      <c r="I601" s="306"/>
      <c r="J601" s="297"/>
      <c r="K601" s="305"/>
      <c r="L601" s="297"/>
    </row>
    <row r="602" spans="1:12" ht="33" customHeight="1" x14ac:dyDescent="0.45">
      <c r="C602" s="190" t="s">
        <v>691</v>
      </c>
      <c r="F602" s="137" t="s">
        <v>15</v>
      </c>
    </row>
    <row r="604" spans="1:12" ht="23.25" x14ac:dyDescent="0.45">
      <c r="A604" s="137" t="s">
        <v>18</v>
      </c>
      <c r="B604" s="260" t="s">
        <v>384</v>
      </c>
      <c r="C604" s="241"/>
      <c r="D604" s="241"/>
      <c r="E604" s="241"/>
    </row>
    <row r="605" spans="1:12" ht="21" x14ac:dyDescent="0.45">
      <c r="A605" s="137" t="s">
        <v>13</v>
      </c>
      <c r="B605" s="320" t="s">
        <v>701</v>
      </c>
      <c r="C605" s="254"/>
      <c r="D605" s="254"/>
      <c r="E605" s="598"/>
      <c r="J605" s="600"/>
      <c r="L605" s="607">
        <f>L584+1</f>
        <v>46173</v>
      </c>
    </row>
    <row r="607" spans="1:12" ht="15.75" x14ac:dyDescent="0.45">
      <c r="A607" s="297"/>
      <c r="B607" s="298"/>
      <c r="C607" s="298"/>
      <c r="D607" s="298"/>
      <c r="E607" s="298"/>
      <c r="F607" s="298"/>
      <c r="G607" s="298"/>
      <c r="H607" s="298"/>
      <c r="I607" s="298"/>
      <c r="J607" s="300"/>
      <c r="K607" s="298" t="s">
        <v>337</v>
      </c>
      <c r="L607" s="301"/>
    </row>
    <row r="608" spans="1:12" ht="63" x14ac:dyDescent="0.45">
      <c r="A608" s="344" t="s">
        <v>534</v>
      </c>
      <c r="B608" s="345" t="s">
        <v>0</v>
      </c>
      <c r="C608" s="345" t="s">
        <v>332</v>
      </c>
      <c r="D608" s="304" t="s">
        <v>333</v>
      </c>
      <c r="E608" s="377" t="s">
        <v>535</v>
      </c>
      <c r="F608" s="362" t="s">
        <v>1</v>
      </c>
      <c r="G608" s="368" t="s">
        <v>334</v>
      </c>
      <c r="H608" s="363" t="s">
        <v>335</v>
      </c>
      <c r="I608" s="362" t="s">
        <v>23</v>
      </c>
      <c r="J608" s="365" t="s">
        <v>22</v>
      </c>
      <c r="K608" s="362" t="s">
        <v>17</v>
      </c>
      <c r="L608" s="366" t="s">
        <v>12</v>
      </c>
    </row>
    <row r="609" spans="1:12" ht="25.9" customHeight="1" x14ac:dyDescent="0.45">
      <c r="A609" s="344" t="s">
        <v>501</v>
      </c>
      <c r="B609" s="345">
        <v>0.25</v>
      </c>
      <c r="C609" s="345" t="s">
        <v>384</v>
      </c>
      <c r="D609" s="304" t="s">
        <v>701</v>
      </c>
      <c r="E609" s="377" t="s">
        <v>503</v>
      </c>
      <c r="F609" s="367"/>
      <c r="G609" s="368">
        <v>1</v>
      </c>
      <c r="H609" s="368"/>
      <c r="I609" s="369"/>
      <c r="J609" s="369"/>
      <c r="K609" s="367"/>
      <c r="L609" s="370"/>
    </row>
    <row r="610" spans="1:12" ht="25.9" customHeight="1" x14ac:dyDescent="0.45">
      <c r="A610" s="344" t="s">
        <v>376</v>
      </c>
      <c r="B610" s="345">
        <v>0.27083333333333331</v>
      </c>
      <c r="C610" s="345" t="s">
        <v>384</v>
      </c>
      <c r="D610" s="304" t="s">
        <v>701</v>
      </c>
      <c r="E610" s="377" t="s">
        <v>504</v>
      </c>
      <c r="F610" s="367"/>
      <c r="G610" s="368">
        <v>1</v>
      </c>
      <c r="H610" s="368"/>
      <c r="I610" s="369"/>
      <c r="J610" s="369"/>
      <c r="K610" s="367"/>
      <c r="L610" s="370"/>
    </row>
    <row r="611" spans="1:12" ht="25.9" customHeight="1" x14ac:dyDescent="0.45">
      <c r="A611" s="344" t="s">
        <v>376</v>
      </c>
      <c r="B611" s="345">
        <v>0.2951388888888889</v>
      </c>
      <c r="C611" s="345" t="s">
        <v>384</v>
      </c>
      <c r="D611" s="304" t="s">
        <v>701</v>
      </c>
      <c r="E611" s="377" t="s">
        <v>504</v>
      </c>
      <c r="F611" s="362"/>
      <c r="G611" s="368">
        <v>1</v>
      </c>
      <c r="H611" s="363"/>
      <c r="I611" s="362"/>
      <c r="J611" s="365"/>
      <c r="K611" s="362"/>
      <c r="L611" s="366"/>
    </row>
    <row r="612" spans="1:12" ht="25.9" customHeight="1" x14ac:dyDescent="0.45">
      <c r="A612" s="344" t="s">
        <v>501</v>
      </c>
      <c r="B612" s="345">
        <v>0.58333333333333337</v>
      </c>
      <c r="C612" s="345" t="s">
        <v>384</v>
      </c>
      <c r="D612" s="304" t="s">
        <v>701</v>
      </c>
      <c r="E612" s="377" t="s">
        <v>504</v>
      </c>
      <c r="F612" s="367"/>
      <c r="G612" s="368">
        <v>1</v>
      </c>
      <c r="H612" s="368"/>
      <c r="I612" s="369"/>
      <c r="J612" s="369"/>
      <c r="K612" s="367"/>
      <c r="L612" s="370"/>
    </row>
    <row r="613" spans="1:12" ht="25.9" customHeight="1" x14ac:dyDescent="0.45">
      <c r="A613" s="344" t="s">
        <v>501</v>
      </c>
      <c r="B613" s="345">
        <v>0.625</v>
      </c>
      <c r="C613" s="345" t="s">
        <v>384</v>
      </c>
      <c r="D613" s="304" t="s">
        <v>701</v>
      </c>
      <c r="E613" s="377" t="s">
        <v>504</v>
      </c>
      <c r="F613" s="367"/>
      <c r="G613" s="368">
        <v>1</v>
      </c>
      <c r="H613" s="368"/>
      <c r="I613" s="369"/>
      <c r="J613" s="369"/>
      <c r="K613" s="367"/>
      <c r="L613" s="370"/>
    </row>
    <row r="614" spans="1:12" ht="25.9" customHeight="1" x14ac:dyDescent="0.45">
      <c r="A614" s="344" t="s">
        <v>501</v>
      </c>
      <c r="B614" s="345">
        <v>0.76041666666666663</v>
      </c>
      <c r="C614" s="345" t="s">
        <v>384</v>
      </c>
      <c r="D614" s="304" t="s">
        <v>701</v>
      </c>
      <c r="E614" s="377" t="s">
        <v>504</v>
      </c>
      <c r="F614" s="367"/>
      <c r="G614" s="368">
        <v>1</v>
      </c>
      <c r="H614" s="368"/>
      <c r="I614" s="369"/>
      <c r="J614" s="369"/>
      <c r="K614" s="367"/>
      <c r="L614" s="370"/>
    </row>
    <row r="615" spans="1:12" ht="30" customHeight="1" x14ac:dyDescent="0.45">
      <c r="A615" s="315" t="s">
        <v>376</v>
      </c>
      <c r="B615" s="303">
        <v>0.78125</v>
      </c>
      <c r="C615" s="303" t="s">
        <v>384</v>
      </c>
      <c r="D615" s="304" t="s">
        <v>701</v>
      </c>
      <c r="E615" s="304" t="s">
        <v>503</v>
      </c>
      <c r="F615" s="305"/>
      <c r="G615" s="306">
        <v>1</v>
      </c>
      <c r="H615" s="306"/>
      <c r="I615" s="306"/>
      <c r="J615" s="297"/>
      <c r="K615" s="305"/>
      <c r="L615" s="297"/>
    </row>
    <row r="616" spans="1:12" ht="30" customHeight="1" x14ac:dyDescent="0.45">
      <c r="A616" s="315" t="s">
        <v>336</v>
      </c>
      <c r="B616" s="303"/>
      <c r="C616" s="303" t="s">
        <v>660</v>
      </c>
      <c r="D616" s="304"/>
      <c r="E616" s="304"/>
      <c r="F616" s="305"/>
      <c r="G616" s="306"/>
      <c r="H616" s="306"/>
      <c r="I616" s="306"/>
      <c r="J616" s="297"/>
      <c r="K616" s="305"/>
      <c r="L616" s="297"/>
    </row>
    <row r="617" spans="1:12" ht="30" customHeight="1" x14ac:dyDescent="0.45">
      <c r="A617" s="315" t="s">
        <v>336</v>
      </c>
      <c r="B617" s="303"/>
      <c r="C617" s="303" t="s">
        <v>660</v>
      </c>
      <c r="D617" s="304"/>
      <c r="E617" s="304"/>
      <c r="F617" s="305"/>
      <c r="G617" s="306"/>
      <c r="H617" s="306"/>
      <c r="I617" s="306"/>
      <c r="J617" s="297"/>
      <c r="K617" s="305"/>
      <c r="L617" s="297"/>
    </row>
    <row r="618" spans="1:12" ht="30" customHeight="1" x14ac:dyDescent="0.45">
      <c r="A618" s="315" t="s">
        <v>336</v>
      </c>
      <c r="B618" s="303"/>
      <c r="C618" s="303" t="s">
        <v>660</v>
      </c>
      <c r="D618" s="304"/>
      <c r="E618" s="304"/>
      <c r="F618" s="305"/>
      <c r="G618" s="306"/>
      <c r="H618" s="306"/>
      <c r="I618" s="306"/>
      <c r="J618" s="297"/>
      <c r="K618" s="305"/>
      <c r="L618" s="297"/>
    </row>
    <row r="619" spans="1:12" ht="30" customHeight="1" x14ac:dyDescent="0.45">
      <c r="A619" s="315" t="s">
        <v>336</v>
      </c>
      <c r="B619" s="303"/>
      <c r="C619" s="303" t="s">
        <v>660</v>
      </c>
      <c r="D619" s="304"/>
      <c r="E619" s="304"/>
      <c r="F619" s="305"/>
      <c r="G619" s="306"/>
      <c r="H619" s="306"/>
      <c r="I619" s="306"/>
      <c r="J619" s="297"/>
      <c r="K619" s="305"/>
      <c r="L619" s="297"/>
    </row>
    <row r="620" spans="1:12" x14ac:dyDescent="0.45">
      <c r="C620" s="190" t="s">
        <v>691</v>
      </c>
      <c r="F620" s="137" t="s">
        <v>15</v>
      </c>
    </row>
  </sheetData>
  <sheetProtection formatCells="0" formatColumns="0" formatRows="0" autoFilter="0"/>
  <autoFilter ref="A7:P18" xr:uid="{5B5BBBDE-33E3-4462-B288-63EC9F5FA152}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0" fitToHeight="0" orientation="portrait" copies="10" r:id="rId1"/>
  <rowBreaks count="30" manualBreakCount="30">
    <brk id="19" max="16383" man="1"/>
    <brk id="40" max="11" man="1"/>
    <brk id="57" max="16383" man="1"/>
    <brk id="78" max="11" man="1"/>
    <brk id="99" max="11" man="1"/>
    <brk id="119" max="11" man="1"/>
    <brk id="139" max="11" man="1"/>
    <brk id="156" max="11" man="1"/>
    <brk id="177" max="11" man="1"/>
    <brk id="194" max="16383" man="1"/>
    <brk id="215" max="11" man="1"/>
    <brk id="237" max="16383" man="1"/>
    <brk id="258" max="16383" man="1"/>
    <brk id="276" max="16383" man="1"/>
    <brk id="297" max="16383" man="1"/>
    <brk id="318" max="16383" man="1"/>
    <brk id="336" max="16383" man="1"/>
    <brk id="357" max="16383" man="1"/>
    <brk id="379" max="11" man="1"/>
    <brk id="400" max="16383" man="1"/>
    <brk id="421" max="16383" man="1"/>
    <brk id="442" max="16383" man="1"/>
    <brk id="463" max="16383" man="1"/>
    <brk id="481" max="16383" man="1"/>
    <brk id="499" max="16383" man="1"/>
    <brk id="521" max="11" man="1"/>
    <brk id="539" max="16383" man="1"/>
    <brk id="560" max="16383" man="1"/>
    <brk id="581" max="16383" man="1"/>
    <brk id="60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0857-F39B-44F8-A675-5E22CD58E3AD}">
  <dimension ref="A1:Q646"/>
  <sheetViews>
    <sheetView showGridLines="0" view="pageBreakPreview" topLeftCell="A7" zoomScale="90" zoomScaleNormal="85" zoomScaleSheetLayoutView="90" workbookViewId="0">
      <selection activeCell="I572" sqref="I572"/>
    </sheetView>
  </sheetViews>
  <sheetFormatPr baseColWidth="10" defaultColWidth="10.796875" defaultRowHeight="14.25" outlineLevelCol="1" x14ac:dyDescent="0.45"/>
  <cols>
    <col min="1" max="1" width="16.1328125" style="137" customWidth="1"/>
    <col min="2" max="2" width="11" style="137" customWidth="1"/>
    <col min="3" max="3" width="10.796875" style="137" customWidth="1" outlineLevel="1"/>
    <col min="4" max="4" width="28.9296875" style="137" customWidth="1" outlineLevel="1"/>
    <col min="5" max="5" width="11.86328125" style="137" customWidth="1" outlineLevel="1"/>
    <col min="6" max="6" width="10.796875" style="137"/>
    <col min="7" max="8" width="10.796875" style="137" hidden="1" customWidth="1"/>
    <col min="9" max="9" width="11.73046875" style="137" customWidth="1"/>
    <col min="10" max="10" width="10.796875" style="137" customWidth="1"/>
    <col min="11" max="11" width="13.1328125" style="137" customWidth="1"/>
    <col min="12" max="12" width="34.796875" style="137" customWidth="1"/>
    <col min="13" max="16" width="10.796875" style="137" hidden="1" customWidth="1"/>
    <col min="17" max="17" width="0" style="137" hidden="1" customWidth="1"/>
    <col min="18" max="16384" width="10.796875" style="137"/>
  </cols>
  <sheetData>
    <row r="1" spans="1:17" x14ac:dyDescent="0.45">
      <c r="G1" s="137" t="s">
        <v>658</v>
      </c>
    </row>
    <row r="2" spans="1:17" ht="23.25" x14ac:dyDescent="0.45">
      <c r="A2" s="137" t="s">
        <v>18</v>
      </c>
      <c r="B2" s="260" t="s">
        <v>414</v>
      </c>
      <c r="C2" s="241"/>
      <c r="D2" s="241"/>
      <c r="E2" s="241"/>
    </row>
    <row r="3" spans="1:17" ht="22.5" hidden="1" customHeight="1" x14ac:dyDescent="0.45">
      <c r="A3" s="137" t="s">
        <v>14</v>
      </c>
      <c r="B3" s="615">
        <v>45627</v>
      </c>
      <c r="C3" s="616"/>
      <c r="D3" s="616"/>
      <c r="E3" s="252"/>
      <c r="F3" s="599"/>
      <c r="G3" s="599"/>
      <c r="H3" s="599"/>
      <c r="I3" s="143"/>
    </row>
    <row r="4" spans="1:17" ht="28.5" customHeight="1" x14ac:dyDescent="0.45">
      <c r="A4" s="137" t="s">
        <v>13</v>
      </c>
      <c r="B4" s="320" t="str">
        <f>VLOOKUP(B2,'Liste chauffeur'!$B$5:$L$19,2,TRUE)&amp;" "&amp;VLOOKUP(B2,'Liste chauffeur'!$B$5:$L$19,3,TRUE)</f>
        <v>ATTOUMANI Kamaldine</v>
      </c>
      <c r="C4" s="254"/>
      <c r="D4" s="254"/>
      <c r="E4" s="598"/>
      <c r="J4" s="600"/>
      <c r="L4" s="607">
        <v>46143</v>
      </c>
    </row>
    <row r="6" spans="1:17" x14ac:dyDescent="0.45">
      <c r="A6" s="141"/>
      <c r="B6" s="142"/>
      <c r="C6" s="142"/>
      <c r="D6" s="142"/>
      <c r="E6" s="142"/>
      <c r="F6" s="142"/>
      <c r="G6" s="142"/>
      <c r="H6" s="142"/>
      <c r="I6" s="142"/>
      <c r="J6" s="319"/>
      <c r="K6" s="319" t="s">
        <v>337</v>
      </c>
      <c r="L6" s="294"/>
      <c r="M6" s="294"/>
      <c r="N6" s="294"/>
      <c r="O6" s="294">
        <v>8</v>
      </c>
      <c r="P6" s="294"/>
    </row>
    <row r="7" spans="1:17" ht="63" x14ac:dyDescent="0.45">
      <c r="A7" s="297" t="s">
        <v>534</v>
      </c>
      <c r="B7" s="298" t="s">
        <v>0</v>
      </c>
      <c r="C7" s="298" t="s">
        <v>332</v>
      </c>
      <c r="D7" s="298" t="s">
        <v>333</v>
      </c>
      <c r="E7" s="298" t="s">
        <v>535</v>
      </c>
      <c r="F7" s="298" t="s">
        <v>1</v>
      </c>
      <c r="G7" s="298" t="s">
        <v>334</v>
      </c>
      <c r="H7" s="298" t="s">
        <v>335</v>
      </c>
      <c r="I7" s="298" t="s">
        <v>23</v>
      </c>
      <c r="J7" s="300" t="s">
        <v>22</v>
      </c>
      <c r="K7" s="298" t="s">
        <v>17</v>
      </c>
      <c r="L7" s="301" t="s">
        <v>12</v>
      </c>
      <c r="M7" s="297" t="s">
        <v>20</v>
      </c>
      <c r="N7" s="302" t="s">
        <v>38</v>
      </c>
      <c r="O7" s="302" t="s">
        <v>39</v>
      </c>
      <c r="P7" s="302" t="s">
        <v>40</v>
      </c>
      <c r="Q7" s="297"/>
    </row>
    <row r="8" spans="1:17" ht="33" customHeight="1" x14ac:dyDescent="0.45">
      <c r="A8" s="344" t="s">
        <v>376</v>
      </c>
      <c r="B8" s="345">
        <v>0.3125</v>
      </c>
      <c r="C8" s="345" t="s">
        <v>414</v>
      </c>
      <c r="D8" s="304" t="s">
        <v>702</v>
      </c>
      <c r="E8" s="377" t="s">
        <v>504</v>
      </c>
      <c r="F8" s="580"/>
      <c r="G8" s="368">
        <v>1</v>
      </c>
      <c r="H8" s="363"/>
      <c r="I8" s="580"/>
      <c r="J8" s="365"/>
      <c r="K8" s="580"/>
      <c r="L8" s="366"/>
      <c r="M8" s="307" t="str">
        <f t="shared" ref="M8:M16" si="0">IF(G8=1,"",K8-F8)</f>
        <v/>
      </c>
      <c r="N8" s="306">
        <f>J8</f>
        <v>0</v>
      </c>
      <c r="O8" s="306">
        <f t="shared" ref="O8:O18" si="1">IF(G8=1,0,O$6)</f>
        <v>0</v>
      </c>
      <c r="P8" s="308">
        <f t="shared" ref="P8:P17" si="2">IF(O8=0,0,N8/O8)</f>
        <v>0</v>
      </c>
      <c r="Q8" s="297"/>
    </row>
    <row r="9" spans="1:17" ht="29" customHeight="1" x14ac:dyDescent="0.45">
      <c r="A9" s="344" t="s">
        <v>376</v>
      </c>
      <c r="B9" s="345">
        <v>0.3263888888888889</v>
      </c>
      <c r="C9" s="345" t="s">
        <v>414</v>
      </c>
      <c r="D9" s="304" t="s">
        <v>702</v>
      </c>
      <c r="E9" s="377" t="s">
        <v>504</v>
      </c>
      <c r="F9" s="580"/>
      <c r="G9" s="368">
        <v>1</v>
      </c>
      <c r="H9" s="363"/>
      <c r="I9" s="580"/>
      <c r="J9" s="365"/>
      <c r="K9" s="580"/>
      <c r="L9" s="366"/>
      <c r="M9" s="307" t="str">
        <f t="shared" si="0"/>
        <v/>
      </c>
      <c r="N9" s="306">
        <f t="shared" ref="N9:N18" si="3">J9</f>
        <v>0</v>
      </c>
      <c r="O9" s="306">
        <f t="shared" si="1"/>
        <v>0</v>
      </c>
      <c r="P9" s="308">
        <f t="shared" si="2"/>
        <v>0</v>
      </c>
      <c r="Q9" s="297"/>
    </row>
    <row r="10" spans="1:17" ht="35.25" customHeight="1" x14ac:dyDescent="0.45">
      <c r="A10" s="344" t="s">
        <v>376</v>
      </c>
      <c r="B10" s="345">
        <v>0.65972222222222221</v>
      </c>
      <c r="C10" s="345" t="s">
        <v>414</v>
      </c>
      <c r="D10" s="304" t="s">
        <v>702</v>
      </c>
      <c r="E10" s="377" t="s">
        <v>503</v>
      </c>
      <c r="F10" s="580"/>
      <c r="G10" s="368">
        <v>1</v>
      </c>
      <c r="H10" s="363"/>
      <c r="I10" s="580"/>
      <c r="J10" s="365"/>
      <c r="K10" s="580"/>
      <c r="L10" s="366"/>
      <c r="M10" s="307" t="str">
        <f t="shared" si="0"/>
        <v/>
      </c>
      <c r="N10" s="306">
        <f t="shared" si="3"/>
        <v>0</v>
      </c>
      <c r="O10" s="306">
        <f t="shared" si="1"/>
        <v>0</v>
      </c>
      <c r="P10" s="308">
        <f t="shared" si="2"/>
        <v>0</v>
      </c>
      <c r="Q10" s="297"/>
    </row>
    <row r="11" spans="1:17" ht="40.049999999999997" customHeight="1" x14ac:dyDescent="0.45">
      <c r="A11" s="344" t="s">
        <v>376</v>
      </c>
      <c r="B11" s="345">
        <v>0.6875</v>
      </c>
      <c r="C11" s="345" t="s">
        <v>414</v>
      </c>
      <c r="D11" s="304" t="s">
        <v>702</v>
      </c>
      <c r="E11" s="377" t="s">
        <v>503</v>
      </c>
      <c r="F11" s="367"/>
      <c r="G11" s="368">
        <v>1</v>
      </c>
      <c r="H11" s="368"/>
      <c r="I11" s="370"/>
      <c r="J11" s="370"/>
      <c r="K11" s="367"/>
      <c r="L11" s="370"/>
      <c r="M11" s="307" t="str">
        <f t="shared" si="0"/>
        <v/>
      </c>
      <c r="N11" s="306">
        <f t="shared" si="3"/>
        <v>0</v>
      </c>
      <c r="O11" s="306">
        <f t="shared" si="1"/>
        <v>0</v>
      </c>
      <c r="P11" s="308">
        <f t="shared" si="2"/>
        <v>0</v>
      </c>
      <c r="Q11" s="297"/>
    </row>
    <row r="12" spans="1:17" ht="40.049999999999997" customHeight="1" x14ac:dyDescent="0.45">
      <c r="A12" s="344" t="s">
        <v>376</v>
      </c>
      <c r="B12" s="345">
        <v>0.76041666666666663</v>
      </c>
      <c r="C12" s="345" t="s">
        <v>414</v>
      </c>
      <c r="D12" s="304" t="s">
        <v>702</v>
      </c>
      <c r="E12" s="377" t="s">
        <v>503</v>
      </c>
      <c r="F12" s="367"/>
      <c r="G12" s="368"/>
      <c r="H12" s="368"/>
      <c r="I12" s="370"/>
      <c r="J12" s="370"/>
      <c r="K12" s="367"/>
      <c r="L12" s="370"/>
      <c r="M12" s="307">
        <f t="shared" si="0"/>
        <v>0</v>
      </c>
      <c r="N12" s="306">
        <f t="shared" si="3"/>
        <v>0</v>
      </c>
      <c r="O12" s="306">
        <f t="shared" si="1"/>
        <v>8</v>
      </c>
      <c r="P12" s="309">
        <f t="shared" si="2"/>
        <v>0</v>
      </c>
      <c r="Q12" s="297"/>
    </row>
    <row r="13" spans="1:17" ht="40.049999999999997" customHeight="1" x14ac:dyDescent="0.45">
      <c r="A13" s="344" t="s">
        <v>501</v>
      </c>
      <c r="B13" s="345">
        <v>0.78125</v>
      </c>
      <c r="C13" s="345" t="s">
        <v>414</v>
      </c>
      <c r="D13" s="304" t="s">
        <v>702</v>
      </c>
      <c r="E13" s="377" t="s">
        <v>504</v>
      </c>
      <c r="F13" s="367"/>
      <c r="G13" s="368"/>
      <c r="H13" s="368"/>
      <c r="I13" s="370"/>
      <c r="J13" s="370"/>
      <c r="K13" s="367"/>
      <c r="L13" s="370"/>
      <c r="M13" s="307">
        <f t="shared" si="0"/>
        <v>0</v>
      </c>
      <c r="N13" s="306">
        <f t="shared" si="3"/>
        <v>0</v>
      </c>
      <c r="O13" s="306">
        <f t="shared" si="1"/>
        <v>8</v>
      </c>
      <c r="P13" s="309">
        <f t="shared" si="2"/>
        <v>0</v>
      </c>
      <c r="Q13" s="297"/>
    </row>
    <row r="14" spans="1:17" ht="32.25" customHeight="1" x14ac:dyDescent="0.45">
      <c r="A14" s="344" t="s">
        <v>663</v>
      </c>
      <c r="B14" s="345">
        <v>0.80902777777777779</v>
      </c>
      <c r="C14" s="345" t="s">
        <v>414</v>
      </c>
      <c r="D14" s="304" t="s">
        <v>702</v>
      </c>
      <c r="E14" s="377" t="s">
        <v>504</v>
      </c>
      <c r="F14" s="367"/>
      <c r="G14" s="368"/>
      <c r="H14" s="368"/>
      <c r="I14" s="370"/>
      <c r="J14" s="370"/>
      <c r="K14" s="367"/>
      <c r="L14" s="370"/>
      <c r="M14" s="307">
        <f t="shared" si="0"/>
        <v>0</v>
      </c>
      <c r="N14" s="306">
        <f t="shared" si="3"/>
        <v>0</v>
      </c>
      <c r="O14" s="306">
        <f t="shared" si="1"/>
        <v>8</v>
      </c>
      <c r="P14" s="309">
        <f t="shared" si="2"/>
        <v>0</v>
      </c>
      <c r="Q14" s="297"/>
    </row>
    <row r="15" spans="1:17" ht="40.049999999999997" customHeight="1" x14ac:dyDescent="0.45">
      <c r="A15" s="344" t="s">
        <v>376</v>
      </c>
      <c r="B15" s="345">
        <v>0.82291666666666663</v>
      </c>
      <c r="C15" s="345" t="s">
        <v>414</v>
      </c>
      <c r="D15" s="304" t="s">
        <v>702</v>
      </c>
      <c r="E15" s="377" t="s">
        <v>503</v>
      </c>
      <c r="F15" s="367"/>
      <c r="G15" s="368"/>
      <c r="H15" s="368"/>
      <c r="I15" s="370"/>
      <c r="J15" s="370"/>
      <c r="K15" s="367"/>
      <c r="L15" s="370"/>
      <c r="M15" s="307">
        <f t="shared" si="0"/>
        <v>0</v>
      </c>
      <c r="N15" s="306">
        <f t="shared" si="3"/>
        <v>0</v>
      </c>
      <c r="O15" s="306">
        <f t="shared" si="1"/>
        <v>8</v>
      </c>
      <c r="P15" s="309">
        <f t="shared" si="2"/>
        <v>0</v>
      </c>
      <c r="Q15" s="297"/>
    </row>
    <row r="16" spans="1:17" ht="40.049999999999997" customHeight="1" x14ac:dyDescent="0.45">
      <c r="A16" s="344" t="s">
        <v>336</v>
      </c>
      <c r="B16" s="345"/>
      <c r="C16" s="345" t="s">
        <v>660</v>
      </c>
      <c r="D16" s="304"/>
      <c r="E16" s="377"/>
      <c r="F16" s="367"/>
      <c r="G16" s="368"/>
      <c r="H16" s="368"/>
      <c r="I16" s="370"/>
      <c r="J16" s="370"/>
      <c r="K16" s="367"/>
      <c r="L16" s="370"/>
      <c r="M16" s="307">
        <f t="shared" si="0"/>
        <v>0</v>
      </c>
      <c r="N16" s="306">
        <f t="shared" si="3"/>
        <v>0</v>
      </c>
      <c r="O16" s="306">
        <f t="shared" si="1"/>
        <v>8</v>
      </c>
      <c r="P16" s="309">
        <f t="shared" si="2"/>
        <v>0</v>
      </c>
      <c r="Q16" s="297"/>
    </row>
    <row r="17" spans="1:17" ht="40.049999999999997" customHeight="1" x14ac:dyDescent="0.45">
      <c r="A17" s="344" t="s">
        <v>336</v>
      </c>
      <c r="B17" s="345"/>
      <c r="C17" s="345" t="s">
        <v>660</v>
      </c>
      <c r="D17" s="304"/>
      <c r="E17" s="377"/>
      <c r="F17" s="367"/>
      <c r="G17" s="368"/>
      <c r="H17" s="368"/>
      <c r="I17" s="370"/>
      <c r="J17" s="370"/>
      <c r="K17" s="367"/>
      <c r="L17" s="370"/>
      <c r="M17" s="307"/>
      <c r="N17" s="306">
        <f t="shared" si="3"/>
        <v>0</v>
      </c>
      <c r="O17" s="306">
        <f t="shared" si="1"/>
        <v>8</v>
      </c>
      <c r="P17" s="309">
        <f t="shared" si="2"/>
        <v>0</v>
      </c>
      <c r="Q17" s="297"/>
    </row>
    <row r="18" spans="1:17" ht="40.049999999999997" customHeight="1" x14ac:dyDescent="0.45">
      <c r="A18" s="344" t="s">
        <v>336</v>
      </c>
      <c r="B18" s="345"/>
      <c r="C18" s="345" t="s">
        <v>660</v>
      </c>
      <c r="D18" s="304"/>
      <c r="E18" s="377"/>
      <c r="F18" s="367"/>
      <c r="G18" s="368"/>
      <c r="H18" s="368"/>
      <c r="I18" s="370"/>
      <c r="J18" s="370"/>
      <c r="K18" s="367"/>
      <c r="L18" s="370"/>
      <c r="M18" s="307"/>
      <c r="N18" s="306">
        <f t="shared" si="3"/>
        <v>0</v>
      </c>
      <c r="O18" s="306">
        <f t="shared" si="1"/>
        <v>8</v>
      </c>
      <c r="P18" s="309"/>
      <c r="Q18" s="297"/>
    </row>
    <row r="19" spans="1:17" ht="21" x14ac:dyDescent="0.45">
      <c r="A19" s="344" t="s">
        <v>336</v>
      </c>
      <c r="B19" s="345"/>
      <c r="C19" s="345" t="s">
        <v>660</v>
      </c>
      <c r="D19" s="304"/>
      <c r="E19" s="377"/>
      <c r="F19" s="367"/>
      <c r="G19" s="368"/>
      <c r="H19" s="368"/>
      <c r="I19" s="370"/>
      <c r="J19" s="370"/>
      <c r="K19" s="367"/>
      <c r="L19" s="370"/>
    </row>
    <row r="20" spans="1:17" ht="21" x14ac:dyDescent="0.45">
      <c r="A20" s="344" t="s">
        <v>336</v>
      </c>
      <c r="B20" s="345"/>
      <c r="C20" s="345" t="s">
        <v>660</v>
      </c>
      <c r="D20" s="304"/>
      <c r="E20" s="377"/>
      <c r="F20" s="367"/>
      <c r="G20" s="368"/>
      <c r="H20" s="368"/>
      <c r="I20" s="370"/>
      <c r="J20" s="370"/>
      <c r="K20" s="367"/>
      <c r="L20" s="370"/>
    </row>
    <row r="21" spans="1:17" x14ac:dyDescent="0.45">
      <c r="C21" s="190" t="s">
        <v>691</v>
      </c>
      <c r="F21" s="137" t="s">
        <v>15</v>
      </c>
    </row>
    <row r="22" spans="1:17" ht="23.25" x14ac:dyDescent="0.45">
      <c r="A22" s="137" t="s">
        <v>18</v>
      </c>
      <c r="B22" s="260" t="s">
        <v>414</v>
      </c>
      <c r="C22" s="241"/>
      <c r="D22" s="241"/>
      <c r="E22" s="241"/>
    </row>
    <row r="23" spans="1:17" ht="21" x14ac:dyDescent="0.45">
      <c r="A23" s="137" t="s">
        <v>13</v>
      </c>
      <c r="B23" s="320" t="s">
        <v>702</v>
      </c>
      <c r="C23" s="254"/>
      <c r="D23" s="254"/>
      <c r="E23" s="598"/>
      <c r="J23" s="600"/>
      <c r="L23" s="600">
        <f>L4+1</f>
        <v>46144</v>
      </c>
    </row>
    <row r="25" spans="1:17" x14ac:dyDescent="0.45">
      <c r="A25" s="141"/>
      <c r="B25" s="142"/>
      <c r="C25" s="142"/>
      <c r="D25" s="142"/>
      <c r="E25" s="142"/>
      <c r="F25" s="142"/>
      <c r="G25" s="142"/>
      <c r="H25" s="142"/>
      <c r="I25" s="142"/>
      <c r="J25" s="319"/>
      <c r="K25" s="319" t="s">
        <v>337</v>
      </c>
      <c r="L25" s="294"/>
    </row>
    <row r="26" spans="1:17" ht="63" x14ac:dyDescent="0.45">
      <c r="A26" s="297" t="s">
        <v>534</v>
      </c>
      <c r="B26" s="298" t="s">
        <v>0</v>
      </c>
      <c r="C26" s="298" t="s">
        <v>332</v>
      </c>
      <c r="D26" s="298" t="s">
        <v>333</v>
      </c>
      <c r="E26" s="298" t="s">
        <v>535</v>
      </c>
      <c r="F26" s="298" t="s">
        <v>1</v>
      </c>
      <c r="G26" s="298" t="s">
        <v>334</v>
      </c>
      <c r="H26" s="298" t="s">
        <v>335</v>
      </c>
      <c r="I26" s="298" t="s">
        <v>23</v>
      </c>
      <c r="J26" s="300" t="s">
        <v>22</v>
      </c>
      <c r="K26" s="298" t="s">
        <v>17</v>
      </c>
      <c r="L26" s="301" t="s">
        <v>12</v>
      </c>
    </row>
    <row r="27" spans="1:17" ht="33.85" customHeight="1" x14ac:dyDescent="0.45">
      <c r="A27" s="344" t="s">
        <v>376</v>
      </c>
      <c r="B27" s="345">
        <v>0.23958333333333334</v>
      </c>
      <c r="C27" s="345" t="s">
        <v>414</v>
      </c>
      <c r="D27" s="304" t="s">
        <v>702</v>
      </c>
      <c r="E27" s="377" t="s">
        <v>503</v>
      </c>
      <c r="F27" s="580"/>
      <c r="G27" s="368">
        <v>1</v>
      </c>
      <c r="H27" s="363"/>
      <c r="I27" s="580"/>
      <c r="J27" s="365"/>
      <c r="K27" s="580"/>
      <c r="L27" s="366"/>
    </row>
    <row r="28" spans="1:17" ht="33.85" customHeight="1" x14ac:dyDescent="0.45">
      <c r="A28" s="344" t="s">
        <v>376</v>
      </c>
      <c r="B28" s="345">
        <v>0.27083333333333331</v>
      </c>
      <c r="C28" s="345" t="s">
        <v>414</v>
      </c>
      <c r="D28" s="304" t="s">
        <v>702</v>
      </c>
      <c r="E28" s="377" t="s">
        <v>688</v>
      </c>
      <c r="F28" s="367"/>
      <c r="G28" s="368">
        <v>1</v>
      </c>
      <c r="H28" s="368"/>
      <c r="I28" s="370"/>
      <c r="J28" s="370"/>
      <c r="K28" s="367"/>
      <c r="L28" s="370"/>
    </row>
    <row r="29" spans="1:17" ht="33.85" customHeight="1" x14ac:dyDescent="0.45">
      <c r="A29" s="344" t="s">
        <v>533</v>
      </c>
      <c r="B29" s="345">
        <v>0.28472222222222221</v>
      </c>
      <c r="C29" s="345" t="s">
        <v>414</v>
      </c>
      <c r="D29" s="304" t="s">
        <v>702</v>
      </c>
      <c r="E29" s="377" t="s">
        <v>504</v>
      </c>
      <c r="F29" s="367"/>
      <c r="G29" s="368">
        <v>1</v>
      </c>
      <c r="H29" s="368"/>
      <c r="I29" s="370"/>
      <c r="J29" s="370"/>
      <c r="K29" s="367"/>
      <c r="L29" s="370"/>
    </row>
    <row r="30" spans="1:17" ht="33.85" customHeight="1" x14ac:dyDescent="0.45">
      <c r="A30" s="344" t="s">
        <v>376</v>
      </c>
      <c r="B30" s="345">
        <v>0.3125</v>
      </c>
      <c r="C30" s="345" t="s">
        <v>414</v>
      </c>
      <c r="D30" s="304" t="s">
        <v>702</v>
      </c>
      <c r="E30" s="377" t="s">
        <v>504</v>
      </c>
      <c r="F30" s="367"/>
      <c r="G30" s="368">
        <v>1</v>
      </c>
      <c r="H30" s="368"/>
      <c r="I30" s="370"/>
      <c r="J30" s="370"/>
      <c r="K30" s="367"/>
      <c r="L30" s="370"/>
    </row>
    <row r="31" spans="1:17" ht="33.85" customHeight="1" x14ac:dyDescent="0.45">
      <c r="A31" s="344" t="s">
        <v>501</v>
      </c>
      <c r="B31" s="345">
        <v>0.3263888888888889</v>
      </c>
      <c r="C31" s="345" t="s">
        <v>414</v>
      </c>
      <c r="D31" s="304" t="s">
        <v>702</v>
      </c>
      <c r="E31" s="377" t="s">
        <v>504</v>
      </c>
      <c r="F31" s="367"/>
      <c r="G31" s="368">
        <v>1</v>
      </c>
      <c r="H31" s="368"/>
      <c r="I31" s="370"/>
      <c r="J31" s="370"/>
      <c r="K31" s="367"/>
      <c r="L31" s="370"/>
    </row>
    <row r="32" spans="1:17" ht="33.85" customHeight="1" x14ac:dyDescent="0.45">
      <c r="A32" s="344" t="s">
        <v>501</v>
      </c>
      <c r="B32" s="303">
        <v>0.625</v>
      </c>
      <c r="C32" s="303" t="s">
        <v>414</v>
      </c>
      <c r="D32" s="304" t="s">
        <v>702</v>
      </c>
      <c r="E32" s="377" t="s">
        <v>504</v>
      </c>
      <c r="F32" s="367"/>
      <c r="G32" s="368">
        <v>1</v>
      </c>
      <c r="H32" s="368"/>
      <c r="I32" s="370"/>
      <c r="J32" s="370"/>
      <c r="K32" s="367"/>
      <c r="L32" s="370"/>
    </row>
    <row r="33" spans="1:12" ht="33.85" customHeight="1" x14ac:dyDescent="0.45">
      <c r="A33" s="344" t="s">
        <v>376</v>
      </c>
      <c r="B33" s="303">
        <v>0.65972222222222221</v>
      </c>
      <c r="C33" s="303" t="s">
        <v>414</v>
      </c>
      <c r="D33" s="304" t="s">
        <v>702</v>
      </c>
      <c r="E33" s="377" t="s">
        <v>503</v>
      </c>
      <c r="F33" s="367"/>
      <c r="G33" s="368">
        <v>1</v>
      </c>
      <c r="H33" s="368"/>
      <c r="I33" s="370"/>
      <c r="J33" s="370"/>
      <c r="K33" s="367"/>
      <c r="L33" s="370"/>
    </row>
    <row r="34" spans="1:12" ht="33.85" customHeight="1" x14ac:dyDescent="0.45">
      <c r="A34" s="344" t="s">
        <v>376</v>
      </c>
      <c r="B34" s="303">
        <v>0.6875</v>
      </c>
      <c r="C34" s="303" t="s">
        <v>414</v>
      </c>
      <c r="D34" s="304" t="s">
        <v>702</v>
      </c>
      <c r="E34" s="377" t="s">
        <v>503</v>
      </c>
      <c r="F34" s="367"/>
      <c r="G34" s="368">
        <v>1</v>
      </c>
      <c r="H34" s="368"/>
      <c r="I34" s="370"/>
      <c r="J34" s="370"/>
      <c r="K34" s="367"/>
      <c r="L34" s="370"/>
    </row>
    <row r="35" spans="1:12" ht="33.85" customHeight="1" x14ac:dyDescent="0.45">
      <c r="A35" s="344" t="s">
        <v>376</v>
      </c>
      <c r="B35" s="303">
        <v>0.71180555555555558</v>
      </c>
      <c r="C35" s="303" t="s">
        <v>414</v>
      </c>
      <c r="D35" s="304" t="s">
        <v>702</v>
      </c>
      <c r="E35" s="377" t="s">
        <v>503</v>
      </c>
      <c r="F35" s="367"/>
      <c r="G35" s="368">
        <v>1</v>
      </c>
      <c r="H35" s="368"/>
      <c r="I35" s="370"/>
      <c r="J35" s="370"/>
      <c r="K35" s="367"/>
      <c r="L35" s="370"/>
    </row>
    <row r="36" spans="1:12" ht="33.85" customHeight="1" x14ac:dyDescent="0.45">
      <c r="A36" s="315" t="s">
        <v>336</v>
      </c>
      <c r="B36" s="303"/>
      <c r="C36" s="303" t="s">
        <v>660</v>
      </c>
      <c r="D36" s="304"/>
      <c r="E36" s="304"/>
      <c r="F36" s="305"/>
      <c r="G36" s="306"/>
      <c r="H36" s="306"/>
      <c r="I36" s="306"/>
      <c r="J36" s="297"/>
      <c r="K36" s="305"/>
      <c r="L36" s="297"/>
    </row>
    <row r="37" spans="1:12" ht="33.85" customHeight="1" x14ac:dyDescent="0.45">
      <c r="A37" s="315" t="s">
        <v>336</v>
      </c>
      <c r="B37" s="303"/>
      <c r="C37" s="303" t="s">
        <v>660</v>
      </c>
      <c r="D37" s="304"/>
      <c r="E37" s="304"/>
      <c r="F37" s="305"/>
      <c r="G37" s="306"/>
      <c r="H37" s="306"/>
      <c r="I37" s="306"/>
      <c r="J37" s="297"/>
      <c r="K37" s="305"/>
      <c r="L37" s="297"/>
    </row>
    <row r="38" spans="1:12" ht="33.85" customHeight="1" x14ac:dyDescent="0.45">
      <c r="A38" s="315" t="s">
        <v>336</v>
      </c>
      <c r="B38" s="303"/>
      <c r="C38" s="303" t="s">
        <v>660</v>
      </c>
      <c r="D38" s="304"/>
      <c r="E38" s="304"/>
      <c r="F38" s="305"/>
      <c r="G38" s="306"/>
      <c r="H38" s="306"/>
      <c r="I38" s="306"/>
      <c r="J38" s="297"/>
      <c r="K38" s="305"/>
      <c r="L38" s="297"/>
    </row>
    <row r="39" spans="1:12" ht="33.85" customHeight="1" x14ac:dyDescent="0.45">
      <c r="A39" s="315" t="s">
        <v>336</v>
      </c>
      <c r="B39" s="303"/>
      <c r="C39" s="303" t="s">
        <v>660</v>
      </c>
      <c r="D39" s="304"/>
      <c r="E39" s="304"/>
      <c r="F39" s="305"/>
      <c r="G39" s="306"/>
      <c r="H39" s="306"/>
      <c r="I39" s="306"/>
      <c r="J39" s="297"/>
      <c r="K39" s="305"/>
      <c r="L39" s="297"/>
    </row>
    <row r="40" spans="1:12" ht="33.85" customHeight="1" x14ac:dyDescent="0.45">
      <c r="A40" s="315" t="s">
        <v>336</v>
      </c>
      <c r="B40" s="303"/>
      <c r="C40" s="303" t="s">
        <v>660</v>
      </c>
      <c r="D40" s="304"/>
      <c r="E40" s="304"/>
      <c r="F40" s="305"/>
      <c r="G40" s="306"/>
      <c r="H40" s="306"/>
      <c r="I40" s="306"/>
      <c r="J40" s="297"/>
      <c r="K40" s="305"/>
      <c r="L40" s="297"/>
    </row>
    <row r="41" spans="1:12" x14ac:dyDescent="0.45">
      <c r="C41" s="190" t="s">
        <v>691</v>
      </c>
      <c r="F41" s="137" t="s">
        <v>15</v>
      </c>
    </row>
    <row r="42" spans="1:12" ht="23.25" x14ac:dyDescent="0.45">
      <c r="A42" s="137" t="s">
        <v>18</v>
      </c>
      <c r="B42" s="260" t="s">
        <v>414</v>
      </c>
      <c r="C42" s="241"/>
      <c r="D42" s="241"/>
      <c r="E42" s="241"/>
    </row>
    <row r="43" spans="1:12" ht="21" x14ac:dyDescent="0.45">
      <c r="A43" s="137" t="s">
        <v>13</v>
      </c>
      <c r="B43" s="320" t="s">
        <v>702</v>
      </c>
      <c r="C43" s="254"/>
      <c r="D43" s="254"/>
      <c r="E43" s="598"/>
      <c r="J43" s="600"/>
      <c r="L43" s="607">
        <f>L23+1</f>
        <v>46145</v>
      </c>
    </row>
    <row r="45" spans="1:12" x14ac:dyDescent="0.45">
      <c r="A45" s="141"/>
      <c r="B45" s="142"/>
      <c r="C45" s="142"/>
      <c r="D45" s="142"/>
      <c r="E45" s="142"/>
      <c r="F45" s="142"/>
      <c r="G45" s="142"/>
      <c r="H45" s="142"/>
      <c r="I45" s="142"/>
      <c r="J45" s="319"/>
      <c r="K45" s="319" t="s">
        <v>337</v>
      </c>
      <c r="L45" s="294"/>
    </row>
    <row r="46" spans="1:12" ht="63" x14ac:dyDescent="0.45">
      <c r="A46" s="297" t="s">
        <v>534</v>
      </c>
      <c r="B46" s="298" t="s">
        <v>0</v>
      </c>
      <c r="C46" s="298" t="s">
        <v>332</v>
      </c>
      <c r="D46" s="298" t="s">
        <v>333</v>
      </c>
      <c r="E46" s="298" t="s">
        <v>535</v>
      </c>
      <c r="F46" s="298" t="s">
        <v>1</v>
      </c>
      <c r="G46" s="298" t="s">
        <v>334</v>
      </c>
      <c r="H46" s="298" t="s">
        <v>335</v>
      </c>
      <c r="I46" s="298" t="s">
        <v>23</v>
      </c>
      <c r="J46" s="300" t="s">
        <v>22</v>
      </c>
      <c r="K46" s="298" t="s">
        <v>17</v>
      </c>
      <c r="L46" s="301" t="s">
        <v>12</v>
      </c>
    </row>
    <row r="47" spans="1:12" ht="33.4" customHeight="1" x14ac:dyDescent="0.45">
      <c r="A47" s="344" t="s">
        <v>376</v>
      </c>
      <c r="B47" s="345">
        <v>0.3125</v>
      </c>
      <c r="C47" s="345" t="s">
        <v>414</v>
      </c>
      <c r="D47" s="304" t="s">
        <v>702</v>
      </c>
      <c r="E47" s="377" t="s">
        <v>504</v>
      </c>
      <c r="F47" s="580"/>
      <c r="G47" s="368">
        <v>1</v>
      </c>
      <c r="H47" s="363"/>
      <c r="I47" s="580"/>
      <c r="J47" s="365"/>
      <c r="K47" s="580"/>
      <c r="L47" s="366"/>
    </row>
    <row r="48" spans="1:12" ht="33.4" customHeight="1" x14ac:dyDescent="0.45">
      <c r="A48" s="344" t="s">
        <v>376</v>
      </c>
      <c r="B48" s="345">
        <v>0.3263888888888889</v>
      </c>
      <c r="C48" s="345" t="s">
        <v>414</v>
      </c>
      <c r="D48" s="304" t="s">
        <v>702</v>
      </c>
      <c r="E48" s="377" t="s">
        <v>504</v>
      </c>
      <c r="F48" s="580"/>
      <c r="G48" s="368">
        <v>1</v>
      </c>
      <c r="H48" s="363"/>
      <c r="I48" s="580"/>
      <c r="J48" s="365"/>
      <c r="K48" s="580"/>
      <c r="L48" s="366"/>
    </row>
    <row r="49" spans="1:12" ht="33.4" customHeight="1" x14ac:dyDescent="0.45">
      <c r="A49" s="344" t="s">
        <v>376</v>
      </c>
      <c r="B49" s="345">
        <v>0.65972222222222221</v>
      </c>
      <c r="C49" s="345" t="s">
        <v>414</v>
      </c>
      <c r="D49" s="304" t="s">
        <v>702</v>
      </c>
      <c r="E49" s="377" t="s">
        <v>503</v>
      </c>
      <c r="F49" s="580"/>
      <c r="G49" s="368">
        <v>1</v>
      </c>
      <c r="H49" s="363"/>
      <c r="I49" s="580"/>
      <c r="J49" s="365"/>
      <c r="K49" s="580"/>
      <c r="L49" s="366"/>
    </row>
    <row r="50" spans="1:12" ht="33.4" customHeight="1" x14ac:dyDescent="0.45">
      <c r="A50" s="344" t="s">
        <v>376</v>
      </c>
      <c r="B50" s="345">
        <v>0.6875</v>
      </c>
      <c r="C50" s="345" t="s">
        <v>414</v>
      </c>
      <c r="D50" s="304" t="s">
        <v>702</v>
      </c>
      <c r="E50" s="377" t="s">
        <v>503</v>
      </c>
      <c r="F50" s="367"/>
      <c r="G50" s="368">
        <v>1</v>
      </c>
      <c r="H50" s="368"/>
      <c r="I50" s="370"/>
      <c r="J50" s="370"/>
      <c r="K50" s="367"/>
      <c r="L50" s="370"/>
    </row>
    <row r="51" spans="1:12" ht="33.4" customHeight="1" x14ac:dyDescent="0.45">
      <c r="A51" s="344" t="s">
        <v>376</v>
      </c>
      <c r="B51" s="345">
        <v>0.76041666666666663</v>
      </c>
      <c r="C51" s="345" t="s">
        <v>414</v>
      </c>
      <c r="D51" s="304" t="s">
        <v>702</v>
      </c>
      <c r="E51" s="377" t="s">
        <v>503</v>
      </c>
      <c r="F51" s="367"/>
      <c r="G51" s="368"/>
      <c r="H51" s="368"/>
      <c r="I51" s="370"/>
      <c r="J51" s="370"/>
      <c r="K51" s="367"/>
      <c r="L51" s="370"/>
    </row>
    <row r="52" spans="1:12" ht="33.4" customHeight="1" x14ac:dyDescent="0.45">
      <c r="A52" s="344" t="s">
        <v>501</v>
      </c>
      <c r="B52" s="345">
        <v>0.78125</v>
      </c>
      <c r="C52" s="345" t="s">
        <v>414</v>
      </c>
      <c r="D52" s="304" t="s">
        <v>702</v>
      </c>
      <c r="E52" s="377" t="s">
        <v>504</v>
      </c>
      <c r="F52" s="367"/>
      <c r="G52" s="368"/>
      <c r="H52" s="368"/>
      <c r="I52" s="370"/>
      <c r="J52" s="370"/>
      <c r="K52" s="367"/>
      <c r="L52" s="370"/>
    </row>
    <row r="53" spans="1:12" ht="33.4" customHeight="1" x14ac:dyDescent="0.45">
      <c r="A53" s="344" t="s">
        <v>663</v>
      </c>
      <c r="B53" s="345">
        <v>0.80902777777777779</v>
      </c>
      <c r="C53" s="345" t="s">
        <v>414</v>
      </c>
      <c r="D53" s="304" t="s">
        <v>702</v>
      </c>
      <c r="E53" s="377" t="s">
        <v>504</v>
      </c>
      <c r="F53" s="367"/>
      <c r="G53" s="368"/>
      <c r="H53" s="368"/>
      <c r="I53" s="370"/>
      <c r="J53" s="370"/>
      <c r="K53" s="367"/>
      <c r="L53" s="370"/>
    </row>
    <row r="54" spans="1:12" ht="33.4" customHeight="1" x14ac:dyDescent="0.45">
      <c r="A54" s="344" t="s">
        <v>376</v>
      </c>
      <c r="B54" s="345">
        <v>0.82291666666666663</v>
      </c>
      <c r="C54" s="345" t="s">
        <v>414</v>
      </c>
      <c r="D54" s="304" t="s">
        <v>702</v>
      </c>
      <c r="E54" s="377" t="s">
        <v>503</v>
      </c>
      <c r="F54" s="367"/>
      <c r="G54" s="368"/>
      <c r="H54" s="368"/>
      <c r="I54" s="370"/>
      <c r="J54" s="370"/>
      <c r="K54" s="367"/>
      <c r="L54" s="370"/>
    </row>
    <row r="55" spans="1:12" ht="33.4" customHeight="1" x14ac:dyDescent="0.45">
      <c r="A55" s="344" t="s">
        <v>336</v>
      </c>
      <c r="B55" s="345"/>
      <c r="C55" s="345" t="s">
        <v>660</v>
      </c>
      <c r="D55" s="304"/>
      <c r="E55" s="377"/>
      <c r="F55" s="367"/>
      <c r="G55" s="368"/>
      <c r="H55" s="368"/>
      <c r="I55" s="370"/>
      <c r="J55" s="370"/>
      <c r="K55" s="367"/>
      <c r="L55" s="370"/>
    </row>
    <row r="56" spans="1:12" ht="33.4" customHeight="1" x14ac:dyDescent="0.45">
      <c r="A56" s="344" t="s">
        <v>336</v>
      </c>
      <c r="B56" s="345"/>
      <c r="C56" s="345" t="s">
        <v>660</v>
      </c>
      <c r="D56" s="304"/>
      <c r="E56" s="377"/>
      <c r="F56" s="367"/>
      <c r="G56" s="368"/>
      <c r="H56" s="368"/>
      <c r="I56" s="370"/>
      <c r="J56" s="370"/>
      <c r="K56" s="367"/>
      <c r="L56" s="370"/>
    </row>
    <row r="57" spans="1:12" ht="33.4" customHeight="1" x14ac:dyDescent="0.45">
      <c r="A57" s="344" t="s">
        <v>336</v>
      </c>
      <c r="B57" s="345"/>
      <c r="C57" s="345" t="s">
        <v>660</v>
      </c>
      <c r="D57" s="304"/>
      <c r="E57" s="377"/>
      <c r="F57" s="367"/>
      <c r="G57" s="368"/>
      <c r="H57" s="368"/>
      <c r="I57" s="370"/>
      <c r="J57" s="370"/>
      <c r="K57" s="367"/>
      <c r="L57" s="370"/>
    </row>
    <row r="58" spans="1:12" ht="33.4" customHeight="1" x14ac:dyDescent="0.45">
      <c r="A58" s="344" t="s">
        <v>336</v>
      </c>
      <c r="B58" s="345"/>
      <c r="C58" s="345" t="s">
        <v>660</v>
      </c>
      <c r="D58" s="304"/>
      <c r="E58" s="377"/>
      <c r="F58" s="367"/>
      <c r="G58" s="368"/>
      <c r="H58" s="368"/>
      <c r="I58" s="370"/>
      <c r="J58" s="370"/>
      <c r="K58" s="367"/>
      <c r="L58" s="370"/>
    </row>
    <row r="59" spans="1:12" ht="21" x14ac:dyDescent="0.45">
      <c r="A59" s="344" t="s">
        <v>336</v>
      </c>
      <c r="B59" s="345"/>
      <c r="C59" s="345" t="s">
        <v>660</v>
      </c>
      <c r="D59" s="304"/>
      <c r="E59" s="377"/>
      <c r="F59" s="367"/>
      <c r="G59" s="368"/>
      <c r="H59" s="368"/>
      <c r="I59" s="370"/>
      <c r="J59" s="370"/>
      <c r="K59" s="367"/>
      <c r="L59" s="370"/>
    </row>
    <row r="60" spans="1:12" x14ac:dyDescent="0.45">
      <c r="C60" s="190" t="s">
        <v>691</v>
      </c>
      <c r="F60" s="137" t="s">
        <v>15</v>
      </c>
    </row>
    <row r="64" spans="1:12" ht="23.25" x14ac:dyDescent="0.45">
      <c r="A64" s="137" t="s">
        <v>18</v>
      </c>
      <c r="B64" s="260" t="s">
        <v>414</v>
      </c>
      <c r="C64" s="241"/>
      <c r="D64" s="241"/>
      <c r="E64" s="241"/>
    </row>
    <row r="65" spans="1:12" ht="21" x14ac:dyDescent="0.45">
      <c r="A65" s="137" t="s">
        <v>13</v>
      </c>
      <c r="B65" s="320" t="s">
        <v>702</v>
      </c>
      <c r="C65" s="254"/>
      <c r="D65" s="254"/>
      <c r="E65" s="598"/>
      <c r="J65" s="600"/>
      <c r="L65" s="600">
        <f>L43+1</f>
        <v>46146</v>
      </c>
    </row>
    <row r="67" spans="1:12" x14ac:dyDescent="0.45">
      <c r="A67" s="141"/>
      <c r="B67" s="142"/>
      <c r="C67" s="142"/>
      <c r="D67" s="142"/>
      <c r="E67" s="142"/>
      <c r="F67" s="142"/>
      <c r="G67" s="142"/>
      <c r="H67" s="142"/>
      <c r="I67" s="142"/>
      <c r="J67" s="319"/>
      <c r="K67" s="319" t="s">
        <v>337</v>
      </c>
      <c r="L67" s="294"/>
    </row>
    <row r="68" spans="1:12" ht="63" x14ac:dyDescent="0.45">
      <c r="A68" s="297" t="s">
        <v>534</v>
      </c>
      <c r="B68" s="298" t="s">
        <v>0</v>
      </c>
      <c r="C68" s="298" t="s">
        <v>332</v>
      </c>
      <c r="D68" s="298" t="s">
        <v>333</v>
      </c>
      <c r="E68" s="298" t="s">
        <v>535</v>
      </c>
      <c r="F68" s="298" t="s">
        <v>1</v>
      </c>
      <c r="G68" s="298" t="s">
        <v>334</v>
      </c>
      <c r="H68" s="298" t="s">
        <v>335</v>
      </c>
      <c r="I68" s="298" t="s">
        <v>23</v>
      </c>
      <c r="J68" s="300" t="s">
        <v>22</v>
      </c>
      <c r="K68" s="298" t="s">
        <v>17</v>
      </c>
      <c r="L68" s="301" t="s">
        <v>12</v>
      </c>
    </row>
    <row r="69" spans="1:12" ht="33" customHeight="1" x14ac:dyDescent="0.45">
      <c r="A69" s="344" t="s">
        <v>376</v>
      </c>
      <c r="B69" s="345">
        <v>0.23958333333333334</v>
      </c>
      <c r="C69" s="345" t="s">
        <v>414</v>
      </c>
      <c r="D69" s="304" t="s">
        <v>702</v>
      </c>
      <c r="E69" s="377" t="s">
        <v>503</v>
      </c>
      <c r="F69" s="580"/>
      <c r="G69" s="368">
        <v>1</v>
      </c>
      <c r="H69" s="363"/>
      <c r="I69" s="580"/>
      <c r="J69" s="365"/>
      <c r="K69" s="580"/>
      <c r="L69" s="366"/>
    </row>
    <row r="70" spans="1:12" ht="33" customHeight="1" x14ac:dyDescent="0.45">
      <c r="A70" s="344" t="s">
        <v>376</v>
      </c>
      <c r="B70" s="345">
        <v>0.27083333333333331</v>
      </c>
      <c r="C70" s="345" t="s">
        <v>414</v>
      </c>
      <c r="D70" s="304" t="s">
        <v>702</v>
      </c>
      <c r="E70" s="377" t="s">
        <v>688</v>
      </c>
      <c r="F70" s="367"/>
      <c r="G70" s="368">
        <v>1</v>
      </c>
      <c r="H70" s="368"/>
      <c r="I70" s="370"/>
      <c r="J70" s="370"/>
      <c r="K70" s="367"/>
      <c r="L70" s="370"/>
    </row>
    <row r="71" spans="1:12" ht="33" customHeight="1" x14ac:dyDescent="0.45">
      <c r="A71" s="344" t="s">
        <v>533</v>
      </c>
      <c r="B71" s="345">
        <v>0.28472222222222221</v>
      </c>
      <c r="C71" s="345" t="s">
        <v>414</v>
      </c>
      <c r="D71" s="304" t="s">
        <v>702</v>
      </c>
      <c r="E71" s="377" t="s">
        <v>504</v>
      </c>
      <c r="F71" s="367"/>
      <c r="G71" s="368">
        <v>1</v>
      </c>
      <c r="H71" s="368"/>
      <c r="I71" s="370"/>
      <c r="J71" s="370"/>
      <c r="K71" s="367"/>
      <c r="L71" s="370"/>
    </row>
    <row r="72" spans="1:12" ht="33" customHeight="1" x14ac:dyDescent="0.45">
      <c r="A72" s="344" t="s">
        <v>376</v>
      </c>
      <c r="B72" s="345">
        <v>0.3125</v>
      </c>
      <c r="C72" s="345" t="s">
        <v>414</v>
      </c>
      <c r="D72" s="304" t="s">
        <v>702</v>
      </c>
      <c r="E72" s="377" t="s">
        <v>504</v>
      </c>
      <c r="F72" s="367"/>
      <c r="G72" s="368">
        <v>1</v>
      </c>
      <c r="H72" s="368"/>
      <c r="I72" s="370"/>
      <c r="J72" s="370"/>
      <c r="K72" s="367"/>
      <c r="L72" s="370"/>
    </row>
    <row r="73" spans="1:12" ht="33" customHeight="1" x14ac:dyDescent="0.45">
      <c r="A73" s="344" t="s">
        <v>501</v>
      </c>
      <c r="B73" s="345">
        <v>0.3263888888888889</v>
      </c>
      <c r="C73" s="345" t="s">
        <v>414</v>
      </c>
      <c r="D73" s="304" t="s">
        <v>702</v>
      </c>
      <c r="E73" s="377" t="s">
        <v>504</v>
      </c>
      <c r="F73" s="367"/>
      <c r="G73" s="368">
        <v>1</v>
      </c>
      <c r="H73" s="368"/>
      <c r="I73" s="370"/>
      <c r="J73" s="370"/>
      <c r="K73" s="367"/>
      <c r="L73" s="370"/>
    </row>
    <row r="74" spans="1:12" ht="33" customHeight="1" x14ac:dyDescent="0.45">
      <c r="A74" s="344" t="s">
        <v>501</v>
      </c>
      <c r="B74" s="303">
        <v>0.625</v>
      </c>
      <c r="C74" s="303" t="s">
        <v>414</v>
      </c>
      <c r="D74" s="304" t="s">
        <v>702</v>
      </c>
      <c r="E74" s="377" t="s">
        <v>504</v>
      </c>
      <c r="F74" s="367"/>
      <c r="G74" s="368">
        <v>1</v>
      </c>
      <c r="H74" s="368"/>
      <c r="I74" s="370"/>
      <c r="J74" s="370"/>
      <c r="K74" s="367"/>
      <c r="L74" s="370"/>
    </row>
    <row r="75" spans="1:12" ht="33" customHeight="1" x14ac:dyDescent="0.45">
      <c r="A75" s="344" t="s">
        <v>376</v>
      </c>
      <c r="B75" s="303">
        <v>0.65972222222222221</v>
      </c>
      <c r="C75" s="303" t="s">
        <v>414</v>
      </c>
      <c r="D75" s="304" t="s">
        <v>702</v>
      </c>
      <c r="E75" s="377" t="s">
        <v>503</v>
      </c>
      <c r="F75" s="367"/>
      <c r="G75" s="368">
        <v>1</v>
      </c>
      <c r="H75" s="368"/>
      <c r="I75" s="370"/>
      <c r="J75" s="370"/>
      <c r="K75" s="367"/>
      <c r="L75" s="370"/>
    </row>
    <row r="76" spans="1:12" ht="33" customHeight="1" x14ac:dyDescent="0.45">
      <c r="A76" s="344" t="s">
        <v>376</v>
      </c>
      <c r="B76" s="303">
        <v>0.6875</v>
      </c>
      <c r="C76" s="303" t="s">
        <v>414</v>
      </c>
      <c r="D76" s="304" t="s">
        <v>702</v>
      </c>
      <c r="E76" s="377" t="s">
        <v>503</v>
      </c>
      <c r="F76" s="367"/>
      <c r="G76" s="368">
        <v>1</v>
      </c>
      <c r="H76" s="368"/>
      <c r="I76" s="370"/>
      <c r="J76" s="370"/>
      <c r="K76" s="367"/>
      <c r="L76" s="370"/>
    </row>
    <row r="77" spans="1:12" ht="33" customHeight="1" x14ac:dyDescent="0.45">
      <c r="A77" s="344" t="s">
        <v>376</v>
      </c>
      <c r="B77" s="303">
        <v>0.71180555555555558</v>
      </c>
      <c r="C77" s="303" t="s">
        <v>414</v>
      </c>
      <c r="D77" s="304" t="s">
        <v>702</v>
      </c>
      <c r="E77" s="377" t="s">
        <v>503</v>
      </c>
      <c r="F77" s="367"/>
      <c r="G77" s="368">
        <v>1</v>
      </c>
      <c r="H77" s="368"/>
      <c r="I77" s="370"/>
      <c r="J77" s="370"/>
      <c r="K77" s="367"/>
      <c r="L77" s="370"/>
    </row>
    <row r="78" spans="1:12" ht="33" customHeight="1" x14ac:dyDescent="0.45">
      <c r="A78" s="315" t="s">
        <v>336</v>
      </c>
      <c r="B78" s="303"/>
      <c r="C78" s="303" t="s">
        <v>660</v>
      </c>
      <c r="D78" s="304"/>
      <c r="E78" s="304"/>
      <c r="F78" s="305"/>
      <c r="G78" s="306"/>
      <c r="H78" s="306"/>
      <c r="I78" s="306"/>
      <c r="J78" s="297"/>
      <c r="K78" s="305"/>
      <c r="L78" s="297"/>
    </row>
    <row r="79" spans="1:12" ht="33" customHeight="1" x14ac:dyDescent="0.45">
      <c r="A79" s="315" t="s">
        <v>336</v>
      </c>
      <c r="B79" s="303"/>
      <c r="C79" s="303" t="s">
        <v>660</v>
      </c>
      <c r="D79" s="304"/>
      <c r="E79" s="304"/>
      <c r="F79" s="305"/>
      <c r="G79" s="306"/>
      <c r="H79" s="306"/>
      <c r="I79" s="306"/>
      <c r="J79" s="297"/>
      <c r="K79" s="305"/>
      <c r="L79" s="297"/>
    </row>
    <row r="80" spans="1:12" ht="33" customHeight="1" x14ac:dyDescent="0.45">
      <c r="A80" s="315" t="s">
        <v>336</v>
      </c>
      <c r="B80" s="303"/>
      <c r="C80" s="303" t="s">
        <v>660</v>
      </c>
      <c r="D80" s="304"/>
      <c r="E80" s="304"/>
      <c r="F80" s="305"/>
      <c r="G80" s="306"/>
      <c r="H80" s="306"/>
      <c r="I80" s="306"/>
      <c r="J80" s="297"/>
      <c r="K80" s="305"/>
      <c r="L80" s="297"/>
    </row>
    <row r="81" spans="1:14" ht="33" customHeight="1" x14ac:dyDescent="0.45">
      <c r="A81" s="315" t="s">
        <v>336</v>
      </c>
      <c r="B81" s="303"/>
      <c r="C81" s="303" t="s">
        <v>660</v>
      </c>
      <c r="D81" s="304"/>
      <c r="E81" s="304"/>
      <c r="F81" s="305"/>
      <c r="G81" s="306"/>
      <c r="H81" s="306"/>
      <c r="I81" s="306"/>
      <c r="J81" s="297"/>
      <c r="K81" s="305"/>
      <c r="L81" s="297"/>
    </row>
    <row r="82" spans="1:14" ht="33" customHeight="1" x14ac:dyDescent="0.45">
      <c r="A82" s="315" t="s">
        <v>336</v>
      </c>
      <c r="B82" s="303"/>
      <c r="C82" s="303" t="s">
        <v>660</v>
      </c>
      <c r="D82" s="304"/>
      <c r="E82" s="304"/>
      <c r="F82" s="305"/>
      <c r="G82" s="306"/>
      <c r="H82" s="306"/>
      <c r="I82" s="306"/>
      <c r="J82" s="297"/>
      <c r="K82" s="305"/>
      <c r="L82" s="297"/>
    </row>
    <row r="83" spans="1:14" ht="33" customHeight="1" x14ac:dyDescent="0.45">
      <c r="C83" s="190" t="s">
        <v>691</v>
      </c>
      <c r="F83" s="137" t="s">
        <v>15</v>
      </c>
    </row>
    <row r="84" spans="1:14" ht="23.25" x14ac:dyDescent="0.45">
      <c r="A84" s="137" t="s">
        <v>18</v>
      </c>
      <c r="B84" s="260" t="s">
        <v>414</v>
      </c>
      <c r="C84" s="241"/>
      <c r="D84" s="241"/>
      <c r="E84" s="241"/>
      <c r="L84" s="600">
        <f>L65+1</f>
        <v>46147</v>
      </c>
    </row>
    <row r="85" spans="1:14" ht="21" x14ac:dyDescent="0.45">
      <c r="A85" s="137" t="s">
        <v>13</v>
      </c>
      <c r="B85" s="320" t="s">
        <v>702</v>
      </c>
      <c r="C85" s="254"/>
      <c r="D85" s="254"/>
      <c r="E85" s="598"/>
      <c r="J85" s="600"/>
      <c r="L85" s="600"/>
    </row>
    <row r="87" spans="1:14" x14ac:dyDescent="0.45">
      <c r="A87" s="141"/>
      <c r="B87" s="142"/>
      <c r="C87" s="142"/>
      <c r="D87" s="142"/>
      <c r="E87" s="142"/>
      <c r="F87" s="142"/>
      <c r="G87" s="142"/>
      <c r="H87" s="142"/>
      <c r="I87" s="142"/>
      <c r="J87" s="319"/>
      <c r="K87" s="319" t="s">
        <v>337</v>
      </c>
      <c r="L87" s="294"/>
      <c r="M87" s="137" t="s">
        <v>337</v>
      </c>
    </row>
    <row r="88" spans="1:14" ht="63" x14ac:dyDescent="0.45">
      <c r="A88" s="297" t="s">
        <v>534</v>
      </c>
      <c r="B88" s="298" t="s">
        <v>0</v>
      </c>
      <c r="C88" s="298" t="s">
        <v>332</v>
      </c>
      <c r="D88" s="298" t="s">
        <v>333</v>
      </c>
      <c r="E88" s="298" t="s">
        <v>535</v>
      </c>
      <c r="F88" s="298" t="s">
        <v>1</v>
      </c>
      <c r="G88" s="298" t="s">
        <v>334</v>
      </c>
      <c r="H88" s="298" t="s">
        <v>335</v>
      </c>
      <c r="I88" s="298" t="s">
        <v>23</v>
      </c>
      <c r="J88" s="300" t="s">
        <v>22</v>
      </c>
      <c r="K88" s="298" t="s">
        <v>17</v>
      </c>
      <c r="L88" s="301" t="s">
        <v>12</v>
      </c>
      <c r="M88" s="137" t="s">
        <v>17</v>
      </c>
      <c r="N88" s="137" t="s">
        <v>12</v>
      </c>
    </row>
    <row r="89" spans="1:14" ht="33" customHeight="1" x14ac:dyDescent="0.45">
      <c r="A89" s="344" t="s">
        <v>376</v>
      </c>
      <c r="B89" s="345">
        <v>0.23958333333333334</v>
      </c>
      <c r="C89" s="345" t="s">
        <v>414</v>
      </c>
      <c r="D89" s="304" t="s">
        <v>702</v>
      </c>
      <c r="E89" s="377" t="s">
        <v>503</v>
      </c>
      <c r="F89" s="580"/>
      <c r="G89" s="368">
        <v>1</v>
      </c>
      <c r="H89" s="363"/>
      <c r="I89" s="580"/>
      <c r="J89" s="365"/>
      <c r="K89" s="580"/>
      <c r="L89" s="366"/>
    </row>
    <row r="90" spans="1:14" ht="33" customHeight="1" x14ac:dyDescent="0.45">
      <c r="A90" s="344" t="s">
        <v>376</v>
      </c>
      <c r="B90" s="345">
        <v>0.27083333333333331</v>
      </c>
      <c r="C90" s="345" t="s">
        <v>414</v>
      </c>
      <c r="D90" s="304" t="s">
        <v>702</v>
      </c>
      <c r="E90" s="377" t="s">
        <v>688</v>
      </c>
      <c r="F90" s="367"/>
      <c r="G90" s="368">
        <v>1</v>
      </c>
      <c r="H90" s="368"/>
      <c r="I90" s="370"/>
      <c r="J90" s="370"/>
      <c r="K90" s="367"/>
      <c r="L90" s="370"/>
    </row>
    <row r="91" spans="1:14" ht="33" customHeight="1" x14ac:dyDescent="0.45">
      <c r="A91" s="344" t="s">
        <v>533</v>
      </c>
      <c r="B91" s="345">
        <v>0.28472222222222221</v>
      </c>
      <c r="C91" s="345" t="s">
        <v>414</v>
      </c>
      <c r="D91" s="304" t="s">
        <v>702</v>
      </c>
      <c r="E91" s="377" t="s">
        <v>504</v>
      </c>
      <c r="F91" s="367"/>
      <c r="G91" s="368">
        <v>1</v>
      </c>
      <c r="H91" s="368"/>
      <c r="I91" s="370"/>
      <c r="J91" s="370"/>
      <c r="K91" s="367"/>
      <c r="L91" s="370"/>
    </row>
    <row r="92" spans="1:14" ht="33" customHeight="1" x14ac:dyDescent="0.45">
      <c r="A92" s="344" t="s">
        <v>376</v>
      </c>
      <c r="B92" s="345">
        <v>0.3125</v>
      </c>
      <c r="C92" s="345" t="s">
        <v>414</v>
      </c>
      <c r="D92" s="304" t="s">
        <v>702</v>
      </c>
      <c r="E92" s="377" t="s">
        <v>504</v>
      </c>
      <c r="F92" s="367"/>
      <c r="G92" s="368">
        <v>1</v>
      </c>
      <c r="H92" s="368"/>
      <c r="I92" s="370"/>
      <c r="J92" s="370"/>
      <c r="K92" s="367"/>
      <c r="L92" s="370"/>
    </row>
    <row r="93" spans="1:14" ht="33" customHeight="1" x14ac:dyDescent="0.45">
      <c r="A93" s="344" t="s">
        <v>501</v>
      </c>
      <c r="B93" s="345">
        <v>0.3263888888888889</v>
      </c>
      <c r="C93" s="345" t="s">
        <v>414</v>
      </c>
      <c r="D93" s="304" t="s">
        <v>702</v>
      </c>
      <c r="E93" s="377" t="s">
        <v>504</v>
      </c>
      <c r="F93" s="367"/>
      <c r="G93" s="368">
        <v>1</v>
      </c>
      <c r="H93" s="368"/>
      <c r="I93" s="370"/>
      <c r="J93" s="370"/>
      <c r="K93" s="367"/>
      <c r="L93" s="370"/>
    </row>
    <row r="94" spans="1:14" ht="33" customHeight="1" x14ac:dyDescent="0.45">
      <c r="A94" s="344" t="s">
        <v>501</v>
      </c>
      <c r="B94" s="303">
        <v>0.625</v>
      </c>
      <c r="C94" s="303" t="s">
        <v>414</v>
      </c>
      <c r="D94" s="304" t="s">
        <v>702</v>
      </c>
      <c r="E94" s="377" t="s">
        <v>504</v>
      </c>
      <c r="F94" s="367"/>
      <c r="G94" s="368">
        <v>1</v>
      </c>
      <c r="H94" s="368"/>
      <c r="I94" s="370"/>
      <c r="J94" s="370"/>
      <c r="K94" s="367"/>
      <c r="L94" s="370"/>
    </row>
    <row r="95" spans="1:14" ht="33" customHeight="1" x14ac:dyDescent="0.45">
      <c r="A95" s="344" t="s">
        <v>376</v>
      </c>
      <c r="B95" s="303">
        <v>0.65972222222222221</v>
      </c>
      <c r="C95" s="303" t="s">
        <v>414</v>
      </c>
      <c r="D95" s="304" t="s">
        <v>702</v>
      </c>
      <c r="E95" s="377" t="s">
        <v>503</v>
      </c>
      <c r="F95" s="367"/>
      <c r="G95" s="368">
        <v>1</v>
      </c>
      <c r="H95" s="368"/>
      <c r="I95" s="370"/>
      <c r="J95" s="370"/>
      <c r="K95" s="367"/>
      <c r="L95" s="370"/>
    </row>
    <row r="96" spans="1:14" ht="33" customHeight="1" x14ac:dyDescent="0.45">
      <c r="A96" s="344" t="s">
        <v>376</v>
      </c>
      <c r="B96" s="303">
        <v>0.6875</v>
      </c>
      <c r="C96" s="303" t="s">
        <v>414</v>
      </c>
      <c r="D96" s="304" t="s">
        <v>702</v>
      </c>
      <c r="E96" s="377" t="s">
        <v>503</v>
      </c>
      <c r="F96" s="367"/>
      <c r="G96" s="368">
        <v>1</v>
      </c>
      <c r="H96" s="368"/>
      <c r="I96" s="370"/>
      <c r="J96" s="370"/>
      <c r="K96" s="367"/>
      <c r="L96" s="370"/>
    </row>
    <row r="97" spans="1:12" ht="33" customHeight="1" x14ac:dyDescent="0.45">
      <c r="A97" s="344" t="s">
        <v>376</v>
      </c>
      <c r="B97" s="303">
        <v>0.71180555555555558</v>
      </c>
      <c r="C97" s="303" t="s">
        <v>414</v>
      </c>
      <c r="D97" s="304" t="s">
        <v>702</v>
      </c>
      <c r="E97" s="377" t="s">
        <v>503</v>
      </c>
      <c r="F97" s="367"/>
      <c r="G97" s="368">
        <v>1</v>
      </c>
      <c r="H97" s="368"/>
      <c r="I97" s="370"/>
      <c r="J97" s="370"/>
      <c r="K97" s="367"/>
      <c r="L97" s="370"/>
    </row>
    <row r="98" spans="1:12" ht="33" customHeight="1" x14ac:dyDescent="0.45">
      <c r="A98" s="315" t="s">
        <v>336</v>
      </c>
      <c r="B98" s="303"/>
      <c r="C98" s="303" t="s">
        <v>660</v>
      </c>
      <c r="D98" s="304"/>
      <c r="E98" s="304"/>
      <c r="F98" s="305"/>
      <c r="G98" s="306"/>
      <c r="H98" s="306"/>
      <c r="I98" s="306"/>
      <c r="J98" s="297"/>
      <c r="K98" s="305"/>
      <c r="L98" s="297"/>
    </row>
    <row r="99" spans="1:12" ht="33" customHeight="1" x14ac:dyDescent="0.45">
      <c r="A99" s="315" t="s">
        <v>336</v>
      </c>
      <c r="B99" s="303"/>
      <c r="C99" s="303" t="s">
        <v>660</v>
      </c>
      <c r="D99" s="304"/>
      <c r="E99" s="304"/>
      <c r="F99" s="305"/>
      <c r="G99" s="306"/>
      <c r="H99" s="306"/>
      <c r="I99" s="306"/>
      <c r="J99" s="297"/>
      <c r="K99" s="305"/>
      <c r="L99" s="297"/>
    </row>
    <row r="100" spans="1:12" ht="33" customHeight="1" x14ac:dyDescent="0.45">
      <c r="A100" s="315" t="s">
        <v>336</v>
      </c>
      <c r="B100" s="303"/>
      <c r="C100" s="303" t="s">
        <v>660</v>
      </c>
      <c r="D100" s="304"/>
      <c r="E100" s="304"/>
      <c r="F100" s="305"/>
      <c r="G100" s="306"/>
      <c r="H100" s="306"/>
      <c r="I100" s="306"/>
      <c r="J100" s="297"/>
      <c r="K100" s="305"/>
      <c r="L100" s="297"/>
    </row>
    <row r="101" spans="1:12" ht="33" customHeight="1" x14ac:dyDescent="0.45">
      <c r="A101" s="315" t="s">
        <v>336</v>
      </c>
      <c r="B101" s="303"/>
      <c r="C101" s="303" t="s">
        <v>660</v>
      </c>
      <c r="D101" s="304"/>
      <c r="E101" s="304"/>
      <c r="F101" s="305"/>
      <c r="G101" s="306"/>
      <c r="H101" s="306"/>
      <c r="I101" s="306"/>
      <c r="J101" s="297"/>
      <c r="K101" s="305"/>
      <c r="L101" s="297"/>
    </row>
    <row r="102" spans="1:12" ht="33" customHeight="1" x14ac:dyDescent="0.45">
      <c r="A102" s="315" t="s">
        <v>336</v>
      </c>
      <c r="B102" s="303"/>
      <c r="C102" s="303" t="s">
        <v>660</v>
      </c>
      <c r="D102" s="304"/>
      <c r="E102" s="304"/>
      <c r="F102" s="305"/>
      <c r="G102" s="306"/>
      <c r="H102" s="306"/>
      <c r="I102" s="306"/>
      <c r="J102" s="297"/>
      <c r="K102" s="305"/>
      <c r="L102" s="297"/>
    </row>
    <row r="103" spans="1:12" x14ac:dyDescent="0.45">
      <c r="C103" s="190" t="s">
        <v>691</v>
      </c>
      <c r="F103" s="137" t="s">
        <v>15</v>
      </c>
    </row>
    <row r="104" spans="1:12" ht="23.25" x14ac:dyDescent="0.45">
      <c r="A104" s="137" t="s">
        <v>18</v>
      </c>
      <c r="B104" s="260" t="s">
        <v>414</v>
      </c>
      <c r="C104" s="241"/>
      <c r="D104" s="241"/>
      <c r="E104" s="241"/>
      <c r="J104" s="600"/>
      <c r="L104" s="600">
        <f>L84+1</f>
        <v>46148</v>
      </c>
    </row>
    <row r="105" spans="1:12" ht="21" x14ac:dyDescent="0.45">
      <c r="A105" s="137" t="s">
        <v>13</v>
      </c>
      <c r="B105" s="320" t="s">
        <v>702</v>
      </c>
      <c r="C105" s="254"/>
      <c r="D105" s="254"/>
      <c r="E105" s="598"/>
      <c r="J105" s="600"/>
      <c r="L105" s="600"/>
    </row>
    <row r="107" spans="1:12" x14ac:dyDescent="0.45">
      <c r="A107" s="141"/>
      <c r="B107" s="142"/>
      <c r="C107" s="142"/>
      <c r="D107" s="142"/>
      <c r="E107" s="142"/>
      <c r="F107" s="142"/>
      <c r="G107" s="142"/>
      <c r="H107" s="142"/>
      <c r="I107" s="142"/>
      <c r="J107" s="319"/>
      <c r="K107" s="319" t="s">
        <v>337</v>
      </c>
      <c r="L107" s="294"/>
    </row>
    <row r="108" spans="1:12" ht="63" x14ac:dyDescent="0.45">
      <c r="A108" s="297" t="s">
        <v>534</v>
      </c>
      <c r="B108" s="298" t="s">
        <v>0</v>
      </c>
      <c r="C108" s="298" t="s">
        <v>332</v>
      </c>
      <c r="D108" s="298" t="s">
        <v>333</v>
      </c>
      <c r="E108" s="298" t="s">
        <v>535</v>
      </c>
      <c r="F108" s="298" t="s">
        <v>1</v>
      </c>
      <c r="G108" s="298" t="s">
        <v>334</v>
      </c>
      <c r="H108" s="298" t="s">
        <v>335</v>
      </c>
      <c r="I108" s="298" t="s">
        <v>23</v>
      </c>
      <c r="J108" s="300" t="s">
        <v>22</v>
      </c>
      <c r="K108" s="298" t="s">
        <v>17</v>
      </c>
      <c r="L108" s="301" t="s">
        <v>12</v>
      </c>
    </row>
    <row r="109" spans="1:12" ht="32.75" customHeight="1" x14ac:dyDescent="0.45">
      <c r="A109" s="344" t="s">
        <v>376</v>
      </c>
      <c r="B109" s="345">
        <v>0.23958333333333334</v>
      </c>
      <c r="C109" s="345" t="s">
        <v>414</v>
      </c>
      <c r="D109" s="304" t="s">
        <v>702</v>
      </c>
      <c r="E109" s="377" t="s">
        <v>503</v>
      </c>
      <c r="F109" s="580"/>
      <c r="G109" s="368">
        <v>1</v>
      </c>
      <c r="H109" s="363"/>
      <c r="I109" s="580"/>
      <c r="J109" s="365"/>
      <c r="K109" s="580"/>
      <c r="L109" s="366"/>
    </row>
    <row r="110" spans="1:12" ht="32.75" customHeight="1" x14ac:dyDescent="0.45">
      <c r="A110" s="344" t="s">
        <v>376</v>
      </c>
      <c r="B110" s="345">
        <v>0.27083333333333331</v>
      </c>
      <c r="C110" s="345" t="s">
        <v>414</v>
      </c>
      <c r="D110" s="304" t="s">
        <v>702</v>
      </c>
      <c r="E110" s="377" t="s">
        <v>688</v>
      </c>
      <c r="F110" s="367"/>
      <c r="G110" s="368">
        <v>1</v>
      </c>
      <c r="H110" s="368"/>
      <c r="I110" s="370"/>
      <c r="J110" s="370"/>
      <c r="K110" s="367"/>
      <c r="L110" s="370"/>
    </row>
    <row r="111" spans="1:12" ht="32.75" customHeight="1" x14ac:dyDescent="0.45">
      <c r="A111" s="344" t="s">
        <v>533</v>
      </c>
      <c r="B111" s="345">
        <v>0.28472222222222221</v>
      </c>
      <c r="C111" s="345" t="s">
        <v>414</v>
      </c>
      <c r="D111" s="304" t="s">
        <v>702</v>
      </c>
      <c r="E111" s="377" t="s">
        <v>504</v>
      </c>
      <c r="F111" s="367"/>
      <c r="G111" s="368">
        <v>1</v>
      </c>
      <c r="H111" s="368"/>
      <c r="I111" s="370"/>
      <c r="J111" s="370"/>
      <c r="K111" s="367"/>
      <c r="L111" s="370"/>
    </row>
    <row r="112" spans="1:12" ht="32.75" customHeight="1" x14ac:dyDescent="0.45">
      <c r="A112" s="344" t="s">
        <v>376</v>
      </c>
      <c r="B112" s="345">
        <v>0.3125</v>
      </c>
      <c r="C112" s="345" t="s">
        <v>414</v>
      </c>
      <c r="D112" s="304" t="s">
        <v>702</v>
      </c>
      <c r="E112" s="377" t="s">
        <v>504</v>
      </c>
      <c r="F112" s="367"/>
      <c r="G112" s="368">
        <v>1</v>
      </c>
      <c r="H112" s="368"/>
      <c r="I112" s="370"/>
      <c r="J112" s="370"/>
      <c r="K112" s="367"/>
      <c r="L112" s="370"/>
    </row>
    <row r="113" spans="1:12" ht="32.75" customHeight="1" x14ac:dyDescent="0.45">
      <c r="A113" s="344" t="s">
        <v>501</v>
      </c>
      <c r="B113" s="345">
        <v>0.3263888888888889</v>
      </c>
      <c r="C113" s="345" t="s">
        <v>414</v>
      </c>
      <c r="D113" s="304" t="s">
        <v>702</v>
      </c>
      <c r="E113" s="377" t="s">
        <v>504</v>
      </c>
      <c r="F113" s="367"/>
      <c r="G113" s="368">
        <v>1</v>
      </c>
      <c r="H113" s="368"/>
      <c r="I113" s="370"/>
      <c r="J113" s="370"/>
      <c r="K113" s="367"/>
      <c r="L113" s="370"/>
    </row>
    <row r="114" spans="1:12" ht="32.75" customHeight="1" x14ac:dyDescent="0.45">
      <c r="A114" s="344" t="s">
        <v>501</v>
      </c>
      <c r="B114" s="303">
        <v>0.625</v>
      </c>
      <c r="C114" s="303" t="s">
        <v>414</v>
      </c>
      <c r="D114" s="304" t="s">
        <v>702</v>
      </c>
      <c r="E114" s="377" t="s">
        <v>504</v>
      </c>
      <c r="F114" s="367"/>
      <c r="G114" s="368">
        <v>1</v>
      </c>
      <c r="H114" s="368"/>
      <c r="I114" s="370"/>
      <c r="J114" s="370"/>
      <c r="K114" s="367"/>
      <c r="L114" s="370"/>
    </row>
    <row r="115" spans="1:12" ht="32.75" customHeight="1" x14ac:dyDescent="0.45">
      <c r="A115" s="344" t="s">
        <v>376</v>
      </c>
      <c r="B115" s="303">
        <v>0.65972222222222221</v>
      </c>
      <c r="C115" s="303" t="s">
        <v>414</v>
      </c>
      <c r="D115" s="304" t="s">
        <v>702</v>
      </c>
      <c r="E115" s="377" t="s">
        <v>503</v>
      </c>
      <c r="F115" s="367"/>
      <c r="G115" s="368">
        <v>1</v>
      </c>
      <c r="H115" s="368"/>
      <c r="I115" s="370"/>
      <c r="J115" s="370"/>
      <c r="K115" s="367"/>
      <c r="L115" s="370"/>
    </row>
    <row r="116" spans="1:12" ht="32.75" customHeight="1" x14ac:dyDescent="0.45">
      <c r="A116" s="344" t="s">
        <v>376</v>
      </c>
      <c r="B116" s="303">
        <v>0.6875</v>
      </c>
      <c r="C116" s="303" t="s">
        <v>414</v>
      </c>
      <c r="D116" s="304" t="s">
        <v>702</v>
      </c>
      <c r="E116" s="377" t="s">
        <v>503</v>
      </c>
      <c r="F116" s="367"/>
      <c r="G116" s="368">
        <v>1</v>
      </c>
      <c r="H116" s="368"/>
      <c r="I116" s="370"/>
      <c r="J116" s="370"/>
      <c r="K116" s="367"/>
      <c r="L116" s="370"/>
    </row>
    <row r="117" spans="1:12" ht="32.75" customHeight="1" x14ac:dyDescent="0.45">
      <c r="A117" s="344" t="s">
        <v>376</v>
      </c>
      <c r="B117" s="303">
        <v>0.71180555555555558</v>
      </c>
      <c r="C117" s="303" t="s">
        <v>414</v>
      </c>
      <c r="D117" s="304" t="s">
        <v>702</v>
      </c>
      <c r="E117" s="377" t="s">
        <v>503</v>
      </c>
      <c r="F117" s="367"/>
      <c r="G117" s="368">
        <v>1</v>
      </c>
      <c r="H117" s="368"/>
      <c r="I117" s="370"/>
      <c r="J117" s="370"/>
      <c r="K117" s="367"/>
      <c r="L117" s="370"/>
    </row>
    <row r="118" spans="1:12" ht="32.75" customHeight="1" x14ac:dyDescent="0.45">
      <c r="A118" s="315" t="s">
        <v>336</v>
      </c>
      <c r="B118" s="303"/>
      <c r="C118" s="303" t="s">
        <v>660</v>
      </c>
      <c r="D118" s="304"/>
      <c r="E118" s="304"/>
      <c r="F118" s="305"/>
      <c r="G118" s="306"/>
      <c r="H118" s="306"/>
      <c r="I118" s="306"/>
      <c r="J118" s="297"/>
      <c r="K118" s="305"/>
      <c r="L118" s="297"/>
    </row>
    <row r="119" spans="1:12" ht="32.75" customHeight="1" x14ac:dyDescent="0.45">
      <c r="A119" s="315" t="s">
        <v>336</v>
      </c>
      <c r="B119" s="303"/>
      <c r="C119" s="303" t="s">
        <v>660</v>
      </c>
      <c r="D119" s="304"/>
      <c r="E119" s="304"/>
      <c r="F119" s="305"/>
      <c r="G119" s="306"/>
      <c r="H119" s="306"/>
      <c r="I119" s="306"/>
      <c r="J119" s="297"/>
      <c r="K119" s="305"/>
      <c r="L119" s="297"/>
    </row>
    <row r="120" spans="1:12" ht="32.75" customHeight="1" x14ac:dyDescent="0.45">
      <c r="A120" s="315" t="s">
        <v>336</v>
      </c>
      <c r="B120" s="303"/>
      <c r="C120" s="303" t="s">
        <v>660</v>
      </c>
      <c r="D120" s="304"/>
      <c r="E120" s="304"/>
      <c r="F120" s="305"/>
      <c r="G120" s="306"/>
      <c r="H120" s="306"/>
      <c r="I120" s="306"/>
      <c r="J120" s="297"/>
      <c r="K120" s="305"/>
      <c r="L120" s="297"/>
    </row>
    <row r="121" spans="1:12" ht="32.75" customHeight="1" x14ac:dyDescent="0.45">
      <c r="A121" s="315" t="s">
        <v>336</v>
      </c>
      <c r="B121" s="303"/>
      <c r="C121" s="303" t="s">
        <v>660</v>
      </c>
      <c r="D121" s="304"/>
      <c r="E121" s="304"/>
      <c r="F121" s="305"/>
      <c r="G121" s="306"/>
      <c r="H121" s="306"/>
      <c r="I121" s="306"/>
      <c r="J121" s="297"/>
      <c r="K121" s="305"/>
      <c r="L121" s="297"/>
    </row>
    <row r="122" spans="1:12" ht="32.75" customHeight="1" x14ac:dyDescent="0.45">
      <c r="A122" s="315" t="s">
        <v>336</v>
      </c>
      <c r="B122" s="303"/>
      <c r="C122" s="303" t="s">
        <v>660</v>
      </c>
      <c r="D122" s="304"/>
      <c r="E122" s="304"/>
      <c r="F122" s="305"/>
      <c r="G122" s="306"/>
      <c r="H122" s="306"/>
      <c r="I122" s="306"/>
      <c r="J122" s="297"/>
      <c r="K122" s="305"/>
      <c r="L122" s="297"/>
    </row>
    <row r="123" spans="1:12" x14ac:dyDescent="0.45">
      <c r="C123" s="190" t="s">
        <v>691</v>
      </c>
      <c r="F123" s="137" t="s">
        <v>15</v>
      </c>
    </row>
    <row r="124" spans="1:12" x14ac:dyDescent="0.45">
      <c r="C124" s="190"/>
    </row>
    <row r="125" spans="1:12" ht="23.25" x14ac:dyDescent="0.45">
      <c r="A125" s="137" t="s">
        <v>18</v>
      </c>
      <c r="B125" s="260" t="s">
        <v>414</v>
      </c>
      <c r="C125" s="241"/>
      <c r="D125" s="241"/>
      <c r="E125" s="241"/>
      <c r="J125" s="600"/>
      <c r="L125" s="600">
        <f>L104+1</f>
        <v>46149</v>
      </c>
    </row>
    <row r="126" spans="1:12" ht="21" x14ac:dyDescent="0.45">
      <c r="A126" s="137" t="s">
        <v>13</v>
      </c>
      <c r="B126" s="320" t="s">
        <v>702</v>
      </c>
      <c r="C126" s="254"/>
      <c r="D126" s="254"/>
      <c r="E126" s="598"/>
      <c r="J126" s="600"/>
      <c r="L126" s="600"/>
    </row>
    <row r="128" spans="1:12" x14ac:dyDescent="0.45">
      <c r="A128" s="141"/>
      <c r="B128" s="142"/>
      <c r="C128" s="142"/>
      <c r="D128" s="142"/>
      <c r="E128" s="142"/>
      <c r="F128" s="142"/>
      <c r="G128" s="142"/>
      <c r="H128" s="142"/>
      <c r="I128" s="142"/>
      <c r="J128" s="319"/>
      <c r="K128" s="319" t="s">
        <v>337</v>
      </c>
      <c r="L128" s="294"/>
    </row>
    <row r="129" spans="1:12" ht="63" x14ac:dyDescent="0.45">
      <c r="A129" s="297" t="s">
        <v>534</v>
      </c>
      <c r="B129" s="298" t="s">
        <v>0</v>
      </c>
      <c r="C129" s="298" t="s">
        <v>332</v>
      </c>
      <c r="D129" s="298" t="s">
        <v>333</v>
      </c>
      <c r="E129" s="298" t="s">
        <v>535</v>
      </c>
      <c r="F129" s="298" t="s">
        <v>1</v>
      </c>
      <c r="G129" s="298" t="s">
        <v>334</v>
      </c>
      <c r="H129" s="298" t="s">
        <v>335</v>
      </c>
      <c r="I129" s="298" t="s">
        <v>23</v>
      </c>
      <c r="J129" s="300" t="s">
        <v>22</v>
      </c>
      <c r="K129" s="298" t="s">
        <v>17</v>
      </c>
      <c r="L129" s="301" t="s">
        <v>12</v>
      </c>
    </row>
    <row r="130" spans="1:12" ht="33.4" customHeight="1" x14ac:dyDescent="0.45">
      <c r="A130" s="344" t="s">
        <v>376</v>
      </c>
      <c r="B130" s="345">
        <v>0.23958333333333334</v>
      </c>
      <c r="C130" s="345" t="s">
        <v>414</v>
      </c>
      <c r="D130" s="304" t="s">
        <v>702</v>
      </c>
      <c r="E130" s="377" t="s">
        <v>503</v>
      </c>
      <c r="F130" s="580"/>
      <c r="G130" s="368">
        <v>1</v>
      </c>
      <c r="H130" s="363"/>
      <c r="I130" s="580"/>
      <c r="J130" s="365"/>
      <c r="K130" s="580"/>
      <c r="L130" s="366"/>
    </row>
    <row r="131" spans="1:12" ht="33.4" customHeight="1" x14ac:dyDescent="0.45">
      <c r="A131" s="344" t="s">
        <v>376</v>
      </c>
      <c r="B131" s="345">
        <v>0.27083333333333331</v>
      </c>
      <c r="C131" s="345" t="s">
        <v>414</v>
      </c>
      <c r="D131" s="304" t="s">
        <v>702</v>
      </c>
      <c r="E131" s="377" t="s">
        <v>688</v>
      </c>
      <c r="F131" s="367"/>
      <c r="G131" s="368">
        <v>1</v>
      </c>
      <c r="H131" s="368"/>
      <c r="I131" s="370"/>
      <c r="J131" s="370"/>
      <c r="K131" s="367"/>
      <c r="L131" s="370"/>
    </row>
    <row r="132" spans="1:12" ht="33.4" customHeight="1" x14ac:dyDescent="0.45">
      <c r="A132" s="344" t="s">
        <v>533</v>
      </c>
      <c r="B132" s="345">
        <v>0.28472222222222221</v>
      </c>
      <c r="C132" s="345" t="s">
        <v>414</v>
      </c>
      <c r="D132" s="304" t="s">
        <v>702</v>
      </c>
      <c r="E132" s="377" t="s">
        <v>504</v>
      </c>
      <c r="F132" s="367"/>
      <c r="G132" s="368">
        <v>1</v>
      </c>
      <c r="H132" s="368"/>
      <c r="I132" s="370"/>
      <c r="J132" s="370"/>
      <c r="K132" s="367"/>
      <c r="L132" s="370"/>
    </row>
    <row r="133" spans="1:12" ht="33.4" customHeight="1" x14ac:dyDescent="0.45">
      <c r="A133" s="344" t="s">
        <v>376</v>
      </c>
      <c r="B133" s="345">
        <v>0.3125</v>
      </c>
      <c r="C133" s="345" t="s">
        <v>414</v>
      </c>
      <c r="D133" s="304" t="s">
        <v>702</v>
      </c>
      <c r="E133" s="377" t="s">
        <v>504</v>
      </c>
      <c r="F133" s="367"/>
      <c r="G133" s="368">
        <v>1</v>
      </c>
      <c r="H133" s="368"/>
      <c r="I133" s="370"/>
      <c r="J133" s="370"/>
      <c r="K133" s="367"/>
      <c r="L133" s="370"/>
    </row>
    <row r="134" spans="1:12" ht="33.4" customHeight="1" x14ac:dyDescent="0.45">
      <c r="A134" s="344" t="s">
        <v>501</v>
      </c>
      <c r="B134" s="345">
        <v>0.3263888888888889</v>
      </c>
      <c r="C134" s="345" t="s">
        <v>414</v>
      </c>
      <c r="D134" s="304" t="s">
        <v>702</v>
      </c>
      <c r="E134" s="377" t="s">
        <v>504</v>
      </c>
      <c r="F134" s="367"/>
      <c r="G134" s="368">
        <v>1</v>
      </c>
      <c r="H134" s="368"/>
      <c r="I134" s="370"/>
      <c r="J134" s="370"/>
      <c r="K134" s="367"/>
      <c r="L134" s="370"/>
    </row>
    <row r="135" spans="1:12" ht="33.4" customHeight="1" x14ac:dyDescent="0.45">
      <c r="A135" s="344" t="s">
        <v>501</v>
      </c>
      <c r="B135" s="303">
        <v>0.625</v>
      </c>
      <c r="C135" s="303" t="s">
        <v>414</v>
      </c>
      <c r="D135" s="304" t="s">
        <v>702</v>
      </c>
      <c r="E135" s="377" t="s">
        <v>504</v>
      </c>
      <c r="F135" s="367"/>
      <c r="G135" s="368">
        <v>1</v>
      </c>
      <c r="H135" s="368"/>
      <c r="I135" s="370"/>
      <c r="J135" s="370"/>
      <c r="K135" s="367"/>
      <c r="L135" s="370"/>
    </row>
    <row r="136" spans="1:12" ht="33.4" customHeight="1" x14ac:dyDescent="0.45">
      <c r="A136" s="344" t="s">
        <v>376</v>
      </c>
      <c r="B136" s="303">
        <v>0.65972222222222221</v>
      </c>
      <c r="C136" s="303" t="s">
        <v>414</v>
      </c>
      <c r="D136" s="304" t="s">
        <v>702</v>
      </c>
      <c r="E136" s="377" t="s">
        <v>503</v>
      </c>
      <c r="F136" s="367"/>
      <c r="G136" s="368">
        <v>1</v>
      </c>
      <c r="H136" s="368"/>
      <c r="I136" s="370"/>
      <c r="J136" s="370"/>
      <c r="K136" s="367"/>
      <c r="L136" s="370"/>
    </row>
    <row r="137" spans="1:12" ht="33.4" customHeight="1" x14ac:dyDescent="0.45">
      <c r="A137" s="344" t="s">
        <v>376</v>
      </c>
      <c r="B137" s="303">
        <v>0.6875</v>
      </c>
      <c r="C137" s="303" t="s">
        <v>414</v>
      </c>
      <c r="D137" s="304" t="s">
        <v>702</v>
      </c>
      <c r="E137" s="377" t="s">
        <v>503</v>
      </c>
      <c r="F137" s="367"/>
      <c r="G137" s="368">
        <v>1</v>
      </c>
      <c r="H137" s="368"/>
      <c r="I137" s="370"/>
      <c r="J137" s="370"/>
      <c r="K137" s="367"/>
      <c r="L137" s="370"/>
    </row>
    <row r="138" spans="1:12" ht="33.4" customHeight="1" x14ac:dyDescent="0.45">
      <c r="A138" s="344" t="s">
        <v>376</v>
      </c>
      <c r="B138" s="303">
        <v>0.71180555555555558</v>
      </c>
      <c r="C138" s="303" t="s">
        <v>414</v>
      </c>
      <c r="D138" s="304" t="s">
        <v>702</v>
      </c>
      <c r="E138" s="377" t="s">
        <v>503</v>
      </c>
      <c r="F138" s="367"/>
      <c r="G138" s="368">
        <v>1</v>
      </c>
      <c r="H138" s="368"/>
      <c r="I138" s="370"/>
      <c r="J138" s="370"/>
      <c r="K138" s="367"/>
      <c r="L138" s="370"/>
    </row>
    <row r="139" spans="1:12" ht="33.4" customHeight="1" x14ac:dyDescent="0.45">
      <c r="A139" s="315" t="s">
        <v>336</v>
      </c>
      <c r="B139" s="303"/>
      <c r="C139" s="303" t="s">
        <v>660</v>
      </c>
      <c r="D139" s="304"/>
      <c r="E139" s="304"/>
      <c r="F139" s="305"/>
      <c r="G139" s="306"/>
      <c r="H139" s="306"/>
      <c r="I139" s="306"/>
      <c r="J139" s="297"/>
      <c r="K139" s="305"/>
      <c r="L139" s="297"/>
    </row>
    <row r="140" spans="1:12" ht="33.4" customHeight="1" x14ac:dyDescent="0.45">
      <c r="A140" s="315" t="s">
        <v>336</v>
      </c>
      <c r="B140" s="303"/>
      <c r="C140" s="303" t="s">
        <v>660</v>
      </c>
      <c r="D140" s="304"/>
      <c r="E140" s="304"/>
      <c r="F140" s="305"/>
      <c r="G140" s="306"/>
      <c r="H140" s="306"/>
      <c r="I140" s="306"/>
      <c r="J140" s="297"/>
      <c r="K140" s="305"/>
      <c r="L140" s="297"/>
    </row>
    <row r="141" spans="1:12" ht="33.4" customHeight="1" x14ac:dyDescent="0.45">
      <c r="A141" s="315" t="s">
        <v>336</v>
      </c>
      <c r="B141" s="303"/>
      <c r="C141" s="303" t="s">
        <v>660</v>
      </c>
      <c r="D141" s="304"/>
      <c r="E141" s="304"/>
      <c r="F141" s="305"/>
      <c r="G141" s="306"/>
      <c r="H141" s="306"/>
      <c r="I141" s="306"/>
      <c r="J141" s="297"/>
      <c r="K141" s="305"/>
      <c r="L141" s="297"/>
    </row>
    <row r="142" spans="1:12" ht="33.4" customHeight="1" x14ac:dyDescent="0.45">
      <c r="A142" s="315" t="s">
        <v>336</v>
      </c>
      <c r="B142" s="303"/>
      <c r="C142" s="303" t="s">
        <v>660</v>
      </c>
      <c r="D142" s="304"/>
      <c r="E142" s="304"/>
      <c r="F142" s="305"/>
      <c r="G142" s="306"/>
      <c r="H142" s="306"/>
      <c r="I142" s="306"/>
      <c r="J142" s="297"/>
      <c r="K142" s="305"/>
      <c r="L142" s="297"/>
    </row>
    <row r="143" spans="1:12" ht="33.4" customHeight="1" x14ac:dyDescent="0.45">
      <c r="A143" s="315" t="s">
        <v>336</v>
      </c>
      <c r="B143" s="303"/>
      <c r="C143" s="303" t="s">
        <v>660</v>
      </c>
      <c r="D143" s="304"/>
      <c r="E143" s="304"/>
      <c r="F143" s="305"/>
      <c r="G143" s="306"/>
      <c r="H143" s="306"/>
      <c r="I143" s="306"/>
      <c r="J143" s="297"/>
      <c r="K143" s="305"/>
      <c r="L143" s="297"/>
    </row>
    <row r="144" spans="1:12" ht="33.4" customHeight="1" x14ac:dyDescent="0.45">
      <c r="C144" s="190" t="s">
        <v>691</v>
      </c>
      <c r="F144" s="137" t="s">
        <v>15</v>
      </c>
    </row>
    <row r="145" spans="1:12" ht="23.25" x14ac:dyDescent="0.45">
      <c r="A145" s="137" t="s">
        <v>18</v>
      </c>
      <c r="B145" s="260" t="s">
        <v>414</v>
      </c>
      <c r="C145" s="241"/>
      <c r="D145" s="241"/>
      <c r="E145" s="241"/>
    </row>
    <row r="146" spans="1:12" ht="21" x14ac:dyDescent="0.45">
      <c r="A146" s="137" t="s">
        <v>13</v>
      </c>
      <c r="B146" s="320" t="s">
        <v>702</v>
      </c>
      <c r="C146" s="254"/>
      <c r="D146" s="254"/>
      <c r="E146" s="598"/>
      <c r="J146" s="600"/>
      <c r="L146" s="607">
        <f>L125+1</f>
        <v>46150</v>
      </c>
    </row>
    <row r="148" spans="1:12" x14ac:dyDescent="0.45">
      <c r="A148" s="141"/>
      <c r="B148" s="142"/>
      <c r="C148" s="142"/>
      <c r="D148" s="142"/>
      <c r="E148" s="142"/>
      <c r="F148" s="142"/>
      <c r="G148" s="142"/>
      <c r="H148" s="142"/>
      <c r="I148" s="142"/>
      <c r="J148" s="319"/>
      <c r="K148" s="319" t="s">
        <v>337</v>
      </c>
      <c r="L148" s="294"/>
    </row>
    <row r="149" spans="1:12" ht="63" x14ac:dyDescent="0.45">
      <c r="A149" s="297" t="s">
        <v>534</v>
      </c>
      <c r="B149" s="298" t="s">
        <v>0</v>
      </c>
      <c r="C149" s="298" t="s">
        <v>332</v>
      </c>
      <c r="D149" s="298" t="s">
        <v>333</v>
      </c>
      <c r="E149" s="298" t="s">
        <v>535</v>
      </c>
      <c r="F149" s="298" t="s">
        <v>1</v>
      </c>
      <c r="G149" s="298" t="s">
        <v>334</v>
      </c>
      <c r="H149" s="298" t="s">
        <v>335</v>
      </c>
      <c r="I149" s="298" t="s">
        <v>23</v>
      </c>
      <c r="J149" s="300" t="s">
        <v>22</v>
      </c>
      <c r="K149" s="298" t="s">
        <v>17</v>
      </c>
      <c r="L149" s="301" t="s">
        <v>12</v>
      </c>
    </row>
    <row r="150" spans="1:12" ht="33.4" customHeight="1" x14ac:dyDescent="0.45">
      <c r="A150" s="344" t="s">
        <v>376</v>
      </c>
      <c r="B150" s="345">
        <v>0.23958333333333334</v>
      </c>
      <c r="C150" s="345" t="s">
        <v>414</v>
      </c>
      <c r="D150" s="304" t="s">
        <v>702</v>
      </c>
      <c r="E150" s="377" t="s">
        <v>503</v>
      </c>
      <c r="F150" s="580"/>
      <c r="G150" s="368">
        <v>1</v>
      </c>
      <c r="H150" s="363"/>
      <c r="I150" s="580"/>
      <c r="J150" s="365"/>
      <c r="K150" s="580"/>
      <c r="L150" s="366"/>
    </row>
    <row r="151" spans="1:12" ht="33.4" customHeight="1" x14ac:dyDescent="0.45">
      <c r="A151" s="344" t="s">
        <v>376</v>
      </c>
      <c r="B151" s="345">
        <v>0.27083333333333331</v>
      </c>
      <c r="C151" s="345" t="s">
        <v>414</v>
      </c>
      <c r="D151" s="304" t="s">
        <v>702</v>
      </c>
      <c r="E151" s="377" t="s">
        <v>688</v>
      </c>
      <c r="F151" s="367"/>
      <c r="G151" s="368">
        <v>1</v>
      </c>
      <c r="H151" s="368"/>
      <c r="I151" s="370"/>
      <c r="J151" s="370"/>
      <c r="K151" s="367"/>
      <c r="L151" s="370"/>
    </row>
    <row r="152" spans="1:12" ht="33.4" customHeight="1" x14ac:dyDescent="0.45">
      <c r="A152" s="344" t="s">
        <v>533</v>
      </c>
      <c r="B152" s="345">
        <v>0.28472222222222221</v>
      </c>
      <c r="C152" s="345" t="s">
        <v>414</v>
      </c>
      <c r="D152" s="304" t="s">
        <v>702</v>
      </c>
      <c r="E152" s="377" t="s">
        <v>504</v>
      </c>
      <c r="F152" s="367"/>
      <c r="G152" s="368">
        <v>1</v>
      </c>
      <c r="H152" s="368"/>
      <c r="I152" s="370"/>
      <c r="J152" s="370"/>
      <c r="K152" s="367"/>
      <c r="L152" s="370"/>
    </row>
    <row r="153" spans="1:12" ht="33.4" customHeight="1" x14ac:dyDescent="0.45">
      <c r="A153" s="344" t="s">
        <v>376</v>
      </c>
      <c r="B153" s="345">
        <v>0.3125</v>
      </c>
      <c r="C153" s="345" t="s">
        <v>414</v>
      </c>
      <c r="D153" s="304" t="s">
        <v>702</v>
      </c>
      <c r="E153" s="377" t="s">
        <v>504</v>
      </c>
      <c r="F153" s="367"/>
      <c r="G153" s="368">
        <v>1</v>
      </c>
      <c r="H153" s="368"/>
      <c r="I153" s="370"/>
      <c r="J153" s="370"/>
      <c r="K153" s="367"/>
      <c r="L153" s="370"/>
    </row>
    <row r="154" spans="1:12" ht="33.4" customHeight="1" x14ac:dyDescent="0.45">
      <c r="A154" s="344" t="s">
        <v>501</v>
      </c>
      <c r="B154" s="345">
        <v>0.3263888888888889</v>
      </c>
      <c r="C154" s="345" t="s">
        <v>414</v>
      </c>
      <c r="D154" s="304" t="s">
        <v>702</v>
      </c>
      <c r="E154" s="377" t="s">
        <v>504</v>
      </c>
      <c r="F154" s="367"/>
      <c r="G154" s="368">
        <v>1</v>
      </c>
      <c r="H154" s="368"/>
      <c r="I154" s="370"/>
      <c r="J154" s="370"/>
      <c r="K154" s="367"/>
      <c r="L154" s="370"/>
    </row>
    <row r="155" spans="1:12" ht="33.4" customHeight="1" x14ac:dyDescent="0.45">
      <c r="A155" s="344" t="s">
        <v>501</v>
      </c>
      <c r="B155" s="303">
        <v>0.625</v>
      </c>
      <c r="C155" s="303" t="s">
        <v>414</v>
      </c>
      <c r="D155" s="304" t="s">
        <v>702</v>
      </c>
      <c r="E155" s="377" t="s">
        <v>504</v>
      </c>
      <c r="F155" s="367"/>
      <c r="G155" s="368">
        <v>1</v>
      </c>
      <c r="H155" s="368"/>
      <c r="I155" s="370"/>
      <c r="J155" s="370"/>
      <c r="K155" s="367"/>
      <c r="L155" s="370"/>
    </row>
    <row r="156" spans="1:12" ht="33.4" customHeight="1" x14ac:dyDescent="0.45">
      <c r="A156" s="344" t="s">
        <v>376</v>
      </c>
      <c r="B156" s="303">
        <v>0.65972222222222221</v>
      </c>
      <c r="C156" s="303" t="s">
        <v>414</v>
      </c>
      <c r="D156" s="304" t="s">
        <v>702</v>
      </c>
      <c r="E156" s="377" t="s">
        <v>503</v>
      </c>
      <c r="F156" s="367"/>
      <c r="G156" s="368">
        <v>1</v>
      </c>
      <c r="H156" s="368"/>
      <c r="I156" s="370"/>
      <c r="J156" s="370"/>
      <c r="K156" s="367"/>
      <c r="L156" s="370"/>
    </row>
    <row r="157" spans="1:12" ht="33.4" customHeight="1" x14ac:dyDescent="0.45">
      <c r="A157" s="344" t="s">
        <v>376</v>
      </c>
      <c r="B157" s="303">
        <v>0.6875</v>
      </c>
      <c r="C157" s="303" t="s">
        <v>414</v>
      </c>
      <c r="D157" s="304" t="s">
        <v>702</v>
      </c>
      <c r="E157" s="377" t="s">
        <v>503</v>
      </c>
      <c r="F157" s="367"/>
      <c r="G157" s="368">
        <v>1</v>
      </c>
      <c r="H157" s="368"/>
      <c r="I157" s="370"/>
      <c r="J157" s="370"/>
      <c r="K157" s="367"/>
      <c r="L157" s="370"/>
    </row>
    <row r="158" spans="1:12" ht="33.4" customHeight="1" x14ac:dyDescent="0.45">
      <c r="A158" s="344" t="s">
        <v>376</v>
      </c>
      <c r="B158" s="303">
        <v>0.71180555555555558</v>
      </c>
      <c r="C158" s="303" t="s">
        <v>414</v>
      </c>
      <c r="D158" s="304" t="s">
        <v>702</v>
      </c>
      <c r="E158" s="377" t="s">
        <v>503</v>
      </c>
      <c r="F158" s="367"/>
      <c r="G158" s="368">
        <v>1</v>
      </c>
      <c r="H158" s="368"/>
      <c r="I158" s="370"/>
      <c r="J158" s="370"/>
      <c r="K158" s="367"/>
      <c r="L158" s="370"/>
    </row>
    <row r="159" spans="1:12" ht="33.4" customHeight="1" x14ac:dyDescent="0.45">
      <c r="A159" s="315" t="s">
        <v>336</v>
      </c>
      <c r="B159" s="303"/>
      <c r="C159" s="303" t="s">
        <v>660</v>
      </c>
      <c r="D159" s="304"/>
      <c r="E159" s="304"/>
      <c r="F159" s="305"/>
      <c r="G159" s="306"/>
      <c r="H159" s="306"/>
      <c r="I159" s="306"/>
      <c r="J159" s="297"/>
      <c r="K159" s="305"/>
      <c r="L159" s="297"/>
    </row>
    <row r="160" spans="1:12" ht="33.4" customHeight="1" x14ac:dyDescent="0.45">
      <c r="A160" s="315" t="s">
        <v>336</v>
      </c>
      <c r="B160" s="303"/>
      <c r="C160" s="303" t="s">
        <v>660</v>
      </c>
      <c r="D160" s="304"/>
      <c r="E160" s="304"/>
      <c r="F160" s="305"/>
      <c r="G160" s="306"/>
      <c r="H160" s="306"/>
      <c r="I160" s="306"/>
      <c r="J160" s="297"/>
      <c r="K160" s="305"/>
      <c r="L160" s="297"/>
    </row>
    <row r="161" spans="1:12" ht="33.4" customHeight="1" x14ac:dyDescent="0.45">
      <c r="A161" s="315" t="s">
        <v>336</v>
      </c>
      <c r="B161" s="303"/>
      <c r="C161" s="303" t="s">
        <v>660</v>
      </c>
      <c r="D161" s="304"/>
      <c r="E161" s="304"/>
      <c r="F161" s="305"/>
      <c r="G161" s="306"/>
      <c r="H161" s="306"/>
      <c r="I161" s="306"/>
      <c r="J161" s="297"/>
      <c r="K161" s="305"/>
      <c r="L161" s="297"/>
    </row>
    <row r="162" spans="1:12" ht="33.4" customHeight="1" x14ac:dyDescent="0.45">
      <c r="A162" s="315" t="s">
        <v>336</v>
      </c>
      <c r="B162" s="303"/>
      <c r="C162" s="303" t="s">
        <v>660</v>
      </c>
      <c r="D162" s="304"/>
      <c r="E162" s="304"/>
      <c r="F162" s="305"/>
      <c r="G162" s="306"/>
      <c r="H162" s="306"/>
      <c r="I162" s="306"/>
      <c r="J162" s="297"/>
      <c r="K162" s="305"/>
      <c r="L162" s="297"/>
    </row>
    <row r="163" spans="1:12" ht="33.4" customHeight="1" x14ac:dyDescent="0.45">
      <c r="A163" s="315" t="s">
        <v>336</v>
      </c>
      <c r="B163" s="303"/>
      <c r="C163" s="303" t="s">
        <v>660</v>
      </c>
      <c r="D163" s="304"/>
      <c r="E163" s="304"/>
      <c r="F163" s="305"/>
      <c r="G163" s="306"/>
      <c r="H163" s="306"/>
      <c r="I163" s="306"/>
      <c r="J163" s="297"/>
      <c r="K163" s="305"/>
      <c r="L163" s="297"/>
    </row>
    <row r="164" spans="1:12" x14ac:dyDescent="0.45">
      <c r="C164" s="190" t="s">
        <v>691</v>
      </c>
      <c r="F164" s="137" t="s">
        <v>15</v>
      </c>
    </row>
    <row r="165" spans="1:12" ht="23.25" x14ac:dyDescent="0.45">
      <c r="A165" s="137" t="s">
        <v>18</v>
      </c>
      <c r="B165" s="260" t="s">
        <v>414</v>
      </c>
      <c r="C165" s="241"/>
      <c r="D165" s="241"/>
      <c r="E165" s="241"/>
    </row>
    <row r="166" spans="1:12" ht="21" x14ac:dyDescent="0.45">
      <c r="A166" s="137" t="s">
        <v>13</v>
      </c>
      <c r="B166" s="320" t="s">
        <v>702</v>
      </c>
      <c r="C166" s="254"/>
      <c r="D166" s="254"/>
      <c r="E166" s="598"/>
      <c r="J166" s="600"/>
      <c r="L166" s="600">
        <f>L146+1</f>
        <v>46151</v>
      </c>
    </row>
    <row r="168" spans="1:12" x14ac:dyDescent="0.45">
      <c r="A168" s="141"/>
      <c r="B168" s="142"/>
      <c r="C168" s="142"/>
      <c r="D168" s="142"/>
      <c r="E168" s="142"/>
      <c r="F168" s="142"/>
      <c r="G168" s="142"/>
      <c r="H168" s="142"/>
      <c r="I168" s="142"/>
      <c r="J168" s="319"/>
      <c r="K168" s="319" t="s">
        <v>337</v>
      </c>
      <c r="L168" s="294"/>
    </row>
    <row r="169" spans="1:12" ht="63" x14ac:dyDescent="0.45">
      <c r="A169" s="297" t="s">
        <v>534</v>
      </c>
      <c r="B169" s="298" t="s">
        <v>0</v>
      </c>
      <c r="C169" s="298" t="s">
        <v>332</v>
      </c>
      <c r="D169" s="298" t="s">
        <v>333</v>
      </c>
      <c r="E169" s="298" t="s">
        <v>535</v>
      </c>
      <c r="F169" s="298" t="s">
        <v>1</v>
      </c>
      <c r="G169" s="298" t="s">
        <v>334</v>
      </c>
      <c r="H169" s="298" t="s">
        <v>335</v>
      </c>
      <c r="I169" s="298" t="s">
        <v>23</v>
      </c>
      <c r="J169" s="300" t="s">
        <v>22</v>
      </c>
      <c r="K169" s="298" t="s">
        <v>17</v>
      </c>
      <c r="L169" s="301" t="s">
        <v>12</v>
      </c>
    </row>
    <row r="170" spans="1:12" ht="33" customHeight="1" x14ac:dyDescent="0.45">
      <c r="A170" s="344" t="s">
        <v>376</v>
      </c>
      <c r="B170" s="345">
        <v>0.23958333333333334</v>
      </c>
      <c r="C170" s="345" t="s">
        <v>414</v>
      </c>
      <c r="D170" s="304" t="s">
        <v>702</v>
      </c>
      <c r="E170" s="377" t="s">
        <v>503</v>
      </c>
      <c r="F170" s="580"/>
      <c r="G170" s="368">
        <v>1</v>
      </c>
      <c r="H170" s="363"/>
      <c r="I170" s="580"/>
      <c r="J170" s="365"/>
      <c r="K170" s="580"/>
      <c r="L170" s="366"/>
    </row>
    <row r="171" spans="1:12" ht="33" customHeight="1" x14ac:dyDescent="0.45">
      <c r="A171" s="344" t="s">
        <v>376</v>
      </c>
      <c r="B171" s="345">
        <v>0.27083333333333331</v>
      </c>
      <c r="C171" s="345" t="s">
        <v>414</v>
      </c>
      <c r="D171" s="304" t="s">
        <v>702</v>
      </c>
      <c r="E171" s="377" t="s">
        <v>688</v>
      </c>
      <c r="F171" s="367"/>
      <c r="G171" s="368">
        <v>1</v>
      </c>
      <c r="H171" s="368"/>
      <c r="I171" s="370"/>
      <c r="J171" s="370"/>
      <c r="K171" s="367"/>
      <c r="L171" s="370"/>
    </row>
    <row r="172" spans="1:12" ht="33" customHeight="1" x14ac:dyDescent="0.45">
      <c r="A172" s="344" t="s">
        <v>533</v>
      </c>
      <c r="B172" s="345">
        <v>0.28472222222222221</v>
      </c>
      <c r="C172" s="345" t="s">
        <v>414</v>
      </c>
      <c r="D172" s="304" t="s">
        <v>702</v>
      </c>
      <c r="E172" s="377" t="s">
        <v>504</v>
      </c>
      <c r="F172" s="367"/>
      <c r="G172" s="368">
        <v>1</v>
      </c>
      <c r="H172" s="368"/>
      <c r="I172" s="370"/>
      <c r="J172" s="370"/>
      <c r="K172" s="367"/>
      <c r="L172" s="370"/>
    </row>
    <row r="173" spans="1:12" ht="33" customHeight="1" x14ac:dyDescent="0.45">
      <c r="A173" s="344" t="s">
        <v>376</v>
      </c>
      <c r="B173" s="345">
        <v>0.3125</v>
      </c>
      <c r="C173" s="345" t="s">
        <v>414</v>
      </c>
      <c r="D173" s="304" t="s">
        <v>702</v>
      </c>
      <c r="E173" s="377" t="s">
        <v>504</v>
      </c>
      <c r="F173" s="367"/>
      <c r="G173" s="368">
        <v>1</v>
      </c>
      <c r="H173" s="368"/>
      <c r="I173" s="370"/>
      <c r="J173" s="370"/>
      <c r="K173" s="367"/>
      <c r="L173" s="370"/>
    </row>
    <row r="174" spans="1:12" ht="33" customHeight="1" x14ac:dyDescent="0.45">
      <c r="A174" s="344" t="s">
        <v>501</v>
      </c>
      <c r="B174" s="345">
        <v>0.3263888888888889</v>
      </c>
      <c r="C174" s="345" t="s">
        <v>414</v>
      </c>
      <c r="D174" s="304" t="s">
        <v>702</v>
      </c>
      <c r="E174" s="377" t="s">
        <v>504</v>
      </c>
      <c r="F174" s="367"/>
      <c r="G174" s="368">
        <v>1</v>
      </c>
      <c r="H174" s="368"/>
      <c r="I174" s="370"/>
      <c r="J174" s="370"/>
      <c r="K174" s="367"/>
      <c r="L174" s="370"/>
    </row>
    <row r="175" spans="1:12" ht="33" customHeight="1" x14ac:dyDescent="0.45">
      <c r="A175" s="344" t="s">
        <v>501</v>
      </c>
      <c r="B175" s="303">
        <v>0.625</v>
      </c>
      <c r="C175" s="303" t="s">
        <v>414</v>
      </c>
      <c r="D175" s="304" t="s">
        <v>702</v>
      </c>
      <c r="E175" s="377" t="s">
        <v>504</v>
      </c>
      <c r="F175" s="367"/>
      <c r="G175" s="368">
        <v>1</v>
      </c>
      <c r="H175" s="368"/>
      <c r="I175" s="370"/>
      <c r="J175" s="370"/>
      <c r="K175" s="367"/>
      <c r="L175" s="370"/>
    </row>
    <row r="176" spans="1:12" ht="33" customHeight="1" x14ac:dyDescent="0.45">
      <c r="A176" s="344" t="s">
        <v>376</v>
      </c>
      <c r="B176" s="303">
        <v>0.65972222222222221</v>
      </c>
      <c r="C176" s="303" t="s">
        <v>414</v>
      </c>
      <c r="D176" s="304" t="s">
        <v>702</v>
      </c>
      <c r="E176" s="377" t="s">
        <v>503</v>
      </c>
      <c r="F176" s="367"/>
      <c r="G176" s="368">
        <v>1</v>
      </c>
      <c r="H176" s="368"/>
      <c r="I176" s="370"/>
      <c r="J176" s="370"/>
      <c r="K176" s="367"/>
      <c r="L176" s="370"/>
    </row>
    <row r="177" spans="1:12" ht="33" customHeight="1" x14ac:dyDescent="0.45">
      <c r="A177" s="344" t="s">
        <v>376</v>
      </c>
      <c r="B177" s="303">
        <v>0.6875</v>
      </c>
      <c r="C177" s="303" t="s">
        <v>414</v>
      </c>
      <c r="D177" s="304" t="s">
        <v>702</v>
      </c>
      <c r="E177" s="377" t="s">
        <v>503</v>
      </c>
      <c r="F177" s="367"/>
      <c r="G177" s="368">
        <v>1</v>
      </c>
      <c r="H177" s="368"/>
      <c r="I177" s="370"/>
      <c r="J177" s="370"/>
      <c r="K177" s="367"/>
      <c r="L177" s="370"/>
    </row>
    <row r="178" spans="1:12" ht="33" customHeight="1" x14ac:dyDescent="0.45">
      <c r="A178" s="344" t="s">
        <v>376</v>
      </c>
      <c r="B178" s="303">
        <v>0.71180555555555558</v>
      </c>
      <c r="C178" s="303" t="s">
        <v>414</v>
      </c>
      <c r="D178" s="304" t="s">
        <v>702</v>
      </c>
      <c r="E178" s="377" t="s">
        <v>503</v>
      </c>
      <c r="F178" s="367"/>
      <c r="G178" s="368">
        <v>1</v>
      </c>
      <c r="H178" s="368"/>
      <c r="I178" s="370"/>
      <c r="J178" s="370"/>
      <c r="K178" s="367"/>
      <c r="L178" s="370"/>
    </row>
    <row r="179" spans="1:12" ht="33" customHeight="1" x14ac:dyDescent="0.45">
      <c r="A179" s="315" t="s">
        <v>336</v>
      </c>
      <c r="B179" s="303"/>
      <c r="C179" s="303" t="s">
        <v>660</v>
      </c>
      <c r="D179" s="304"/>
      <c r="E179" s="304"/>
      <c r="F179" s="305"/>
      <c r="G179" s="306"/>
      <c r="H179" s="306"/>
      <c r="I179" s="306"/>
      <c r="J179" s="297"/>
      <c r="K179" s="305"/>
      <c r="L179" s="297"/>
    </row>
    <row r="180" spans="1:12" ht="33" customHeight="1" x14ac:dyDescent="0.45">
      <c r="A180" s="315" t="s">
        <v>336</v>
      </c>
      <c r="B180" s="303"/>
      <c r="C180" s="303" t="s">
        <v>660</v>
      </c>
      <c r="D180" s="304"/>
      <c r="E180" s="304"/>
      <c r="F180" s="305"/>
      <c r="G180" s="306"/>
      <c r="H180" s="306"/>
      <c r="I180" s="306"/>
      <c r="J180" s="297"/>
      <c r="K180" s="305"/>
      <c r="L180" s="297"/>
    </row>
    <row r="181" spans="1:12" ht="33" customHeight="1" x14ac:dyDescent="0.45">
      <c r="A181" s="315" t="s">
        <v>336</v>
      </c>
      <c r="B181" s="303"/>
      <c r="C181" s="303" t="s">
        <v>660</v>
      </c>
      <c r="D181" s="304"/>
      <c r="E181" s="304"/>
      <c r="F181" s="305"/>
      <c r="G181" s="306"/>
      <c r="H181" s="306"/>
      <c r="I181" s="306"/>
      <c r="J181" s="297"/>
      <c r="K181" s="305"/>
      <c r="L181" s="297"/>
    </row>
    <row r="182" spans="1:12" ht="33" customHeight="1" x14ac:dyDescent="0.45">
      <c r="A182" s="315" t="s">
        <v>336</v>
      </c>
      <c r="B182" s="303"/>
      <c r="C182" s="303" t="s">
        <v>660</v>
      </c>
      <c r="D182" s="304"/>
      <c r="E182" s="304"/>
      <c r="F182" s="305"/>
      <c r="G182" s="306"/>
      <c r="H182" s="306"/>
      <c r="I182" s="306"/>
      <c r="J182" s="297"/>
      <c r="K182" s="305"/>
      <c r="L182" s="297"/>
    </row>
    <row r="183" spans="1:12" ht="33" customHeight="1" x14ac:dyDescent="0.45">
      <c r="A183" s="315" t="s">
        <v>336</v>
      </c>
      <c r="B183" s="303"/>
      <c r="C183" s="303" t="s">
        <v>660</v>
      </c>
      <c r="D183" s="304"/>
      <c r="E183" s="304"/>
      <c r="F183" s="305"/>
      <c r="G183" s="306"/>
      <c r="H183" s="306"/>
      <c r="I183" s="306"/>
      <c r="J183" s="297"/>
      <c r="K183" s="305"/>
      <c r="L183" s="297"/>
    </row>
    <row r="184" spans="1:12" ht="33" customHeight="1" x14ac:dyDescent="0.45">
      <c r="C184" s="190" t="s">
        <v>691</v>
      </c>
      <c r="F184" s="137" t="s">
        <v>15</v>
      </c>
    </row>
    <row r="185" spans="1:12" ht="23.25" x14ac:dyDescent="0.45">
      <c r="A185" s="137" t="s">
        <v>18</v>
      </c>
      <c r="B185" s="260" t="s">
        <v>414</v>
      </c>
      <c r="C185" s="241"/>
      <c r="D185" s="241"/>
      <c r="E185" s="241"/>
    </row>
    <row r="186" spans="1:12" ht="21" x14ac:dyDescent="0.45">
      <c r="A186" s="137" t="s">
        <v>13</v>
      </c>
      <c r="B186" s="320" t="s">
        <v>702</v>
      </c>
      <c r="C186" s="254"/>
      <c r="D186" s="254"/>
      <c r="E186" s="598"/>
      <c r="J186" s="600"/>
      <c r="L186" s="607">
        <f>L166+1</f>
        <v>46152</v>
      </c>
    </row>
    <row r="188" spans="1:12" x14ac:dyDescent="0.45">
      <c r="A188" s="141"/>
      <c r="B188" s="142"/>
      <c r="C188" s="142"/>
      <c r="D188" s="142"/>
      <c r="E188" s="142"/>
      <c r="F188" s="142"/>
      <c r="G188" s="142"/>
      <c r="H188" s="142"/>
      <c r="I188" s="142"/>
      <c r="J188" s="319"/>
      <c r="K188" s="319" t="s">
        <v>337</v>
      </c>
      <c r="L188" s="294"/>
    </row>
    <row r="189" spans="1:12" ht="63" x14ac:dyDescent="0.45">
      <c r="A189" s="297" t="s">
        <v>534</v>
      </c>
      <c r="B189" s="298" t="s">
        <v>0</v>
      </c>
      <c r="C189" s="298" t="s">
        <v>332</v>
      </c>
      <c r="D189" s="298" t="s">
        <v>333</v>
      </c>
      <c r="E189" s="298" t="s">
        <v>535</v>
      </c>
      <c r="F189" s="298" t="s">
        <v>1</v>
      </c>
      <c r="G189" s="298" t="s">
        <v>334</v>
      </c>
      <c r="H189" s="298" t="s">
        <v>335</v>
      </c>
      <c r="I189" s="298" t="s">
        <v>23</v>
      </c>
      <c r="J189" s="300" t="s">
        <v>22</v>
      </c>
      <c r="K189" s="298" t="s">
        <v>17</v>
      </c>
      <c r="L189" s="301" t="s">
        <v>12</v>
      </c>
    </row>
    <row r="190" spans="1:12" ht="32.75" customHeight="1" x14ac:dyDescent="0.45">
      <c r="A190" s="344" t="s">
        <v>376</v>
      </c>
      <c r="B190" s="345">
        <v>0.3125</v>
      </c>
      <c r="C190" s="345" t="s">
        <v>414</v>
      </c>
      <c r="D190" s="304" t="s">
        <v>702</v>
      </c>
      <c r="E190" s="377" t="s">
        <v>504</v>
      </c>
      <c r="F190" s="580"/>
      <c r="G190" s="368">
        <v>1</v>
      </c>
      <c r="H190" s="363"/>
      <c r="I190" s="580"/>
      <c r="J190" s="365"/>
      <c r="K190" s="580"/>
      <c r="L190" s="366"/>
    </row>
    <row r="191" spans="1:12" ht="32.75" customHeight="1" x14ac:dyDescent="0.45">
      <c r="A191" s="344" t="s">
        <v>376</v>
      </c>
      <c r="B191" s="345">
        <v>0.3263888888888889</v>
      </c>
      <c r="C191" s="345" t="s">
        <v>414</v>
      </c>
      <c r="D191" s="304" t="s">
        <v>702</v>
      </c>
      <c r="E191" s="377" t="s">
        <v>504</v>
      </c>
      <c r="F191" s="580"/>
      <c r="G191" s="368">
        <v>1</v>
      </c>
      <c r="H191" s="363"/>
      <c r="I191" s="580"/>
      <c r="J191" s="365"/>
      <c r="K191" s="580"/>
      <c r="L191" s="366"/>
    </row>
    <row r="192" spans="1:12" ht="32.75" customHeight="1" x14ac:dyDescent="0.45">
      <c r="A192" s="344" t="s">
        <v>376</v>
      </c>
      <c r="B192" s="345">
        <v>0.65972222222222221</v>
      </c>
      <c r="C192" s="345" t="s">
        <v>414</v>
      </c>
      <c r="D192" s="304" t="s">
        <v>702</v>
      </c>
      <c r="E192" s="377" t="s">
        <v>503</v>
      </c>
      <c r="F192" s="580"/>
      <c r="G192" s="368">
        <v>1</v>
      </c>
      <c r="H192" s="363"/>
      <c r="I192" s="580"/>
      <c r="J192" s="365"/>
      <c r="K192" s="580"/>
      <c r="L192" s="366"/>
    </row>
    <row r="193" spans="1:12" ht="32.75" customHeight="1" x14ac:dyDescent="0.45">
      <c r="A193" s="344" t="s">
        <v>376</v>
      </c>
      <c r="B193" s="345">
        <v>0.6875</v>
      </c>
      <c r="C193" s="345" t="s">
        <v>414</v>
      </c>
      <c r="D193" s="304" t="s">
        <v>702</v>
      </c>
      <c r="E193" s="377" t="s">
        <v>503</v>
      </c>
      <c r="F193" s="367"/>
      <c r="G193" s="368">
        <v>1</v>
      </c>
      <c r="H193" s="368"/>
      <c r="I193" s="370"/>
      <c r="J193" s="370"/>
      <c r="K193" s="367"/>
      <c r="L193" s="370"/>
    </row>
    <row r="194" spans="1:12" ht="32.75" customHeight="1" x14ac:dyDescent="0.45">
      <c r="A194" s="344" t="s">
        <v>376</v>
      </c>
      <c r="B194" s="345">
        <v>0.76041666666666663</v>
      </c>
      <c r="C194" s="345" t="s">
        <v>414</v>
      </c>
      <c r="D194" s="304" t="s">
        <v>702</v>
      </c>
      <c r="E194" s="377" t="s">
        <v>503</v>
      </c>
      <c r="F194" s="367"/>
      <c r="G194" s="368"/>
      <c r="H194" s="368"/>
      <c r="I194" s="370"/>
      <c r="J194" s="370"/>
      <c r="K194" s="367"/>
      <c r="L194" s="370"/>
    </row>
    <row r="195" spans="1:12" ht="32.75" customHeight="1" x14ac:dyDescent="0.45">
      <c r="A195" s="344" t="s">
        <v>501</v>
      </c>
      <c r="B195" s="345">
        <v>0.78125</v>
      </c>
      <c r="C195" s="345" t="s">
        <v>414</v>
      </c>
      <c r="D195" s="304" t="s">
        <v>702</v>
      </c>
      <c r="E195" s="377" t="s">
        <v>504</v>
      </c>
      <c r="F195" s="367"/>
      <c r="G195" s="368"/>
      <c r="H195" s="368"/>
      <c r="I195" s="370"/>
      <c r="J195" s="370"/>
      <c r="K195" s="367"/>
      <c r="L195" s="370"/>
    </row>
    <row r="196" spans="1:12" ht="32.75" customHeight="1" x14ac:dyDescent="0.45">
      <c r="A196" s="344" t="s">
        <v>663</v>
      </c>
      <c r="B196" s="345">
        <v>0.80902777777777779</v>
      </c>
      <c r="C196" s="345" t="s">
        <v>414</v>
      </c>
      <c r="D196" s="304" t="s">
        <v>702</v>
      </c>
      <c r="E196" s="377" t="s">
        <v>504</v>
      </c>
      <c r="F196" s="367"/>
      <c r="G196" s="368"/>
      <c r="H196" s="368"/>
      <c r="I196" s="370"/>
      <c r="J196" s="370"/>
      <c r="K196" s="367"/>
      <c r="L196" s="370"/>
    </row>
    <row r="197" spans="1:12" ht="32.75" customHeight="1" x14ac:dyDescent="0.45">
      <c r="A197" s="344" t="s">
        <v>376</v>
      </c>
      <c r="B197" s="345">
        <v>0.82291666666666663</v>
      </c>
      <c r="C197" s="345" t="s">
        <v>414</v>
      </c>
      <c r="D197" s="304" t="s">
        <v>702</v>
      </c>
      <c r="E197" s="377" t="s">
        <v>503</v>
      </c>
      <c r="F197" s="367"/>
      <c r="G197" s="368"/>
      <c r="H197" s="368"/>
      <c r="I197" s="370"/>
      <c r="J197" s="370"/>
      <c r="K197" s="367"/>
      <c r="L197" s="370"/>
    </row>
    <row r="198" spans="1:12" ht="32.75" customHeight="1" x14ac:dyDescent="0.45">
      <c r="A198" s="344" t="s">
        <v>336</v>
      </c>
      <c r="B198" s="345"/>
      <c r="C198" s="345" t="s">
        <v>660</v>
      </c>
      <c r="D198" s="304"/>
      <c r="E198" s="377"/>
      <c r="F198" s="367"/>
      <c r="G198" s="368"/>
      <c r="H198" s="368"/>
      <c r="I198" s="370"/>
      <c r="J198" s="370"/>
      <c r="K198" s="367"/>
      <c r="L198" s="370"/>
    </row>
    <row r="199" spans="1:12" ht="32.75" customHeight="1" x14ac:dyDescent="0.45">
      <c r="A199" s="344" t="s">
        <v>336</v>
      </c>
      <c r="B199" s="345"/>
      <c r="C199" s="345" t="s">
        <v>660</v>
      </c>
      <c r="D199" s="304"/>
      <c r="E199" s="377"/>
      <c r="F199" s="367"/>
      <c r="G199" s="368"/>
      <c r="H199" s="368"/>
      <c r="I199" s="370"/>
      <c r="J199" s="370"/>
      <c r="K199" s="367"/>
      <c r="L199" s="370"/>
    </row>
    <row r="200" spans="1:12" ht="32.75" customHeight="1" x14ac:dyDescent="0.45">
      <c r="A200" s="344" t="s">
        <v>336</v>
      </c>
      <c r="B200" s="345"/>
      <c r="C200" s="345" t="s">
        <v>660</v>
      </c>
      <c r="D200" s="304"/>
      <c r="E200" s="377"/>
      <c r="F200" s="367"/>
      <c r="G200" s="368"/>
      <c r="H200" s="368"/>
      <c r="I200" s="370"/>
      <c r="J200" s="370"/>
      <c r="K200" s="367"/>
      <c r="L200" s="370"/>
    </row>
    <row r="201" spans="1:12" ht="32.75" customHeight="1" x14ac:dyDescent="0.45">
      <c r="A201" s="344" t="s">
        <v>336</v>
      </c>
      <c r="B201" s="345"/>
      <c r="C201" s="345" t="s">
        <v>660</v>
      </c>
      <c r="D201" s="304"/>
      <c r="E201" s="377"/>
      <c r="F201" s="367"/>
      <c r="G201" s="368"/>
      <c r="H201" s="368"/>
      <c r="I201" s="370"/>
      <c r="J201" s="370"/>
      <c r="K201" s="367"/>
      <c r="L201" s="370"/>
    </row>
    <row r="202" spans="1:12" ht="32.75" customHeight="1" x14ac:dyDescent="0.45">
      <c r="A202" s="344" t="s">
        <v>336</v>
      </c>
      <c r="B202" s="345"/>
      <c r="C202" s="345" t="s">
        <v>660</v>
      </c>
      <c r="D202" s="304"/>
      <c r="E202" s="377"/>
      <c r="F202" s="367"/>
      <c r="G202" s="368"/>
      <c r="H202" s="368"/>
      <c r="I202" s="370"/>
      <c r="J202" s="370"/>
      <c r="K202" s="367"/>
      <c r="L202" s="370"/>
    </row>
    <row r="203" spans="1:12" ht="32.75" customHeight="1" x14ac:dyDescent="0.45">
      <c r="C203" s="190" t="s">
        <v>691</v>
      </c>
      <c r="F203" s="137" t="s">
        <v>15</v>
      </c>
    </row>
    <row r="204" spans="1:12" ht="32.75" customHeight="1" x14ac:dyDescent="0.45">
      <c r="C204" s="190"/>
    </row>
    <row r="206" spans="1:12" ht="23.25" x14ac:dyDescent="0.45">
      <c r="A206" s="137" t="s">
        <v>18</v>
      </c>
      <c r="B206" s="260" t="s">
        <v>414</v>
      </c>
      <c r="C206" s="241"/>
      <c r="D206" s="241"/>
      <c r="E206" s="241"/>
    </row>
    <row r="207" spans="1:12" ht="21" x14ac:dyDescent="0.45">
      <c r="A207" s="137" t="s">
        <v>13</v>
      </c>
      <c r="B207" s="320" t="s">
        <v>702</v>
      </c>
      <c r="C207" s="254"/>
      <c r="D207" s="254"/>
      <c r="E207" s="598"/>
      <c r="J207" s="600"/>
      <c r="L207" s="600">
        <f>L186+1</f>
        <v>46153</v>
      </c>
    </row>
    <row r="209" spans="1:12" x14ac:dyDescent="0.45">
      <c r="A209" s="141"/>
      <c r="B209" s="142"/>
      <c r="C209" s="142"/>
      <c r="D209" s="142"/>
      <c r="E209" s="142"/>
      <c r="F209" s="142"/>
      <c r="G209" s="142"/>
      <c r="H209" s="142"/>
      <c r="I209" s="142"/>
      <c r="J209" s="319"/>
      <c r="K209" s="319" t="s">
        <v>337</v>
      </c>
      <c r="L209" s="294"/>
    </row>
    <row r="210" spans="1:12" ht="63" x14ac:dyDescent="0.45">
      <c r="A210" s="297" t="s">
        <v>534</v>
      </c>
      <c r="B210" s="298" t="s">
        <v>0</v>
      </c>
      <c r="C210" s="298" t="s">
        <v>332</v>
      </c>
      <c r="D210" s="298" t="s">
        <v>333</v>
      </c>
      <c r="E210" s="298" t="s">
        <v>535</v>
      </c>
      <c r="F210" s="298" t="s">
        <v>1</v>
      </c>
      <c r="G210" s="298" t="s">
        <v>334</v>
      </c>
      <c r="H210" s="298" t="s">
        <v>335</v>
      </c>
      <c r="I210" s="298" t="s">
        <v>23</v>
      </c>
      <c r="J210" s="300" t="s">
        <v>22</v>
      </c>
      <c r="K210" s="298" t="s">
        <v>17</v>
      </c>
      <c r="L210" s="301" t="s">
        <v>12</v>
      </c>
    </row>
    <row r="211" spans="1:12" ht="33" customHeight="1" x14ac:dyDescent="0.45">
      <c r="A211" s="344" t="s">
        <v>376</v>
      </c>
      <c r="B211" s="345">
        <v>0.23958333333333334</v>
      </c>
      <c r="C211" s="345" t="s">
        <v>414</v>
      </c>
      <c r="D211" s="304" t="s">
        <v>702</v>
      </c>
      <c r="E211" s="377" t="s">
        <v>503</v>
      </c>
      <c r="F211" s="580"/>
      <c r="G211" s="368">
        <v>1</v>
      </c>
      <c r="H211" s="363"/>
      <c r="I211" s="580"/>
      <c r="J211" s="365"/>
      <c r="K211" s="580"/>
      <c r="L211" s="366"/>
    </row>
    <row r="212" spans="1:12" ht="33" customHeight="1" x14ac:dyDescent="0.45">
      <c r="A212" s="344" t="s">
        <v>376</v>
      </c>
      <c r="B212" s="345">
        <v>0.27083333333333331</v>
      </c>
      <c r="C212" s="345" t="s">
        <v>414</v>
      </c>
      <c r="D212" s="304" t="s">
        <v>702</v>
      </c>
      <c r="E212" s="377" t="s">
        <v>688</v>
      </c>
      <c r="F212" s="367"/>
      <c r="G212" s="368">
        <v>1</v>
      </c>
      <c r="H212" s="368"/>
      <c r="I212" s="370"/>
      <c r="J212" s="370"/>
      <c r="K212" s="367"/>
      <c r="L212" s="370"/>
    </row>
    <row r="213" spans="1:12" ht="33" customHeight="1" x14ac:dyDescent="0.45">
      <c r="A213" s="344" t="s">
        <v>533</v>
      </c>
      <c r="B213" s="345">
        <v>0.28472222222222221</v>
      </c>
      <c r="C213" s="345" t="s">
        <v>414</v>
      </c>
      <c r="D213" s="304" t="s">
        <v>702</v>
      </c>
      <c r="E213" s="377" t="s">
        <v>504</v>
      </c>
      <c r="F213" s="367"/>
      <c r="G213" s="368">
        <v>1</v>
      </c>
      <c r="H213" s="368"/>
      <c r="I213" s="370"/>
      <c r="J213" s="370"/>
      <c r="K213" s="367"/>
      <c r="L213" s="370"/>
    </row>
    <row r="214" spans="1:12" ht="33" customHeight="1" x14ac:dyDescent="0.45">
      <c r="A214" s="344" t="s">
        <v>376</v>
      </c>
      <c r="B214" s="345">
        <v>0.3125</v>
      </c>
      <c r="C214" s="345" t="s">
        <v>414</v>
      </c>
      <c r="D214" s="304" t="s">
        <v>702</v>
      </c>
      <c r="E214" s="377" t="s">
        <v>504</v>
      </c>
      <c r="F214" s="367"/>
      <c r="G214" s="368">
        <v>1</v>
      </c>
      <c r="H214" s="368"/>
      <c r="I214" s="370"/>
      <c r="J214" s="370"/>
      <c r="K214" s="367"/>
      <c r="L214" s="370"/>
    </row>
    <row r="215" spans="1:12" ht="33" customHeight="1" x14ac:dyDescent="0.45">
      <c r="A215" s="344" t="s">
        <v>501</v>
      </c>
      <c r="B215" s="345">
        <v>0.3263888888888889</v>
      </c>
      <c r="C215" s="345" t="s">
        <v>414</v>
      </c>
      <c r="D215" s="304" t="s">
        <v>702</v>
      </c>
      <c r="E215" s="377" t="s">
        <v>504</v>
      </c>
      <c r="F215" s="367"/>
      <c r="G215" s="368">
        <v>1</v>
      </c>
      <c r="H215" s="368"/>
      <c r="I215" s="370"/>
      <c r="J215" s="370"/>
      <c r="K215" s="367"/>
      <c r="L215" s="370"/>
    </row>
    <row r="216" spans="1:12" ht="33" customHeight="1" x14ac:dyDescent="0.45">
      <c r="A216" s="344" t="s">
        <v>501</v>
      </c>
      <c r="B216" s="303">
        <v>0.625</v>
      </c>
      <c r="C216" s="303" t="s">
        <v>414</v>
      </c>
      <c r="D216" s="304" t="s">
        <v>702</v>
      </c>
      <c r="E216" s="377" t="s">
        <v>504</v>
      </c>
      <c r="F216" s="367"/>
      <c r="G216" s="368">
        <v>1</v>
      </c>
      <c r="H216" s="368"/>
      <c r="I216" s="370"/>
      <c r="J216" s="370"/>
      <c r="K216" s="367"/>
      <c r="L216" s="370"/>
    </row>
    <row r="217" spans="1:12" ht="33" customHeight="1" x14ac:dyDescent="0.45">
      <c r="A217" s="344" t="s">
        <v>376</v>
      </c>
      <c r="B217" s="303">
        <v>0.65972222222222221</v>
      </c>
      <c r="C217" s="303" t="s">
        <v>414</v>
      </c>
      <c r="D217" s="304" t="s">
        <v>702</v>
      </c>
      <c r="E217" s="377" t="s">
        <v>503</v>
      </c>
      <c r="F217" s="367"/>
      <c r="G217" s="368">
        <v>1</v>
      </c>
      <c r="H217" s="368"/>
      <c r="I217" s="370"/>
      <c r="J217" s="370"/>
      <c r="K217" s="367"/>
      <c r="L217" s="370"/>
    </row>
    <row r="218" spans="1:12" ht="33" customHeight="1" x14ac:dyDescent="0.45">
      <c r="A218" s="344" t="s">
        <v>376</v>
      </c>
      <c r="B218" s="303">
        <v>0.6875</v>
      </c>
      <c r="C218" s="303" t="s">
        <v>414</v>
      </c>
      <c r="D218" s="304" t="s">
        <v>702</v>
      </c>
      <c r="E218" s="377" t="s">
        <v>503</v>
      </c>
      <c r="F218" s="367"/>
      <c r="G218" s="368">
        <v>1</v>
      </c>
      <c r="H218" s="368"/>
      <c r="I218" s="370"/>
      <c r="J218" s="370"/>
      <c r="K218" s="367"/>
      <c r="L218" s="370"/>
    </row>
    <row r="219" spans="1:12" ht="33" customHeight="1" x14ac:dyDescent="0.45">
      <c r="A219" s="344" t="s">
        <v>376</v>
      </c>
      <c r="B219" s="303">
        <v>0.71180555555555558</v>
      </c>
      <c r="C219" s="303" t="s">
        <v>414</v>
      </c>
      <c r="D219" s="304" t="s">
        <v>702</v>
      </c>
      <c r="E219" s="377" t="s">
        <v>503</v>
      </c>
      <c r="F219" s="367"/>
      <c r="G219" s="368">
        <v>1</v>
      </c>
      <c r="H219" s="368"/>
      <c r="I219" s="370"/>
      <c r="J219" s="370"/>
      <c r="K219" s="367"/>
      <c r="L219" s="370"/>
    </row>
    <row r="220" spans="1:12" ht="33" customHeight="1" x14ac:dyDescent="0.45">
      <c r="A220" s="315" t="s">
        <v>336</v>
      </c>
      <c r="B220" s="303"/>
      <c r="C220" s="303" t="s">
        <v>660</v>
      </c>
      <c r="D220" s="304"/>
      <c r="E220" s="304"/>
      <c r="F220" s="305"/>
      <c r="G220" s="306"/>
      <c r="H220" s="306"/>
      <c r="I220" s="306"/>
      <c r="J220" s="297"/>
      <c r="K220" s="305"/>
      <c r="L220" s="297"/>
    </row>
    <row r="221" spans="1:12" ht="33" customHeight="1" x14ac:dyDescent="0.45">
      <c r="A221" s="315" t="s">
        <v>336</v>
      </c>
      <c r="B221" s="303"/>
      <c r="C221" s="303" t="s">
        <v>660</v>
      </c>
      <c r="D221" s="304"/>
      <c r="E221" s="304"/>
      <c r="F221" s="305"/>
      <c r="G221" s="306"/>
      <c r="H221" s="306"/>
      <c r="I221" s="306"/>
      <c r="J221" s="297"/>
      <c r="K221" s="305"/>
      <c r="L221" s="297"/>
    </row>
    <row r="222" spans="1:12" ht="33" customHeight="1" x14ac:dyDescent="0.45">
      <c r="A222" s="315" t="s">
        <v>336</v>
      </c>
      <c r="B222" s="303"/>
      <c r="C222" s="303" t="s">
        <v>660</v>
      </c>
      <c r="D222" s="304"/>
      <c r="E222" s="304"/>
      <c r="F222" s="305"/>
      <c r="G222" s="306"/>
      <c r="H222" s="306"/>
      <c r="I222" s="306"/>
      <c r="J222" s="297"/>
      <c r="K222" s="305"/>
      <c r="L222" s="297"/>
    </row>
    <row r="223" spans="1:12" ht="33" customHeight="1" x14ac:dyDescent="0.45">
      <c r="A223" s="315" t="s">
        <v>336</v>
      </c>
      <c r="B223" s="303"/>
      <c r="C223" s="303" t="s">
        <v>660</v>
      </c>
      <c r="D223" s="304"/>
      <c r="E223" s="304"/>
      <c r="F223" s="305"/>
      <c r="G223" s="306"/>
      <c r="H223" s="306"/>
      <c r="I223" s="306"/>
      <c r="J223" s="297"/>
      <c r="K223" s="305"/>
      <c r="L223" s="297"/>
    </row>
    <row r="224" spans="1:12" ht="21" x14ac:dyDescent="0.45">
      <c r="A224" s="315" t="s">
        <v>336</v>
      </c>
      <c r="B224" s="303"/>
      <c r="C224" s="303" t="s">
        <v>660</v>
      </c>
      <c r="D224" s="304"/>
      <c r="E224" s="304"/>
      <c r="F224" s="305"/>
      <c r="G224" s="306"/>
      <c r="H224" s="306"/>
      <c r="I224" s="306"/>
      <c r="J224" s="297"/>
      <c r="K224" s="305"/>
      <c r="L224" s="297"/>
    </row>
    <row r="225" spans="1:12" x14ac:dyDescent="0.45">
      <c r="C225" s="190" t="s">
        <v>691</v>
      </c>
      <c r="F225" s="137" t="s">
        <v>15</v>
      </c>
    </row>
    <row r="226" spans="1:12" x14ac:dyDescent="0.45">
      <c r="C226" s="190"/>
    </row>
    <row r="227" spans="1:12" x14ac:dyDescent="0.45">
      <c r="C227" s="190"/>
    </row>
    <row r="228" spans="1:12" ht="23.25" x14ac:dyDescent="0.45">
      <c r="A228" s="137" t="s">
        <v>18</v>
      </c>
      <c r="B228" s="260" t="s">
        <v>414</v>
      </c>
      <c r="C228" s="241"/>
      <c r="D228" s="241"/>
      <c r="E228" s="241"/>
      <c r="L228" s="600">
        <f>L207+1</f>
        <v>46154</v>
      </c>
    </row>
    <row r="229" spans="1:12" ht="21" x14ac:dyDescent="0.45">
      <c r="A229" s="137" t="s">
        <v>13</v>
      </c>
      <c r="B229" s="320" t="s">
        <v>702</v>
      </c>
      <c r="C229" s="254"/>
      <c r="D229" s="254"/>
      <c r="E229" s="598"/>
      <c r="J229" s="600"/>
      <c r="L229" s="600"/>
    </row>
    <row r="231" spans="1:12" x14ac:dyDescent="0.45">
      <c r="A231" s="141"/>
      <c r="B231" s="142"/>
      <c r="C231" s="142"/>
      <c r="D231" s="142"/>
      <c r="E231" s="142"/>
      <c r="F231" s="142"/>
      <c r="G231" s="142"/>
      <c r="H231" s="142"/>
      <c r="I231" s="142"/>
      <c r="J231" s="319"/>
      <c r="K231" s="319" t="s">
        <v>337</v>
      </c>
      <c r="L231" s="294"/>
    </row>
    <row r="232" spans="1:12" ht="63" x14ac:dyDescent="0.45">
      <c r="A232" s="297" t="s">
        <v>534</v>
      </c>
      <c r="B232" s="298" t="s">
        <v>0</v>
      </c>
      <c r="C232" s="298" t="s">
        <v>332</v>
      </c>
      <c r="D232" s="298" t="s">
        <v>333</v>
      </c>
      <c r="E232" s="298" t="s">
        <v>535</v>
      </c>
      <c r="F232" s="298" t="s">
        <v>1</v>
      </c>
      <c r="G232" s="298" t="s">
        <v>334</v>
      </c>
      <c r="H232" s="298" t="s">
        <v>335</v>
      </c>
      <c r="I232" s="298" t="s">
        <v>23</v>
      </c>
      <c r="J232" s="300" t="s">
        <v>22</v>
      </c>
      <c r="K232" s="298" t="s">
        <v>17</v>
      </c>
      <c r="L232" s="301" t="s">
        <v>12</v>
      </c>
    </row>
    <row r="233" spans="1:12" ht="33.4" customHeight="1" x14ac:dyDescent="0.45">
      <c r="A233" s="344" t="s">
        <v>376</v>
      </c>
      <c r="B233" s="345">
        <v>0.23958333333333334</v>
      </c>
      <c r="C233" s="345" t="s">
        <v>414</v>
      </c>
      <c r="D233" s="304" t="s">
        <v>702</v>
      </c>
      <c r="E233" s="377" t="s">
        <v>503</v>
      </c>
      <c r="F233" s="580"/>
      <c r="G233" s="368">
        <v>1</v>
      </c>
      <c r="H233" s="363"/>
      <c r="I233" s="580"/>
      <c r="J233" s="365"/>
      <c r="K233" s="580"/>
      <c r="L233" s="366"/>
    </row>
    <row r="234" spans="1:12" ht="33.4" customHeight="1" x14ac:dyDescent="0.45">
      <c r="A234" s="344" t="s">
        <v>376</v>
      </c>
      <c r="B234" s="345">
        <v>0.27083333333333331</v>
      </c>
      <c r="C234" s="345" t="s">
        <v>414</v>
      </c>
      <c r="D234" s="304" t="s">
        <v>702</v>
      </c>
      <c r="E234" s="377" t="s">
        <v>688</v>
      </c>
      <c r="F234" s="367"/>
      <c r="G234" s="368">
        <v>1</v>
      </c>
      <c r="H234" s="368"/>
      <c r="I234" s="370"/>
      <c r="J234" s="370"/>
      <c r="K234" s="367"/>
      <c r="L234" s="370"/>
    </row>
    <row r="235" spans="1:12" ht="33.4" customHeight="1" x14ac:dyDescent="0.45">
      <c r="A235" s="344" t="s">
        <v>533</v>
      </c>
      <c r="B235" s="345">
        <v>0.28472222222222221</v>
      </c>
      <c r="C235" s="345" t="s">
        <v>414</v>
      </c>
      <c r="D235" s="304" t="s">
        <v>702</v>
      </c>
      <c r="E235" s="377" t="s">
        <v>504</v>
      </c>
      <c r="F235" s="367"/>
      <c r="G235" s="368">
        <v>1</v>
      </c>
      <c r="H235" s="368"/>
      <c r="I235" s="370"/>
      <c r="J235" s="370"/>
      <c r="K235" s="367"/>
      <c r="L235" s="370"/>
    </row>
    <row r="236" spans="1:12" ht="33.4" customHeight="1" x14ac:dyDescent="0.45">
      <c r="A236" s="344" t="s">
        <v>376</v>
      </c>
      <c r="B236" s="345">
        <v>0.3125</v>
      </c>
      <c r="C236" s="345" t="s">
        <v>414</v>
      </c>
      <c r="D236" s="304" t="s">
        <v>702</v>
      </c>
      <c r="E236" s="377" t="s">
        <v>504</v>
      </c>
      <c r="F236" s="367"/>
      <c r="G236" s="368">
        <v>1</v>
      </c>
      <c r="H236" s="368"/>
      <c r="I236" s="370"/>
      <c r="J236" s="370"/>
      <c r="K236" s="367"/>
      <c r="L236" s="370"/>
    </row>
    <row r="237" spans="1:12" ht="33.4" customHeight="1" x14ac:dyDescent="0.45">
      <c r="A237" s="344" t="s">
        <v>501</v>
      </c>
      <c r="B237" s="345">
        <v>0.3263888888888889</v>
      </c>
      <c r="C237" s="345" t="s">
        <v>414</v>
      </c>
      <c r="D237" s="304" t="s">
        <v>702</v>
      </c>
      <c r="E237" s="377" t="s">
        <v>504</v>
      </c>
      <c r="F237" s="367"/>
      <c r="G237" s="368">
        <v>1</v>
      </c>
      <c r="H237" s="368"/>
      <c r="I237" s="370"/>
      <c r="J237" s="370"/>
      <c r="K237" s="367"/>
      <c r="L237" s="370"/>
    </row>
    <row r="238" spans="1:12" ht="33.4" customHeight="1" x14ac:dyDescent="0.45">
      <c r="A238" s="344" t="s">
        <v>501</v>
      </c>
      <c r="B238" s="303">
        <v>0.625</v>
      </c>
      <c r="C238" s="303" t="s">
        <v>414</v>
      </c>
      <c r="D238" s="304" t="s">
        <v>702</v>
      </c>
      <c r="E238" s="377" t="s">
        <v>504</v>
      </c>
      <c r="F238" s="367"/>
      <c r="G238" s="368">
        <v>1</v>
      </c>
      <c r="H238" s="368"/>
      <c r="I238" s="370"/>
      <c r="J238" s="370"/>
      <c r="K238" s="367"/>
      <c r="L238" s="370"/>
    </row>
    <row r="239" spans="1:12" ht="33.4" customHeight="1" x14ac:dyDescent="0.45">
      <c r="A239" s="344" t="s">
        <v>376</v>
      </c>
      <c r="B239" s="303">
        <v>0.65972222222222221</v>
      </c>
      <c r="C239" s="303" t="s">
        <v>414</v>
      </c>
      <c r="D239" s="304" t="s">
        <v>702</v>
      </c>
      <c r="E239" s="377" t="s">
        <v>503</v>
      </c>
      <c r="F239" s="367"/>
      <c r="G239" s="368">
        <v>1</v>
      </c>
      <c r="H239" s="368"/>
      <c r="I239" s="370"/>
      <c r="J239" s="370"/>
      <c r="K239" s="367"/>
      <c r="L239" s="370"/>
    </row>
    <row r="240" spans="1:12" ht="33.4" customHeight="1" x14ac:dyDescent="0.45">
      <c r="A240" s="344" t="s">
        <v>376</v>
      </c>
      <c r="B240" s="303">
        <v>0.6875</v>
      </c>
      <c r="C240" s="303" t="s">
        <v>414</v>
      </c>
      <c r="D240" s="304" t="s">
        <v>702</v>
      </c>
      <c r="E240" s="377" t="s">
        <v>503</v>
      </c>
      <c r="F240" s="367"/>
      <c r="G240" s="368">
        <v>1</v>
      </c>
      <c r="H240" s="368"/>
      <c r="I240" s="370"/>
      <c r="J240" s="370"/>
      <c r="K240" s="367"/>
      <c r="L240" s="370"/>
    </row>
    <row r="241" spans="1:12" ht="33.4" customHeight="1" x14ac:dyDescent="0.45">
      <c r="A241" s="344" t="s">
        <v>376</v>
      </c>
      <c r="B241" s="303">
        <v>0.71180555555555558</v>
      </c>
      <c r="C241" s="303" t="s">
        <v>414</v>
      </c>
      <c r="D241" s="304" t="s">
        <v>702</v>
      </c>
      <c r="E241" s="377" t="s">
        <v>503</v>
      </c>
      <c r="F241" s="367"/>
      <c r="G241" s="368">
        <v>1</v>
      </c>
      <c r="H241" s="368"/>
      <c r="I241" s="370"/>
      <c r="J241" s="370"/>
      <c r="K241" s="367"/>
      <c r="L241" s="370"/>
    </row>
    <row r="242" spans="1:12" ht="33.4" customHeight="1" x14ac:dyDescent="0.45">
      <c r="A242" s="315" t="s">
        <v>336</v>
      </c>
      <c r="B242" s="303"/>
      <c r="C242" s="303" t="s">
        <v>660</v>
      </c>
      <c r="D242" s="304"/>
      <c r="E242" s="304"/>
      <c r="F242" s="305"/>
      <c r="G242" s="306"/>
      <c r="H242" s="306"/>
      <c r="I242" s="306"/>
      <c r="J242" s="297"/>
      <c r="K242" s="305"/>
      <c r="L242" s="297"/>
    </row>
    <row r="243" spans="1:12" ht="33.4" customHeight="1" x14ac:dyDescent="0.45">
      <c r="A243" s="315" t="s">
        <v>336</v>
      </c>
      <c r="B243" s="303"/>
      <c r="C243" s="303" t="s">
        <v>660</v>
      </c>
      <c r="D243" s="304"/>
      <c r="E243" s="304"/>
      <c r="F243" s="305"/>
      <c r="G243" s="306"/>
      <c r="H243" s="306"/>
      <c r="I243" s="306"/>
      <c r="J243" s="297"/>
      <c r="K243" s="305"/>
      <c r="L243" s="297"/>
    </row>
    <row r="244" spans="1:12" ht="33.4" customHeight="1" x14ac:dyDescent="0.45">
      <c r="A244" s="315" t="s">
        <v>336</v>
      </c>
      <c r="B244" s="303"/>
      <c r="C244" s="303" t="s">
        <v>660</v>
      </c>
      <c r="D244" s="304"/>
      <c r="E244" s="304"/>
      <c r="F244" s="305"/>
      <c r="G244" s="306"/>
      <c r="H244" s="306"/>
      <c r="I244" s="306"/>
      <c r="J244" s="297"/>
      <c r="K244" s="305"/>
      <c r="L244" s="297"/>
    </row>
    <row r="245" spans="1:12" ht="33.4" customHeight="1" x14ac:dyDescent="0.45">
      <c r="A245" s="315" t="s">
        <v>336</v>
      </c>
      <c r="B245" s="303"/>
      <c r="C245" s="303" t="s">
        <v>660</v>
      </c>
      <c r="D245" s="304"/>
      <c r="E245" s="304"/>
      <c r="F245" s="305"/>
      <c r="G245" s="306"/>
      <c r="H245" s="306"/>
      <c r="I245" s="306"/>
      <c r="J245" s="297"/>
      <c r="K245" s="305"/>
      <c r="L245" s="297"/>
    </row>
    <row r="246" spans="1:12" ht="33.4" customHeight="1" x14ac:dyDescent="0.45">
      <c r="A246" s="315" t="s">
        <v>336</v>
      </c>
      <c r="B246" s="303"/>
      <c r="C246" s="303" t="s">
        <v>660</v>
      </c>
      <c r="D246" s="304"/>
      <c r="E246" s="304"/>
      <c r="F246" s="305"/>
      <c r="G246" s="306"/>
      <c r="H246" s="306"/>
      <c r="I246" s="306"/>
      <c r="J246" s="297"/>
      <c r="K246" s="305"/>
      <c r="L246" s="297"/>
    </row>
    <row r="247" spans="1:12" ht="33.4" customHeight="1" x14ac:dyDescent="0.45">
      <c r="C247" s="190" t="s">
        <v>691</v>
      </c>
      <c r="F247" s="137" t="s">
        <v>15</v>
      </c>
    </row>
    <row r="248" spans="1:12" ht="23.25" x14ac:dyDescent="0.45">
      <c r="A248" s="137" t="s">
        <v>18</v>
      </c>
      <c r="B248" s="260" t="s">
        <v>414</v>
      </c>
      <c r="C248" s="241"/>
      <c r="D248" s="241"/>
      <c r="E248" s="241"/>
    </row>
    <row r="249" spans="1:12" ht="21" x14ac:dyDescent="0.45">
      <c r="A249" s="137" t="s">
        <v>13</v>
      </c>
      <c r="B249" s="320" t="s">
        <v>702</v>
      </c>
      <c r="C249" s="254"/>
      <c r="D249" s="254"/>
      <c r="E249" s="598"/>
      <c r="J249" s="600"/>
      <c r="L249" s="600">
        <f>L228+1</f>
        <v>46155</v>
      </c>
    </row>
    <row r="251" spans="1:12" x14ac:dyDescent="0.45">
      <c r="A251" s="141"/>
      <c r="B251" s="142"/>
      <c r="C251" s="142"/>
      <c r="D251" s="142"/>
      <c r="E251" s="142"/>
      <c r="F251" s="142"/>
      <c r="G251" s="142"/>
      <c r="H251" s="142"/>
      <c r="I251" s="142"/>
      <c r="J251" s="319"/>
      <c r="K251" s="319" t="s">
        <v>337</v>
      </c>
      <c r="L251" s="294"/>
    </row>
    <row r="252" spans="1:12" ht="63" x14ac:dyDescent="0.45">
      <c r="A252" s="297" t="s">
        <v>534</v>
      </c>
      <c r="B252" s="298" t="s">
        <v>0</v>
      </c>
      <c r="C252" s="298" t="s">
        <v>332</v>
      </c>
      <c r="D252" s="298" t="s">
        <v>333</v>
      </c>
      <c r="E252" s="298" t="s">
        <v>535</v>
      </c>
      <c r="F252" s="298" t="s">
        <v>1</v>
      </c>
      <c r="G252" s="298" t="s">
        <v>334</v>
      </c>
      <c r="H252" s="298" t="s">
        <v>335</v>
      </c>
      <c r="I252" s="298" t="s">
        <v>23</v>
      </c>
      <c r="J252" s="300" t="s">
        <v>22</v>
      </c>
      <c r="K252" s="298" t="s">
        <v>17</v>
      </c>
      <c r="L252" s="301" t="s">
        <v>12</v>
      </c>
    </row>
    <row r="253" spans="1:12" ht="33" customHeight="1" x14ac:dyDescent="0.45">
      <c r="A253" s="344" t="s">
        <v>376</v>
      </c>
      <c r="B253" s="345">
        <v>0.23958333333333334</v>
      </c>
      <c r="C253" s="345" t="s">
        <v>414</v>
      </c>
      <c r="D253" s="304" t="s">
        <v>702</v>
      </c>
      <c r="E253" s="377" t="s">
        <v>503</v>
      </c>
      <c r="F253" s="580"/>
      <c r="G253" s="368">
        <v>1</v>
      </c>
      <c r="H253" s="363"/>
      <c r="I253" s="580"/>
      <c r="J253" s="365"/>
      <c r="K253" s="580"/>
      <c r="L253" s="366"/>
    </row>
    <row r="254" spans="1:12" ht="33" customHeight="1" x14ac:dyDescent="0.45">
      <c r="A254" s="344" t="s">
        <v>376</v>
      </c>
      <c r="B254" s="345">
        <v>0.27083333333333331</v>
      </c>
      <c r="C254" s="345" t="s">
        <v>414</v>
      </c>
      <c r="D254" s="304" t="s">
        <v>702</v>
      </c>
      <c r="E254" s="377" t="s">
        <v>688</v>
      </c>
      <c r="F254" s="367"/>
      <c r="G254" s="368">
        <v>1</v>
      </c>
      <c r="H254" s="368"/>
      <c r="I254" s="370"/>
      <c r="J254" s="370"/>
      <c r="K254" s="367"/>
      <c r="L254" s="370"/>
    </row>
    <row r="255" spans="1:12" ht="33" customHeight="1" x14ac:dyDescent="0.45">
      <c r="A255" s="344" t="s">
        <v>533</v>
      </c>
      <c r="B255" s="345">
        <v>0.28472222222222221</v>
      </c>
      <c r="C255" s="345" t="s">
        <v>414</v>
      </c>
      <c r="D255" s="304" t="s">
        <v>702</v>
      </c>
      <c r="E255" s="377" t="s">
        <v>504</v>
      </c>
      <c r="F255" s="367"/>
      <c r="G255" s="368">
        <v>1</v>
      </c>
      <c r="H255" s="368"/>
      <c r="I255" s="370"/>
      <c r="J255" s="370"/>
      <c r="K255" s="367"/>
      <c r="L255" s="370"/>
    </row>
    <row r="256" spans="1:12" ht="33" customHeight="1" x14ac:dyDescent="0.45">
      <c r="A256" s="344" t="s">
        <v>376</v>
      </c>
      <c r="B256" s="345">
        <v>0.3125</v>
      </c>
      <c r="C256" s="345" t="s">
        <v>414</v>
      </c>
      <c r="D256" s="304" t="s">
        <v>702</v>
      </c>
      <c r="E256" s="377" t="s">
        <v>504</v>
      </c>
      <c r="F256" s="367"/>
      <c r="G256" s="368">
        <v>1</v>
      </c>
      <c r="H256" s="368"/>
      <c r="I256" s="370"/>
      <c r="J256" s="370"/>
      <c r="K256" s="367"/>
      <c r="L256" s="370"/>
    </row>
    <row r="257" spans="1:12" ht="33" customHeight="1" x14ac:dyDescent="0.45">
      <c r="A257" s="344" t="s">
        <v>501</v>
      </c>
      <c r="B257" s="345">
        <v>0.3263888888888889</v>
      </c>
      <c r="C257" s="345" t="s">
        <v>414</v>
      </c>
      <c r="D257" s="304" t="s">
        <v>702</v>
      </c>
      <c r="E257" s="377" t="s">
        <v>504</v>
      </c>
      <c r="F257" s="367"/>
      <c r="G257" s="368">
        <v>1</v>
      </c>
      <c r="H257" s="368"/>
      <c r="I257" s="370"/>
      <c r="J257" s="370"/>
      <c r="K257" s="367"/>
      <c r="L257" s="370"/>
    </row>
    <row r="258" spans="1:12" ht="33" customHeight="1" x14ac:dyDescent="0.45">
      <c r="A258" s="344" t="s">
        <v>501</v>
      </c>
      <c r="B258" s="303">
        <v>0.625</v>
      </c>
      <c r="C258" s="303" t="s">
        <v>414</v>
      </c>
      <c r="D258" s="304" t="s">
        <v>702</v>
      </c>
      <c r="E258" s="377" t="s">
        <v>504</v>
      </c>
      <c r="F258" s="367"/>
      <c r="G258" s="368">
        <v>1</v>
      </c>
      <c r="H258" s="368"/>
      <c r="I258" s="370"/>
      <c r="J258" s="370"/>
      <c r="K258" s="367"/>
      <c r="L258" s="370"/>
    </row>
    <row r="259" spans="1:12" ht="33" customHeight="1" x14ac:dyDescent="0.45">
      <c r="A259" s="344" t="s">
        <v>376</v>
      </c>
      <c r="B259" s="303">
        <v>0.65972222222222221</v>
      </c>
      <c r="C259" s="303" t="s">
        <v>414</v>
      </c>
      <c r="D259" s="304" t="s">
        <v>702</v>
      </c>
      <c r="E259" s="377" t="s">
        <v>503</v>
      </c>
      <c r="F259" s="367"/>
      <c r="G259" s="368">
        <v>1</v>
      </c>
      <c r="H259" s="368"/>
      <c r="I259" s="370"/>
      <c r="J259" s="370"/>
      <c r="K259" s="367"/>
      <c r="L259" s="370"/>
    </row>
    <row r="260" spans="1:12" ht="33" customHeight="1" x14ac:dyDescent="0.45">
      <c r="A260" s="344" t="s">
        <v>376</v>
      </c>
      <c r="B260" s="303">
        <v>0.6875</v>
      </c>
      <c r="C260" s="303" t="s">
        <v>414</v>
      </c>
      <c r="D260" s="304" t="s">
        <v>702</v>
      </c>
      <c r="E260" s="377" t="s">
        <v>503</v>
      </c>
      <c r="F260" s="367"/>
      <c r="G260" s="368">
        <v>1</v>
      </c>
      <c r="H260" s="368"/>
      <c r="I260" s="370"/>
      <c r="J260" s="370"/>
      <c r="K260" s="367"/>
      <c r="L260" s="370"/>
    </row>
    <row r="261" spans="1:12" ht="33" customHeight="1" x14ac:dyDescent="0.45">
      <c r="A261" s="344" t="s">
        <v>376</v>
      </c>
      <c r="B261" s="303">
        <v>0.71180555555555558</v>
      </c>
      <c r="C261" s="303" t="s">
        <v>414</v>
      </c>
      <c r="D261" s="304" t="s">
        <v>702</v>
      </c>
      <c r="E261" s="377" t="s">
        <v>503</v>
      </c>
      <c r="F261" s="367"/>
      <c r="G261" s="368">
        <v>1</v>
      </c>
      <c r="H261" s="368"/>
      <c r="I261" s="370"/>
      <c r="J261" s="370"/>
      <c r="K261" s="367"/>
      <c r="L261" s="370"/>
    </row>
    <row r="262" spans="1:12" ht="33" customHeight="1" x14ac:dyDescent="0.45">
      <c r="A262" s="315" t="s">
        <v>336</v>
      </c>
      <c r="B262" s="303"/>
      <c r="C262" s="303" t="s">
        <v>660</v>
      </c>
      <c r="D262" s="304"/>
      <c r="E262" s="304"/>
      <c r="F262" s="305"/>
      <c r="G262" s="306"/>
      <c r="H262" s="306"/>
      <c r="I262" s="306"/>
      <c r="J262" s="297"/>
      <c r="K262" s="305"/>
      <c r="L262" s="297"/>
    </row>
    <row r="263" spans="1:12" ht="33" customHeight="1" x14ac:dyDescent="0.45">
      <c r="A263" s="315" t="s">
        <v>336</v>
      </c>
      <c r="B263" s="303"/>
      <c r="C263" s="303" t="s">
        <v>660</v>
      </c>
      <c r="D263" s="304"/>
      <c r="E263" s="304"/>
      <c r="F263" s="305"/>
      <c r="G263" s="306"/>
      <c r="H263" s="306"/>
      <c r="I263" s="306"/>
      <c r="J263" s="297"/>
      <c r="K263" s="305"/>
      <c r="L263" s="297"/>
    </row>
    <row r="264" spans="1:12" ht="33" customHeight="1" x14ac:dyDescent="0.45">
      <c r="A264" s="315" t="s">
        <v>336</v>
      </c>
      <c r="B264" s="303"/>
      <c r="C264" s="303" t="s">
        <v>660</v>
      </c>
      <c r="D264" s="304"/>
      <c r="E264" s="304"/>
      <c r="F264" s="305"/>
      <c r="G264" s="306"/>
      <c r="H264" s="306"/>
      <c r="I264" s="306"/>
      <c r="J264" s="297"/>
      <c r="K264" s="305"/>
      <c r="L264" s="297"/>
    </row>
    <row r="265" spans="1:12" ht="33" customHeight="1" x14ac:dyDescent="0.45">
      <c r="A265" s="315" t="s">
        <v>336</v>
      </c>
      <c r="B265" s="303"/>
      <c r="C265" s="303" t="s">
        <v>660</v>
      </c>
      <c r="D265" s="304"/>
      <c r="E265" s="304"/>
      <c r="F265" s="305"/>
      <c r="G265" s="306"/>
      <c r="H265" s="306"/>
      <c r="I265" s="306"/>
      <c r="J265" s="297"/>
      <c r="K265" s="305"/>
      <c r="L265" s="297"/>
    </row>
    <row r="266" spans="1:12" ht="33" customHeight="1" x14ac:dyDescent="0.45">
      <c r="A266" s="315" t="s">
        <v>336</v>
      </c>
      <c r="B266" s="303"/>
      <c r="C266" s="303" t="s">
        <v>660</v>
      </c>
      <c r="D266" s="304"/>
      <c r="E266" s="304"/>
      <c r="F266" s="305"/>
      <c r="G266" s="306"/>
      <c r="H266" s="306"/>
      <c r="I266" s="306"/>
      <c r="J266" s="297"/>
      <c r="K266" s="305"/>
      <c r="L266" s="297"/>
    </row>
    <row r="267" spans="1:12" ht="33" customHeight="1" x14ac:dyDescent="0.45">
      <c r="C267" s="190" t="s">
        <v>691</v>
      </c>
      <c r="F267" s="137" t="s">
        <v>15</v>
      </c>
    </row>
    <row r="269" spans="1:12" ht="23.25" x14ac:dyDescent="0.45">
      <c r="A269" s="137" t="s">
        <v>18</v>
      </c>
      <c r="B269" s="260" t="s">
        <v>414</v>
      </c>
      <c r="C269" s="241"/>
      <c r="D269" s="241"/>
      <c r="E269" s="241"/>
    </row>
    <row r="270" spans="1:12" ht="21" x14ac:dyDescent="0.45">
      <c r="A270" s="137" t="s">
        <v>13</v>
      </c>
      <c r="B270" s="320" t="s">
        <v>702</v>
      </c>
      <c r="C270" s="254"/>
      <c r="D270" s="254"/>
      <c r="E270" s="598"/>
      <c r="J270" s="600"/>
      <c r="L270" s="607">
        <f>L249+1</f>
        <v>46156</v>
      </c>
    </row>
    <row r="272" spans="1:12" x14ac:dyDescent="0.45">
      <c r="A272" s="141"/>
      <c r="B272" s="142"/>
      <c r="C272" s="142"/>
      <c r="D272" s="142"/>
      <c r="E272" s="142"/>
      <c r="F272" s="142"/>
      <c r="G272" s="142"/>
      <c r="H272" s="142"/>
      <c r="I272" s="142"/>
      <c r="J272" s="319"/>
      <c r="K272" s="319" t="s">
        <v>337</v>
      </c>
      <c r="L272" s="294"/>
    </row>
    <row r="273" spans="1:12" ht="63" x14ac:dyDescent="0.45">
      <c r="A273" s="297" t="s">
        <v>534</v>
      </c>
      <c r="B273" s="298" t="s">
        <v>0</v>
      </c>
      <c r="C273" s="298" t="s">
        <v>332</v>
      </c>
      <c r="D273" s="298" t="s">
        <v>333</v>
      </c>
      <c r="E273" s="298" t="s">
        <v>535</v>
      </c>
      <c r="F273" s="298" t="s">
        <v>1</v>
      </c>
      <c r="G273" s="298" t="s">
        <v>334</v>
      </c>
      <c r="H273" s="298" t="s">
        <v>335</v>
      </c>
      <c r="I273" s="298" t="s">
        <v>23</v>
      </c>
      <c r="J273" s="300" t="s">
        <v>22</v>
      </c>
      <c r="K273" s="298" t="s">
        <v>17</v>
      </c>
      <c r="L273" s="301" t="s">
        <v>12</v>
      </c>
    </row>
    <row r="274" spans="1:12" ht="33" customHeight="1" x14ac:dyDescent="0.45">
      <c r="A274" s="344" t="s">
        <v>376</v>
      </c>
      <c r="B274" s="345">
        <v>0.3125</v>
      </c>
      <c r="C274" s="345" t="s">
        <v>414</v>
      </c>
      <c r="D274" s="304" t="s">
        <v>702</v>
      </c>
      <c r="E274" s="377" t="s">
        <v>504</v>
      </c>
      <c r="F274" s="580"/>
      <c r="G274" s="368">
        <v>1</v>
      </c>
      <c r="H274" s="363"/>
      <c r="I274" s="580"/>
      <c r="J274" s="365"/>
      <c r="K274" s="580"/>
      <c r="L274" s="366"/>
    </row>
    <row r="275" spans="1:12" ht="33" customHeight="1" x14ac:dyDescent="0.45">
      <c r="A275" s="344" t="s">
        <v>376</v>
      </c>
      <c r="B275" s="345">
        <v>0.3263888888888889</v>
      </c>
      <c r="C275" s="345" t="s">
        <v>414</v>
      </c>
      <c r="D275" s="304" t="s">
        <v>702</v>
      </c>
      <c r="E275" s="377" t="s">
        <v>504</v>
      </c>
      <c r="F275" s="580"/>
      <c r="G275" s="368">
        <v>1</v>
      </c>
      <c r="H275" s="363"/>
      <c r="I275" s="580"/>
      <c r="J275" s="365"/>
      <c r="K275" s="580"/>
      <c r="L275" s="366"/>
    </row>
    <row r="276" spans="1:12" ht="33" customHeight="1" x14ac:dyDescent="0.45">
      <c r="A276" s="344" t="s">
        <v>376</v>
      </c>
      <c r="B276" s="345">
        <v>0.65972222222222221</v>
      </c>
      <c r="C276" s="345" t="s">
        <v>414</v>
      </c>
      <c r="D276" s="304" t="s">
        <v>702</v>
      </c>
      <c r="E276" s="377" t="s">
        <v>503</v>
      </c>
      <c r="F276" s="580"/>
      <c r="G276" s="368">
        <v>1</v>
      </c>
      <c r="H276" s="363"/>
      <c r="I276" s="580"/>
      <c r="J276" s="365"/>
      <c r="K276" s="580"/>
      <c r="L276" s="366"/>
    </row>
    <row r="277" spans="1:12" ht="33" customHeight="1" x14ac:dyDescent="0.45">
      <c r="A277" s="344" t="s">
        <v>376</v>
      </c>
      <c r="B277" s="345">
        <v>0.6875</v>
      </c>
      <c r="C277" s="345" t="s">
        <v>414</v>
      </c>
      <c r="D277" s="304" t="s">
        <v>702</v>
      </c>
      <c r="E277" s="377" t="s">
        <v>503</v>
      </c>
      <c r="F277" s="367"/>
      <c r="G277" s="368">
        <v>1</v>
      </c>
      <c r="H277" s="368"/>
      <c r="I277" s="370"/>
      <c r="J277" s="370"/>
      <c r="K277" s="367"/>
      <c r="L277" s="370"/>
    </row>
    <row r="278" spans="1:12" ht="33" customHeight="1" x14ac:dyDescent="0.45">
      <c r="A278" s="344" t="s">
        <v>376</v>
      </c>
      <c r="B278" s="345">
        <v>0.76041666666666663</v>
      </c>
      <c r="C278" s="345" t="s">
        <v>414</v>
      </c>
      <c r="D278" s="304" t="s">
        <v>702</v>
      </c>
      <c r="E278" s="377" t="s">
        <v>503</v>
      </c>
      <c r="F278" s="367"/>
      <c r="G278" s="368"/>
      <c r="H278" s="368"/>
      <c r="I278" s="370"/>
      <c r="J278" s="370"/>
      <c r="K278" s="367"/>
      <c r="L278" s="370"/>
    </row>
    <row r="279" spans="1:12" ht="33" customHeight="1" x14ac:dyDescent="0.45">
      <c r="A279" s="344" t="s">
        <v>501</v>
      </c>
      <c r="B279" s="345">
        <v>0.78125</v>
      </c>
      <c r="C279" s="345" t="s">
        <v>414</v>
      </c>
      <c r="D279" s="304" t="s">
        <v>702</v>
      </c>
      <c r="E279" s="377" t="s">
        <v>504</v>
      </c>
      <c r="F279" s="367"/>
      <c r="G279" s="368"/>
      <c r="H279" s="368"/>
      <c r="I279" s="370"/>
      <c r="J279" s="370"/>
      <c r="K279" s="367"/>
      <c r="L279" s="370"/>
    </row>
    <row r="280" spans="1:12" ht="33" customHeight="1" x14ac:dyDescent="0.45">
      <c r="A280" s="344" t="s">
        <v>663</v>
      </c>
      <c r="B280" s="345">
        <v>0.80902777777777779</v>
      </c>
      <c r="C280" s="345" t="s">
        <v>414</v>
      </c>
      <c r="D280" s="304" t="s">
        <v>702</v>
      </c>
      <c r="E280" s="377" t="s">
        <v>504</v>
      </c>
      <c r="F280" s="367"/>
      <c r="G280" s="368"/>
      <c r="H280" s="368"/>
      <c r="I280" s="370"/>
      <c r="J280" s="370"/>
      <c r="K280" s="367"/>
      <c r="L280" s="370"/>
    </row>
    <row r="281" spans="1:12" ht="33" customHeight="1" x14ac:dyDescent="0.45">
      <c r="A281" s="344" t="s">
        <v>376</v>
      </c>
      <c r="B281" s="345">
        <v>0.82291666666666663</v>
      </c>
      <c r="C281" s="345" t="s">
        <v>414</v>
      </c>
      <c r="D281" s="304" t="s">
        <v>702</v>
      </c>
      <c r="E281" s="377" t="s">
        <v>503</v>
      </c>
      <c r="F281" s="367"/>
      <c r="G281" s="368"/>
      <c r="H281" s="368"/>
      <c r="I281" s="370"/>
      <c r="J281" s="370"/>
      <c r="K281" s="367"/>
      <c r="L281" s="370"/>
    </row>
    <row r="282" spans="1:12" ht="33" customHeight="1" x14ac:dyDescent="0.45">
      <c r="A282" s="344" t="s">
        <v>336</v>
      </c>
      <c r="B282" s="345"/>
      <c r="C282" s="345" t="s">
        <v>660</v>
      </c>
      <c r="D282" s="304"/>
      <c r="E282" s="377"/>
      <c r="F282" s="367"/>
      <c r="G282" s="368"/>
      <c r="H282" s="368"/>
      <c r="I282" s="370"/>
      <c r="J282" s="370"/>
      <c r="K282" s="367"/>
      <c r="L282" s="370"/>
    </row>
    <row r="283" spans="1:12" ht="33" customHeight="1" x14ac:dyDescent="0.45">
      <c r="A283" s="344" t="s">
        <v>336</v>
      </c>
      <c r="B283" s="345"/>
      <c r="C283" s="345" t="s">
        <v>660</v>
      </c>
      <c r="D283" s="304"/>
      <c r="E283" s="377"/>
      <c r="F283" s="367"/>
      <c r="G283" s="368"/>
      <c r="H283" s="368"/>
      <c r="I283" s="370"/>
      <c r="J283" s="370"/>
      <c r="K283" s="367"/>
      <c r="L283" s="370"/>
    </row>
    <row r="284" spans="1:12" ht="33" customHeight="1" x14ac:dyDescent="0.45">
      <c r="A284" s="344" t="s">
        <v>336</v>
      </c>
      <c r="B284" s="345"/>
      <c r="C284" s="345" t="s">
        <v>660</v>
      </c>
      <c r="D284" s="304"/>
      <c r="E284" s="377"/>
      <c r="F284" s="367"/>
      <c r="G284" s="368"/>
      <c r="H284" s="368"/>
      <c r="I284" s="370"/>
      <c r="J284" s="370"/>
      <c r="K284" s="367"/>
      <c r="L284" s="370"/>
    </row>
    <row r="285" spans="1:12" ht="33" customHeight="1" x14ac:dyDescent="0.45">
      <c r="A285" s="344" t="s">
        <v>336</v>
      </c>
      <c r="B285" s="345"/>
      <c r="C285" s="345" t="s">
        <v>660</v>
      </c>
      <c r="D285" s="304"/>
      <c r="E285" s="377"/>
      <c r="F285" s="367"/>
      <c r="G285" s="368"/>
      <c r="H285" s="368"/>
      <c r="I285" s="370"/>
      <c r="J285" s="370"/>
      <c r="K285" s="367"/>
      <c r="L285" s="370"/>
    </row>
    <row r="286" spans="1:12" ht="33" customHeight="1" x14ac:dyDescent="0.45">
      <c r="A286" s="344" t="s">
        <v>336</v>
      </c>
      <c r="B286" s="345"/>
      <c r="C286" s="345" t="s">
        <v>660</v>
      </c>
      <c r="D286" s="304"/>
      <c r="E286" s="377"/>
      <c r="F286" s="367"/>
      <c r="G286" s="368"/>
      <c r="H286" s="368"/>
      <c r="I286" s="370"/>
      <c r="J286" s="370"/>
      <c r="K286" s="367"/>
      <c r="L286" s="370"/>
    </row>
    <row r="287" spans="1:12" ht="33" customHeight="1" x14ac:dyDescent="0.45">
      <c r="C287" s="190" t="s">
        <v>691</v>
      </c>
      <c r="F287" s="137" t="s">
        <v>15</v>
      </c>
    </row>
    <row r="288" spans="1:12" ht="33" customHeight="1" x14ac:dyDescent="0.45">
      <c r="C288" s="190"/>
    </row>
    <row r="290" spans="1:12" ht="23.25" x14ac:dyDescent="0.45">
      <c r="A290" s="137" t="s">
        <v>18</v>
      </c>
      <c r="B290" s="260" t="s">
        <v>414</v>
      </c>
      <c r="C290" s="241"/>
      <c r="D290" s="241"/>
      <c r="E290" s="241"/>
    </row>
    <row r="291" spans="1:12" ht="21" x14ac:dyDescent="0.45">
      <c r="A291" s="137" t="s">
        <v>13</v>
      </c>
      <c r="B291" s="320" t="s">
        <v>702</v>
      </c>
      <c r="C291" s="254"/>
      <c r="D291" s="254"/>
      <c r="E291" s="598"/>
      <c r="J291" s="600"/>
      <c r="L291" s="600">
        <f>L270+1</f>
        <v>46157</v>
      </c>
    </row>
    <row r="293" spans="1:12" x14ac:dyDescent="0.45">
      <c r="A293" s="141"/>
      <c r="B293" s="142"/>
      <c r="C293" s="142"/>
      <c r="D293" s="142"/>
      <c r="E293" s="142"/>
      <c r="F293" s="142"/>
      <c r="G293" s="142"/>
      <c r="H293" s="142"/>
      <c r="I293" s="142"/>
      <c r="J293" s="319"/>
      <c r="K293" s="319" t="s">
        <v>337</v>
      </c>
      <c r="L293" s="294"/>
    </row>
    <row r="294" spans="1:12" ht="63" x14ac:dyDescent="0.45">
      <c r="A294" s="297" t="s">
        <v>534</v>
      </c>
      <c r="B294" s="298" t="s">
        <v>0</v>
      </c>
      <c r="C294" s="298" t="s">
        <v>332</v>
      </c>
      <c r="D294" s="298" t="s">
        <v>333</v>
      </c>
      <c r="E294" s="298" t="s">
        <v>535</v>
      </c>
      <c r="F294" s="298" t="s">
        <v>1</v>
      </c>
      <c r="G294" s="298" t="s">
        <v>334</v>
      </c>
      <c r="H294" s="298" t="s">
        <v>335</v>
      </c>
      <c r="I294" s="298" t="s">
        <v>23</v>
      </c>
      <c r="J294" s="300" t="s">
        <v>22</v>
      </c>
      <c r="K294" s="298" t="s">
        <v>17</v>
      </c>
      <c r="L294" s="301" t="s">
        <v>12</v>
      </c>
    </row>
    <row r="295" spans="1:12" ht="33" customHeight="1" x14ac:dyDescent="0.45">
      <c r="A295" s="344" t="s">
        <v>376</v>
      </c>
      <c r="B295" s="345">
        <v>0.23958333333333334</v>
      </c>
      <c r="C295" s="345" t="s">
        <v>414</v>
      </c>
      <c r="D295" s="304" t="s">
        <v>702</v>
      </c>
      <c r="E295" s="377" t="s">
        <v>503</v>
      </c>
      <c r="F295" s="580"/>
      <c r="G295" s="368">
        <v>1</v>
      </c>
      <c r="H295" s="363"/>
      <c r="I295" s="580"/>
      <c r="J295" s="365"/>
      <c r="K295" s="580"/>
      <c r="L295" s="366"/>
    </row>
    <row r="296" spans="1:12" ht="33" customHeight="1" x14ac:dyDescent="0.45">
      <c r="A296" s="344" t="s">
        <v>376</v>
      </c>
      <c r="B296" s="345">
        <v>0.27083333333333331</v>
      </c>
      <c r="C296" s="345" t="s">
        <v>414</v>
      </c>
      <c r="D296" s="304" t="s">
        <v>702</v>
      </c>
      <c r="E296" s="377" t="s">
        <v>688</v>
      </c>
      <c r="F296" s="367"/>
      <c r="G296" s="368">
        <v>1</v>
      </c>
      <c r="H296" s="368"/>
      <c r="I296" s="370"/>
      <c r="J296" s="370"/>
      <c r="K296" s="367"/>
      <c r="L296" s="370"/>
    </row>
    <row r="297" spans="1:12" ht="33" customHeight="1" x14ac:dyDescent="0.45">
      <c r="A297" s="344" t="s">
        <v>533</v>
      </c>
      <c r="B297" s="345">
        <v>0.28472222222222221</v>
      </c>
      <c r="C297" s="345" t="s">
        <v>414</v>
      </c>
      <c r="D297" s="304" t="s">
        <v>702</v>
      </c>
      <c r="E297" s="377" t="s">
        <v>504</v>
      </c>
      <c r="F297" s="367"/>
      <c r="G297" s="368">
        <v>1</v>
      </c>
      <c r="H297" s="368"/>
      <c r="I297" s="370"/>
      <c r="J297" s="370"/>
      <c r="K297" s="367"/>
      <c r="L297" s="370"/>
    </row>
    <row r="298" spans="1:12" ht="33" customHeight="1" x14ac:dyDescent="0.45">
      <c r="A298" s="344" t="s">
        <v>376</v>
      </c>
      <c r="B298" s="345">
        <v>0.3125</v>
      </c>
      <c r="C298" s="345" t="s">
        <v>414</v>
      </c>
      <c r="D298" s="304" t="s">
        <v>702</v>
      </c>
      <c r="E298" s="377" t="s">
        <v>504</v>
      </c>
      <c r="F298" s="367"/>
      <c r="G298" s="368">
        <v>1</v>
      </c>
      <c r="H298" s="368"/>
      <c r="I298" s="370"/>
      <c r="J298" s="370"/>
      <c r="K298" s="367"/>
      <c r="L298" s="370"/>
    </row>
    <row r="299" spans="1:12" ht="33" customHeight="1" x14ac:dyDescent="0.45">
      <c r="A299" s="344" t="s">
        <v>501</v>
      </c>
      <c r="B299" s="345">
        <v>0.3263888888888889</v>
      </c>
      <c r="C299" s="345" t="s">
        <v>414</v>
      </c>
      <c r="D299" s="304" t="s">
        <v>702</v>
      </c>
      <c r="E299" s="377" t="s">
        <v>504</v>
      </c>
      <c r="F299" s="367"/>
      <c r="G299" s="368">
        <v>1</v>
      </c>
      <c r="H299" s="368"/>
      <c r="I299" s="370"/>
      <c r="J299" s="370"/>
      <c r="K299" s="367"/>
      <c r="L299" s="370"/>
    </row>
    <row r="300" spans="1:12" ht="33" customHeight="1" x14ac:dyDescent="0.45">
      <c r="A300" s="344" t="s">
        <v>501</v>
      </c>
      <c r="B300" s="303">
        <v>0.625</v>
      </c>
      <c r="C300" s="303" t="s">
        <v>414</v>
      </c>
      <c r="D300" s="304" t="s">
        <v>702</v>
      </c>
      <c r="E300" s="377" t="s">
        <v>504</v>
      </c>
      <c r="F300" s="367"/>
      <c r="G300" s="368">
        <v>1</v>
      </c>
      <c r="H300" s="368"/>
      <c r="I300" s="370"/>
      <c r="J300" s="370"/>
      <c r="K300" s="367"/>
      <c r="L300" s="370"/>
    </row>
    <row r="301" spans="1:12" ht="33" customHeight="1" x14ac:dyDescent="0.45">
      <c r="A301" s="344" t="s">
        <v>376</v>
      </c>
      <c r="B301" s="303">
        <v>0.65972222222222221</v>
      </c>
      <c r="C301" s="303" t="s">
        <v>414</v>
      </c>
      <c r="D301" s="304" t="s">
        <v>702</v>
      </c>
      <c r="E301" s="377" t="s">
        <v>503</v>
      </c>
      <c r="F301" s="367"/>
      <c r="G301" s="368">
        <v>1</v>
      </c>
      <c r="H301" s="368"/>
      <c r="I301" s="370"/>
      <c r="J301" s="370"/>
      <c r="K301" s="367"/>
      <c r="L301" s="370"/>
    </row>
    <row r="302" spans="1:12" ht="33" customHeight="1" x14ac:dyDescent="0.45">
      <c r="A302" s="344" t="s">
        <v>376</v>
      </c>
      <c r="B302" s="303">
        <v>0.6875</v>
      </c>
      <c r="C302" s="303" t="s">
        <v>414</v>
      </c>
      <c r="D302" s="304" t="s">
        <v>702</v>
      </c>
      <c r="E302" s="377" t="s">
        <v>503</v>
      </c>
      <c r="F302" s="367"/>
      <c r="G302" s="368">
        <v>1</v>
      </c>
      <c r="H302" s="368"/>
      <c r="I302" s="370"/>
      <c r="J302" s="370"/>
      <c r="K302" s="367"/>
      <c r="L302" s="370"/>
    </row>
    <row r="303" spans="1:12" ht="33" customHeight="1" x14ac:dyDescent="0.45">
      <c r="A303" s="344" t="s">
        <v>376</v>
      </c>
      <c r="B303" s="303">
        <v>0.71180555555555558</v>
      </c>
      <c r="C303" s="303" t="s">
        <v>414</v>
      </c>
      <c r="D303" s="304" t="s">
        <v>702</v>
      </c>
      <c r="E303" s="377" t="s">
        <v>503</v>
      </c>
      <c r="F303" s="367"/>
      <c r="G303" s="368">
        <v>1</v>
      </c>
      <c r="H303" s="368"/>
      <c r="I303" s="370"/>
      <c r="J303" s="370"/>
      <c r="K303" s="367"/>
      <c r="L303" s="370"/>
    </row>
    <row r="304" spans="1:12" ht="33" customHeight="1" x14ac:dyDescent="0.45">
      <c r="A304" s="315" t="s">
        <v>336</v>
      </c>
      <c r="B304" s="303"/>
      <c r="C304" s="303" t="s">
        <v>660</v>
      </c>
      <c r="D304" s="304"/>
      <c r="E304" s="304"/>
      <c r="F304" s="305"/>
      <c r="G304" s="306"/>
      <c r="H304" s="306"/>
      <c r="I304" s="306"/>
      <c r="J304" s="297"/>
      <c r="K304" s="305"/>
      <c r="L304" s="297"/>
    </row>
    <row r="305" spans="1:12" ht="33" customHeight="1" x14ac:dyDescent="0.45">
      <c r="A305" s="315" t="s">
        <v>336</v>
      </c>
      <c r="B305" s="303"/>
      <c r="C305" s="303" t="s">
        <v>660</v>
      </c>
      <c r="D305" s="304"/>
      <c r="E305" s="304"/>
      <c r="F305" s="305"/>
      <c r="G305" s="306"/>
      <c r="H305" s="306"/>
      <c r="I305" s="306"/>
      <c r="J305" s="297"/>
      <c r="K305" s="305"/>
      <c r="L305" s="297"/>
    </row>
    <row r="306" spans="1:12" ht="33" customHeight="1" x14ac:dyDescent="0.45">
      <c r="A306" s="315" t="s">
        <v>336</v>
      </c>
      <c r="B306" s="303"/>
      <c r="C306" s="303" t="s">
        <v>660</v>
      </c>
      <c r="D306" s="304"/>
      <c r="E306" s="304"/>
      <c r="F306" s="305"/>
      <c r="G306" s="306"/>
      <c r="H306" s="306"/>
      <c r="I306" s="306"/>
      <c r="J306" s="297"/>
      <c r="K306" s="305"/>
      <c r="L306" s="297"/>
    </row>
    <row r="307" spans="1:12" ht="33" customHeight="1" x14ac:dyDescent="0.45">
      <c r="A307" s="315" t="s">
        <v>336</v>
      </c>
      <c r="B307" s="303"/>
      <c r="C307" s="303" t="s">
        <v>660</v>
      </c>
      <c r="D307" s="304"/>
      <c r="E307" s="304"/>
      <c r="F307" s="305"/>
      <c r="G307" s="306"/>
      <c r="H307" s="306"/>
      <c r="I307" s="306"/>
      <c r="J307" s="297"/>
      <c r="K307" s="305"/>
      <c r="L307" s="297"/>
    </row>
    <row r="308" spans="1:12" ht="33" customHeight="1" x14ac:dyDescent="0.45">
      <c r="A308" s="315" t="s">
        <v>336</v>
      </c>
      <c r="B308" s="303"/>
      <c r="C308" s="303" t="s">
        <v>660</v>
      </c>
      <c r="D308" s="304"/>
      <c r="E308" s="304"/>
      <c r="F308" s="305"/>
      <c r="G308" s="306"/>
      <c r="H308" s="306"/>
      <c r="I308" s="306"/>
      <c r="J308" s="297"/>
      <c r="K308" s="305"/>
      <c r="L308" s="297"/>
    </row>
    <row r="309" spans="1:12" ht="33" customHeight="1" x14ac:dyDescent="0.45">
      <c r="C309" s="190" t="s">
        <v>691</v>
      </c>
      <c r="F309" s="137" t="s">
        <v>15</v>
      </c>
    </row>
    <row r="311" spans="1:12" ht="23.25" x14ac:dyDescent="0.45">
      <c r="A311" s="137" t="s">
        <v>18</v>
      </c>
      <c r="B311" s="260" t="s">
        <v>414</v>
      </c>
      <c r="C311" s="241"/>
      <c r="D311" s="241"/>
      <c r="E311" s="241"/>
    </row>
    <row r="312" spans="1:12" ht="21" x14ac:dyDescent="0.45">
      <c r="A312" s="137" t="s">
        <v>13</v>
      </c>
      <c r="B312" s="320" t="s">
        <v>702</v>
      </c>
      <c r="C312" s="254"/>
      <c r="D312" s="254"/>
      <c r="E312" s="598"/>
      <c r="J312" s="600"/>
      <c r="L312" s="600">
        <f>L291+1</f>
        <v>46158</v>
      </c>
    </row>
    <row r="314" spans="1:12" x14ac:dyDescent="0.45">
      <c r="A314" s="141"/>
      <c r="B314" s="142"/>
      <c r="C314" s="142"/>
      <c r="D314" s="142"/>
      <c r="E314" s="142"/>
      <c r="F314" s="142"/>
      <c r="G314" s="142"/>
      <c r="H314" s="142"/>
      <c r="I314" s="142"/>
      <c r="J314" s="319"/>
      <c r="K314" s="319" t="s">
        <v>337</v>
      </c>
      <c r="L314" s="294"/>
    </row>
    <row r="315" spans="1:12" ht="63" x14ac:dyDescent="0.45">
      <c r="A315" s="297" t="s">
        <v>534</v>
      </c>
      <c r="B315" s="298" t="s">
        <v>0</v>
      </c>
      <c r="C315" s="298" t="s">
        <v>332</v>
      </c>
      <c r="D315" s="298" t="s">
        <v>333</v>
      </c>
      <c r="E315" s="298" t="s">
        <v>535</v>
      </c>
      <c r="F315" s="298" t="s">
        <v>1</v>
      </c>
      <c r="G315" s="298" t="s">
        <v>334</v>
      </c>
      <c r="H315" s="298" t="s">
        <v>335</v>
      </c>
      <c r="I315" s="298" t="s">
        <v>23</v>
      </c>
      <c r="J315" s="300" t="s">
        <v>22</v>
      </c>
      <c r="K315" s="298" t="s">
        <v>17</v>
      </c>
      <c r="L315" s="301" t="s">
        <v>12</v>
      </c>
    </row>
    <row r="316" spans="1:12" ht="33" customHeight="1" x14ac:dyDescent="0.45">
      <c r="A316" s="344" t="s">
        <v>376</v>
      </c>
      <c r="B316" s="345">
        <v>0.23958333333333334</v>
      </c>
      <c r="C316" s="345" t="s">
        <v>414</v>
      </c>
      <c r="D316" s="304" t="s">
        <v>702</v>
      </c>
      <c r="E316" s="377" t="s">
        <v>503</v>
      </c>
      <c r="F316" s="580"/>
      <c r="G316" s="368">
        <v>1</v>
      </c>
      <c r="H316" s="363"/>
      <c r="I316" s="580"/>
      <c r="J316" s="365"/>
      <c r="K316" s="580"/>
      <c r="L316" s="366"/>
    </row>
    <row r="317" spans="1:12" ht="33" customHeight="1" x14ac:dyDescent="0.45">
      <c r="A317" s="344" t="s">
        <v>376</v>
      </c>
      <c r="B317" s="345">
        <v>0.27083333333333331</v>
      </c>
      <c r="C317" s="345" t="s">
        <v>414</v>
      </c>
      <c r="D317" s="304" t="s">
        <v>702</v>
      </c>
      <c r="E317" s="377" t="s">
        <v>688</v>
      </c>
      <c r="F317" s="367"/>
      <c r="G317" s="368">
        <v>1</v>
      </c>
      <c r="H317" s="368"/>
      <c r="I317" s="370"/>
      <c r="J317" s="370"/>
      <c r="K317" s="367"/>
      <c r="L317" s="370"/>
    </row>
    <row r="318" spans="1:12" ht="33" customHeight="1" x14ac:dyDescent="0.45">
      <c r="A318" s="344" t="s">
        <v>533</v>
      </c>
      <c r="B318" s="345">
        <v>0.28472222222222221</v>
      </c>
      <c r="C318" s="345" t="s">
        <v>414</v>
      </c>
      <c r="D318" s="304" t="s">
        <v>702</v>
      </c>
      <c r="E318" s="377" t="s">
        <v>504</v>
      </c>
      <c r="F318" s="367"/>
      <c r="G318" s="368">
        <v>1</v>
      </c>
      <c r="H318" s="368"/>
      <c r="I318" s="370"/>
      <c r="J318" s="370"/>
      <c r="K318" s="367"/>
      <c r="L318" s="370"/>
    </row>
    <row r="319" spans="1:12" ht="33" customHeight="1" x14ac:dyDescent="0.45">
      <c r="A319" s="344" t="s">
        <v>376</v>
      </c>
      <c r="B319" s="345">
        <v>0.3125</v>
      </c>
      <c r="C319" s="345" t="s">
        <v>414</v>
      </c>
      <c r="D319" s="304" t="s">
        <v>702</v>
      </c>
      <c r="E319" s="377" t="s">
        <v>504</v>
      </c>
      <c r="F319" s="367"/>
      <c r="G319" s="368">
        <v>1</v>
      </c>
      <c r="H319" s="368"/>
      <c r="I319" s="370"/>
      <c r="J319" s="370"/>
      <c r="K319" s="367"/>
      <c r="L319" s="370"/>
    </row>
    <row r="320" spans="1:12" ht="33" customHeight="1" x14ac:dyDescent="0.45">
      <c r="A320" s="344" t="s">
        <v>501</v>
      </c>
      <c r="B320" s="345">
        <v>0.3263888888888889</v>
      </c>
      <c r="C320" s="345" t="s">
        <v>414</v>
      </c>
      <c r="D320" s="304" t="s">
        <v>702</v>
      </c>
      <c r="E320" s="377" t="s">
        <v>504</v>
      </c>
      <c r="F320" s="367"/>
      <c r="G320" s="368">
        <v>1</v>
      </c>
      <c r="H320" s="368"/>
      <c r="I320" s="370"/>
      <c r="J320" s="370"/>
      <c r="K320" s="367"/>
      <c r="L320" s="370"/>
    </row>
    <row r="321" spans="1:12" ht="33" customHeight="1" x14ac:dyDescent="0.45">
      <c r="A321" s="344" t="s">
        <v>501</v>
      </c>
      <c r="B321" s="303">
        <v>0.625</v>
      </c>
      <c r="C321" s="303" t="s">
        <v>414</v>
      </c>
      <c r="D321" s="304" t="s">
        <v>702</v>
      </c>
      <c r="E321" s="377" t="s">
        <v>504</v>
      </c>
      <c r="F321" s="367"/>
      <c r="G321" s="368">
        <v>1</v>
      </c>
      <c r="H321" s="368"/>
      <c r="I321" s="370"/>
      <c r="J321" s="370"/>
      <c r="K321" s="367"/>
      <c r="L321" s="370"/>
    </row>
    <row r="322" spans="1:12" ht="33" customHeight="1" x14ac:dyDescent="0.45">
      <c r="A322" s="344" t="s">
        <v>376</v>
      </c>
      <c r="B322" s="303">
        <v>0.65972222222222221</v>
      </c>
      <c r="C322" s="303" t="s">
        <v>414</v>
      </c>
      <c r="D322" s="304" t="s">
        <v>702</v>
      </c>
      <c r="E322" s="377" t="s">
        <v>503</v>
      </c>
      <c r="F322" s="367"/>
      <c r="G322" s="368">
        <v>1</v>
      </c>
      <c r="H322" s="368"/>
      <c r="I322" s="370"/>
      <c r="J322" s="370"/>
      <c r="K322" s="367"/>
      <c r="L322" s="370"/>
    </row>
    <row r="323" spans="1:12" ht="33" customHeight="1" x14ac:dyDescent="0.45">
      <c r="A323" s="344" t="s">
        <v>376</v>
      </c>
      <c r="B323" s="303">
        <v>0.6875</v>
      </c>
      <c r="C323" s="303" t="s">
        <v>414</v>
      </c>
      <c r="D323" s="304" t="s">
        <v>702</v>
      </c>
      <c r="E323" s="377" t="s">
        <v>503</v>
      </c>
      <c r="F323" s="367"/>
      <c r="G323" s="368">
        <v>1</v>
      </c>
      <c r="H323" s="368"/>
      <c r="I323" s="370"/>
      <c r="J323" s="370"/>
      <c r="K323" s="367"/>
      <c r="L323" s="370"/>
    </row>
    <row r="324" spans="1:12" ht="33" customHeight="1" x14ac:dyDescent="0.45">
      <c r="A324" s="344" t="s">
        <v>376</v>
      </c>
      <c r="B324" s="303">
        <v>0.71180555555555558</v>
      </c>
      <c r="C324" s="303" t="s">
        <v>414</v>
      </c>
      <c r="D324" s="304" t="s">
        <v>702</v>
      </c>
      <c r="E324" s="377" t="s">
        <v>503</v>
      </c>
      <c r="F324" s="367"/>
      <c r="G324" s="368">
        <v>1</v>
      </c>
      <c r="H324" s="368"/>
      <c r="I324" s="370"/>
      <c r="J324" s="370"/>
      <c r="K324" s="367"/>
      <c r="L324" s="370"/>
    </row>
    <row r="325" spans="1:12" ht="33" customHeight="1" x14ac:dyDescent="0.45">
      <c r="A325" s="315" t="s">
        <v>336</v>
      </c>
      <c r="B325" s="303"/>
      <c r="C325" s="303" t="s">
        <v>660</v>
      </c>
      <c r="D325" s="304"/>
      <c r="E325" s="304"/>
      <c r="F325" s="305"/>
      <c r="G325" s="306"/>
      <c r="H325" s="306"/>
      <c r="I325" s="306"/>
      <c r="J325" s="297"/>
      <c r="K325" s="305"/>
      <c r="L325" s="297"/>
    </row>
    <row r="326" spans="1:12" ht="33" customHeight="1" x14ac:dyDescent="0.45">
      <c r="A326" s="315" t="s">
        <v>336</v>
      </c>
      <c r="B326" s="303"/>
      <c r="C326" s="303" t="s">
        <v>660</v>
      </c>
      <c r="D326" s="304"/>
      <c r="E326" s="304"/>
      <c r="F326" s="305"/>
      <c r="G326" s="306"/>
      <c r="H326" s="306"/>
      <c r="I326" s="306"/>
      <c r="J326" s="297"/>
      <c r="K326" s="305"/>
      <c r="L326" s="297"/>
    </row>
    <row r="327" spans="1:12" ht="33" customHeight="1" x14ac:dyDescent="0.45">
      <c r="A327" s="315" t="s">
        <v>336</v>
      </c>
      <c r="B327" s="303"/>
      <c r="C327" s="303" t="s">
        <v>660</v>
      </c>
      <c r="D327" s="304"/>
      <c r="E327" s="304"/>
      <c r="F327" s="305"/>
      <c r="G327" s="306"/>
      <c r="H327" s="306"/>
      <c r="I327" s="306"/>
      <c r="J327" s="297"/>
      <c r="K327" s="305"/>
      <c r="L327" s="297"/>
    </row>
    <row r="328" spans="1:12" ht="33" customHeight="1" x14ac:dyDescent="0.45">
      <c r="A328" s="315" t="s">
        <v>336</v>
      </c>
      <c r="B328" s="303"/>
      <c r="C328" s="303" t="s">
        <v>660</v>
      </c>
      <c r="D328" s="304"/>
      <c r="E328" s="304"/>
      <c r="F328" s="305"/>
      <c r="G328" s="306"/>
      <c r="H328" s="306"/>
      <c r="I328" s="306"/>
      <c r="J328" s="297"/>
      <c r="K328" s="305"/>
      <c r="L328" s="297"/>
    </row>
    <row r="329" spans="1:12" ht="33" customHeight="1" x14ac:dyDescent="0.45">
      <c r="A329" s="315" t="s">
        <v>336</v>
      </c>
      <c r="B329" s="303"/>
      <c r="C329" s="303" t="s">
        <v>660</v>
      </c>
      <c r="D329" s="304"/>
      <c r="E329" s="304"/>
      <c r="F329" s="305"/>
      <c r="G329" s="306"/>
      <c r="H329" s="306"/>
      <c r="I329" s="306"/>
      <c r="J329" s="297"/>
      <c r="K329" s="305"/>
      <c r="L329" s="297"/>
    </row>
    <row r="330" spans="1:12" ht="33" customHeight="1" x14ac:dyDescent="0.45">
      <c r="C330" s="190" t="s">
        <v>691</v>
      </c>
      <c r="F330" s="137" t="s">
        <v>15</v>
      </c>
    </row>
    <row r="332" spans="1:12" ht="23.25" x14ac:dyDescent="0.45">
      <c r="A332" s="137" t="s">
        <v>18</v>
      </c>
      <c r="B332" s="260" t="s">
        <v>414</v>
      </c>
      <c r="C332" s="241"/>
      <c r="D332" s="241"/>
      <c r="E332" s="241"/>
    </row>
    <row r="333" spans="1:12" ht="21" x14ac:dyDescent="0.45">
      <c r="A333" s="137" t="s">
        <v>13</v>
      </c>
      <c r="B333" s="320" t="s">
        <v>702</v>
      </c>
      <c r="C333" s="254"/>
      <c r="D333" s="254"/>
      <c r="E333" s="598"/>
      <c r="J333" s="600"/>
      <c r="L333" s="607">
        <f>L312+1</f>
        <v>46159</v>
      </c>
    </row>
    <row r="335" spans="1:12" x14ac:dyDescent="0.45">
      <c r="A335" s="141"/>
      <c r="B335" s="142"/>
      <c r="C335" s="142"/>
      <c r="D335" s="142"/>
      <c r="E335" s="142"/>
      <c r="F335" s="142"/>
      <c r="G335" s="142"/>
      <c r="H335" s="142"/>
      <c r="I335" s="142"/>
      <c r="J335" s="319"/>
      <c r="K335" s="319" t="s">
        <v>337</v>
      </c>
      <c r="L335" s="294"/>
    </row>
    <row r="336" spans="1:12" ht="63" x14ac:dyDescent="0.45">
      <c r="A336" s="297" t="s">
        <v>534</v>
      </c>
      <c r="B336" s="298" t="s">
        <v>0</v>
      </c>
      <c r="C336" s="298" t="s">
        <v>332</v>
      </c>
      <c r="D336" s="298" t="s">
        <v>333</v>
      </c>
      <c r="E336" s="298" t="s">
        <v>535</v>
      </c>
      <c r="F336" s="298" t="s">
        <v>1</v>
      </c>
      <c r="G336" s="298" t="s">
        <v>334</v>
      </c>
      <c r="H336" s="298" t="s">
        <v>335</v>
      </c>
      <c r="I336" s="298" t="s">
        <v>23</v>
      </c>
      <c r="J336" s="300" t="s">
        <v>22</v>
      </c>
      <c r="K336" s="298" t="s">
        <v>17</v>
      </c>
      <c r="L336" s="301" t="s">
        <v>12</v>
      </c>
    </row>
    <row r="337" spans="1:12" ht="33" customHeight="1" x14ac:dyDescent="0.45">
      <c r="A337" s="344" t="s">
        <v>376</v>
      </c>
      <c r="B337" s="345">
        <v>0.3125</v>
      </c>
      <c r="C337" s="345" t="s">
        <v>414</v>
      </c>
      <c r="D337" s="304" t="s">
        <v>702</v>
      </c>
      <c r="E337" s="377" t="s">
        <v>504</v>
      </c>
      <c r="F337" s="580"/>
      <c r="G337" s="368">
        <v>1</v>
      </c>
      <c r="H337" s="363"/>
      <c r="I337" s="580"/>
      <c r="J337" s="365"/>
      <c r="K337" s="580"/>
      <c r="L337" s="366"/>
    </row>
    <row r="338" spans="1:12" ht="33" customHeight="1" x14ac:dyDescent="0.45">
      <c r="A338" s="344" t="s">
        <v>376</v>
      </c>
      <c r="B338" s="345">
        <v>0.3263888888888889</v>
      </c>
      <c r="C338" s="345" t="s">
        <v>414</v>
      </c>
      <c r="D338" s="304" t="s">
        <v>702</v>
      </c>
      <c r="E338" s="377" t="s">
        <v>504</v>
      </c>
      <c r="F338" s="580"/>
      <c r="G338" s="368">
        <v>1</v>
      </c>
      <c r="H338" s="363"/>
      <c r="I338" s="580"/>
      <c r="J338" s="365"/>
      <c r="K338" s="580"/>
      <c r="L338" s="366"/>
    </row>
    <row r="339" spans="1:12" ht="33" customHeight="1" x14ac:dyDescent="0.45">
      <c r="A339" s="344" t="s">
        <v>376</v>
      </c>
      <c r="B339" s="345">
        <v>0.65972222222222221</v>
      </c>
      <c r="C339" s="345" t="s">
        <v>414</v>
      </c>
      <c r="D339" s="304" t="s">
        <v>702</v>
      </c>
      <c r="E339" s="377" t="s">
        <v>503</v>
      </c>
      <c r="F339" s="580"/>
      <c r="G339" s="368">
        <v>1</v>
      </c>
      <c r="H339" s="363"/>
      <c r="I339" s="580"/>
      <c r="J339" s="365"/>
      <c r="K339" s="580"/>
      <c r="L339" s="366"/>
    </row>
    <row r="340" spans="1:12" ht="33" customHeight="1" x14ac:dyDescent="0.45">
      <c r="A340" s="344" t="s">
        <v>376</v>
      </c>
      <c r="B340" s="345">
        <v>0.6875</v>
      </c>
      <c r="C340" s="345" t="s">
        <v>414</v>
      </c>
      <c r="D340" s="304" t="s">
        <v>702</v>
      </c>
      <c r="E340" s="377" t="s">
        <v>503</v>
      </c>
      <c r="F340" s="367"/>
      <c r="G340" s="368">
        <v>1</v>
      </c>
      <c r="H340" s="368"/>
      <c r="I340" s="370"/>
      <c r="J340" s="370"/>
      <c r="K340" s="367"/>
      <c r="L340" s="370"/>
    </row>
    <row r="341" spans="1:12" ht="33" customHeight="1" x14ac:dyDescent="0.45">
      <c r="A341" s="344" t="s">
        <v>376</v>
      </c>
      <c r="B341" s="345">
        <v>0.76041666666666663</v>
      </c>
      <c r="C341" s="345" t="s">
        <v>414</v>
      </c>
      <c r="D341" s="304" t="s">
        <v>702</v>
      </c>
      <c r="E341" s="377" t="s">
        <v>503</v>
      </c>
      <c r="F341" s="367"/>
      <c r="G341" s="368"/>
      <c r="H341" s="368"/>
      <c r="I341" s="370"/>
      <c r="J341" s="370"/>
      <c r="K341" s="367"/>
      <c r="L341" s="370"/>
    </row>
    <row r="342" spans="1:12" ht="33" customHeight="1" x14ac:dyDescent="0.45">
      <c r="A342" s="344" t="s">
        <v>501</v>
      </c>
      <c r="B342" s="345">
        <v>0.78125</v>
      </c>
      <c r="C342" s="345" t="s">
        <v>414</v>
      </c>
      <c r="D342" s="304" t="s">
        <v>702</v>
      </c>
      <c r="E342" s="377" t="s">
        <v>504</v>
      </c>
      <c r="F342" s="367"/>
      <c r="G342" s="368"/>
      <c r="H342" s="368"/>
      <c r="I342" s="370"/>
      <c r="J342" s="370"/>
      <c r="K342" s="367"/>
      <c r="L342" s="370"/>
    </row>
    <row r="343" spans="1:12" ht="33" customHeight="1" x14ac:dyDescent="0.45">
      <c r="A343" s="344" t="s">
        <v>663</v>
      </c>
      <c r="B343" s="345">
        <v>0.80902777777777779</v>
      </c>
      <c r="C343" s="345" t="s">
        <v>414</v>
      </c>
      <c r="D343" s="304" t="s">
        <v>702</v>
      </c>
      <c r="E343" s="377" t="s">
        <v>504</v>
      </c>
      <c r="F343" s="367"/>
      <c r="G343" s="368"/>
      <c r="H343" s="368"/>
      <c r="I343" s="370"/>
      <c r="J343" s="370"/>
      <c r="K343" s="367"/>
      <c r="L343" s="370"/>
    </row>
    <row r="344" spans="1:12" ht="33" customHeight="1" x14ac:dyDescent="0.45">
      <c r="A344" s="344" t="s">
        <v>376</v>
      </c>
      <c r="B344" s="345">
        <v>0.82291666666666663</v>
      </c>
      <c r="C344" s="345" t="s">
        <v>414</v>
      </c>
      <c r="D344" s="304" t="s">
        <v>702</v>
      </c>
      <c r="E344" s="377" t="s">
        <v>503</v>
      </c>
      <c r="F344" s="367"/>
      <c r="G344" s="368"/>
      <c r="H344" s="368"/>
      <c r="I344" s="370"/>
      <c r="J344" s="370"/>
      <c r="K344" s="367"/>
      <c r="L344" s="370"/>
    </row>
    <row r="345" spans="1:12" ht="33" customHeight="1" x14ac:dyDescent="0.45">
      <c r="A345" s="344" t="s">
        <v>336</v>
      </c>
      <c r="B345" s="345"/>
      <c r="C345" s="345" t="s">
        <v>660</v>
      </c>
      <c r="D345" s="304"/>
      <c r="E345" s="377"/>
      <c r="F345" s="367"/>
      <c r="G345" s="368"/>
      <c r="H345" s="368"/>
      <c r="I345" s="370"/>
      <c r="J345" s="370"/>
      <c r="K345" s="367"/>
      <c r="L345" s="370"/>
    </row>
    <row r="346" spans="1:12" ht="33" customHeight="1" x14ac:dyDescent="0.45">
      <c r="A346" s="344" t="s">
        <v>336</v>
      </c>
      <c r="B346" s="345"/>
      <c r="C346" s="345" t="s">
        <v>660</v>
      </c>
      <c r="D346" s="304"/>
      <c r="E346" s="377"/>
      <c r="F346" s="367"/>
      <c r="G346" s="368"/>
      <c r="H346" s="368"/>
      <c r="I346" s="370"/>
      <c r="J346" s="370"/>
      <c r="K346" s="367"/>
      <c r="L346" s="370"/>
    </row>
    <row r="347" spans="1:12" ht="33" customHeight="1" x14ac:dyDescent="0.45">
      <c r="A347" s="344" t="s">
        <v>336</v>
      </c>
      <c r="B347" s="345"/>
      <c r="C347" s="345" t="s">
        <v>660</v>
      </c>
      <c r="D347" s="304"/>
      <c r="E347" s="377"/>
      <c r="F347" s="367"/>
      <c r="G347" s="368"/>
      <c r="H347" s="368"/>
      <c r="I347" s="370"/>
      <c r="J347" s="370"/>
      <c r="K347" s="367"/>
      <c r="L347" s="370"/>
    </row>
    <row r="348" spans="1:12" ht="33" customHeight="1" x14ac:dyDescent="0.45">
      <c r="A348" s="344" t="s">
        <v>336</v>
      </c>
      <c r="B348" s="345"/>
      <c r="C348" s="345" t="s">
        <v>660</v>
      </c>
      <c r="D348" s="304"/>
      <c r="E348" s="377"/>
      <c r="F348" s="367"/>
      <c r="G348" s="368"/>
      <c r="H348" s="368"/>
      <c r="I348" s="370"/>
      <c r="J348" s="370"/>
      <c r="K348" s="367"/>
      <c r="L348" s="370"/>
    </row>
    <row r="349" spans="1:12" ht="33" customHeight="1" x14ac:dyDescent="0.45">
      <c r="A349" s="344" t="s">
        <v>336</v>
      </c>
      <c r="B349" s="345"/>
      <c r="C349" s="345" t="s">
        <v>660</v>
      </c>
      <c r="D349" s="304"/>
      <c r="E349" s="377"/>
      <c r="F349" s="367"/>
      <c r="G349" s="368"/>
      <c r="H349" s="368"/>
      <c r="I349" s="370"/>
      <c r="J349" s="370"/>
      <c r="K349" s="367"/>
      <c r="L349" s="370"/>
    </row>
    <row r="350" spans="1:12" ht="33" customHeight="1" x14ac:dyDescent="0.45">
      <c r="C350" s="190" t="s">
        <v>691</v>
      </c>
      <c r="F350" s="137" t="s">
        <v>15</v>
      </c>
    </row>
    <row r="351" spans="1:12" ht="33" customHeight="1" x14ac:dyDescent="0.45">
      <c r="C351" s="190"/>
    </row>
    <row r="352" spans="1:12" ht="13.9" customHeight="1" x14ac:dyDescent="0.45"/>
    <row r="353" spans="1:12" ht="23.25" x14ac:dyDescent="0.45">
      <c r="A353" s="137" t="s">
        <v>18</v>
      </c>
      <c r="B353" s="260" t="s">
        <v>414</v>
      </c>
      <c r="C353" s="241"/>
      <c r="D353" s="241"/>
      <c r="E353" s="241"/>
    </row>
    <row r="354" spans="1:12" ht="21" x14ac:dyDescent="0.45">
      <c r="A354" s="137" t="s">
        <v>13</v>
      </c>
      <c r="B354" s="320" t="s">
        <v>702</v>
      </c>
      <c r="C354" s="254"/>
      <c r="D354" s="254"/>
      <c r="E354" s="598"/>
      <c r="J354" s="600"/>
      <c r="L354" s="600">
        <f>L333+1</f>
        <v>46160</v>
      </c>
    </row>
    <row r="356" spans="1:12" x14ac:dyDescent="0.45">
      <c r="A356" s="141"/>
      <c r="B356" s="142"/>
      <c r="C356" s="142"/>
      <c r="D356" s="142"/>
      <c r="E356" s="142"/>
      <c r="F356" s="142"/>
      <c r="G356" s="142"/>
      <c r="H356" s="142"/>
      <c r="I356" s="142"/>
      <c r="J356" s="319"/>
      <c r="K356" s="319" t="s">
        <v>337</v>
      </c>
      <c r="L356" s="294"/>
    </row>
    <row r="357" spans="1:12" ht="63" x14ac:dyDescent="0.45">
      <c r="A357" s="297" t="s">
        <v>534</v>
      </c>
      <c r="B357" s="298" t="s">
        <v>0</v>
      </c>
      <c r="C357" s="298" t="s">
        <v>332</v>
      </c>
      <c r="D357" s="298" t="s">
        <v>333</v>
      </c>
      <c r="E357" s="298" t="s">
        <v>535</v>
      </c>
      <c r="F357" s="298" t="s">
        <v>1</v>
      </c>
      <c r="G357" s="298" t="s">
        <v>334</v>
      </c>
      <c r="H357" s="298" t="s">
        <v>335</v>
      </c>
      <c r="I357" s="298" t="s">
        <v>23</v>
      </c>
      <c r="J357" s="300" t="s">
        <v>22</v>
      </c>
      <c r="K357" s="298" t="s">
        <v>17</v>
      </c>
      <c r="L357" s="301" t="s">
        <v>12</v>
      </c>
    </row>
    <row r="358" spans="1:12" ht="33.4" customHeight="1" x14ac:dyDescent="0.45">
      <c r="A358" s="344" t="s">
        <v>376</v>
      </c>
      <c r="B358" s="345">
        <v>0.23958333333333334</v>
      </c>
      <c r="C358" s="345" t="s">
        <v>414</v>
      </c>
      <c r="D358" s="304" t="s">
        <v>702</v>
      </c>
      <c r="E358" s="377" t="s">
        <v>503</v>
      </c>
      <c r="F358" s="580"/>
      <c r="G358" s="368">
        <v>1</v>
      </c>
      <c r="H358" s="363"/>
      <c r="I358" s="580"/>
      <c r="J358" s="365"/>
      <c r="K358" s="580"/>
      <c r="L358" s="366"/>
    </row>
    <row r="359" spans="1:12" ht="33.4" customHeight="1" x14ac:dyDescent="0.45">
      <c r="A359" s="344" t="s">
        <v>376</v>
      </c>
      <c r="B359" s="345">
        <v>0.27083333333333331</v>
      </c>
      <c r="C359" s="345" t="s">
        <v>414</v>
      </c>
      <c r="D359" s="304" t="s">
        <v>702</v>
      </c>
      <c r="E359" s="377" t="s">
        <v>688</v>
      </c>
      <c r="F359" s="367"/>
      <c r="G359" s="368">
        <v>1</v>
      </c>
      <c r="H359" s="368"/>
      <c r="I359" s="370"/>
      <c r="J359" s="370"/>
      <c r="K359" s="367"/>
      <c r="L359" s="370"/>
    </row>
    <row r="360" spans="1:12" ht="33.4" customHeight="1" x14ac:dyDescent="0.45">
      <c r="A360" s="344" t="s">
        <v>533</v>
      </c>
      <c r="B360" s="345">
        <v>0.28472222222222221</v>
      </c>
      <c r="C360" s="345" t="s">
        <v>414</v>
      </c>
      <c r="D360" s="304" t="s">
        <v>702</v>
      </c>
      <c r="E360" s="377" t="s">
        <v>504</v>
      </c>
      <c r="F360" s="367"/>
      <c r="G360" s="368">
        <v>1</v>
      </c>
      <c r="H360" s="368"/>
      <c r="I360" s="370"/>
      <c r="J360" s="370"/>
      <c r="K360" s="367"/>
      <c r="L360" s="370"/>
    </row>
    <row r="361" spans="1:12" ht="33.4" customHeight="1" x14ac:dyDescent="0.45">
      <c r="A361" s="344" t="s">
        <v>376</v>
      </c>
      <c r="B361" s="345">
        <v>0.3125</v>
      </c>
      <c r="C361" s="345" t="s">
        <v>414</v>
      </c>
      <c r="D361" s="304" t="s">
        <v>702</v>
      </c>
      <c r="E361" s="377" t="s">
        <v>504</v>
      </c>
      <c r="F361" s="367"/>
      <c r="G361" s="368">
        <v>1</v>
      </c>
      <c r="H361" s="368"/>
      <c r="I361" s="370"/>
      <c r="J361" s="370"/>
      <c r="K361" s="367"/>
      <c r="L361" s="370"/>
    </row>
    <row r="362" spans="1:12" ht="33.4" customHeight="1" x14ac:dyDescent="0.45">
      <c r="A362" s="344" t="s">
        <v>501</v>
      </c>
      <c r="B362" s="345">
        <v>0.3263888888888889</v>
      </c>
      <c r="C362" s="345" t="s">
        <v>414</v>
      </c>
      <c r="D362" s="304" t="s">
        <v>702</v>
      </c>
      <c r="E362" s="377" t="s">
        <v>504</v>
      </c>
      <c r="F362" s="367"/>
      <c r="G362" s="368">
        <v>1</v>
      </c>
      <c r="H362" s="368"/>
      <c r="I362" s="370"/>
      <c r="J362" s="370"/>
      <c r="K362" s="367"/>
      <c r="L362" s="370"/>
    </row>
    <row r="363" spans="1:12" ht="33.4" customHeight="1" x14ac:dyDescent="0.45">
      <c r="A363" s="344" t="s">
        <v>501</v>
      </c>
      <c r="B363" s="303">
        <v>0.625</v>
      </c>
      <c r="C363" s="303" t="s">
        <v>414</v>
      </c>
      <c r="D363" s="304" t="s">
        <v>702</v>
      </c>
      <c r="E363" s="377" t="s">
        <v>504</v>
      </c>
      <c r="F363" s="367"/>
      <c r="G363" s="368">
        <v>1</v>
      </c>
      <c r="H363" s="368"/>
      <c r="I363" s="370"/>
      <c r="J363" s="370"/>
      <c r="K363" s="367"/>
      <c r="L363" s="370"/>
    </row>
    <row r="364" spans="1:12" ht="33.4" customHeight="1" x14ac:dyDescent="0.45">
      <c r="A364" s="344" t="s">
        <v>376</v>
      </c>
      <c r="B364" s="303">
        <v>0.65972222222222221</v>
      </c>
      <c r="C364" s="303" t="s">
        <v>414</v>
      </c>
      <c r="D364" s="304" t="s">
        <v>702</v>
      </c>
      <c r="E364" s="377" t="s">
        <v>503</v>
      </c>
      <c r="F364" s="367"/>
      <c r="G364" s="368">
        <v>1</v>
      </c>
      <c r="H364" s="368"/>
      <c r="I364" s="370"/>
      <c r="J364" s="370"/>
      <c r="K364" s="367"/>
      <c r="L364" s="370"/>
    </row>
    <row r="365" spans="1:12" ht="33.4" customHeight="1" x14ac:dyDescent="0.45">
      <c r="A365" s="344" t="s">
        <v>376</v>
      </c>
      <c r="B365" s="303">
        <v>0.6875</v>
      </c>
      <c r="C365" s="303" t="s">
        <v>414</v>
      </c>
      <c r="D365" s="304" t="s">
        <v>702</v>
      </c>
      <c r="E365" s="377" t="s">
        <v>503</v>
      </c>
      <c r="F365" s="367"/>
      <c r="G365" s="368">
        <v>1</v>
      </c>
      <c r="H365" s="368"/>
      <c r="I365" s="370"/>
      <c r="J365" s="370"/>
      <c r="K365" s="367"/>
      <c r="L365" s="370"/>
    </row>
    <row r="366" spans="1:12" ht="33.4" customHeight="1" x14ac:dyDescent="0.45">
      <c r="A366" s="344" t="s">
        <v>376</v>
      </c>
      <c r="B366" s="303">
        <v>0.71180555555555558</v>
      </c>
      <c r="C366" s="303" t="s">
        <v>414</v>
      </c>
      <c r="D366" s="304" t="s">
        <v>702</v>
      </c>
      <c r="E366" s="377" t="s">
        <v>503</v>
      </c>
      <c r="F366" s="367"/>
      <c r="G366" s="368">
        <v>1</v>
      </c>
      <c r="H366" s="368"/>
      <c r="I366" s="370"/>
      <c r="J366" s="370"/>
      <c r="K366" s="367"/>
      <c r="L366" s="370"/>
    </row>
    <row r="367" spans="1:12" ht="33.4" customHeight="1" x14ac:dyDescent="0.45">
      <c r="A367" s="315" t="s">
        <v>336</v>
      </c>
      <c r="B367" s="303"/>
      <c r="C367" s="303" t="s">
        <v>660</v>
      </c>
      <c r="D367" s="304"/>
      <c r="E367" s="304"/>
      <c r="F367" s="305"/>
      <c r="G367" s="306"/>
      <c r="H367" s="306"/>
      <c r="I367" s="306"/>
      <c r="J367" s="297"/>
      <c r="K367" s="305"/>
      <c r="L367" s="297"/>
    </row>
    <row r="368" spans="1:12" ht="33.4" customHeight="1" x14ac:dyDescent="0.45">
      <c r="A368" s="315" t="s">
        <v>336</v>
      </c>
      <c r="B368" s="303"/>
      <c r="C368" s="303" t="s">
        <v>660</v>
      </c>
      <c r="D368" s="304"/>
      <c r="E368" s="304"/>
      <c r="F368" s="305"/>
      <c r="G368" s="306"/>
      <c r="H368" s="306"/>
      <c r="I368" s="306"/>
      <c r="J368" s="297"/>
      <c r="K368" s="305"/>
      <c r="L368" s="297"/>
    </row>
    <row r="369" spans="1:12" ht="33.4" customHeight="1" x14ac:dyDescent="0.45">
      <c r="A369" s="315" t="s">
        <v>336</v>
      </c>
      <c r="B369" s="303"/>
      <c r="C369" s="303" t="s">
        <v>660</v>
      </c>
      <c r="D369" s="304"/>
      <c r="E369" s="304"/>
      <c r="F369" s="305"/>
      <c r="G369" s="306"/>
      <c r="H369" s="306"/>
      <c r="I369" s="306"/>
      <c r="J369" s="297"/>
      <c r="K369" s="305"/>
      <c r="L369" s="297"/>
    </row>
    <row r="370" spans="1:12" ht="33.4" customHeight="1" x14ac:dyDescent="0.45">
      <c r="A370" s="315" t="s">
        <v>336</v>
      </c>
      <c r="B370" s="303"/>
      <c r="C370" s="303" t="s">
        <v>660</v>
      </c>
      <c r="D370" s="304"/>
      <c r="E370" s="304"/>
      <c r="F370" s="305"/>
      <c r="G370" s="306"/>
      <c r="H370" s="306"/>
      <c r="I370" s="306"/>
      <c r="J370" s="297"/>
      <c r="K370" s="305"/>
      <c r="L370" s="297"/>
    </row>
    <row r="371" spans="1:12" ht="33.4" customHeight="1" x14ac:dyDescent="0.45">
      <c r="A371" s="315" t="s">
        <v>336</v>
      </c>
      <c r="B371" s="303"/>
      <c r="C371" s="303" t="s">
        <v>660</v>
      </c>
      <c r="D371" s="304"/>
      <c r="E371" s="304"/>
      <c r="F371" s="305"/>
      <c r="G371" s="306"/>
      <c r="H371" s="306"/>
      <c r="I371" s="306"/>
      <c r="J371" s="297"/>
      <c r="K371" s="305"/>
      <c r="L371" s="297"/>
    </row>
    <row r="372" spans="1:12" ht="33.4" customHeight="1" x14ac:dyDescent="0.45">
      <c r="C372" s="190" t="s">
        <v>691</v>
      </c>
      <c r="F372" s="137" t="s">
        <v>15</v>
      </c>
    </row>
    <row r="374" spans="1:12" ht="23.25" x14ac:dyDescent="0.45">
      <c r="A374" s="137" t="s">
        <v>18</v>
      </c>
      <c r="B374" s="260" t="s">
        <v>414</v>
      </c>
      <c r="C374" s="241"/>
      <c r="D374" s="241"/>
      <c r="E374" s="241"/>
      <c r="L374" s="600">
        <f>L354+1</f>
        <v>46161</v>
      </c>
    </row>
    <row r="375" spans="1:12" ht="21" x14ac:dyDescent="0.45">
      <c r="A375" s="137" t="s">
        <v>13</v>
      </c>
      <c r="B375" s="320" t="s">
        <v>702</v>
      </c>
      <c r="C375" s="254"/>
      <c r="D375" s="254"/>
      <c r="E375" s="598"/>
      <c r="J375" s="600"/>
      <c r="L375" s="600"/>
    </row>
    <row r="377" spans="1:12" x14ac:dyDescent="0.45">
      <c r="A377" s="141"/>
      <c r="B377" s="142"/>
      <c r="C377" s="142"/>
      <c r="D377" s="142"/>
      <c r="E377" s="142"/>
      <c r="F377" s="142"/>
      <c r="G377" s="142"/>
      <c r="H377" s="142"/>
      <c r="I377" s="142"/>
      <c r="J377" s="319"/>
      <c r="K377" s="319" t="s">
        <v>337</v>
      </c>
      <c r="L377" s="294"/>
    </row>
    <row r="378" spans="1:12" ht="63" x14ac:dyDescent="0.45">
      <c r="A378" s="297" t="s">
        <v>534</v>
      </c>
      <c r="B378" s="298" t="s">
        <v>0</v>
      </c>
      <c r="C378" s="298" t="s">
        <v>332</v>
      </c>
      <c r="D378" s="298" t="s">
        <v>333</v>
      </c>
      <c r="E378" s="298" t="s">
        <v>535</v>
      </c>
      <c r="F378" s="298" t="s">
        <v>1</v>
      </c>
      <c r="G378" s="298" t="s">
        <v>334</v>
      </c>
      <c r="H378" s="298" t="s">
        <v>335</v>
      </c>
      <c r="I378" s="298" t="s">
        <v>23</v>
      </c>
      <c r="J378" s="300" t="s">
        <v>22</v>
      </c>
      <c r="K378" s="298" t="s">
        <v>17</v>
      </c>
      <c r="L378" s="301" t="s">
        <v>12</v>
      </c>
    </row>
    <row r="379" spans="1:12" ht="33" customHeight="1" x14ac:dyDescent="0.45">
      <c r="A379" s="344" t="s">
        <v>376</v>
      </c>
      <c r="B379" s="345">
        <v>0.23958333333333334</v>
      </c>
      <c r="C379" s="345" t="s">
        <v>414</v>
      </c>
      <c r="D379" s="304" t="s">
        <v>702</v>
      </c>
      <c r="E379" s="377" t="s">
        <v>503</v>
      </c>
      <c r="F379" s="580"/>
      <c r="G379" s="368">
        <v>1</v>
      </c>
      <c r="H379" s="363"/>
      <c r="I379" s="580"/>
      <c r="J379" s="365"/>
      <c r="K379" s="580"/>
      <c r="L379" s="366"/>
    </row>
    <row r="380" spans="1:12" ht="33" customHeight="1" x14ac:dyDescent="0.45">
      <c r="A380" s="344" t="s">
        <v>376</v>
      </c>
      <c r="B380" s="345">
        <v>0.27083333333333331</v>
      </c>
      <c r="C380" s="345" t="s">
        <v>414</v>
      </c>
      <c r="D380" s="304" t="s">
        <v>702</v>
      </c>
      <c r="E380" s="377" t="s">
        <v>688</v>
      </c>
      <c r="F380" s="367"/>
      <c r="G380" s="368">
        <v>1</v>
      </c>
      <c r="H380" s="368"/>
      <c r="I380" s="370"/>
      <c r="J380" s="370"/>
      <c r="K380" s="367"/>
      <c r="L380" s="370"/>
    </row>
    <row r="381" spans="1:12" ht="33" customHeight="1" x14ac:dyDescent="0.45">
      <c r="A381" s="344" t="s">
        <v>533</v>
      </c>
      <c r="B381" s="345">
        <v>0.28472222222222221</v>
      </c>
      <c r="C381" s="345" t="s">
        <v>414</v>
      </c>
      <c r="D381" s="304" t="s">
        <v>702</v>
      </c>
      <c r="E381" s="377" t="s">
        <v>504</v>
      </c>
      <c r="F381" s="367"/>
      <c r="G381" s="368">
        <v>1</v>
      </c>
      <c r="H381" s="368"/>
      <c r="I381" s="370"/>
      <c r="J381" s="370"/>
      <c r="K381" s="367"/>
      <c r="L381" s="370"/>
    </row>
    <row r="382" spans="1:12" ht="33" customHeight="1" x14ac:dyDescent="0.45">
      <c r="A382" s="344" t="s">
        <v>376</v>
      </c>
      <c r="B382" s="345">
        <v>0.3125</v>
      </c>
      <c r="C382" s="345" t="s">
        <v>414</v>
      </c>
      <c r="D382" s="304" t="s">
        <v>702</v>
      </c>
      <c r="E382" s="377" t="s">
        <v>504</v>
      </c>
      <c r="F382" s="367"/>
      <c r="G382" s="368">
        <v>1</v>
      </c>
      <c r="H382" s="368"/>
      <c r="I382" s="370"/>
      <c r="J382" s="370"/>
      <c r="K382" s="367"/>
      <c r="L382" s="370"/>
    </row>
    <row r="383" spans="1:12" ht="33" customHeight="1" x14ac:dyDescent="0.45">
      <c r="A383" s="344" t="s">
        <v>501</v>
      </c>
      <c r="B383" s="345">
        <v>0.3263888888888889</v>
      </c>
      <c r="C383" s="345" t="s">
        <v>414</v>
      </c>
      <c r="D383" s="304" t="s">
        <v>702</v>
      </c>
      <c r="E383" s="377" t="s">
        <v>504</v>
      </c>
      <c r="F383" s="367"/>
      <c r="G383" s="368">
        <v>1</v>
      </c>
      <c r="H383" s="368"/>
      <c r="I383" s="370"/>
      <c r="J383" s="370"/>
      <c r="K383" s="367"/>
      <c r="L383" s="370"/>
    </row>
    <row r="384" spans="1:12" ht="33" customHeight="1" x14ac:dyDescent="0.45">
      <c r="A384" s="344" t="s">
        <v>501</v>
      </c>
      <c r="B384" s="303">
        <v>0.625</v>
      </c>
      <c r="C384" s="303" t="s">
        <v>414</v>
      </c>
      <c r="D384" s="304" t="s">
        <v>702</v>
      </c>
      <c r="E384" s="377" t="s">
        <v>504</v>
      </c>
      <c r="F384" s="367"/>
      <c r="G384" s="368">
        <v>1</v>
      </c>
      <c r="H384" s="368"/>
      <c r="I384" s="370"/>
      <c r="J384" s="370"/>
      <c r="K384" s="367"/>
      <c r="L384" s="370"/>
    </row>
    <row r="385" spans="1:12" ht="33" customHeight="1" x14ac:dyDescent="0.45">
      <c r="A385" s="344" t="s">
        <v>376</v>
      </c>
      <c r="B385" s="303">
        <v>0.65972222222222221</v>
      </c>
      <c r="C385" s="303" t="s">
        <v>414</v>
      </c>
      <c r="D385" s="304" t="s">
        <v>702</v>
      </c>
      <c r="E385" s="377" t="s">
        <v>503</v>
      </c>
      <c r="F385" s="367"/>
      <c r="G385" s="368">
        <v>1</v>
      </c>
      <c r="H385" s="368"/>
      <c r="I385" s="370"/>
      <c r="J385" s="370"/>
      <c r="K385" s="367"/>
      <c r="L385" s="370"/>
    </row>
    <row r="386" spans="1:12" ht="33" customHeight="1" x14ac:dyDescent="0.45">
      <c r="A386" s="344" t="s">
        <v>376</v>
      </c>
      <c r="B386" s="303">
        <v>0.6875</v>
      </c>
      <c r="C386" s="303" t="s">
        <v>414</v>
      </c>
      <c r="D386" s="304" t="s">
        <v>702</v>
      </c>
      <c r="E386" s="377" t="s">
        <v>503</v>
      </c>
      <c r="F386" s="367"/>
      <c r="G386" s="368">
        <v>1</v>
      </c>
      <c r="H386" s="368"/>
      <c r="I386" s="370"/>
      <c r="J386" s="370"/>
      <c r="K386" s="367"/>
      <c r="L386" s="370"/>
    </row>
    <row r="387" spans="1:12" ht="33" customHeight="1" x14ac:dyDescent="0.45">
      <c r="A387" s="344" t="s">
        <v>376</v>
      </c>
      <c r="B387" s="303">
        <v>0.71180555555555558</v>
      </c>
      <c r="C387" s="303" t="s">
        <v>414</v>
      </c>
      <c r="D387" s="304" t="s">
        <v>702</v>
      </c>
      <c r="E387" s="377" t="s">
        <v>503</v>
      </c>
      <c r="F387" s="367"/>
      <c r="G387" s="368">
        <v>1</v>
      </c>
      <c r="H387" s="368"/>
      <c r="I387" s="370"/>
      <c r="J387" s="370"/>
      <c r="K387" s="367"/>
      <c r="L387" s="370"/>
    </row>
    <row r="388" spans="1:12" ht="33" customHeight="1" x14ac:dyDescent="0.45">
      <c r="A388" s="315" t="s">
        <v>336</v>
      </c>
      <c r="B388" s="303"/>
      <c r="C388" s="303" t="s">
        <v>660</v>
      </c>
      <c r="D388" s="304"/>
      <c r="E388" s="304"/>
      <c r="F388" s="305"/>
      <c r="G388" s="306"/>
      <c r="H388" s="306"/>
      <c r="I388" s="306"/>
      <c r="J388" s="297"/>
      <c r="K388" s="305"/>
      <c r="L388" s="297"/>
    </row>
    <row r="389" spans="1:12" ht="33" customHeight="1" x14ac:dyDescent="0.45">
      <c r="A389" s="315" t="s">
        <v>336</v>
      </c>
      <c r="B389" s="303"/>
      <c r="C389" s="303" t="s">
        <v>660</v>
      </c>
      <c r="D389" s="304"/>
      <c r="E389" s="304"/>
      <c r="F389" s="305"/>
      <c r="G389" s="306"/>
      <c r="H389" s="306"/>
      <c r="I389" s="306"/>
      <c r="J389" s="297"/>
      <c r="K389" s="305"/>
      <c r="L389" s="297"/>
    </row>
    <row r="390" spans="1:12" ht="33" customHeight="1" x14ac:dyDescent="0.45">
      <c r="A390" s="315" t="s">
        <v>336</v>
      </c>
      <c r="B390" s="303"/>
      <c r="C390" s="303" t="s">
        <v>660</v>
      </c>
      <c r="D390" s="304"/>
      <c r="E390" s="304"/>
      <c r="F390" s="305"/>
      <c r="G390" s="306"/>
      <c r="H390" s="306"/>
      <c r="I390" s="306"/>
      <c r="J390" s="297"/>
      <c r="K390" s="305"/>
      <c r="L390" s="297"/>
    </row>
    <row r="391" spans="1:12" ht="21" x14ac:dyDescent="0.45">
      <c r="A391" s="315" t="s">
        <v>336</v>
      </c>
      <c r="B391" s="303"/>
      <c r="C391" s="303" t="s">
        <v>660</v>
      </c>
      <c r="D391" s="304"/>
      <c r="E391" s="304"/>
      <c r="F391" s="305"/>
      <c r="G391" s="306"/>
      <c r="H391" s="306"/>
      <c r="I391" s="306"/>
      <c r="J391" s="297"/>
      <c r="K391" s="305"/>
      <c r="L391" s="297"/>
    </row>
    <row r="392" spans="1:12" ht="21" x14ac:dyDescent="0.45">
      <c r="A392" s="315" t="s">
        <v>336</v>
      </c>
      <c r="B392" s="303"/>
      <c r="C392" s="303" t="s">
        <v>660</v>
      </c>
      <c r="D392" s="304"/>
      <c r="E392" s="304"/>
      <c r="F392" s="305"/>
      <c r="G392" s="306"/>
      <c r="H392" s="306"/>
      <c r="I392" s="306"/>
      <c r="J392" s="297"/>
      <c r="K392" s="305"/>
      <c r="L392" s="297"/>
    </row>
    <row r="393" spans="1:12" x14ac:dyDescent="0.45">
      <c r="C393" s="190" t="s">
        <v>691</v>
      </c>
      <c r="F393" s="137" t="s">
        <v>15</v>
      </c>
    </row>
    <row r="395" spans="1:12" ht="23.25" x14ac:dyDescent="0.45">
      <c r="A395" s="137" t="s">
        <v>18</v>
      </c>
      <c r="B395" s="260" t="s">
        <v>414</v>
      </c>
      <c r="C395" s="241"/>
      <c r="D395" s="241"/>
      <c r="E395" s="241"/>
    </row>
    <row r="396" spans="1:12" ht="21" x14ac:dyDescent="0.45">
      <c r="A396" s="137" t="s">
        <v>13</v>
      </c>
      <c r="B396" s="320" t="s">
        <v>702</v>
      </c>
      <c r="C396" s="254"/>
      <c r="D396" s="254"/>
      <c r="E396" s="598"/>
      <c r="J396" s="600"/>
      <c r="L396" s="600">
        <f>L374+1</f>
        <v>46162</v>
      </c>
    </row>
    <row r="398" spans="1:12" x14ac:dyDescent="0.45">
      <c r="A398" s="141"/>
      <c r="B398" s="142"/>
      <c r="C398" s="142"/>
      <c r="D398" s="142"/>
      <c r="E398" s="142"/>
      <c r="F398" s="142"/>
      <c r="G398" s="142"/>
      <c r="H398" s="142"/>
      <c r="I398" s="142"/>
      <c r="J398" s="319"/>
      <c r="K398" s="319" t="s">
        <v>337</v>
      </c>
      <c r="L398" s="294"/>
    </row>
    <row r="399" spans="1:12" ht="63" x14ac:dyDescent="0.45">
      <c r="A399" s="297" t="s">
        <v>534</v>
      </c>
      <c r="B399" s="298" t="s">
        <v>0</v>
      </c>
      <c r="C399" s="298" t="s">
        <v>332</v>
      </c>
      <c r="D399" s="298" t="s">
        <v>333</v>
      </c>
      <c r="E399" s="298" t="s">
        <v>535</v>
      </c>
      <c r="F399" s="298" t="s">
        <v>1</v>
      </c>
      <c r="G399" s="298" t="s">
        <v>334</v>
      </c>
      <c r="H399" s="298" t="s">
        <v>335</v>
      </c>
      <c r="I399" s="298" t="s">
        <v>23</v>
      </c>
      <c r="J399" s="300" t="s">
        <v>22</v>
      </c>
      <c r="K399" s="298" t="s">
        <v>17</v>
      </c>
      <c r="L399" s="301" t="s">
        <v>12</v>
      </c>
    </row>
    <row r="400" spans="1:12" ht="33" customHeight="1" x14ac:dyDescent="0.45">
      <c r="A400" s="344" t="s">
        <v>376</v>
      </c>
      <c r="B400" s="345">
        <v>0.23958333333333334</v>
      </c>
      <c r="C400" s="345" t="s">
        <v>414</v>
      </c>
      <c r="D400" s="304" t="s">
        <v>702</v>
      </c>
      <c r="E400" s="377" t="s">
        <v>503</v>
      </c>
      <c r="F400" s="580"/>
      <c r="G400" s="368">
        <v>1</v>
      </c>
      <c r="H400" s="363"/>
      <c r="I400" s="580"/>
      <c r="J400" s="365"/>
      <c r="K400" s="580"/>
      <c r="L400" s="366"/>
    </row>
    <row r="401" spans="1:12" ht="33" customHeight="1" x14ac:dyDescent="0.45">
      <c r="A401" s="344" t="s">
        <v>376</v>
      </c>
      <c r="B401" s="345">
        <v>0.27083333333333331</v>
      </c>
      <c r="C401" s="345" t="s">
        <v>414</v>
      </c>
      <c r="D401" s="304" t="s">
        <v>702</v>
      </c>
      <c r="E401" s="377" t="s">
        <v>688</v>
      </c>
      <c r="F401" s="367"/>
      <c r="G401" s="368">
        <v>1</v>
      </c>
      <c r="H401" s="368"/>
      <c r="I401" s="370"/>
      <c r="J401" s="370"/>
      <c r="K401" s="367"/>
      <c r="L401" s="370"/>
    </row>
    <row r="402" spans="1:12" ht="33" customHeight="1" x14ac:dyDescent="0.45">
      <c r="A402" s="344" t="s">
        <v>533</v>
      </c>
      <c r="B402" s="345">
        <v>0.28472222222222221</v>
      </c>
      <c r="C402" s="345" t="s">
        <v>414</v>
      </c>
      <c r="D402" s="304" t="s">
        <v>702</v>
      </c>
      <c r="E402" s="377" t="s">
        <v>504</v>
      </c>
      <c r="F402" s="367"/>
      <c r="G402" s="368">
        <v>1</v>
      </c>
      <c r="H402" s="368"/>
      <c r="I402" s="370"/>
      <c r="J402" s="370"/>
      <c r="K402" s="367"/>
      <c r="L402" s="370"/>
    </row>
    <row r="403" spans="1:12" ht="33" customHeight="1" x14ac:dyDescent="0.45">
      <c r="A403" s="344" t="s">
        <v>376</v>
      </c>
      <c r="B403" s="345">
        <v>0.3125</v>
      </c>
      <c r="C403" s="345" t="s">
        <v>414</v>
      </c>
      <c r="D403" s="304" t="s">
        <v>702</v>
      </c>
      <c r="E403" s="377" t="s">
        <v>504</v>
      </c>
      <c r="F403" s="367"/>
      <c r="G403" s="368">
        <v>1</v>
      </c>
      <c r="H403" s="368"/>
      <c r="I403" s="370"/>
      <c r="J403" s="370"/>
      <c r="K403" s="367"/>
      <c r="L403" s="370"/>
    </row>
    <row r="404" spans="1:12" ht="33" customHeight="1" x14ac:dyDescent="0.45">
      <c r="A404" s="344" t="s">
        <v>501</v>
      </c>
      <c r="B404" s="345">
        <v>0.3263888888888889</v>
      </c>
      <c r="C404" s="345" t="s">
        <v>414</v>
      </c>
      <c r="D404" s="304" t="s">
        <v>702</v>
      </c>
      <c r="E404" s="377" t="s">
        <v>504</v>
      </c>
      <c r="F404" s="367"/>
      <c r="G404" s="368">
        <v>1</v>
      </c>
      <c r="H404" s="368"/>
      <c r="I404" s="370"/>
      <c r="J404" s="370"/>
      <c r="K404" s="367"/>
      <c r="L404" s="370"/>
    </row>
    <row r="405" spans="1:12" ht="33" customHeight="1" x14ac:dyDescent="0.45">
      <c r="A405" s="344" t="s">
        <v>501</v>
      </c>
      <c r="B405" s="303">
        <v>0.625</v>
      </c>
      <c r="C405" s="303" t="s">
        <v>414</v>
      </c>
      <c r="D405" s="304" t="s">
        <v>702</v>
      </c>
      <c r="E405" s="377" t="s">
        <v>504</v>
      </c>
      <c r="F405" s="367"/>
      <c r="G405" s="368">
        <v>1</v>
      </c>
      <c r="H405" s="368"/>
      <c r="I405" s="370"/>
      <c r="J405" s="370"/>
      <c r="K405" s="367"/>
      <c r="L405" s="370"/>
    </row>
    <row r="406" spans="1:12" ht="33" customHeight="1" x14ac:dyDescent="0.45">
      <c r="A406" s="344" t="s">
        <v>376</v>
      </c>
      <c r="B406" s="303">
        <v>0.65972222222222221</v>
      </c>
      <c r="C406" s="303" t="s">
        <v>414</v>
      </c>
      <c r="D406" s="304" t="s">
        <v>702</v>
      </c>
      <c r="E406" s="377" t="s">
        <v>503</v>
      </c>
      <c r="F406" s="367"/>
      <c r="G406" s="368">
        <v>1</v>
      </c>
      <c r="H406" s="368"/>
      <c r="I406" s="370"/>
      <c r="J406" s="370"/>
      <c r="K406" s="367"/>
      <c r="L406" s="370"/>
    </row>
    <row r="407" spans="1:12" ht="33" customHeight="1" x14ac:dyDescent="0.45">
      <c r="A407" s="344" t="s">
        <v>376</v>
      </c>
      <c r="B407" s="303">
        <v>0.6875</v>
      </c>
      <c r="C407" s="303" t="s">
        <v>414</v>
      </c>
      <c r="D407" s="304" t="s">
        <v>702</v>
      </c>
      <c r="E407" s="377" t="s">
        <v>503</v>
      </c>
      <c r="F407" s="367"/>
      <c r="G407" s="368">
        <v>1</v>
      </c>
      <c r="H407" s="368"/>
      <c r="I407" s="370"/>
      <c r="J407" s="370"/>
      <c r="K407" s="367"/>
      <c r="L407" s="370"/>
    </row>
    <row r="408" spans="1:12" ht="33" customHeight="1" x14ac:dyDescent="0.45">
      <c r="A408" s="344" t="s">
        <v>376</v>
      </c>
      <c r="B408" s="303">
        <v>0.71180555555555558</v>
      </c>
      <c r="C408" s="303" t="s">
        <v>414</v>
      </c>
      <c r="D408" s="304" t="s">
        <v>702</v>
      </c>
      <c r="E408" s="377" t="s">
        <v>503</v>
      </c>
      <c r="F408" s="367"/>
      <c r="G408" s="368">
        <v>1</v>
      </c>
      <c r="H408" s="368"/>
      <c r="I408" s="370"/>
      <c r="J408" s="370"/>
      <c r="K408" s="367"/>
      <c r="L408" s="370"/>
    </row>
    <row r="409" spans="1:12" ht="33" customHeight="1" x14ac:dyDescent="0.45">
      <c r="A409" s="315" t="s">
        <v>336</v>
      </c>
      <c r="B409" s="303"/>
      <c r="C409" s="303" t="s">
        <v>660</v>
      </c>
      <c r="D409" s="304"/>
      <c r="E409" s="304"/>
      <c r="F409" s="305"/>
      <c r="G409" s="306"/>
      <c r="H409" s="306"/>
      <c r="I409" s="306"/>
      <c r="J409" s="297"/>
      <c r="K409" s="305"/>
      <c r="L409" s="297"/>
    </row>
    <row r="410" spans="1:12" ht="33" customHeight="1" x14ac:dyDescent="0.45">
      <c r="A410" s="315" t="s">
        <v>336</v>
      </c>
      <c r="B410" s="303"/>
      <c r="C410" s="303" t="s">
        <v>660</v>
      </c>
      <c r="D410" s="304"/>
      <c r="E410" s="304"/>
      <c r="F410" s="305"/>
      <c r="G410" s="306"/>
      <c r="H410" s="306"/>
      <c r="I410" s="306"/>
      <c r="J410" s="297"/>
      <c r="K410" s="305"/>
      <c r="L410" s="297"/>
    </row>
    <row r="411" spans="1:12" ht="33" customHeight="1" x14ac:dyDescent="0.45">
      <c r="A411" s="315" t="s">
        <v>336</v>
      </c>
      <c r="B411" s="303"/>
      <c r="C411" s="303" t="s">
        <v>660</v>
      </c>
      <c r="D411" s="304"/>
      <c r="E411" s="304"/>
      <c r="F411" s="305"/>
      <c r="G411" s="306"/>
      <c r="H411" s="306"/>
      <c r="I411" s="306"/>
      <c r="J411" s="297"/>
      <c r="K411" s="305"/>
      <c r="L411" s="297"/>
    </row>
    <row r="412" spans="1:12" ht="33" customHeight="1" x14ac:dyDescent="0.45">
      <c r="A412" s="315" t="s">
        <v>336</v>
      </c>
      <c r="B412" s="303"/>
      <c r="C412" s="303" t="s">
        <v>660</v>
      </c>
      <c r="D412" s="304"/>
      <c r="E412" s="304"/>
      <c r="F412" s="305"/>
      <c r="G412" s="306"/>
      <c r="H412" s="306"/>
      <c r="I412" s="306"/>
      <c r="J412" s="297"/>
      <c r="K412" s="305"/>
      <c r="L412" s="297"/>
    </row>
    <row r="413" spans="1:12" ht="33" customHeight="1" x14ac:dyDescent="0.45">
      <c r="A413" s="315" t="s">
        <v>336</v>
      </c>
      <c r="B413" s="303"/>
      <c r="C413" s="303" t="s">
        <v>660</v>
      </c>
      <c r="D413" s="304"/>
      <c r="E413" s="304"/>
      <c r="F413" s="305"/>
      <c r="G413" s="306"/>
      <c r="H413" s="306"/>
      <c r="I413" s="306"/>
      <c r="J413" s="297"/>
      <c r="K413" s="305"/>
      <c r="L413" s="297"/>
    </row>
    <row r="414" spans="1:12" ht="33" customHeight="1" x14ac:dyDescent="0.45">
      <c r="C414" s="190" t="s">
        <v>691</v>
      </c>
      <c r="F414" s="137" t="s">
        <v>15</v>
      </c>
    </row>
    <row r="416" spans="1:12" ht="23.25" x14ac:dyDescent="0.45">
      <c r="A416" s="137" t="s">
        <v>18</v>
      </c>
      <c r="B416" s="260" t="s">
        <v>414</v>
      </c>
      <c r="C416" s="241"/>
      <c r="D416" s="241"/>
      <c r="E416" s="241"/>
    </row>
    <row r="417" spans="1:12" ht="21" x14ac:dyDescent="0.45">
      <c r="A417" s="137" t="s">
        <v>13</v>
      </c>
      <c r="B417" s="320" t="s">
        <v>702</v>
      </c>
      <c r="C417" s="254"/>
      <c r="D417" s="254"/>
      <c r="E417" s="598"/>
      <c r="J417" s="600"/>
      <c r="L417" s="600">
        <f>L396+1</f>
        <v>46163</v>
      </c>
    </row>
    <row r="419" spans="1:12" x14ac:dyDescent="0.45">
      <c r="A419" s="141"/>
      <c r="B419" s="142"/>
      <c r="C419" s="142"/>
      <c r="D419" s="142"/>
      <c r="E419" s="142"/>
      <c r="F419" s="142"/>
      <c r="G419" s="142"/>
      <c r="H419" s="142"/>
      <c r="I419" s="142"/>
      <c r="J419" s="319"/>
      <c r="K419" s="319" t="s">
        <v>337</v>
      </c>
      <c r="L419" s="294"/>
    </row>
    <row r="420" spans="1:12" ht="63" x14ac:dyDescent="0.45">
      <c r="A420" s="297" t="s">
        <v>534</v>
      </c>
      <c r="B420" s="298" t="s">
        <v>0</v>
      </c>
      <c r="C420" s="298" t="s">
        <v>332</v>
      </c>
      <c r="D420" s="298" t="s">
        <v>333</v>
      </c>
      <c r="E420" s="298" t="s">
        <v>535</v>
      </c>
      <c r="F420" s="298" t="s">
        <v>1</v>
      </c>
      <c r="G420" s="298" t="s">
        <v>334</v>
      </c>
      <c r="H420" s="298" t="s">
        <v>335</v>
      </c>
      <c r="I420" s="298" t="s">
        <v>23</v>
      </c>
      <c r="J420" s="300" t="s">
        <v>22</v>
      </c>
      <c r="K420" s="298" t="s">
        <v>17</v>
      </c>
      <c r="L420" s="301" t="s">
        <v>12</v>
      </c>
    </row>
    <row r="421" spans="1:12" ht="31.9" customHeight="1" x14ac:dyDescent="0.45">
      <c r="A421" s="344" t="s">
        <v>376</v>
      </c>
      <c r="B421" s="345">
        <v>0.23958333333333334</v>
      </c>
      <c r="C421" s="345" t="s">
        <v>414</v>
      </c>
      <c r="D421" s="304" t="s">
        <v>702</v>
      </c>
      <c r="E421" s="377" t="s">
        <v>503</v>
      </c>
      <c r="F421" s="580"/>
      <c r="G421" s="368">
        <v>1</v>
      </c>
      <c r="H421" s="363"/>
      <c r="I421" s="580"/>
      <c r="J421" s="365"/>
      <c r="K421" s="580"/>
      <c r="L421" s="366"/>
    </row>
    <row r="422" spans="1:12" ht="31.9" customHeight="1" x14ac:dyDescent="0.45">
      <c r="A422" s="344" t="s">
        <v>376</v>
      </c>
      <c r="B422" s="345">
        <v>0.27083333333333331</v>
      </c>
      <c r="C422" s="345" t="s">
        <v>414</v>
      </c>
      <c r="D422" s="304" t="s">
        <v>702</v>
      </c>
      <c r="E422" s="377" t="s">
        <v>688</v>
      </c>
      <c r="F422" s="367"/>
      <c r="G422" s="368">
        <v>1</v>
      </c>
      <c r="H422" s="368"/>
      <c r="I422" s="370"/>
      <c r="J422" s="370"/>
      <c r="K422" s="367"/>
      <c r="L422" s="370"/>
    </row>
    <row r="423" spans="1:12" ht="31.9" customHeight="1" x14ac:dyDescent="0.45">
      <c r="A423" s="344" t="s">
        <v>533</v>
      </c>
      <c r="B423" s="345">
        <v>0.28472222222222221</v>
      </c>
      <c r="C423" s="345" t="s">
        <v>414</v>
      </c>
      <c r="D423" s="304" t="s">
        <v>702</v>
      </c>
      <c r="E423" s="377" t="s">
        <v>504</v>
      </c>
      <c r="F423" s="367"/>
      <c r="G423" s="368">
        <v>1</v>
      </c>
      <c r="H423" s="368"/>
      <c r="I423" s="370"/>
      <c r="J423" s="370"/>
      <c r="K423" s="367"/>
      <c r="L423" s="370"/>
    </row>
    <row r="424" spans="1:12" ht="31.9" customHeight="1" x14ac:dyDescent="0.45">
      <c r="A424" s="344" t="s">
        <v>376</v>
      </c>
      <c r="B424" s="345">
        <v>0.3125</v>
      </c>
      <c r="C424" s="345" t="s">
        <v>414</v>
      </c>
      <c r="D424" s="304" t="s">
        <v>702</v>
      </c>
      <c r="E424" s="377" t="s">
        <v>504</v>
      </c>
      <c r="F424" s="367"/>
      <c r="G424" s="368">
        <v>1</v>
      </c>
      <c r="H424" s="368"/>
      <c r="I424" s="370"/>
      <c r="J424" s="370"/>
      <c r="K424" s="367"/>
      <c r="L424" s="370"/>
    </row>
    <row r="425" spans="1:12" ht="31.9" customHeight="1" x14ac:dyDescent="0.45">
      <c r="A425" s="344" t="s">
        <v>501</v>
      </c>
      <c r="B425" s="345">
        <v>0.3263888888888889</v>
      </c>
      <c r="C425" s="345" t="s">
        <v>414</v>
      </c>
      <c r="D425" s="304" t="s">
        <v>702</v>
      </c>
      <c r="E425" s="377" t="s">
        <v>504</v>
      </c>
      <c r="F425" s="367"/>
      <c r="G425" s="368">
        <v>1</v>
      </c>
      <c r="H425" s="368"/>
      <c r="I425" s="370"/>
      <c r="J425" s="370"/>
      <c r="K425" s="367"/>
      <c r="L425" s="370"/>
    </row>
    <row r="426" spans="1:12" ht="31.9" customHeight="1" x14ac:dyDescent="0.45">
      <c r="A426" s="344" t="s">
        <v>501</v>
      </c>
      <c r="B426" s="303">
        <v>0.625</v>
      </c>
      <c r="C426" s="303" t="s">
        <v>414</v>
      </c>
      <c r="D426" s="304" t="s">
        <v>702</v>
      </c>
      <c r="E426" s="377" t="s">
        <v>504</v>
      </c>
      <c r="F426" s="367"/>
      <c r="G426" s="368">
        <v>1</v>
      </c>
      <c r="H426" s="368"/>
      <c r="I426" s="370"/>
      <c r="J426" s="370"/>
      <c r="K426" s="367"/>
      <c r="L426" s="370"/>
    </row>
    <row r="427" spans="1:12" ht="31.9" customHeight="1" x14ac:dyDescent="0.45">
      <c r="A427" s="344" t="s">
        <v>376</v>
      </c>
      <c r="B427" s="303">
        <v>0.65972222222222221</v>
      </c>
      <c r="C427" s="303" t="s">
        <v>414</v>
      </c>
      <c r="D427" s="304" t="s">
        <v>702</v>
      </c>
      <c r="E427" s="377" t="s">
        <v>503</v>
      </c>
      <c r="F427" s="367"/>
      <c r="G427" s="368">
        <v>1</v>
      </c>
      <c r="H427" s="368"/>
      <c r="I427" s="370"/>
      <c r="J427" s="370"/>
      <c r="K427" s="367"/>
      <c r="L427" s="370"/>
    </row>
    <row r="428" spans="1:12" ht="31.9" customHeight="1" x14ac:dyDescent="0.45">
      <c r="A428" s="344" t="s">
        <v>376</v>
      </c>
      <c r="B428" s="303">
        <v>0.6875</v>
      </c>
      <c r="C428" s="303" t="s">
        <v>414</v>
      </c>
      <c r="D428" s="304" t="s">
        <v>702</v>
      </c>
      <c r="E428" s="377" t="s">
        <v>503</v>
      </c>
      <c r="F428" s="367"/>
      <c r="G428" s="368">
        <v>1</v>
      </c>
      <c r="H428" s="368"/>
      <c r="I428" s="370"/>
      <c r="J428" s="370"/>
      <c r="K428" s="367"/>
      <c r="L428" s="370"/>
    </row>
    <row r="429" spans="1:12" ht="31.9" customHeight="1" x14ac:dyDescent="0.45">
      <c r="A429" s="344" t="s">
        <v>376</v>
      </c>
      <c r="B429" s="303">
        <v>0.71180555555555558</v>
      </c>
      <c r="C429" s="303" t="s">
        <v>414</v>
      </c>
      <c r="D429" s="304" t="s">
        <v>702</v>
      </c>
      <c r="E429" s="377" t="s">
        <v>503</v>
      </c>
      <c r="F429" s="367"/>
      <c r="G429" s="368">
        <v>1</v>
      </c>
      <c r="H429" s="368"/>
      <c r="I429" s="370"/>
      <c r="J429" s="370"/>
      <c r="K429" s="367"/>
      <c r="L429" s="370"/>
    </row>
    <row r="430" spans="1:12" ht="31.9" customHeight="1" x14ac:dyDescent="0.45">
      <c r="A430" s="315" t="s">
        <v>336</v>
      </c>
      <c r="B430" s="303"/>
      <c r="C430" s="303" t="s">
        <v>660</v>
      </c>
      <c r="D430" s="304"/>
      <c r="E430" s="304"/>
      <c r="F430" s="305"/>
      <c r="G430" s="306"/>
      <c r="H430" s="306"/>
      <c r="I430" s="306"/>
      <c r="J430" s="297"/>
      <c r="K430" s="305"/>
      <c r="L430" s="297"/>
    </row>
    <row r="431" spans="1:12" ht="31.9" customHeight="1" x14ac:dyDescent="0.45">
      <c r="A431" s="315" t="s">
        <v>336</v>
      </c>
      <c r="B431" s="303"/>
      <c r="C431" s="303" t="s">
        <v>660</v>
      </c>
      <c r="D431" s="304"/>
      <c r="E431" s="304"/>
      <c r="F431" s="305"/>
      <c r="G431" s="306"/>
      <c r="H431" s="306"/>
      <c r="I431" s="306"/>
      <c r="J431" s="297"/>
      <c r="K431" s="305"/>
      <c r="L431" s="297"/>
    </row>
    <row r="432" spans="1:12" ht="31.9" customHeight="1" x14ac:dyDescent="0.45">
      <c r="A432" s="315" t="s">
        <v>336</v>
      </c>
      <c r="B432" s="303"/>
      <c r="C432" s="303" t="s">
        <v>660</v>
      </c>
      <c r="D432" s="304"/>
      <c r="E432" s="304"/>
      <c r="F432" s="305"/>
      <c r="G432" s="306"/>
      <c r="H432" s="306"/>
      <c r="I432" s="306"/>
      <c r="J432" s="297"/>
      <c r="K432" s="305"/>
      <c r="L432" s="297"/>
    </row>
    <row r="433" spans="1:12" ht="31.9" customHeight="1" x14ac:dyDescent="0.45">
      <c r="A433" s="315" t="s">
        <v>336</v>
      </c>
      <c r="B433" s="303"/>
      <c r="C433" s="303" t="s">
        <v>660</v>
      </c>
      <c r="D433" s="304"/>
      <c r="E433" s="304"/>
      <c r="F433" s="305"/>
      <c r="G433" s="306"/>
      <c r="H433" s="306"/>
      <c r="I433" s="306"/>
      <c r="J433" s="297"/>
      <c r="K433" s="305"/>
      <c r="L433" s="297"/>
    </row>
    <row r="434" spans="1:12" ht="31.9" customHeight="1" x14ac:dyDescent="0.45">
      <c r="A434" s="315" t="s">
        <v>336</v>
      </c>
      <c r="B434" s="303"/>
      <c r="C434" s="303" t="s">
        <v>660</v>
      </c>
      <c r="D434" s="304"/>
      <c r="E434" s="304"/>
      <c r="F434" s="305"/>
      <c r="G434" s="306"/>
      <c r="H434" s="306"/>
      <c r="I434" s="306"/>
      <c r="J434" s="297"/>
      <c r="K434" s="305"/>
      <c r="L434" s="297"/>
    </row>
    <row r="435" spans="1:12" ht="31.9" customHeight="1" x14ac:dyDescent="0.45">
      <c r="C435" s="190" t="s">
        <v>691</v>
      </c>
      <c r="F435" s="137" t="s">
        <v>15</v>
      </c>
    </row>
    <row r="437" spans="1:12" ht="23.25" x14ac:dyDescent="0.45">
      <c r="A437" s="137" t="s">
        <v>18</v>
      </c>
      <c r="B437" s="260" t="s">
        <v>414</v>
      </c>
      <c r="C437" s="241"/>
      <c r="D437" s="241"/>
      <c r="E437" s="241"/>
    </row>
    <row r="438" spans="1:12" ht="21" x14ac:dyDescent="0.45">
      <c r="A438" s="137" t="s">
        <v>13</v>
      </c>
      <c r="B438" s="320" t="s">
        <v>702</v>
      </c>
      <c r="C438" s="254"/>
      <c r="D438" s="254"/>
      <c r="E438" s="598"/>
      <c r="J438" s="600"/>
      <c r="L438" s="600">
        <f>L417+1</f>
        <v>46164</v>
      </c>
    </row>
    <row r="440" spans="1:12" x14ac:dyDescent="0.45">
      <c r="A440" s="141"/>
      <c r="B440" s="142"/>
      <c r="C440" s="142"/>
      <c r="D440" s="142"/>
      <c r="E440" s="142"/>
      <c r="F440" s="142"/>
      <c r="G440" s="142"/>
      <c r="H440" s="142"/>
      <c r="I440" s="142"/>
      <c r="J440" s="319"/>
      <c r="K440" s="319" t="s">
        <v>337</v>
      </c>
      <c r="L440" s="294"/>
    </row>
    <row r="441" spans="1:12" ht="63" x14ac:dyDescent="0.45">
      <c r="A441" s="297" t="s">
        <v>534</v>
      </c>
      <c r="B441" s="298" t="s">
        <v>0</v>
      </c>
      <c r="C441" s="298" t="s">
        <v>332</v>
      </c>
      <c r="D441" s="298" t="s">
        <v>333</v>
      </c>
      <c r="E441" s="298" t="s">
        <v>535</v>
      </c>
      <c r="F441" s="298" t="s">
        <v>1</v>
      </c>
      <c r="G441" s="298" t="s">
        <v>334</v>
      </c>
      <c r="H441" s="298" t="s">
        <v>335</v>
      </c>
      <c r="I441" s="298" t="s">
        <v>23</v>
      </c>
      <c r="J441" s="300" t="s">
        <v>22</v>
      </c>
      <c r="K441" s="298" t="s">
        <v>17</v>
      </c>
      <c r="L441" s="301" t="s">
        <v>12</v>
      </c>
    </row>
    <row r="442" spans="1:12" ht="33" customHeight="1" x14ac:dyDescent="0.45">
      <c r="A442" s="344" t="s">
        <v>376</v>
      </c>
      <c r="B442" s="345">
        <v>0.23958333333333334</v>
      </c>
      <c r="C442" s="345" t="s">
        <v>414</v>
      </c>
      <c r="D442" s="304" t="s">
        <v>702</v>
      </c>
      <c r="E442" s="377" t="s">
        <v>503</v>
      </c>
      <c r="F442" s="580"/>
      <c r="G442" s="368">
        <v>1</v>
      </c>
      <c r="H442" s="363"/>
      <c r="I442" s="580"/>
      <c r="J442" s="365"/>
      <c r="K442" s="580"/>
      <c r="L442" s="366"/>
    </row>
    <row r="443" spans="1:12" ht="33" customHeight="1" x14ac:dyDescent="0.45">
      <c r="A443" s="344" t="s">
        <v>376</v>
      </c>
      <c r="B443" s="345">
        <v>0.27083333333333331</v>
      </c>
      <c r="C443" s="345" t="s">
        <v>414</v>
      </c>
      <c r="D443" s="304" t="s">
        <v>702</v>
      </c>
      <c r="E443" s="377" t="s">
        <v>688</v>
      </c>
      <c r="F443" s="367"/>
      <c r="G443" s="368">
        <v>1</v>
      </c>
      <c r="H443" s="368"/>
      <c r="I443" s="370"/>
      <c r="J443" s="370"/>
      <c r="K443" s="367"/>
      <c r="L443" s="370"/>
    </row>
    <row r="444" spans="1:12" ht="33" customHeight="1" x14ac:dyDescent="0.45">
      <c r="A444" s="344" t="s">
        <v>533</v>
      </c>
      <c r="B444" s="345">
        <v>0.28472222222222221</v>
      </c>
      <c r="C444" s="345" t="s">
        <v>414</v>
      </c>
      <c r="D444" s="304" t="s">
        <v>702</v>
      </c>
      <c r="E444" s="377" t="s">
        <v>504</v>
      </c>
      <c r="F444" s="367"/>
      <c r="G444" s="368">
        <v>1</v>
      </c>
      <c r="H444" s="368"/>
      <c r="I444" s="370"/>
      <c r="J444" s="370"/>
      <c r="K444" s="367"/>
      <c r="L444" s="370"/>
    </row>
    <row r="445" spans="1:12" ht="33" customHeight="1" x14ac:dyDescent="0.45">
      <c r="A445" s="344" t="s">
        <v>376</v>
      </c>
      <c r="B445" s="345">
        <v>0.3125</v>
      </c>
      <c r="C445" s="345" t="s">
        <v>414</v>
      </c>
      <c r="D445" s="304" t="s">
        <v>702</v>
      </c>
      <c r="E445" s="377" t="s">
        <v>504</v>
      </c>
      <c r="F445" s="367"/>
      <c r="G445" s="368">
        <v>1</v>
      </c>
      <c r="H445" s="368"/>
      <c r="I445" s="370"/>
      <c r="J445" s="370"/>
      <c r="K445" s="367"/>
      <c r="L445" s="370"/>
    </row>
    <row r="446" spans="1:12" ht="33" customHeight="1" x14ac:dyDescent="0.45">
      <c r="A446" s="344" t="s">
        <v>501</v>
      </c>
      <c r="B446" s="345">
        <v>0.3263888888888889</v>
      </c>
      <c r="C446" s="345" t="s">
        <v>414</v>
      </c>
      <c r="D446" s="304" t="s">
        <v>702</v>
      </c>
      <c r="E446" s="377" t="s">
        <v>504</v>
      </c>
      <c r="F446" s="367"/>
      <c r="G446" s="368">
        <v>1</v>
      </c>
      <c r="H446" s="368"/>
      <c r="I446" s="370"/>
      <c r="J446" s="370"/>
      <c r="K446" s="367"/>
      <c r="L446" s="370"/>
    </row>
    <row r="447" spans="1:12" ht="33" customHeight="1" x14ac:dyDescent="0.45">
      <c r="A447" s="344" t="s">
        <v>501</v>
      </c>
      <c r="B447" s="303">
        <v>0.625</v>
      </c>
      <c r="C447" s="303" t="s">
        <v>414</v>
      </c>
      <c r="D447" s="304" t="s">
        <v>702</v>
      </c>
      <c r="E447" s="377" t="s">
        <v>504</v>
      </c>
      <c r="F447" s="367"/>
      <c r="G447" s="368">
        <v>1</v>
      </c>
      <c r="H447" s="368"/>
      <c r="I447" s="370"/>
      <c r="J447" s="370"/>
      <c r="K447" s="367"/>
      <c r="L447" s="370"/>
    </row>
    <row r="448" spans="1:12" ht="33" customHeight="1" x14ac:dyDescent="0.45">
      <c r="A448" s="344" t="s">
        <v>376</v>
      </c>
      <c r="B448" s="303">
        <v>0.65972222222222221</v>
      </c>
      <c r="C448" s="303" t="s">
        <v>414</v>
      </c>
      <c r="D448" s="304" t="s">
        <v>702</v>
      </c>
      <c r="E448" s="377" t="s">
        <v>503</v>
      </c>
      <c r="F448" s="367"/>
      <c r="G448" s="368">
        <v>1</v>
      </c>
      <c r="H448" s="368"/>
      <c r="I448" s="370"/>
      <c r="J448" s="370"/>
      <c r="K448" s="367"/>
      <c r="L448" s="370"/>
    </row>
    <row r="449" spans="1:12" ht="33" customHeight="1" x14ac:dyDescent="0.45">
      <c r="A449" s="344" t="s">
        <v>376</v>
      </c>
      <c r="B449" s="303">
        <v>0.6875</v>
      </c>
      <c r="C449" s="303" t="s">
        <v>414</v>
      </c>
      <c r="D449" s="304" t="s">
        <v>702</v>
      </c>
      <c r="E449" s="377" t="s">
        <v>503</v>
      </c>
      <c r="F449" s="367"/>
      <c r="G449" s="368">
        <v>1</v>
      </c>
      <c r="H449" s="368"/>
      <c r="I449" s="370"/>
      <c r="J449" s="370"/>
      <c r="K449" s="367"/>
      <c r="L449" s="370"/>
    </row>
    <row r="450" spans="1:12" ht="33" customHeight="1" x14ac:dyDescent="0.45">
      <c r="A450" s="344" t="s">
        <v>376</v>
      </c>
      <c r="B450" s="303">
        <v>0.71180555555555558</v>
      </c>
      <c r="C450" s="303" t="s">
        <v>414</v>
      </c>
      <c r="D450" s="304" t="s">
        <v>702</v>
      </c>
      <c r="E450" s="377" t="s">
        <v>503</v>
      </c>
      <c r="F450" s="367"/>
      <c r="G450" s="368">
        <v>1</v>
      </c>
      <c r="H450" s="368"/>
      <c r="I450" s="370"/>
      <c r="J450" s="370"/>
      <c r="K450" s="367"/>
      <c r="L450" s="370"/>
    </row>
    <row r="451" spans="1:12" ht="33" customHeight="1" x14ac:dyDescent="0.45">
      <c r="A451" s="315" t="s">
        <v>336</v>
      </c>
      <c r="B451" s="303"/>
      <c r="C451" s="303" t="s">
        <v>660</v>
      </c>
      <c r="D451" s="304"/>
      <c r="E451" s="304"/>
      <c r="F451" s="305"/>
      <c r="G451" s="306"/>
      <c r="H451" s="306"/>
      <c r="I451" s="306"/>
      <c r="J451" s="297"/>
      <c r="K451" s="305"/>
      <c r="L451" s="297"/>
    </row>
    <row r="452" spans="1:12" ht="33" customHeight="1" x14ac:dyDescent="0.45">
      <c r="A452" s="315" t="s">
        <v>336</v>
      </c>
      <c r="B452" s="303"/>
      <c r="C452" s="303" t="s">
        <v>660</v>
      </c>
      <c r="D452" s="304"/>
      <c r="E452" s="304"/>
      <c r="F452" s="305"/>
      <c r="G452" s="306"/>
      <c r="H452" s="306"/>
      <c r="I452" s="306"/>
      <c r="J452" s="297"/>
      <c r="K452" s="305"/>
      <c r="L452" s="297"/>
    </row>
    <row r="453" spans="1:12" ht="33" customHeight="1" x14ac:dyDescent="0.45">
      <c r="A453" s="315" t="s">
        <v>336</v>
      </c>
      <c r="B453" s="303"/>
      <c r="C453" s="303" t="s">
        <v>660</v>
      </c>
      <c r="D453" s="304"/>
      <c r="E453" s="304"/>
      <c r="F453" s="305"/>
      <c r="G453" s="306"/>
      <c r="H453" s="306"/>
      <c r="I453" s="306"/>
      <c r="J453" s="297"/>
      <c r="K453" s="305"/>
      <c r="L453" s="297"/>
    </row>
    <row r="454" spans="1:12" ht="33" customHeight="1" x14ac:dyDescent="0.45">
      <c r="A454" s="315" t="s">
        <v>336</v>
      </c>
      <c r="B454" s="303"/>
      <c r="C454" s="303" t="s">
        <v>660</v>
      </c>
      <c r="D454" s="304"/>
      <c r="E454" s="304"/>
      <c r="F454" s="305"/>
      <c r="G454" s="306"/>
      <c r="H454" s="306"/>
      <c r="I454" s="306"/>
      <c r="J454" s="297"/>
      <c r="K454" s="305"/>
      <c r="L454" s="297"/>
    </row>
    <row r="455" spans="1:12" ht="33" customHeight="1" x14ac:dyDescent="0.45">
      <c r="A455" s="315" t="s">
        <v>336</v>
      </c>
      <c r="B455" s="303"/>
      <c r="C455" s="303" t="s">
        <v>660</v>
      </c>
      <c r="D455" s="304"/>
      <c r="E455" s="304"/>
      <c r="F455" s="305"/>
      <c r="G455" s="306"/>
      <c r="H455" s="306"/>
      <c r="I455" s="306"/>
      <c r="J455" s="297"/>
      <c r="K455" s="305"/>
      <c r="L455" s="297"/>
    </row>
    <row r="456" spans="1:12" ht="33" customHeight="1" x14ac:dyDescent="0.45">
      <c r="C456" s="190" t="s">
        <v>691</v>
      </c>
      <c r="F456" s="137" t="s">
        <v>15</v>
      </c>
    </row>
    <row r="458" spans="1:12" ht="23.25" x14ac:dyDescent="0.45">
      <c r="A458" s="137" t="s">
        <v>18</v>
      </c>
      <c r="B458" s="260" t="s">
        <v>414</v>
      </c>
      <c r="C458" s="241"/>
      <c r="D458" s="241"/>
      <c r="E458" s="241"/>
    </row>
    <row r="459" spans="1:12" ht="21" x14ac:dyDescent="0.45">
      <c r="A459" s="137" t="s">
        <v>13</v>
      </c>
      <c r="B459" s="320" t="s">
        <v>702</v>
      </c>
      <c r="C459" s="254"/>
      <c r="D459" s="254"/>
      <c r="E459" s="598"/>
      <c r="J459" s="600"/>
      <c r="L459" s="600">
        <f>L438+1</f>
        <v>46165</v>
      </c>
    </row>
    <row r="461" spans="1:12" x14ac:dyDescent="0.45">
      <c r="A461" s="141"/>
      <c r="B461" s="142"/>
      <c r="C461" s="142"/>
      <c r="D461" s="142"/>
      <c r="E461" s="142"/>
      <c r="F461" s="142"/>
      <c r="G461" s="142"/>
      <c r="H461" s="142"/>
      <c r="I461" s="142"/>
      <c r="J461" s="319"/>
      <c r="K461" s="319" t="s">
        <v>337</v>
      </c>
      <c r="L461" s="294"/>
    </row>
    <row r="462" spans="1:12" ht="63" x14ac:dyDescent="0.45">
      <c r="A462" s="297" t="s">
        <v>534</v>
      </c>
      <c r="B462" s="298" t="s">
        <v>0</v>
      </c>
      <c r="C462" s="298" t="s">
        <v>332</v>
      </c>
      <c r="D462" s="298" t="s">
        <v>333</v>
      </c>
      <c r="E462" s="298" t="s">
        <v>535</v>
      </c>
      <c r="F462" s="298" t="s">
        <v>1</v>
      </c>
      <c r="G462" s="298" t="s">
        <v>334</v>
      </c>
      <c r="H462" s="298" t="s">
        <v>335</v>
      </c>
      <c r="I462" s="298" t="s">
        <v>23</v>
      </c>
      <c r="J462" s="300" t="s">
        <v>22</v>
      </c>
      <c r="K462" s="298" t="s">
        <v>17</v>
      </c>
      <c r="L462" s="301" t="s">
        <v>12</v>
      </c>
    </row>
    <row r="463" spans="1:12" ht="33.4" customHeight="1" x14ac:dyDescent="0.45">
      <c r="A463" s="344" t="s">
        <v>376</v>
      </c>
      <c r="B463" s="345">
        <v>0.23958333333333334</v>
      </c>
      <c r="C463" s="345" t="s">
        <v>414</v>
      </c>
      <c r="D463" s="304" t="s">
        <v>702</v>
      </c>
      <c r="E463" s="377" t="s">
        <v>503</v>
      </c>
      <c r="F463" s="580"/>
      <c r="G463" s="368">
        <v>1</v>
      </c>
      <c r="H463" s="363"/>
      <c r="I463" s="580"/>
      <c r="J463" s="365"/>
      <c r="K463" s="580"/>
      <c r="L463" s="366"/>
    </row>
    <row r="464" spans="1:12" ht="33.4" customHeight="1" x14ac:dyDescent="0.45">
      <c r="A464" s="344" t="s">
        <v>376</v>
      </c>
      <c r="B464" s="345">
        <v>0.27083333333333331</v>
      </c>
      <c r="C464" s="345" t="s">
        <v>414</v>
      </c>
      <c r="D464" s="304" t="s">
        <v>702</v>
      </c>
      <c r="E464" s="377" t="s">
        <v>688</v>
      </c>
      <c r="F464" s="367"/>
      <c r="G464" s="368">
        <v>1</v>
      </c>
      <c r="H464" s="368"/>
      <c r="I464" s="370"/>
      <c r="J464" s="370"/>
      <c r="K464" s="367"/>
      <c r="L464" s="370"/>
    </row>
    <row r="465" spans="1:12" ht="33.4" customHeight="1" x14ac:dyDescent="0.45">
      <c r="A465" s="344" t="s">
        <v>533</v>
      </c>
      <c r="B465" s="345">
        <v>0.28472222222222221</v>
      </c>
      <c r="C465" s="345" t="s">
        <v>414</v>
      </c>
      <c r="D465" s="304" t="s">
        <v>702</v>
      </c>
      <c r="E465" s="377" t="s">
        <v>504</v>
      </c>
      <c r="F465" s="367"/>
      <c r="G465" s="368">
        <v>1</v>
      </c>
      <c r="H465" s="368"/>
      <c r="I465" s="370"/>
      <c r="J465" s="370"/>
      <c r="K465" s="367"/>
      <c r="L465" s="370"/>
    </row>
    <row r="466" spans="1:12" ht="33.4" customHeight="1" x14ac:dyDescent="0.45">
      <c r="A466" s="344" t="s">
        <v>376</v>
      </c>
      <c r="B466" s="345">
        <v>0.3125</v>
      </c>
      <c r="C466" s="345" t="s">
        <v>414</v>
      </c>
      <c r="D466" s="304" t="s">
        <v>702</v>
      </c>
      <c r="E466" s="377" t="s">
        <v>504</v>
      </c>
      <c r="F466" s="367"/>
      <c r="G466" s="368">
        <v>1</v>
      </c>
      <c r="H466" s="368"/>
      <c r="I466" s="370"/>
      <c r="J466" s="370"/>
      <c r="K466" s="367"/>
      <c r="L466" s="370"/>
    </row>
    <row r="467" spans="1:12" ht="33.4" customHeight="1" x14ac:dyDescent="0.45">
      <c r="A467" s="344" t="s">
        <v>501</v>
      </c>
      <c r="B467" s="345">
        <v>0.3263888888888889</v>
      </c>
      <c r="C467" s="345" t="s">
        <v>414</v>
      </c>
      <c r="D467" s="304" t="s">
        <v>702</v>
      </c>
      <c r="E467" s="377" t="s">
        <v>504</v>
      </c>
      <c r="F467" s="367"/>
      <c r="G467" s="368">
        <v>1</v>
      </c>
      <c r="H467" s="368"/>
      <c r="I467" s="370"/>
      <c r="J467" s="370"/>
      <c r="K467" s="367"/>
      <c r="L467" s="370"/>
    </row>
    <row r="468" spans="1:12" ht="33.4" customHeight="1" x14ac:dyDescent="0.45">
      <c r="A468" s="344" t="s">
        <v>501</v>
      </c>
      <c r="B468" s="303">
        <v>0.625</v>
      </c>
      <c r="C468" s="303" t="s">
        <v>414</v>
      </c>
      <c r="D468" s="304" t="s">
        <v>702</v>
      </c>
      <c r="E468" s="377" t="s">
        <v>504</v>
      </c>
      <c r="F468" s="367"/>
      <c r="G468" s="368">
        <v>1</v>
      </c>
      <c r="H468" s="368"/>
      <c r="I468" s="370"/>
      <c r="J468" s="370"/>
      <c r="K468" s="367"/>
      <c r="L468" s="370"/>
    </row>
    <row r="469" spans="1:12" ht="33.4" customHeight="1" x14ac:dyDescent="0.45">
      <c r="A469" s="344" t="s">
        <v>376</v>
      </c>
      <c r="B469" s="303">
        <v>0.65972222222222221</v>
      </c>
      <c r="C469" s="303" t="s">
        <v>414</v>
      </c>
      <c r="D469" s="304" t="s">
        <v>702</v>
      </c>
      <c r="E469" s="377" t="s">
        <v>503</v>
      </c>
      <c r="F469" s="367"/>
      <c r="G469" s="368">
        <v>1</v>
      </c>
      <c r="H469" s="368"/>
      <c r="I469" s="370"/>
      <c r="J469" s="370"/>
      <c r="K469" s="367"/>
      <c r="L469" s="370"/>
    </row>
    <row r="470" spans="1:12" ht="33.4" customHeight="1" x14ac:dyDescent="0.45">
      <c r="A470" s="344" t="s">
        <v>376</v>
      </c>
      <c r="B470" s="303">
        <v>0.6875</v>
      </c>
      <c r="C470" s="303" t="s">
        <v>414</v>
      </c>
      <c r="D470" s="304" t="s">
        <v>702</v>
      </c>
      <c r="E470" s="377" t="s">
        <v>503</v>
      </c>
      <c r="F470" s="367"/>
      <c r="G470" s="368">
        <v>1</v>
      </c>
      <c r="H470" s="368"/>
      <c r="I470" s="370"/>
      <c r="J470" s="370"/>
      <c r="K470" s="367"/>
      <c r="L470" s="370"/>
    </row>
    <row r="471" spans="1:12" ht="33.4" customHeight="1" x14ac:dyDescent="0.45">
      <c r="A471" s="344" t="s">
        <v>376</v>
      </c>
      <c r="B471" s="303">
        <v>0.71180555555555558</v>
      </c>
      <c r="C471" s="303" t="s">
        <v>414</v>
      </c>
      <c r="D471" s="304" t="s">
        <v>702</v>
      </c>
      <c r="E471" s="377" t="s">
        <v>503</v>
      </c>
      <c r="F471" s="367"/>
      <c r="G471" s="368">
        <v>1</v>
      </c>
      <c r="H471" s="368"/>
      <c r="I471" s="370"/>
      <c r="J471" s="370"/>
      <c r="K471" s="367"/>
      <c r="L471" s="370"/>
    </row>
    <row r="472" spans="1:12" ht="33.4" customHeight="1" x14ac:dyDescent="0.45">
      <c r="A472" s="315" t="s">
        <v>336</v>
      </c>
      <c r="B472" s="303"/>
      <c r="C472" s="303" t="s">
        <v>660</v>
      </c>
      <c r="D472" s="304"/>
      <c r="E472" s="304"/>
      <c r="F472" s="305"/>
      <c r="G472" s="306"/>
      <c r="H472" s="306"/>
      <c r="I472" s="306"/>
      <c r="J472" s="297"/>
      <c r="K472" s="305"/>
      <c r="L472" s="297"/>
    </row>
    <row r="473" spans="1:12" ht="33.4" customHeight="1" x14ac:dyDescent="0.45">
      <c r="A473" s="315" t="s">
        <v>336</v>
      </c>
      <c r="B473" s="303"/>
      <c r="C473" s="303" t="s">
        <v>660</v>
      </c>
      <c r="D473" s="304"/>
      <c r="E473" s="304"/>
      <c r="F473" s="305"/>
      <c r="G473" s="306"/>
      <c r="H473" s="306"/>
      <c r="I473" s="306"/>
      <c r="J473" s="297"/>
      <c r="K473" s="305"/>
      <c r="L473" s="297"/>
    </row>
    <row r="474" spans="1:12" ht="33.4" customHeight="1" x14ac:dyDescent="0.45">
      <c r="A474" s="315" t="s">
        <v>336</v>
      </c>
      <c r="B474" s="303"/>
      <c r="C474" s="303" t="s">
        <v>660</v>
      </c>
      <c r="D474" s="304"/>
      <c r="E474" s="304"/>
      <c r="F474" s="305"/>
      <c r="G474" s="306"/>
      <c r="H474" s="306"/>
      <c r="I474" s="306"/>
      <c r="J474" s="297"/>
      <c r="K474" s="305"/>
      <c r="L474" s="297"/>
    </row>
    <row r="475" spans="1:12" ht="33.4" customHeight="1" x14ac:dyDescent="0.45">
      <c r="A475" s="315" t="s">
        <v>336</v>
      </c>
      <c r="B475" s="303"/>
      <c r="C475" s="303" t="s">
        <v>660</v>
      </c>
      <c r="D475" s="304"/>
      <c r="E475" s="304"/>
      <c r="F475" s="305"/>
      <c r="G475" s="306"/>
      <c r="H475" s="306"/>
      <c r="I475" s="306"/>
      <c r="J475" s="297"/>
      <c r="K475" s="305"/>
      <c r="L475" s="297"/>
    </row>
    <row r="476" spans="1:12" ht="33.4" customHeight="1" x14ac:dyDescent="0.45">
      <c r="A476" s="315" t="s">
        <v>336</v>
      </c>
      <c r="B476" s="303"/>
      <c r="C476" s="303" t="s">
        <v>660</v>
      </c>
      <c r="D476" s="304"/>
      <c r="E476" s="304"/>
      <c r="F476" s="305"/>
      <c r="G476" s="306"/>
      <c r="H476" s="306"/>
      <c r="I476" s="306"/>
      <c r="J476" s="297"/>
      <c r="K476" s="305"/>
      <c r="L476" s="297"/>
    </row>
    <row r="477" spans="1:12" ht="33.4" customHeight="1" x14ac:dyDescent="0.45">
      <c r="C477" s="190" t="s">
        <v>691</v>
      </c>
      <c r="F477" s="137" t="s">
        <v>15</v>
      </c>
    </row>
    <row r="478" spans="1:12" ht="33.4" customHeight="1" x14ac:dyDescent="0.45">
      <c r="C478" s="190"/>
    </row>
    <row r="480" spans="1:12" ht="23.25" x14ac:dyDescent="0.45">
      <c r="A480" s="137" t="s">
        <v>18</v>
      </c>
      <c r="B480" s="260" t="s">
        <v>414</v>
      </c>
      <c r="C480" s="241"/>
      <c r="D480" s="241"/>
      <c r="E480" s="241"/>
    </row>
    <row r="481" spans="1:12" ht="21" x14ac:dyDescent="0.45">
      <c r="A481" s="137" t="s">
        <v>13</v>
      </c>
      <c r="B481" s="320" t="s">
        <v>702</v>
      </c>
      <c r="C481" s="254"/>
      <c r="D481" s="254"/>
      <c r="E481" s="598"/>
      <c r="J481" s="600"/>
      <c r="L481" s="607">
        <f>L459+1</f>
        <v>46166</v>
      </c>
    </row>
    <row r="483" spans="1:12" x14ac:dyDescent="0.45">
      <c r="A483" s="141"/>
      <c r="B483" s="142"/>
      <c r="C483" s="142"/>
      <c r="D483" s="142"/>
      <c r="E483" s="142"/>
      <c r="F483" s="142"/>
      <c r="G483" s="142"/>
      <c r="H483" s="142"/>
      <c r="I483" s="142"/>
      <c r="J483" s="319"/>
      <c r="K483" s="319" t="s">
        <v>337</v>
      </c>
      <c r="L483" s="294"/>
    </row>
    <row r="484" spans="1:12" ht="63" x14ac:dyDescent="0.45">
      <c r="A484" s="297" t="s">
        <v>534</v>
      </c>
      <c r="B484" s="298" t="s">
        <v>0</v>
      </c>
      <c r="C484" s="298" t="s">
        <v>332</v>
      </c>
      <c r="D484" s="298" t="s">
        <v>333</v>
      </c>
      <c r="E484" s="298" t="s">
        <v>535</v>
      </c>
      <c r="F484" s="298" t="s">
        <v>1</v>
      </c>
      <c r="G484" s="298" t="s">
        <v>334</v>
      </c>
      <c r="H484" s="298" t="s">
        <v>335</v>
      </c>
      <c r="I484" s="298" t="s">
        <v>23</v>
      </c>
      <c r="J484" s="300" t="s">
        <v>22</v>
      </c>
      <c r="K484" s="298" t="s">
        <v>17</v>
      </c>
      <c r="L484" s="301" t="s">
        <v>12</v>
      </c>
    </row>
    <row r="485" spans="1:12" ht="33" customHeight="1" x14ac:dyDescent="0.45">
      <c r="A485" s="344" t="s">
        <v>376</v>
      </c>
      <c r="B485" s="345">
        <v>0.3125</v>
      </c>
      <c r="C485" s="345" t="s">
        <v>414</v>
      </c>
      <c r="D485" s="304" t="s">
        <v>702</v>
      </c>
      <c r="E485" s="377" t="s">
        <v>504</v>
      </c>
      <c r="F485" s="580"/>
      <c r="G485" s="368">
        <v>1</v>
      </c>
      <c r="H485" s="363"/>
      <c r="I485" s="580"/>
      <c r="J485" s="365"/>
      <c r="K485" s="580"/>
      <c r="L485" s="366"/>
    </row>
    <row r="486" spans="1:12" ht="33" customHeight="1" x14ac:dyDescent="0.45">
      <c r="A486" s="344" t="s">
        <v>376</v>
      </c>
      <c r="B486" s="345">
        <v>0.3263888888888889</v>
      </c>
      <c r="C486" s="345" t="s">
        <v>414</v>
      </c>
      <c r="D486" s="304" t="s">
        <v>702</v>
      </c>
      <c r="E486" s="377" t="s">
        <v>504</v>
      </c>
      <c r="F486" s="580"/>
      <c r="G486" s="368">
        <v>1</v>
      </c>
      <c r="H486" s="363"/>
      <c r="I486" s="580"/>
      <c r="J486" s="365"/>
      <c r="K486" s="580"/>
      <c r="L486" s="366"/>
    </row>
    <row r="487" spans="1:12" ht="33" customHeight="1" x14ac:dyDescent="0.45">
      <c r="A487" s="344" t="s">
        <v>376</v>
      </c>
      <c r="B487" s="345">
        <v>0.65972222222222221</v>
      </c>
      <c r="C487" s="345" t="s">
        <v>414</v>
      </c>
      <c r="D487" s="304" t="s">
        <v>702</v>
      </c>
      <c r="E487" s="377" t="s">
        <v>503</v>
      </c>
      <c r="F487" s="580"/>
      <c r="G487" s="368">
        <v>1</v>
      </c>
      <c r="H487" s="363"/>
      <c r="I487" s="580"/>
      <c r="J487" s="365"/>
      <c r="K487" s="580"/>
      <c r="L487" s="366"/>
    </row>
    <row r="488" spans="1:12" ht="33" customHeight="1" x14ac:dyDescent="0.45">
      <c r="A488" s="344" t="s">
        <v>376</v>
      </c>
      <c r="B488" s="345">
        <v>0.6875</v>
      </c>
      <c r="C488" s="345" t="s">
        <v>414</v>
      </c>
      <c r="D488" s="304" t="s">
        <v>702</v>
      </c>
      <c r="E488" s="377" t="s">
        <v>503</v>
      </c>
      <c r="F488" s="367"/>
      <c r="G488" s="368">
        <v>1</v>
      </c>
      <c r="H488" s="368"/>
      <c r="I488" s="370"/>
      <c r="J488" s="370"/>
      <c r="K488" s="367"/>
      <c r="L488" s="370"/>
    </row>
    <row r="489" spans="1:12" ht="33" customHeight="1" x14ac:dyDescent="0.45">
      <c r="A489" s="344" t="s">
        <v>376</v>
      </c>
      <c r="B489" s="345">
        <v>0.76041666666666663</v>
      </c>
      <c r="C489" s="345" t="s">
        <v>414</v>
      </c>
      <c r="D489" s="304" t="s">
        <v>702</v>
      </c>
      <c r="E489" s="377" t="s">
        <v>503</v>
      </c>
      <c r="F489" s="367"/>
      <c r="G489" s="368"/>
      <c r="H489" s="368"/>
      <c r="I489" s="370"/>
      <c r="J489" s="370"/>
      <c r="K489" s="367"/>
      <c r="L489" s="370"/>
    </row>
    <row r="490" spans="1:12" ht="33" customHeight="1" x14ac:dyDescent="0.45">
      <c r="A490" s="344" t="s">
        <v>501</v>
      </c>
      <c r="B490" s="345">
        <v>0.78125</v>
      </c>
      <c r="C490" s="345" t="s">
        <v>414</v>
      </c>
      <c r="D490" s="304" t="s">
        <v>702</v>
      </c>
      <c r="E490" s="377" t="s">
        <v>504</v>
      </c>
      <c r="F490" s="367"/>
      <c r="G490" s="368"/>
      <c r="H490" s="368"/>
      <c r="I490" s="370"/>
      <c r="J490" s="370"/>
      <c r="K490" s="367"/>
      <c r="L490" s="370"/>
    </row>
    <row r="491" spans="1:12" ht="33" customHeight="1" x14ac:dyDescent="0.45">
      <c r="A491" s="344" t="s">
        <v>663</v>
      </c>
      <c r="B491" s="345">
        <v>0.80902777777777779</v>
      </c>
      <c r="C491" s="345" t="s">
        <v>414</v>
      </c>
      <c r="D491" s="304" t="s">
        <v>702</v>
      </c>
      <c r="E491" s="377" t="s">
        <v>504</v>
      </c>
      <c r="F491" s="367"/>
      <c r="G491" s="368"/>
      <c r="H491" s="368"/>
      <c r="I491" s="370"/>
      <c r="J491" s="370"/>
      <c r="K491" s="367"/>
      <c r="L491" s="370"/>
    </row>
    <row r="492" spans="1:12" ht="33" customHeight="1" x14ac:dyDescent="0.45">
      <c r="A492" s="344" t="s">
        <v>376</v>
      </c>
      <c r="B492" s="345">
        <v>0.82291666666666663</v>
      </c>
      <c r="C492" s="345" t="s">
        <v>414</v>
      </c>
      <c r="D492" s="304" t="s">
        <v>702</v>
      </c>
      <c r="E492" s="377" t="s">
        <v>503</v>
      </c>
      <c r="F492" s="367"/>
      <c r="G492" s="368"/>
      <c r="H492" s="368"/>
      <c r="I492" s="370"/>
      <c r="J492" s="370"/>
      <c r="K492" s="367"/>
      <c r="L492" s="370"/>
    </row>
    <row r="493" spans="1:12" ht="33" customHeight="1" x14ac:dyDescent="0.45">
      <c r="A493" s="344" t="s">
        <v>336</v>
      </c>
      <c r="B493" s="345"/>
      <c r="C493" s="345" t="s">
        <v>660</v>
      </c>
      <c r="D493" s="304"/>
      <c r="E493" s="377"/>
      <c r="F493" s="367"/>
      <c r="G493" s="368"/>
      <c r="H493" s="368"/>
      <c r="I493" s="370"/>
      <c r="J493" s="370"/>
      <c r="K493" s="367"/>
      <c r="L493" s="370"/>
    </row>
    <row r="494" spans="1:12" ht="33" customHeight="1" x14ac:dyDescent="0.45">
      <c r="A494" s="344" t="s">
        <v>336</v>
      </c>
      <c r="B494" s="345"/>
      <c r="C494" s="345" t="s">
        <v>660</v>
      </c>
      <c r="D494" s="304"/>
      <c r="E494" s="377"/>
      <c r="F494" s="367"/>
      <c r="G494" s="368"/>
      <c r="H494" s="368"/>
      <c r="I494" s="370"/>
      <c r="J494" s="370"/>
      <c r="K494" s="367"/>
      <c r="L494" s="370"/>
    </row>
    <row r="495" spans="1:12" ht="33" customHeight="1" x14ac:dyDescent="0.45">
      <c r="A495" s="344" t="s">
        <v>336</v>
      </c>
      <c r="B495" s="345"/>
      <c r="C495" s="345" t="s">
        <v>660</v>
      </c>
      <c r="D495" s="304"/>
      <c r="E495" s="377"/>
      <c r="F495" s="367"/>
      <c r="G495" s="368"/>
      <c r="H495" s="368"/>
      <c r="I495" s="370"/>
      <c r="J495" s="370"/>
      <c r="K495" s="367"/>
      <c r="L495" s="370"/>
    </row>
    <row r="496" spans="1:12" ht="33" customHeight="1" x14ac:dyDescent="0.45">
      <c r="A496" s="344" t="s">
        <v>336</v>
      </c>
      <c r="B496" s="345"/>
      <c r="C496" s="345" t="s">
        <v>660</v>
      </c>
      <c r="D496" s="304"/>
      <c r="E496" s="377"/>
      <c r="F496" s="367"/>
      <c r="G496" s="368"/>
      <c r="H496" s="368"/>
      <c r="I496" s="370"/>
      <c r="J496" s="370"/>
      <c r="K496" s="367"/>
      <c r="L496" s="370"/>
    </row>
    <row r="497" spans="1:12" ht="33" customHeight="1" x14ac:dyDescent="0.45">
      <c r="A497" s="344" t="s">
        <v>336</v>
      </c>
      <c r="B497" s="345"/>
      <c r="C497" s="345" t="s">
        <v>660</v>
      </c>
      <c r="D497" s="304"/>
      <c r="E497" s="377"/>
      <c r="F497" s="367"/>
      <c r="G497" s="368"/>
      <c r="H497" s="368"/>
      <c r="I497" s="370"/>
      <c r="J497" s="370"/>
      <c r="K497" s="367"/>
      <c r="L497" s="370"/>
    </row>
    <row r="498" spans="1:12" ht="33" customHeight="1" x14ac:dyDescent="0.45">
      <c r="A498" s="608"/>
      <c r="B498" s="609"/>
      <c r="C498" s="609"/>
      <c r="D498" s="610"/>
      <c r="E498" s="611"/>
      <c r="F498" s="612"/>
      <c r="G498" s="613"/>
      <c r="H498" s="613"/>
      <c r="I498" s="614"/>
      <c r="J498" s="614"/>
      <c r="K498" s="612"/>
      <c r="L498" s="614"/>
    </row>
    <row r="499" spans="1:12" ht="33" customHeight="1" x14ac:dyDescent="0.45">
      <c r="C499" s="190" t="s">
        <v>691</v>
      </c>
      <c r="F499" s="137" t="s">
        <v>15</v>
      </c>
    </row>
    <row r="500" spans="1:12" ht="33" customHeight="1" x14ac:dyDescent="0.45">
      <c r="C500" s="190"/>
    </row>
    <row r="501" spans="1:12" ht="23.25" x14ac:dyDescent="0.45">
      <c r="A501" s="137" t="s">
        <v>18</v>
      </c>
      <c r="B501" s="260" t="s">
        <v>414</v>
      </c>
      <c r="C501" s="241"/>
      <c r="D501" s="241"/>
      <c r="E501" s="241"/>
    </row>
    <row r="502" spans="1:12" ht="21" x14ac:dyDescent="0.45">
      <c r="A502" s="137" t="s">
        <v>13</v>
      </c>
      <c r="B502" s="320" t="s">
        <v>702</v>
      </c>
      <c r="C502" s="254"/>
      <c r="D502" s="254"/>
      <c r="E502" s="598"/>
      <c r="J502" s="600"/>
      <c r="L502" s="607">
        <f>L481+1</f>
        <v>46167</v>
      </c>
    </row>
    <row r="504" spans="1:12" x14ac:dyDescent="0.45">
      <c r="A504" s="141"/>
      <c r="B504" s="142"/>
      <c r="C504" s="142"/>
      <c r="D504" s="142"/>
      <c r="E504" s="142"/>
      <c r="F504" s="142"/>
      <c r="G504" s="142"/>
      <c r="H504" s="142"/>
      <c r="I504" s="142"/>
      <c r="J504" s="319"/>
      <c r="K504" s="319" t="s">
        <v>337</v>
      </c>
      <c r="L504" s="294"/>
    </row>
    <row r="505" spans="1:12" ht="63" x14ac:dyDescent="0.45">
      <c r="A505" s="297" t="s">
        <v>534</v>
      </c>
      <c r="B505" s="298" t="s">
        <v>0</v>
      </c>
      <c r="C505" s="298" t="s">
        <v>332</v>
      </c>
      <c r="D505" s="298" t="s">
        <v>333</v>
      </c>
      <c r="E505" s="298" t="s">
        <v>535</v>
      </c>
      <c r="F505" s="298" t="s">
        <v>1</v>
      </c>
      <c r="G505" s="298" t="s">
        <v>334</v>
      </c>
      <c r="H505" s="298" t="s">
        <v>335</v>
      </c>
      <c r="I505" s="298" t="s">
        <v>23</v>
      </c>
      <c r="J505" s="300" t="s">
        <v>22</v>
      </c>
      <c r="K505" s="298" t="s">
        <v>17</v>
      </c>
      <c r="L505" s="301" t="s">
        <v>12</v>
      </c>
    </row>
    <row r="506" spans="1:12" ht="33" customHeight="1" x14ac:dyDescent="0.45">
      <c r="A506" s="344" t="s">
        <v>376</v>
      </c>
      <c r="B506" s="345">
        <v>0.3125</v>
      </c>
      <c r="C506" s="345" t="s">
        <v>414</v>
      </c>
      <c r="D506" s="304" t="s">
        <v>702</v>
      </c>
      <c r="E506" s="377" t="s">
        <v>504</v>
      </c>
      <c r="F506" s="580"/>
      <c r="G506" s="368">
        <v>1</v>
      </c>
      <c r="H506" s="363"/>
      <c r="I506" s="580"/>
      <c r="J506" s="365"/>
      <c r="K506" s="580"/>
      <c r="L506" s="366"/>
    </row>
    <row r="507" spans="1:12" ht="33" customHeight="1" x14ac:dyDescent="0.45">
      <c r="A507" s="344" t="s">
        <v>376</v>
      </c>
      <c r="B507" s="345">
        <v>0.3263888888888889</v>
      </c>
      <c r="C507" s="345" t="s">
        <v>414</v>
      </c>
      <c r="D507" s="304" t="s">
        <v>702</v>
      </c>
      <c r="E507" s="377" t="s">
        <v>504</v>
      </c>
      <c r="F507" s="580"/>
      <c r="G507" s="368">
        <v>1</v>
      </c>
      <c r="H507" s="363"/>
      <c r="I507" s="580"/>
      <c r="J507" s="365"/>
      <c r="K507" s="580"/>
      <c r="L507" s="366"/>
    </row>
    <row r="508" spans="1:12" ht="33" customHeight="1" x14ac:dyDescent="0.45">
      <c r="A508" s="344" t="s">
        <v>376</v>
      </c>
      <c r="B508" s="345">
        <v>0.65972222222222221</v>
      </c>
      <c r="C508" s="345" t="s">
        <v>414</v>
      </c>
      <c r="D508" s="304" t="s">
        <v>702</v>
      </c>
      <c r="E508" s="377" t="s">
        <v>503</v>
      </c>
      <c r="F508" s="580"/>
      <c r="G508" s="368">
        <v>1</v>
      </c>
      <c r="H508" s="363"/>
      <c r="I508" s="580"/>
      <c r="J508" s="365"/>
      <c r="K508" s="580"/>
      <c r="L508" s="366"/>
    </row>
    <row r="509" spans="1:12" ht="33" customHeight="1" x14ac:dyDescent="0.45">
      <c r="A509" s="344" t="s">
        <v>376</v>
      </c>
      <c r="B509" s="345">
        <v>0.6875</v>
      </c>
      <c r="C509" s="345" t="s">
        <v>414</v>
      </c>
      <c r="D509" s="304" t="s">
        <v>702</v>
      </c>
      <c r="E509" s="377" t="s">
        <v>503</v>
      </c>
      <c r="F509" s="367"/>
      <c r="G509" s="368">
        <v>1</v>
      </c>
      <c r="H509" s="368"/>
      <c r="I509" s="370"/>
      <c r="J509" s="370"/>
      <c r="K509" s="367"/>
      <c r="L509" s="370"/>
    </row>
    <row r="510" spans="1:12" ht="33" customHeight="1" x14ac:dyDescent="0.45">
      <c r="A510" s="344" t="s">
        <v>376</v>
      </c>
      <c r="B510" s="345">
        <v>0.76041666666666663</v>
      </c>
      <c r="C510" s="345" t="s">
        <v>414</v>
      </c>
      <c r="D510" s="304" t="s">
        <v>702</v>
      </c>
      <c r="E510" s="377" t="s">
        <v>503</v>
      </c>
      <c r="F510" s="367"/>
      <c r="G510" s="368"/>
      <c r="H510" s="368"/>
      <c r="I510" s="370"/>
      <c r="J510" s="370"/>
      <c r="K510" s="367"/>
      <c r="L510" s="370"/>
    </row>
    <row r="511" spans="1:12" ht="33" customHeight="1" x14ac:dyDescent="0.45">
      <c r="A511" s="344" t="s">
        <v>501</v>
      </c>
      <c r="B511" s="345">
        <v>0.78125</v>
      </c>
      <c r="C511" s="345" t="s">
        <v>414</v>
      </c>
      <c r="D511" s="304" t="s">
        <v>702</v>
      </c>
      <c r="E511" s="377" t="s">
        <v>504</v>
      </c>
      <c r="F511" s="367"/>
      <c r="G511" s="368"/>
      <c r="H511" s="368"/>
      <c r="I511" s="370"/>
      <c r="J511" s="370"/>
      <c r="K511" s="367"/>
      <c r="L511" s="370"/>
    </row>
    <row r="512" spans="1:12" ht="33" customHeight="1" x14ac:dyDescent="0.45">
      <c r="A512" s="344" t="s">
        <v>663</v>
      </c>
      <c r="B512" s="345">
        <v>0.80902777777777779</v>
      </c>
      <c r="C512" s="345" t="s">
        <v>414</v>
      </c>
      <c r="D512" s="304" t="s">
        <v>702</v>
      </c>
      <c r="E512" s="377" t="s">
        <v>504</v>
      </c>
      <c r="F512" s="367"/>
      <c r="G512" s="368"/>
      <c r="H512" s="368"/>
      <c r="I512" s="370"/>
      <c r="J512" s="370"/>
      <c r="K512" s="367"/>
      <c r="L512" s="370"/>
    </row>
    <row r="513" spans="1:12" ht="33" customHeight="1" x14ac:dyDescent="0.45">
      <c r="A513" s="344" t="s">
        <v>376</v>
      </c>
      <c r="B513" s="345">
        <v>0.82291666666666663</v>
      </c>
      <c r="C513" s="345" t="s">
        <v>414</v>
      </c>
      <c r="D513" s="304" t="s">
        <v>702</v>
      </c>
      <c r="E513" s="377" t="s">
        <v>503</v>
      </c>
      <c r="F513" s="367"/>
      <c r="G513" s="368"/>
      <c r="H513" s="368"/>
      <c r="I513" s="370"/>
      <c r="J513" s="370"/>
      <c r="K513" s="367"/>
      <c r="L513" s="370"/>
    </row>
    <row r="514" spans="1:12" ht="33" customHeight="1" x14ac:dyDescent="0.45">
      <c r="A514" s="344" t="s">
        <v>336</v>
      </c>
      <c r="B514" s="345"/>
      <c r="C514" s="345" t="s">
        <v>660</v>
      </c>
      <c r="D514" s="304"/>
      <c r="E514" s="377"/>
      <c r="F514" s="367"/>
      <c r="G514" s="368"/>
      <c r="H514" s="368"/>
      <c r="I514" s="370"/>
      <c r="J514" s="370"/>
      <c r="K514" s="367"/>
      <c r="L514" s="370"/>
    </row>
    <row r="515" spans="1:12" ht="33" customHeight="1" x14ac:dyDescent="0.45">
      <c r="A515" s="344" t="s">
        <v>336</v>
      </c>
      <c r="B515" s="345"/>
      <c r="C515" s="345" t="s">
        <v>660</v>
      </c>
      <c r="D515" s="304"/>
      <c r="E515" s="377"/>
      <c r="F515" s="367"/>
      <c r="G515" s="368"/>
      <c r="H515" s="368"/>
      <c r="I515" s="370"/>
      <c r="J515" s="370"/>
      <c r="K515" s="367"/>
      <c r="L515" s="370"/>
    </row>
    <row r="516" spans="1:12" ht="33" customHeight="1" x14ac:dyDescent="0.45">
      <c r="A516" s="344" t="s">
        <v>336</v>
      </c>
      <c r="B516" s="345"/>
      <c r="C516" s="345" t="s">
        <v>660</v>
      </c>
      <c r="D516" s="304"/>
      <c r="E516" s="377"/>
      <c r="F516" s="367"/>
      <c r="G516" s="368"/>
      <c r="H516" s="368"/>
      <c r="I516" s="370"/>
      <c r="J516" s="370"/>
      <c r="K516" s="367"/>
      <c r="L516" s="370"/>
    </row>
    <row r="517" spans="1:12" ht="33" customHeight="1" x14ac:dyDescent="0.45">
      <c r="A517" s="344" t="s">
        <v>336</v>
      </c>
      <c r="B517" s="345"/>
      <c r="C517" s="345" t="s">
        <v>660</v>
      </c>
      <c r="D517" s="304"/>
      <c r="E517" s="377"/>
      <c r="F517" s="367"/>
      <c r="G517" s="368"/>
      <c r="H517" s="368"/>
      <c r="I517" s="370"/>
      <c r="J517" s="370"/>
      <c r="K517" s="367"/>
      <c r="L517" s="370"/>
    </row>
    <row r="518" spans="1:12" ht="33" customHeight="1" x14ac:dyDescent="0.45">
      <c r="A518" s="344" t="s">
        <v>336</v>
      </c>
      <c r="B518" s="345"/>
      <c r="C518" s="345" t="s">
        <v>660</v>
      </c>
      <c r="D518" s="304"/>
      <c r="E518" s="377"/>
      <c r="F518" s="367"/>
      <c r="G518" s="368"/>
      <c r="H518" s="368"/>
      <c r="I518" s="370"/>
      <c r="J518" s="370"/>
      <c r="K518" s="367"/>
      <c r="L518" s="370"/>
    </row>
    <row r="519" spans="1:12" ht="33" customHeight="1" x14ac:dyDescent="0.45">
      <c r="A519" s="608"/>
      <c r="B519" s="609"/>
      <c r="C519" s="609"/>
      <c r="D519" s="610"/>
      <c r="E519" s="611"/>
      <c r="F519" s="612"/>
      <c r="G519" s="613"/>
      <c r="H519" s="613"/>
      <c r="I519" s="614"/>
      <c r="J519" s="614"/>
      <c r="K519" s="612"/>
      <c r="L519" s="614"/>
    </row>
    <row r="520" spans="1:12" ht="33" customHeight="1" x14ac:dyDescent="0.45">
      <c r="C520" s="190" t="s">
        <v>691</v>
      </c>
      <c r="F520" s="137" t="s">
        <v>15</v>
      </c>
    </row>
    <row r="522" spans="1:12" ht="23.25" x14ac:dyDescent="0.45">
      <c r="A522" s="137" t="s">
        <v>18</v>
      </c>
      <c r="B522" s="260" t="s">
        <v>414</v>
      </c>
      <c r="C522" s="241"/>
      <c r="D522" s="241"/>
      <c r="E522" s="241"/>
      <c r="L522" s="602">
        <f>L502+1</f>
        <v>46168</v>
      </c>
    </row>
    <row r="523" spans="1:12" ht="21" x14ac:dyDescent="0.45">
      <c r="A523" s="137" t="s">
        <v>13</v>
      </c>
      <c r="B523" s="320" t="s">
        <v>702</v>
      </c>
      <c r="C523" s="254"/>
      <c r="D523" s="254"/>
      <c r="E523" s="598"/>
      <c r="J523" s="600"/>
      <c r="L523" s="600"/>
    </row>
    <row r="525" spans="1:12" x14ac:dyDescent="0.45">
      <c r="A525" s="141"/>
      <c r="B525" s="142"/>
      <c r="C525" s="142"/>
      <c r="D525" s="142"/>
      <c r="E525" s="142"/>
      <c r="F525" s="142"/>
      <c r="G525" s="142"/>
      <c r="H525" s="142"/>
      <c r="I525" s="142"/>
      <c r="J525" s="319"/>
      <c r="K525" s="319" t="s">
        <v>337</v>
      </c>
      <c r="L525" s="294"/>
    </row>
    <row r="526" spans="1:12" ht="63" x14ac:dyDescent="0.45">
      <c r="A526" s="297" t="s">
        <v>534</v>
      </c>
      <c r="B526" s="298" t="s">
        <v>0</v>
      </c>
      <c r="C526" s="298" t="s">
        <v>332</v>
      </c>
      <c r="D526" s="298" t="s">
        <v>333</v>
      </c>
      <c r="E526" s="298" t="s">
        <v>535</v>
      </c>
      <c r="F526" s="298" t="s">
        <v>1</v>
      </c>
      <c r="G526" s="298" t="s">
        <v>334</v>
      </c>
      <c r="H526" s="298" t="s">
        <v>335</v>
      </c>
      <c r="I526" s="298" t="s">
        <v>23</v>
      </c>
      <c r="J526" s="300" t="s">
        <v>22</v>
      </c>
      <c r="K526" s="298" t="s">
        <v>17</v>
      </c>
      <c r="L526" s="301" t="s">
        <v>12</v>
      </c>
    </row>
    <row r="527" spans="1:12" ht="33" customHeight="1" x14ac:dyDescent="0.45">
      <c r="A527" s="344" t="s">
        <v>376</v>
      </c>
      <c r="B527" s="345">
        <v>0.23958333333333334</v>
      </c>
      <c r="C527" s="345" t="s">
        <v>414</v>
      </c>
      <c r="D527" s="304" t="s">
        <v>702</v>
      </c>
      <c r="E527" s="377" t="s">
        <v>503</v>
      </c>
      <c r="F527" s="580"/>
      <c r="G527" s="368">
        <v>1</v>
      </c>
      <c r="H527" s="363"/>
      <c r="I527" s="580"/>
      <c r="J527" s="365"/>
      <c r="K527" s="580"/>
      <c r="L527" s="366"/>
    </row>
    <row r="528" spans="1:12" ht="33" customHeight="1" x14ac:dyDescent="0.45">
      <c r="A528" s="344" t="s">
        <v>376</v>
      </c>
      <c r="B528" s="345">
        <v>0.27083333333333331</v>
      </c>
      <c r="C528" s="345" t="s">
        <v>414</v>
      </c>
      <c r="D528" s="304" t="s">
        <v>702</v>
      </c>
      <c r="E528" s="377" t="s">
        <v>688</v>
      </c>
      <c r="F528" s="367"/>
      <c r="G528" s="368">
        <v>1</v>
      </c>
      <c r="H528" s="368"/>
      <c r="I528" s="370"/>
      <c r="J528" s="370"/>
      <c r="K528" s="367"/>
      <c r="L528" s="370"/>
    </row>
    <row r="529" spans="1:12" ht="33" customHeight="1" x14ac:dyDescent="0.45">
      <c r="A529" s="344" t="s">
        <v>533</v>
      </c>
      <c r="B529" s="345">
        <v>0.28472222222222221</v>
      </c>
      <c r="C529" s="345" t="s">
        <v>414</v>
      </c>
      <c r="D529" s="304" t="s">
        <v>702</v>
      </c>
      <c r="E529" s="377" t="s">
        <v>504</v>
      </c>
      <c r="F529" s="367"/>
      <c r="G529" s="368">
        <v>1</v>
      </c>
      <c r="H529" s="368"/>
      <c r="I529" s="370"/>
      <c r="J529" s="370"/>
      <c r="K529" s="367"/>
      <c r="L529" s="370"/>
    </row>
    <row r="530" spans="1:12" ht="33" customHeight="1" x14ac:dyDescent="0.45">
      <c r="A530" s="344" t="s">
        <v>376</v>
      </c>
      <c r="B530" s="345">
        <v>0.3125</v>
      </c>
      <c r="C530" s="345" t="s">
        <v>414</v>
      </c>
      <c r="D530" s="304" t="s">
        <v>702</v>
      </c>
      <c r="E530" s="377" t="s">
        <v>504</v>
      </c>
      <c r="F530" s="367"/>
      <c r="G530" s="368">
        <v>1</v>
      </c>
      <c r="H530" s="368"/>
      <c r="I530" s="370"/>
      <c r="J530" s="370"/>
      <c r="K530" s="367"/>
      <c r="L530" s="370"/>
    </row>
    <row r="531" spans="1:12" ht="33" customHeight="1" x14ac:dyDescent="0.45">
      <c r="A531" s="344" t="s">
        <v>501</v>
      </c>
      <c r="B531" s="345">
        <v>0.3263888888888889</v>
      </c>
      <c r="C531" s="345" t="s">
        <v>414</v>
      </c>
      <c r="D531" s="304" t="s">
        <v>702</v>
      </c>
      <c r="E531" s="377" t="s">
        <v>504</v>
      </c>
      <c r="F531" s="367"/>
      <c r="G531" s="368">
        <v>1</v>
      </c>
      <c r="H531" s="368"/>
      <c r="I531" s="370"/>
      <c r="J531" s="370"/>
      <c r="K531" s="367"/>
      <c r="L531" s="370"/>
    </row>
    <row r="532" spans="1:12" ht="33" customHeight="1" x14ac:dyDescent="0.45">
      <c r="A532" s="344" t="s">
        <v>501</v>
      </c>
      <c r="B532" s="303">
        <v>0.625</v>
      </c>
      <c r="C532" s="303" t="s">
        <v>414</v>
      </c>
      <c r="D532" s="304" t="s">
        <v>702</v>
      </c>
      <c r="E532" s="377" t="s">
        <v>504</v>
      </c>
      <c r="F532" s="367"/>
      <c r="G532" s="368">
        <v>1</v>
      </c>
      <c r="H532" s="368"/>
      <c r="I532" s="370"/>
      <c r="J532" s="370"/>
      <c r="K532" s="367"/>
      <c r="L532" s="370"/>
    </row>
    <row r="533" spans="1:12" ht="33" customHeight="1" x14ac:dyDescent="0.45">
      <c r="A533" s="344" t="s">
        <v>376</v>
      </c>
      <c r="B533" s="303">
        <v>0.65972222222222221</v>
      </c>
      <c r="C533" s="303" t="s">
        <v>414</v>
      </c>
      <c r="D533" s="304" t="s">
        <v>702</v>
      </c>
      <c r="E533" s="377" t="s">
        <v>503</v>
      </c>
      <c r="F533" s="367"/>
      <c r="G533" s="368">
        <v>1</v>
      </c>
      <c r="H533" s="368"/>
      <c r="I533" s="370"/>
      <c r="J533" s="370"/>
      <c r="K533" s="367"/>
      <c r="L533" s="370"/>
    </row>
    <row r="534" spans="1:12" ht="33" customHeight="1" x14ac:dyDescent="0.45">
      <c r="A534" s="344" t="s">
        <v>376</v>
      </c>
      <c r="B534" s="303">
        <v>0.6875</v>
      </c>
      <c r="C534" s="303" t="s">
        <v>414</v>
      </c>
      <c r="D534" s="304" t="s">
        <v>702</v>
      </c>
      <c r="E534" s="377" t="s">
        <v>503</v>
      </c>
      <c r="F534" s="367"/>
      <c r="G534" s="368">
        <v>1</v>
      </c>
      <c r="H534" s="368"/>
      <c r="I534" s="370"/>
      <c r="J534" s="370"/>
      <c r="K534" s="367"/>
      <c r="L534" s="370"/>
    </row>
    <row r="535" spans="1:12" ht="33" customHeight="1" x14ac:dyDescent="0.45">
      <c r="A535" s="344" t="s">
        <v>376</v>
      </c>
      <c r="B535" s="303">
        <v>0.71180555555555558</v>
      </c>
      <c r="C535" s="303" t="s">
        <v>414</v>
      </c>
      <c r="D535" s="304" t="s">
        <v>702</v>
      </c>
      <c r="E535" s="377" t="s">
        <v>503</v>
      </c>
      <c r="F535" s="367"/>
      <c r="G535" s="368">
        <v>1</v>
      </c>
      <c r="H535" s="368"/>
      <c r="I535" s="370"/>
      <c r="J535" s="370"/>
      <c r="K535" s="367"/>
      <c r="L535" s="370"/>
    </row>
    <row r="536" spans="1:12" ht="33" customHeight="1" x14ac:dyDescent="0.45">
      <c r="A536" s="315" t="s">
        <v>336</v>
      </c>
      <c r="B536" s="303"/>
      <c r="C536" s="303" t="s">
        <v>660</v>
      </c>
      <c r="D536" s="304"/>
      <c r="E536" s="304"/>
      <c r="F536" s="305"/>
      <c r="G536" s="306"/>
      <c r="H536" s="306"/>
      <c r="I536" s="306"/>
      <c r="J536" s="297"/>
      <c r="K536" s="305"/>
      <c r="L536" s="297"/>
    </row>
    <row r="537" spans="1:12" ht="33" customHeight="1" x14ac:dyDescent="0.45">
      <c r="A537" s="315" t="s">
        <v>336</v>
      </c>
      <c r="B537" s="303"/>
      <c r="C537" s="303" t="s">
        <v>660</v>
      </c>
      <c r="D537" s="304"/>
      <c r="E537" s="304"/>
      <c r="F537" s="305"/>
      <c r="G537" s="306"/>
      <c r="H537" s="306"/>
      <c r="I537" s="306"/>
      <c r="J537" s="297"/>
      <c r="K537" s="305"/>
      <c r="L537" s="297"/>
    </row>
    <row r="538" spans="1:12" ht="33" customHeight="1" x14ac:dyDescent="0.45">
      <c r="A538" s="315" t="s">
        <v>336</v>
      </c>
      <c r="B538" s="303"/>
      <c r="C538" s="303" t="s">
        <v>660</v>
      </c>
      <c r="D538" s="304"/>
      <c r="E538" s="304"/>
      <c r="F538" s="305"/>
      <c r="G538" s="306"/>
      <c r="H538" s="306"/>
      <c r="I538" s="306"/>
      <c r="J538" s="297"/>
      <c r="K538" s="305"/>
      <c r="L538" s="297"/>
    </row>
    <row r="539" spans="1:12" ht="21" x14ac:dyDescent="0.45">
      <c r="A539" s="315" t="s">
        <v>336</v>
      </c>
      <c r="B539" s="303"/>
      <c r="C539" s="303" t="s">
        <v>660</v>
      </c>
      <c r="D539" s="304"/>
      <c r="E539" s="304"/>
      <c r="F539" s="305"/>
      <c r="G539" s="306"/>
      <c r="H539" s="306"/>
      <c r="I539" s="306"/>
      <c r="J539" s="297"/>
      <c r="K539" s="305"/>
      <c r="L539" s="297"/>
    </row>
    <row r="540" spans="1:12" ht="21" x14ac:dyDescent="0.45">
      <c r="A540" s="315" t="s">
        <v>336</v>
      </c>
      <c r="B540" s="303"/>
      <c r="C540" s="303" t="s">
        <v>660</v>
      </c>
      <c r="D540" s="304"/>
      <c r="E540" s="304"/>
      <c r="F540" s="305"/>
      <c r="G540" s="306"/>
      <c r="H540" s="306"/>
      <c r="I540" s="306"/>
      <c r="J540" s="297"/>
      <c r="K540" s="305"/>
      <c r="L540" s="297"/>
    </row>
    <row r="541" spans="1:12" x14ac:dyDescent="0.45">
      <c r="C541" s="190" t="s">
        <v>691</v>
      </c>
      <c r="F541" s="137" t="s">
        <v>15</v>
      </c>
    </row>
    <row r="544" spans="1:12" ht="23.25" x14ac:dyDescent="0.45">
      <c r="A544" s="137" t="s">
        <v>18</v>
      </c>
      <c r="B544" s="260" t="s">
        <v>414</v>
      </c>
      <c r="C544" s="241"/>
      <c r="D544" s="241"/>
      <c r="E544" s="241"/>
    </row>
    <row r="545" spans="1:12" ht="21" x14ac:dyDescent="0.45">
      <c r="A545" s="137" t="s">
        <v>13</v>
      </c>
      <c r="B545" s="320" t="s">
        <v>702</v>
      </c>
      <c r="C545" s="254"/>
      <c r="D545" s="254"/>
      <c r="E545" s="598"/>
      <c r="J545" s="600"/>
      <c r="L545" s="607">
        <f>L522+1</f>
        <v>46169</v>
      </c>
    </row>
    <row r="547" spans="1:12" x14ac:dyDescent="0.45">
      <c r="A547" s="141"/>
      <c r="B547" s="142"/>
      <c r="C547" s="142"/>
      <c r="D547" s="142"/>
      <c r="E547" s="142"/>
      <c r="F547" s="142"/>
      <c r="G547" s="142"/>
      <c r="H547" s="142"/>
      <c r="I547" s="142"/>
      <c r="J547" s="319"/>
      <c r="K547" s="319" t="s">
        <v>337</v>
      </c>
      <c r="L547" s="294"/>
    </row>
    <row r="548" spans="1:12" ht="63" x14ac:dyDescent="0.45">
      <c r="A548" s="297" t="s">
        <v>534</v>
      </c>
      <c r="B548" s="298" t="s">
        <v>0</v>
      </c>
      <c r="C548" s="298" t="s">
        <v>332</v>
      </c>
      <c r="D548" s="298" t="s">
        <v>333</v>
      </c>
      <c r="E548" s="298" t="s">
        <v>535</v>
      </c>
      <c r="F548" s="298" t="s">
        <v>1</v>
      </c>
      <c r="G548" s="298" t="s">
        <v>334</v>
      </c>
      <c r="H548" s="298" t="s">
        <v>335</v>
      </c>
      <c r="I548" s="298" t="s">
        <v>23</v>
      </c>
      <c r="J548" s="300" t="s">
        <v>22</v>
      </c>
      <c r="K548" s="298" t="s">
        <v>17</v>
      </c>
      <c r="L548" s="301" t="s">
        <v>12</v>
      </c>
    </row>
    <row r="549" spans="1:12" ht="33" customHeight="1" x14ac:dyDescent="0.45">
      <c r="A549" s="344" t="s">
        <v>376</v>
      </c>
      <c r="B549" s="345">
        <v>0.3125</v>
      </c>
      <c r="C549" s="345" t="s">
        <v>414</v>
      </c>
      <c r="D549" s="304" t="s">
        <v>702</v>
      </c>
      <c r="E549" s="377" t="s">
        <v>504</v>
      </c>
      <c r="F549" s="580"/>
      <c r="G549" s="368">
        <v>1</v>
      </c>
      <c r="H549" s="363"/>
      <c r="I549" s="580"/>
      <c r="J549" s="365"/>
      <c r="K549" s="580"/>
      <c r="L549" s="366"/>
    </row>
    <row r="550" spans="1:12" ht="33" customHeight="1" x14ac:dyDescent="0.45">
      <c r="A550" s="344" t="s">
        <v>376</v>
      </c>
      <c r="B550" s="345">
        <v>0.3263888888888889</v>
      </c>
      <c r="C550" s="345" t="s">
        <v>414</v>
      </c>
      <c r="D550" s="304" t="s">
        <v>702</v>
      </c>
      <c r="E550" s="377" t="s">
        <v>504</v>
      </c>
      <c r="F550" s="580"/>
      <c r="G550" s="368">
        <v>1</v>
      </c>
      <c r="H550" s="363"/>
      <c r="I550" s="580"/>
      <c r="J550" s="365"/>
      <c r="K550" s="580"/>
      <c r="L550" s="366"/>
    </row>
    <row r="551" spans="1:12" ht="33" customHeight="1" x14ac:dyDescent="0.45">
      <c r="A551" s="344" t="s">
        <v>376</v>
      </c>
      <c r="B551" s="345">
        <v>0.65972222222222221</v>
      </c>
      <c r="C551" s="345" t="s">
        <v>414</v>
      </c>
      <c r="D551" s="304" t="s">
        <v>702</v>
      </c>
      <c r="E551" s="377" t="s">
        <v>503</v>
      </c>
      <c r="F551" s="580"/>
      <c r="G551" s="368">
        <v>1</v>
      </c>
      <c r="H551" s="363"/>
      <c r="I551" s="580"/>
      <c r="J551" s="365"/>
      <c r="K551" s="580"/>
      <c r="L551" s="366"/>
    </row>
    <row r="552" spans="1:12" ht="33" customHeight="1" x14ac:dyDescent="0.45">
      <c r="A552" s="344" t="s">
        <v>376</v>
      </c>
      <c r="B552" s="345">
        <v>0.6875</v>
      </c>
      <c r="C552" s="345" t="s">
        <v>414</v>
      </c>
      <c r="D552" s="304" t="s">
        <v>702</v>
      </c>
      <c r="E552" s="377" t="s">
        <v>503</v>
      </c>
      <c r="F552" s="367"/>
      <c r="G552" s="368">
        <v>1</v>
      </c>
      <c r="H552" s="368"/>
      <c r="I552" s="370"/>
      <c r="J552" s="370"/>
      <c r="K552" s="367"/>
      <c r="L552" s="370"/>
    </row>
    <row r="553" spans="1:12" ht="33" customHeight="1" x14ac:dyDescent="0.45">
      <c r="A553" s="344" t="s">
        <v>376</v>
      </c>
      <c r="B553" s="345">
        <v>0.76041666666666663</v>
      </c>
      <c r="C553" s="345" t="s">
        <v>414</v>
      </c>
      <c r="D553" s="304" t="s">
        <v>702</v>
      </c>
      <c r="E553" s="377" t="s">
        <v>503</v>
      </c>
      <c r="F553" s="367"/>
      <c r="G553" s="368"/>
      <c r="H553" s="368"/>
      <c r="I553" s="370"/>
      <c r="J553" s="370"/>
      <c r="K553" s="367"/>
      <c r="L553" s="370"/>
    </row>
    <row r="554" spans="1:12" ht="33" customHeight="1" x14ac:dyDescent="0.45">
      <c r="A554" s="344" t="s">
        <v>501</v>
      </c>
      <c r="B554" s="345">
        <v>0.78125</v>
      </c>
      <c r="C554" s="345" t="s">
        <v>414</v>
      </c>
      <c r="D554" s="304" t="s">
        <v>702</v>
      </c>
      <c r="E554" s="377" t="s">
        <v>504</v>
      </c>
      <c r="F554" s="367"/>
      <c r="G554" s="368"/>
      <c r="H554" s="368"/>
      <c r="I554" s="370"/>
      <c r="J554" s="370"/>
      <c r="K554" s="367"/>
      <c r="L554" s="370"/>
    </row>
    <row r="555" spans="1:12" ht="33" customHeight="1" x14ac:dyDescent="0.45">
      <c r="A555" s="344" t="s">
        <v>663</v>
      </c>
      <c r="B555" s="345">
        <v>0.80902777777777779</v>
      </c>
      <c r="C555" s="345" t="s">
        <v>414</v>
      </c>
      <c r="D555" s="304" t="s">
        <v>702</v>
      </c>
      <c r="E555" s="377" t="s">
        <v>504</v>
      </c>
      <c r="F555" s="367"/>
      <c r="G555" s="368"/>
      <c r="H555" s="368"/>
      <c r="I555" s="370"/>
      <c r="J555" s="370"/>
      <c r="K555" s="367"/>
      <c r="L555" s="370"/>
    </row>
    <row r="556" spans="1:12" ht="33" customHeight="1" x14ac:dyDescent="0.45">
      <c r="A556" s="344" t="s">
        <v>376</v>
      </c>
      <c r="B556" s="345">
        <v>0.82291666666666663</v>
      </c>
      <c r="C556" s="345" t="s">
        <v>414</v>
      </c>
      <c r="D556" s="304" t="s">
        <v>702</v>
      </c>
      <c r="E556" s="377" t="s">
        <v>503</v>
      </c>
      <c r="F556" s="367"/>
      <c r="G556" s="368"/>
      <c r="H556" s="368"/>
      <c r="I556" s="370"/>
      <c r="J556" s="370"/>
      <c r="K556" s="367"/>
      <c r="L556" s="370"/>
    </row>
    <row r="557" spans="1:12" ht="33" customHeight="1" x14ac:dyDescent="0.45">
      <c r="A557" s="344" t="s">
        <v>336</v>
      </c>
      <c r="B557" s="345"/>
      <c r="C557" s="345" t="s">
        <v>660</v>
      </c>
      <c r="D557" s="304"/>
      <c r="E557" s="377"/>
      <c r="F557" s="367"/>
      <c r="G557" s="368"/>
      <c r="H557" s="368"/>
      <c r="I557" s="370"/>
      <c r="J557" s="370"/>
      <c r="K557" s="367"/>
      <c r="L557" s="370"/>
    </row>
    <row r="558" spans="1:12" ht="33" customHeight="1" x14ac:dyDescent="0.45">
      <c r="A558" s="344" t="s">
        <v>336</v>
      </c>
      <c r="B558" s="345"/>
      <c r="C558" s="345" t="s">
        <v>660</v>
      </c>
      <c r="D558" s="304"/>
      <c r="E558" s="377"/>
      <c r="F558" s="367"/>
      <c r="G558" s="368"/>
      <c r="H558" s="368"/>
      <c r="I558" s="370"/>
      <c r="J558" s="370"/>
      <c r="K558" s="367"/>
      <c r="L558" s="370"/>
    </row>
    <row r="559" spans="1:12" ht="33" customHeight="1" x14ac:dyDescent="0.45">
      <c r="A559" s="344" t="s">
        <v>336</v>
      </c>
      <c r="B559" s="345"/>
      <c r="C559" s="345" t="s">
        <v>660</v>
      </c>
      <c r="D559" s="304"/>
      <c r="E559" s="377"/>
      <c r="F559" s="367"/>
      <c r="G559" s="368"/>
      <c r="H559" s="368"/>
      <c r="I559" s="370"/>
      <c r="J559" s="370"/>
      <c r="K559" s="367"/>
      <c r="L559" s="370"/>
    </row>
    <row r="560" spans="1:12" ht="33" customHeight="1" x14ac:dyDescent="0.45">
      <c r="A560" s="344" t="s">
        <v>336</v>
      </c>
      <c r="B560" s="345"/>
      <c r="C560" s="345" t="s">
        <v>660</v>
      </c>
      <c r="D560" s="304"/>
      <c r="E560" s="377"/>
      <c r="F560" s="367"/>
      <c r="G560" s="368"/>
      <c r="H560" s="368"/>
      <c r="I560" s="370"/>
      <c r="J560" s="370"/>
      <c r="K560" s="367"/>
      <c r="L560" s="370"/>
    </row>
    <row r="561" spans="1:12" ht="33" customHeight="1" x14ac:dyDescent="0.45">
      <c r="A561" s="344" t="s">
        <v>336</v>
      </c>
      <c r="B561" s="345"/>
      <c r="C561" s="345" t="s">
        <v>660</v>
      </c>
      <c r="D561" s="304"/>
      <c r="E561" s="377"/>
      <c r="F561" s="367"/>
      <c r="G561" s="368"/>
      <c r="H561" s="368"/>
      <c r="I561" s="370"/>
      <c r="J561" s="370"/>
      <c r="K561" s="367"/>
      <c r="L561" s="370"/>
    </row>
    <row r="562" spans="1:12" ht="33" customHeight="1" x14ac:dyDescent="0.45">
      <c r="C562" s="190" t="s">
        <v>691</v>
      </c>
      <c r="F562" s="137" t="s">
        <v>15</v>
      </c>
    </row>
    <row r="563" spans="1:12" ht="33" customHeight="1" x14ac:dyDescent="0.45">
      <c r="C563" s="190"/>
    </row>
    <row r="565" spans="1:12" ht="23.25" x14ac:dyDescent="0.45">
      <c r="A565" s="137" t="s">
        <v>18</v>
      </c>
      <c r="B565" s="260" t="s">
        <v>414</v>
      </c>
      <c r="C565" s="241"/>
      <c r="D565" s="241"/>
      <c r="E565" s="241"/>
    </row>
    <row r="566" spans="1:12" ht="21" x14ac:dyDescent="0.45">
      <c r="A566" s="137" t="s">
        <v>13</v>
      </c>
      <c r="B566" s="320" t="s">
        <v>702</v>
      </c>
      <c r="C566" s="254"/>
      <c r="D566" s="254"/>
      <c r="E566" s="598"/>
      <c r="J566" s="600"/>
      <c r="L566" s="600">
        <f>L545+1</f>
        <v>46170</v>
      </c>
    </row>
    <row r="568" spans="1:12" x14ac:dyDescent="0.45">
      <c r="A568" s="141"/>
      <c r="B568" s="142"/>
      <c r="C568" s="142"/>
      <c r="D568" s="142"/>
      <c r="E568" s="142"/>
      <c r="F568" s="142"/>
      <c r="G568" s="142"/>
      <c r="H568" s="142"/>
      <c r="I568" s="142"/>
      <c r="J568" s="319"/>
      <c r="K568" s="319" t="s">
        <v>337</v>
      </c>
      <c r="L568" s="294"/>
    </row>
    <row r="569" spans="1:12" ht="63" x14ac:dyDescent="0.45">
      <c r="A569" s="297" t="s">
        <v>534</v>
      </c>
      <c r="B569" s="298" t="s">
        <v>0</v>
      </c>
      <c r="C569" s="298" t="s">
        <v>332</v>
      </c>
      <c r="D569" s="298" t="s">
        <v>333</v>
      </c>
      <c r="E569" s="298" t="s">
        <v>535</v>
      </c>
      <c r="F569" s="298" t="s">
        <v>1</v>
      </c>
      <c r="G569" s="298" t="s">
        <v>334</v>
      </c>
      <c r="H569" s="298" t="s">
        <v>335</v>
      </c>
      <c r="I569" s="298" t="s">
        <v>23</v>
      </c>
      <c r="J569" s="300" t="s">
        <v>22</v>
      </c>
      <c r="K569" s="298" t="s">
        <v>17</v>
      </c>
      <c r="L569" s="301" t="s">
        <v>12</v>
      </c>
    </row>
    <row r="570" spans="1:12" ht="33.4" customHeight="1" x14ac:dyDescent="0.45">
      <c r="A570" s="344" t="s">
        <v>376</v>
      </c>
      <c r="B570" s="345">
        <v>0.23958333333333334</v>
      </c>
      <c r="C570" s="345" t="s">
        <v>414</v>
      </c>
      <c r="D570" s="304" t="s">
        <v>702</v>
      </c>
      <c r="E570" s="377" t="s">
        <v>503</v>
      </c>
      <c r="F570" s="580"/>
      <c r="G570" s="368">
        <v>1</v>
      </c>
      <c r="H570" s="363"/>
      <c r="I570" s="580"/>
      <c r="J570" s="365"/>
      <c r="K570" s="580"/>
      <c r="L570" s="366"/>
    </row>
    <row r="571" spans="1:12" ht="33.4" customHeight="1" x14ac:dyDescent="0.45">
      <c r="A571" s="344" t="s">
        <v>376</v>
      </c>
      <c r="B571" s="345">
        <v>0.27083333333333331</v>
      </c>
      <c r="C571" s="345" t="s">
        <v>414</v>
      </c>
      <c r="D571" s="304" t="s">
        <v>702</v>
      </c>
      <c r="E571" s="377" t="s">
        <v>688</v>
      </c>
      <c r="F571" s="367"/>
      <c r="G571" s="368">
        <v>1</v>
      </c>
      <c r="H571" s="368"/>
      <c r="I571" s="370"/>
      <c r="J571" s="370"/>
      <c r="K571" s="367"/>
      <c r="L571" s="370"/>
    </row>
    <row r="572" spans="1:12" ht="33.4" customHeight="1" x14ac:dyDescent="0.45">
      <c r="A572" s="344" t="s">
        <v>533</v>
      </c>
      <c r="B572" s="345">
        <v>0.28472222222222221</v>
      </c>
      <c r="C572" s="345" t="s">
        <v>414</v>
      </c>
      <c r="D572" s="304" t="s">
        <v>702</v>
      </c>
      <c r="E572" s="377" t="s">
        <v>504</v>
      </c>
      <c r="F572" s="367"/>
      <c r="G572" s="368">
        <v>1</v>
      </c>
      <c r="H572" s="368"/>
      <c r="I572" s="370"/>
      <c r="J572" s="370"/>
      <c r="K572" s="367"/>
      <c r="L572" s="370"/>
    </row>
    <row r="573" spans="1:12" ht="33.4" customHeight="1" x14ac:dyDescent="0.45">
      <c r="A573" s="344" t="s">
        <v>376</v>
      </c>
      <c r="B573" s="345">
        <v>0.3125</v>
      </c>
      <c r="C573" s="345" t="s">
        <v>414</v>
      </c>
      <c r="D573" s="304" t="s">
        <v>702</v>
      </c>
      <c r="E573" s="377" t="s">
        <v>504</v>
      </c>
      <c r="F573" s="367"/>
      <c r="G573" s="368">
        <v>1</v>
      </c>
      <c r="H573" s="368"/>
      <c r="I573" s="370"/>
      <c r="J573" s="370"/>
      <c r="K573" s="367"/>
      <c r="L573" s="370"/>
    </row>
    <row r="574" spans="1:12" ht="33.4" customHeight="1" x14ac:dyDescent="0.45">
      <c r="A574" s="344" t="s">
        <v>501</v>
      </c>
      <c r="B574" s="345">
        <v>0.3263888888888889</v>
      </c>
      <c r="C574" s="345" t="s">
        <v>414</v>
      </c>
      <c r="D574" s="304" t="s">
        <v>702</v>
      </c>
      <c r="E574" s="377" t="s">
        <v>504</v>
      </c>
      <c r="F574" s="367"/>
      <c r="G574" s="368">
        <v>1</v>
      </c>
      <c r="H574" s="368"/>
      <c r="I574" s="370"/>
      <c r="J574" s="370"/>
      <c r="K574" s="367"/>
      <c r="L574" s="370"/>
    </row>
    <row r="575" spans="1:12" ht="33.4" customHeight="1" x14ac:dyDescent="0.45">
      <c r="A575" s="344" t="s">
        <v>501</v>
      </c>
      <c r="B575" s="303">
        <v>0.625</v>
      </c>
      <c r="C575" s="303" t="s">
        <v>414</v>
      </c>
      <c r="D575" s="304" t="s">
        <v>702</v>
      </c>
      <c r="E575" s="377" t="s">
        <v>504</v>
      </c>
      <c r="F575" s="367"/>
      <c r="G575" s="368">
        <v>1</v>
      </c>
      <c r="H575" s="368"/>
      <c r="I575" s="370"/>
      <c r="J575" s="370"/>
      <c r="K575" s="367"/>
      <c r="L575" s="370"/>
    </row>
    <row r="576" spans="1:12" ht="33.4" customHeight="1" x14ac:dyDescent="0.45">
      <c r="A576" s="344" t="s">
        <v>376</v>
      </c>
      <c r="B576" s="303">
        <v>0.65972222222222221</v>
      </c>
      <c r="C576" s="303" t="s">
        <v>414</v>
      </c>
      <c r="D576" s="304" t="s">
        <v>702</v>
      </c>
      <c r="E576" s="377" t="s">
        <v>503</v>
      </c>
      <c r="F576" s="367"/>
      <c r="G576" s="368">
        <v>1</v>
      </c>
      <c r="H576" s="368"/>
      <c r="I576" s="370"/>
      <c r="J576" s="370"/>
      <c r="K576" s="367"/>
      <c r="L576" s="370"/>
    </row>
    <row r="577" spans="1:12" ht="33.4" customHeight="1" x14ac:dyDescent="0.45">
      <c r="A577" s="344" t="s">
        <v>376</v>
      </c>
      <c r="B577" s="303">
        <v>0.6875</v>
      </c>
      <c r="C577" s="303" t="s">
        <v>414</v>
      </c>
      <c r="D577" s="304" t="s">
        <v>702</v>
      </c>
      <c r="E577" s="377" t="s">
        <v>503</v>
      </c>
      <c r="F577" s="367"/>
      <c r="G577" s="368">
        <v>1</v>
      </c>
      <c r="H577" s="368"/>
      <c r="I577" s="370"/>
      <c r="J577" s="370"/>
      <c r="K577" s="367"/>
      <c r="L577" s="370"/>
    </row>
    <row r="578" spans="1:12" ht="33.4" customHeight="1" x14ac:dyDescent="0.45">
      <c r="A578" s="344" t="s">
        <v>376</v>
      </c>
      <c r="B578" s="303">
        <v>0.71180555555555558</v>
      </c>
      <c r="C578" s="303" t="s">
        <v>414</v>
      </c>
      <c r="D578" s="304" t="s">
        <v>702</v>
      </c>
      <c r="E578" s="377" t="s">
        <v>503</v>
      </c>
      <c r="F578" s="367"/>
      <c r="G578" s="368">
        <v>1</v>
      </c>
      <c r="H578" s="368"/>
      <c r="I578" s="370"/>
      <c r="J578" s="370"/>
      <c r="K578" s="367"/>
      <c r="L578" s="370"/>
    </row>
    <row r="579" spans="1:12" ht="33.4" customHeight="1" x14ac:dyDescent="0.45">
      <c r="A579" s="315" t="s">
        <v>336</v>
      </c>
      <c r="B579" s="303"/>
      <c r="C579" s="303" t="s">
        <v>660</v>
      </c>
      <c r="D579" s="304"/>
      <c r="E579" s="304"/>
      <c r="F579" s="305"/>
      <c r="G579" s="306"/>
      <c r="H579" s="306"/>
      <c r="I579" s="306"/>
      <c r="J579" s="297"/>
      <c r="K579" s="305"/>
      <c r="L579" s="297"/>
    </row>
    <row r="580" spans="1:12" ht="33.4" customHeight="1" x14ac:dyDescent="0.45">
      <c r="A580" s="315" t="s">
        <v>336</v>
      </c>
      <c r="B580" s="303"/>
      <c r="C580" s="303" t="s">
        <v>660</v>
      </c>
      <c r="D580" s="304"/>
      <c r="E580" s="304"/>
      <c r="F580" s="305"/>
      <c r="G580" s="306"/>
      <c r="H580" s="306"/>
      <c r="I580" s="306"/>
      <c r="J580" s="297"/>
      <c r="K580" s="305"/>
      <c r="L580" s="297"/>
    </row>
    <row r="581" spans="1:12" ht="33.4" customHeight="1" x14ac:dyDescent="0.45">
      <c r="A581" s="315" t="s">
        <v>336</v>
      </c>
      <c r="B581" s="303"/>
      <c r="C581" s="303" t="s">
        <v>660</v>
      </c>
      <c r="D581" s="304"/>
      <c r="E581" s="304"/>
      <c r="F581" s="305"/>
      <c r="G581" s="306"/>
      <c r="H581" s="306"/>
      <c r="I581" s="306"/>
      <c r="J581" s="297"/>
      <c r="K581" s="305"/>
      <c r="L581" s="297"/>
    </row>
    <row r="582" spans="1:12" ht="33.4" customHeight="1" x14ac:dyDescent="0.45">
      <c r="A582" s="315" t="s">
        <v>336</v>
      </c>
      <c r="B582" s="303"/>
      <c r="C582" s="303" t="s">
        <v>660</v>
      </c>
      <c r="D582" s="304"/>
      <c r="E582" s="304"/>
      <c r="F582" s="305"/>
      <c r="G582" s="306"/>
      <c r="H582" s="306"/>
      <c r="I582" s="306"/>
      <c r="J582" s="297"/>
      <c r="K582" s="305"/>
      <c r="L582" s="297"/>
    </row>
    <row r="583" spans="1:12" ht="33.4" customHeight="1" x14ac:dyDescent="0.45">
      <c r="A583" s="315" t="s">
        <v>336</v>
      </c>
      <c r="B583" s="303"/>
      <c r="C583" s="303" t="s">
        <v>660</v>
      </c>
      <c r="D583" s="304"/>
      <c r="E583" s="304"/>
      <c r="F583" s="305"/>
      <c r="G583" s="306"/>
      <c r="H583" s="306"/>
      <c r="I583" s="306"/>
      <c r="J583" s="297"/>
      <c r="K583" s="305"/>
      <c r="L583" s="297"/>
    </row>
    <row r="584" spans="1:12" ht="33.4" customHeight="1" x14ac:dyDescent="0.45">
      <c r="C584" s="190" t="s">
        <v>691</v>
      </c>
      <c r="F584" s="137" t="s">
        <v>15</v>
      </c>
    </row>
    <row r="586" spans="1:12" ht="23.25" x14ac:dyDescent="0.45">
      <c r="A586" s="137" t="s">
        <v>18</v>
      </c>
      <c r="B586" s="260" t="s">
        <v>414</v>
      </c>
      <c r="C586" s="241"/>
      <c r="D586" s="241"/>
      <c r="E586" s="241"/>
    </row>
    <row r="587" spans="1:12" ht="21" x14ac:dyDescent="0.45">
      <c r="A587" s="137" t="s">
        <v>13</v>
      </c>
      <c r="B587" s="320" t="s">
        <v>702</v>
      </c>
      <c r="C587" s="254"/>
      <c r="D587" s="254"/>
      <c r="E587" s="598"/>
      <c r="J587" s="600"/>
      <c r="L587" s="600">
        <f>L566+1</f>
        <v>46171</v>
      </c>
    </row>
    <row r="589" spans="1:12" x14ac:dyDescent="0.45">
      <c r="A589" s="141"/>
      <c r="B589" s="142"/>
      <c r="C589" s="142"/>
      <c r="D589" s="142"/>
      <c r="E589" s="142"/>
      <c r="F589" s="142"/>
      <c r="G589" s="142"/>
      <c r="H589" s="142"/>
      <c r="I589" s="142"/>
      <c r="J589" s="319"/>
      <c r="K589" s="319" t="s">
        <v>337</v>
      </c>
      <c r="L589" s="294"/>
    </row>
    <row r="590" spans="1:12" ht="63" x14ac:dyDescent="0.45">
      <c r="A590" s="297" t="s">
        <v>534</v>
      </c>
      <c r="B590" s="298" t="s">
        <v>0</v>
      </c>
      <c r="C590" s="298" t="s">
        <v>332</v>
      </c>
      <c r="D590" s="298" t="s">
        <v>333</v>
      </c>
      <c r="E590" s="298" t="s">
        <v>535</v>
      </c>
      <c r="F590" s="298" t="s">
        <v>1</v>
      </c>
      <c r="G590" s="298" t="s">
        <v>334</v>
      </c>
      <c r="H590" s="298" t="s">
        <v>335</v>
      </c>
      <c r="I590" s="298" t="s">
        <v>23</v>
      </c>
      <c r="J590" s="300" t="s">
        <v>22</v>
      </c>
      <c r="K590" s="298" t="s">
        <v>17</v>
      </c>
      <c r="L590" s="301" t="s">
        <v>12</v>
      </c>
    </row>
    <row r="591" spans="1:12" ht="33.4" customHeight="1" x14ac:dyDescent="0.45">
      <c r="A591" s="344" t="s">
        <v>376</v>
      </c>
      <c r="B591" s="345">
        <v>0.23958333333333334</v>
      </c>
      <c r="C591" s="345" t="s">
        <v>414</v>
      </c>
      <c r="D591" s="304" t="s">
        <v>702</v>
      </c>
      <c r="E591" s="377" t="s">
        <v>503</v>
      </c>
      <c r="F591" s="580"/>
      <c r="G591" s="368">
        <v>1</v>
      </c>
      <c r="H591" s="363"/>
      <c r="I591" s="580"/>
      <c r="J591" s="365"/>
      <c r="K591" s="580"/>
      <c r="L591" s="366"/>
    </row>
    <row r="592" spans="1:12" ht="33.4" customHeight="1" x14ac:dyDescent="0.45">
      <c r="A592" s="344" t="s">
        <v>376</v>
      </c>
      <c r="B592" s="345">
        <v>0.27083333333333331</v>
      </c>
      <c r="C592" s="345" t="s">
        <v>414</v>
      </c>
      <c r="D592" s="304" t="s">
        <v>702</v>
      </c>
      <c r="E592" s="377" t="s">
        <v>688</v>
      </c>
      <c r="F592" s="367"/>
      <c r="G592" s="368">
        <v>1</v>
      </c>
      <c r="H592" s="368"/>
      <c r="I592" s="370"/>
      <c r="J592" s="370"/>
      <c r="K592" s="367"/>
      <c r="L592" s="370"/>
    </row>
    <row r="593" spans="1:12" ht="33.4" customHeight="1" x14ac:dyDescent="0.45">
      <c r="A593" s="344" t="s">
        <v>533</v>
      </c>
      <c r="B593" s="345">
        <v>0.28472222222222221</v>
      </c>
      <c r="C593" s="345" t="s">
        <v>414</v>
      </c>
      <c r="D593" s="304" t="s">
        <v>702</v>
      </c>
      <c r="E593" s="377" t="s">
        <v>504</v>
      </c>
      <c r="F593" s="367"/>
      <c r="G593" s="368">
        <v>1</v>
      </c>
      <c r="H593" s="368"/>
      <c r="I593" s="370"/>
      <c r="J593" s="370"/>
      <c r="K593" s="367"/>
      <c r="L593" s="370"/>
    </row>
    <row r="594" spans="1:12" ht="33.4" customHeight="1" x14ac:dyDescent="0.45">
      <c r="A594" s="344" t="s">
        <v>376</v>
      </c>
      <c r="B594" s="345">
        <v>0.3125</v>
      </c>
      <c r="C594" s="345" t="s">
        <v>414</v>
      </c>
      <c r="D594" s="304" t="s">
        <v>702</v>
      </c>
      <c r="E594" s="377" t="s">
        <v>504</v>
      </c>
      <c r="F594" s="367"/>
      <c r="G594" s="368">
        <v>1</v>
      </c>
      <c r="H594" s="368"/>
      <c r="I594" s="370"/>
      <c r="J594" s="370"/>
      <c r="K594" s="367"/>
      <c r="L594" s="370"/>
    </row>
    <row r="595" spans="1:12" ht="33.4" customHeight="1" x14ac:dyDescent="0.45">
      <c r="A595" s="344" t="s">
        <v>501</v>
      </c>
      <c r="B595" s="345">
        <v>0.3263888888888889</v>
      </c>
      <c r="C595" s="345" t="s">
        <v>414</v>
      </c>
      <c r="D595" s="304" t="s">
        <v>702</v>
      </c>
      <c r="E595" s="377" t="s">
        <v>504</v>
      </c>
      <c r="F595" s="367"/>
      <c r="G595" s="368">
        <v>1</v>
      </c>
      <c r="H595" s="368"/>
      <c r="I595" s="370"/>
      <c r="J595" s="370"/>
      <c r="K595" s="367"/>
      <c r="L595" s="370"/>
    </row>
    <row r="596" spans="1:12" ht="33.4" customHeight="1" x14ac:dyDescent="0.45">
      <c r="A596" s="344" t="s">
        <v>501</v>
      </c>
      <c r="B596" s="303">
        <v>0.625</v>
      </c>
      <c r="C596" s="303" t="s">
        <v>414</v>
      </c>
      <c r="D596" s="304" t="s">
        <v>702</v>
      </c>
      <c r="E596" s="377" t="s">
        <v>504</v>
      </c>
      <c r="F596" s="367"/>
      <c r="G596" s="368">
        <v>1</v>
      </c>
      <c r="H596" s="368"/>
      <c r="I596" s="370"/>
      <c r="J596" s="370"/>
      <c r="K596" s="367"/>
      <c r="L596" s="370"/>
    </row>
    <row r="597" spans="1:12" ht="33.4" customHeight="1" x14ac:dyDescent="0.45">
      <c r="A597" s="344" t="s">
        <v>376</v>
      </c>
      <c r="B597" s="303">
        <v>0.65972222222222221</v>
      </c>
      <c r="C597" s="303" t="s">
        <v>414</v>
      </c>
      <c r="D597" s="304" t="s">
        <v>702</v>
      </c>
      <c r="E597" s="377" t="s">
        <v>503</v>
      </c>
      <c r="F597" s="367"/>
      <c r="G597" s="368">
        <v>1</v>
      </c>
      <c r="H597" s="368"/>
      <c r="I597" s="370"/>
      <c r="J597" s="370"/>
      <c r="K597" s="367"/>
      <c r="L597" s="370"/>
    </row>
    <row r="598" spans="1:12" ht="33.4" customHeight="1" x14ac:dyDescent="0.45">
      <c r="A598" s="344" t="s">
        <v>376</v>
      </c>
      <c r="B598" s="303">
        <v>0.6875</v>
      </c>
      <c r="C598" s="303" t="s">
        <v>414</v>
      </c>
      <c r="D598" s="304" t="s">
        <v>702</v>
      </c>
      <c r="E598" s="377" t="s">
        <v>503</v>
      </c>
      <c r="F598" s="367"/>
      <c r="G598" s="368">
        <v>1</v>
      </c>
      <c r="H598" s="368"/>
      <c r="I598" s="370"/>
      <c r="J598" s="370"/>
      <c r="K598" s="367"/>
      <c r="L598" s="370"/>
    </row>
    <row r="599" spans="1:12" ht="33.4" customHeight="1" x14ac:dyDescent="0.45">
      <c r="A599" s="344" t="s">
        <v>376</v>
      </c>
      <c r="B599" s="303">
        <v>0.71180555555555558</v>
      </c>
      <c r="C599" s="303" t="s">
        <v>414</v>
      </c>
      <c r="D599" s="304" t="s">
        <v>702</v>
      </c>
      <c r="E599" s="377" t="s">
        <v>503</v>
      </c>
      <c r="F599" s="367"/>
      <c r="G599" s="368">
        <v>1</v>
      </c>
      <c r="H599" s="368"/>
      <c r="I599" s="370"/>
      <c r="J599" s="370"/>
      <c r="K599" s="367"/>
      <c r="L599" s="370"/>
    </row>
    <row r="600" spans="1:12" ht="33.4" customHeight="1" x14ac:dyDescent="0.45">
      <c r="A600" s="315" t="s">
        <v>336</v>
      </c>
      <c r="B600" s="303"/>
      <c r="C600" s="303" t="s">
        <v>660</v>
      </c>
      <c r="D600" s="304"/>
      <c r="E600" s="304"/>
      <c r="F600" s="305"/>
      <c r="G600" s="306"/>
      <c r="H600" s="306"/>
      <c r="I600" s="306"/>
      <c r="J600" s="297"/>
      <c r="K600" s="305"/>
      <c r="L600" s="297"/>
    </row>
    <row r="601" spans="1:12" ht="33.4" customHeight="1" x14ac:dyDescent="0.45">
      <c r="A601" s="315" t="s">
        <v>336</v>
      </c>
      <c r="B601" s="303"/>
      <c r="C601" s="303" t="s">
        <v>660</v>
      </c>
      <c r="D601" s="304"/>
      <c r="E601" s="304"/>
      <c r="F601" s="305"/>
      <c r="G601" s="306"/>
      <c r="H601" s="306"/>
      <c r="I601" s="306"/>
      <c r="J601" s="297"/>
      <c r="K601" s="305"/>
      <c r="L601" s="297"/>
    </row>
    <row r="602" spans="1:12" ht="33.4" customHeight="1" x14ac:dyDescent="0.45">
      <c r="A602" s="315" t="s">
        <v>336</v>
      </c>
      <c r="B602" s="303"/>
      <c r="C602" s="303" t="s">
        <v>660</v>
      </c>
      <c r="D602" s="304"/>
      <c r="E602" s="304"/>
      <c r="F602" s="305"/>
      <c r="G602" s="306"/>
      <c r="H602" s="306"/>
      <c r="I602" s="306"/>
      <c r="J602" s="297"/>
      <c r="K602" s="305"/>
      <c r="L602" s="297"/>
    </row>
    <row r="603" spans="1:12" ht="33.4" customHeight="1" x14ac:dyDescent="0.45">
      <c r="A603" s="315" t="s">
        <v>336</v>
      </c>
      <c r="B603" s="303"/>
      <c r="C603" s="303" t="s">
        <v>660</v>
      </c>
      <c r="D603" s="304"/>
      <c r="E603" s="304"/>
      <c r="F603" s="305"/>
      <c r="G603" s="306"/>
      <c r="H603" s="306"/>
      <c r="I603" s="306"/>
      <c r="J603" s="297"/>
      <c r="K603" s="305"/>
      <c r="L603" s="297"/>
    </row>
    <row r="604" spans="1:12" ht="33.4" customHeight="1" x14ac:dyDescent="0.45">
      <c r="A604" s="315" t="s">
        <v>336</v>
      </c>
      <c r="B604" s="303"/>
      <c r="C604" s="303" t="s">
        <v>660</v>
      </c>
      <c r="D604" s="304"/>
      <c r="E604" s="304"/>
      <c r="F604" s="305"/>
      <c r="G604" s="306"/>
      <c r="H604" s="306"/>
      <c r="I604" s="306"/>
      <c r="J604" s="297"/>
      <c r="K604" s="305"/>
      <c r="L604" s="297"/>
    </row>
    <row r="605" spans="1:12" ht="33.4" customHeight="1" x14ac:dyDescent="0.45">
      <c r="C605" s="190" t="s">
        <v>691</v>
      </c>
      <c r="F605" s="137" t="s">
        <v>15</v>
      </c>
    </row>
    <row r="607" spans="1:12" ht="23.25" x14ac:dyDescent="0.45">
      <c r="A607" s="137" t="s">
        <v>18</v>
      </c>
      <c r="B607" s="260" t="s">
        <v>414</v>
      </c>
      <c r="C607" s="241"/>
      <c r="D607" s="241"/>
      <c r="E607" s="241"/>
    </row>
    <row r="608" spans="1:12" ht="21" x14ac:dyDescent="0.45">
      <c r="A608" s="137" t="s">
        <v>13</v>
      </c>
      <c r="B608" s="320" t="s">
        <v>702</v>
      </c>
      <c r="C608" s="254"/>
      <c r="D608" s="254"/>
      <c r="E608" s="598"/>
      <c r="J608" s="600"/>
      <c r="L608" s="600">
        <f>L587+1</f>
        <v>46172</v>
      </c>
    </row>
    <row r="610" spans="1:12" x14ac:dyDescent="0.45">
      <c r="A610" s="141"/>
      <c r="B610" s="142"/>
      <c r="C610" s="142"/>
      <c r="D610" s="142"/>
      <c r="E610" s="142"/>
      <c r="F610" s="142"/>
      <c r="G610" s="142"/>
      <c r="H610" s="142"/>
      <c r="I610" s="142"/>
      <c r="J610" s="319"/>
      <c r="K610" s="319" t="s">
        <v>337</v>
      </c>
      <c r="L610" s="294"/>
    </row>
    <row r="611" spans="1:12" ht="63" x14ac:dyDescent="0.45">
      <c r="A611" s="297" t="s">
        <v>534</v>
      </c>
      <c r="B611" s="298" t="s">
        <v>0</v>
      </c>
      <c r="C611" s="298" t="s">
        <v>332</v>
      </c>
      <c r="D611" s="298" t="s">
        <v>333</v>
      </c>
      <c r="E611" s="298" t="s">
        <v>535</v>
      </c>
      <c r="F611" s="298" t="s">
        <v>1</v>
      </c>
      <c r="G611" s="298" t="s">
        <v>334</v>
      </c>
      <c r="H611" s="298" t="s">
        <v>335</v>
      </c>
      <c r="I611" s="298" t="s">
        <v>23</v>
      </c>
      <c r="J611" s="300" t="s">
        <v>22</v>
      </c>
      <c r="K611" s="298" t="s">
        <v>17</v>
      </c>
      <c r="L611" s="301" t="s">
        <v>12</v>
      </c>
    </row>
    <row r="612" spans="1:12" ht="33" customHeight="1" x14ac:dyDescent="0.45">
      <c r="A612" s="344" t="s">
        <v>376</v>
      </c>
      <c r="B612" s="345">
        <v>0.23958333333333334</v>
      </c>
      <c r="C612" s="345" t="s">
        <v>414</v>
      </c>
      <c r="D612" s="304" t="s">
        <v>702</v>
      </c>
      <c r="E612" s="377" t="s">
        <v>503</v>
      </c>
      <c r="F612" s="580"/>
      <c r="G612" s="368">
        <v>1</v>
      </c>
      <c r="H612" s="363"/>
      <c r="I612" s="580"/>
      <c r="J612" s="365"/>
      <c r="K612" s="580"/>
      <c r="L612" s="366"/>
    </row>
    <row r="613" spans="1:12" ht="33" customHeight="1" x14ac:dyDescent="0.45">
      <c r="A613" s="344" t="s">
        <v>376</v>
      </c>
      <c r="B613" s="345">
        <v>0.27083333333333331</v>
      </c>
      <c r="C613" s="345" t="s">
        <v>414</v>
      </c>
      <c r="D613" s="304" t="s">
        <v>702</v>
      </c>
      <c r="E613" s="377" t="s">
        <v>688</v>
      </c>
      <c r="F613" s="367"/>
      <c r="G613" s="368">
        <v>1</v>
      </c>
      <c r="H613" s="368"/>
      <c r="I613" s="370"/>
      <c r="J613" s="370"/>
      <c r="K613" s="367"/>
      <c r="L613" s="370"/>
    </row>
    <row r="614" spans="1:12" ht="33" customHeight="1" x14ac:dyDescent="0.45">
      <c r="A614" s="344" t="s">
        <v>533</v>
      </c>
      <c r="B614" s="345">
        <v>0.28472222222222221</v>
      </c>
      <c r="C614" s="345" t="s">
        <v>414</v>
      </c>
      <c r="D614" s="304" t="s">
        <v>702</v>
      </c>
      <c r="E614" s="377" t="s">
        <v>504</v>
      </c>
      <c r="F614" s="367"/>
      <c r="G614" s="368">
        <v>1</v>
      </c>
      <c r="H614" s="368"/>
      <c r="I614" s="370"/>
      <c r="J614" s="370"/>
      <c r="K614" s="367"/>
      <c r="L614" s="370"/>
    </row>
    <row r="615" spans="1:12" ht="33" customHeight="1" x14ac:dyDescent="0.45">
      <c r="A615" s="344" t="s">
        <v>376</v>
      </c>
      <c r="B615" s="345">
        <v>0.3125</v>
      </c>
      <c r="C615" s="345" t="s">
        <v>414</v>
      </c>
      <c r="D615" s="304" t="s">
        <v>702</v>
      </c>
      <c r="E615" s="377" t="s">
        <v>504</v>
      </c>
      <c r="F615" s="367"/>
      <c r="G615" s="368">
        <v>1</v>
      </c>
      <c r="H615" s="368"/>
      <c r="I615" s="370"/>
      <c r="J615" s="370"/>
      <c r="K615" s="367"/>
      <c r="L615" s="370"/>
    </row>
    <row r="616" spans="1:12" ht="33" customHeight="1" x14ac:dyDescent="0.45">
      <c r="A616" s="344" t="s">
        <v>501</v>
      </c>
      <c r="B616" s="345">
        <v>0.3263888888888889</v>
      </c>
      <c r="C616" s="345" t="s">
        <v>414</v>
      </c>
      <c r="D616" s="304" t="s">
        <v>702</v>
      </c>
      <c r="E616" s="377" t="s">
        <v>504</v>
      </c>
      <c r="F616" s="367"/>
      <c r="G616" s="368">
        <v>1</v>
      </c>
      <c r="H616" s="368"/>
      <c r="I616" s="370"/>
      <c r="J616" s="370"/>
      <c r="K616" s="367"/>
      <c r="L616" s="370"/>
    </row>
    <row r="617" spans="1:12" ht="33" customHeight="1" x14ac:dyDescent="0.45">
      <c r="A617" s="344" t="s">
        <v>501</v>
      </c>
      <c r="B617" s="303">
        <v>0.625</v>
      </c>
      <c r="C617" s="303" t="s">
        <v>414</v>
      </c>
      <c r="D617" s="304" t="s">
        <v>702</v>
      </c>
      <c r="E617" s="377" t="s">
        <v>504</v>
      </c>
      <c r="F617" s="367"/>
      <c r="G617" s="368">
        <v>1</v>
      </c>
      <c r="H617" s="368"/>
      <c r="I617" s="370"/>
      <c r="J617" s="370"/>
      <c r="K617" s="367"/>
      <c r="L617" s="370"/>
    </row>
    <row r="618" spans="1:12" ht="33" customHeight="1" x14ac:dyDescent="0.45">
      <c r="A618" s="344" t="s">
        <v>376</v>
      </c>
      <c r="B618" s="303">
        <v>0.65972222222222221</v>
      </c>
      <c r="C618" s="303" t="s">
        <v>414</v>
      </c>
      <c r="D618" s="304" t="s">
        <v>702</v>
      </c>
      <c r="E618" s="377" t="s">
        <v>503</v>
      </c>
      <c r="F618" s="367"/>
      <c r="G618" s="368">
        <v>1</v>
      </c>
      <c r="H618" s="368"/>
      <c r="I618" s="370"/>
      <c r="J618" s="370"/>
      <c r="K618" s="367"/>
      <c r="L618" s="370"/>
    </row>
    <row r="619" spans="1:12" ht="33" customHeight="1" x14ac:dyDescent="0.45">
      <c r="A619" s="344" t="s">
        <v>376</v>
      </c>
      <c r="B619" s="303">
        <v>0.6875</v>
      </c>
      <c r="C619" s="303" t="s">
        <v>414</v>
      </c>
      <c r="D619" s="304" t="s">
        <v>702</v>
      </c>
      <c r="E619" s="377" t="s">
        <v>503</v>
      </c>
      <c r="F619" s="367"/>
      <c r="G619" s="368">
        <v>1</v>
      </c>
      <c r="H619" s="368"/>
      <c r="I619" s="370"/>
      <c r="J619" s="370"/>
      <c r="K619" s="367"/>
      <c r="L619" s="370"/>
    </row>
    <row r="620" spans="1:12" ht="33" customHeight="1" x14ac:dyDescent="0.45">
      <c r="A620" s="344" t="s">
        <v>376</v>
      </c>
      <c r="B620" s="303">
        <v>0.71180555555555558</v>
      </c>
      <c r="C620" s="303" t="s">
        <v>414</v>
      </c>
      <c r="D620" s="304" t="s">
        <v>702</v>
      </c>
      <c r="E620" s="377" t="s">
        <v>503</v>
      </c>
      <c r="F620" s="367"/>
      <c r="G620" s="368">
        <v>1</v>
      </c>
      <c r="H620" s="368"/>
      <c r="I620" s="370"/>
      <c r="J620" s="370"/>
      <c r="K620" s="367"/>
      <c r="L620" s="370"/>
    </row>
    <row r="621" spans="1:12" ht="33" customHeight="1" x14ac:dyDescent="0.45">
      <c r="A621" s="315" t="s">
        <v>336</v>
      </c>
      <c r="B621" s="303"/>
      <c r="C621" s="303" t="s">
        <v>660</v>
      </c>
      <c r="D621" s="304"/>
      <c r="E621" s="304"/>
      <c r="F621" s="305"/>
      <c r="G621" s="306"/>
      <c r="H621" s="306"/>
      <c r="I621" s="306"/>
      <c r="J621" s="297"/>
      <c r="K621" s="305"/>
      <c r="L621" s="297"/>
    </row>
    <row r="622" spans="1:12" ht="33" customHeight="1" x14ac:dyDescent="0.45">
      <c r="A622" s="315" t="s">
        <v>336</v>
      </c>
      <c r="B622" s="303"/>
      <c r="C622" s="303" t="s">
        <v>660</v>
      </c>
      <c r="D622" s="304"/>
      <c r="E622" s="304"/>
      <c r="F622" s="305"/>
      <c r="G622" s="306"/>
      <c r="H622" s="306"/>
      <c r="I622" s="306"/>
      <c r="J622" s="297"/>
      <c r="K622" s="305"/>
      <c r="L622" s="297"/>
    </row>
    <row r="623" spans="1:12" ht="33" customHeight="1" x14ac:dyDescent="0.45">
      <c r="A623" s="315" t="s">
        <v>336</v>
      </c>
      <c r="B623" s="303"/>
      <c r="C623" s="303" t="s">
        <v>660</v>
      </c>
      <c r="D623" s="304"/>
      <c r="E623" s="304"/>
      <c r="F623" s="305"/>
      <c r="G623" s="306"/>
      <c r="H623" s="306"/>
      <c r="I623" s="306"/>
      <c r="J623" s="297"/>
      <c r="K623" s="305"/>
      <c r="L623" s="297"/>
    </row>
    <row r="624" spans="1:12" ht="33" customHeight="1" x14ac:dyDescent="0.45">
      <c r="A624" s="315" t="s">
        <v>336</v>
      </c>
      <c r="B624" s="303"/>
      <c r="C624" s="303" t="s">
        <v>660</v>
      </c>
      <c r="D624" s="304"/>
      <c r="E624" s="304"/>
      <c r="F624" s="305"/>
      <c r="G624" s="306"/>
      <c r="H624" s="306"/>
      <c r="I624" s="306"/>
      <c r="J624" s="297"/>
      <c r="K624" s="305"/>
      <c r="L624" s="297"/>
    </row>
    <row r="625" spans="1:12" ht="33" customHeight="1" x14ac:dyDescent="0.45">
      <c r="A625" s="315" t="s">
        <v>336</v>
      </c>
      <c r="B625" s="303"/>
      <c r="C625" s="303" t="s">
        <v>660</v>
      </c>
      <c r="D625" s="304"/>
      <c r="E625" s="304"/>
      <c r="F625" s="305"/>
      <c r="G625" s="306"/>
      <c r="H625" s="306"/>
      <c r="I625" s="306"/>
      <c r="J625" s="297"/>
      <c r="K625" s="305"/>
      <c r="L625" s="297"/>
    </row>
    <row r="626" spans="1:12" ht="33" customHeight="1" x14ac:dyDescent="0.45">
      <c r="C626" s="190" t="s">
        <v>691</v>
      </c>
      <c r="F626" s="137" t="s">
        <v>15</v>
      </c>
    </row>
    <row r="628" spans="1:12" ht="23.25" x14ac:dyDescent="0.45">
      <c r="A628" s="137" t="s">
        <v>18</v>
      </c>
      <c r="B628" s="260" t="s">
        <v>414</v>
      </c>
      <c r="C628" s="241"/>
      <c r="D628" s="241"/>
      <c r="E628" s="241"/>
    </row>
    <row r="629" spans="1:12" ht="21" x14ac:dyDescent="0.45">
      <c r="A629" s="137" t="s">
        <v>13</v>
      </c>
      <c r="B629" s="320" t="s">
        <v>702</v>
      </c>
      <c r="C629" s="254"/>
      <c r="D629" s="254"/>
      <c r="E629" s="598"/>
      <c r="J629" s="600"/>
      <c r="L629" s="607">
        <f>L608+1</f>
        <v>46173</v>
      </c>
    </row>
    <row r="631" spans="1:12" x14ac:dyDescent="0.45">
      <c r="A631" s="141"/>
      <c r="B631" s="142"/>
      <c r="C631" s="142"/>
      <c r="D631" s="142"/>
      <c r="E631" s="142"/>
      <c r="F631" s="142"/>
      <c r="G631" s="142"/>
      <c r="H631" s="142"/>
      <c r="I631" s="142"/>
      <c r="J631" s="319"/>
      <c r="K631" s="319" t="s">
        <v>337</v>
      </c>
      <c r="L631" s="294"/>
    </row>
    <row r="632" spans="1:12" ht="63" x14ac:dyDescent="0.45">
      <c r="A632" s="297" t="s">
        <v>534</v>
      </c>
      <c r="B632" s="298" t="s">
        <v>0</v>
      </c>
      <c r="C632" s="298" t="s">
        <v>332</v>
      </c>
      <c r="D632" s="298" t="s">
        <v>333</v>
      </c>
      <c r="E632" s="298" t="s">
        <v>535</v>
      </c>
      <c r="F632" s="298" t="s">
        <v>1</v>
      </c>
      <c r="G632" s="298" t="s">
        <v>334</v>
      </c>
      <c r="H632" s="298" t="s">
        <v>335</v>
      </c>
      <c r="I632" s="298" t="s">
        <v>23</v>
      </c>
      <c r="J632" s="300" t="s">
        <v>22</v>
      </c>
      <c r="K632" s="298" t="s">
        <v>17</v>
      </c>
      <c r="L632" s="301" t="s">
        <v>12</v>
      </c>
    </row>
    <row r="633" spans="1:12" ht="25.9" customHeight="1" x14ac:dyDescent="0.45">
      <c r="A633" s="344" t="s">
        <v>376</v>
      </c>
      <c r="B633" s="345">
        <v>0.3125</v>
      </c>
      <c r="C633" s="345" t="s">
        <v>414</v>
      </c>
      <c r="D633" s="304" t="s">
        <v>702</v>
      </c>
      <c r="E633" s="377" t="s">
        <v>504</v>
      </c>
      <c r="F633" s="580"/>
      <c r="G633" s="368">
        <v>1</v>
      </c>
      <c r="H633" s="363"/>
      <c r="I633" s="580"/>
      <c r="J633" s="365"/>
      <c r="K633" s="580"/>
      <c r="L633" s="366"/>
    </row>
    <row r="634" spans="1:12" ht="25.9" customHeight="1" x14ac:dyDescent="0.45">
      <c r="A634" s="344" t="s">
        <v>376</v>
      </c>
      <c r="B634" s="345">
        <v>0.3263888888888889</v>
      </c>
      <c r="C634" s="345" t="s">
        <v>414</v>
      </c>
      <c r="D634" s="304" t="s">
        <v>702</v>
      </c>
      <c r="E634" s="377" t="s">
        <v>504</v>
      </c>
      <c r="F634" s="580"/>
      <c r="G634" s="368">
        <v>1</v>
      </c>
      <c r="H634" s="363"/>
      <c r="I634" s="580"/>
      <c r="J634" s="365"/>
      <c r="K634" s="580"/>
      <c r="L634" s="366"/>
    </row>
    <row r="635" spans="1:12" ht="25.9" customHeight="1" x14ac:dyDescent="0.45">
      <c r="A635" s="344" t="s">
        <v>376</v>
      </c>
      <c r="B635" s="345">
        <v>0.65972222222222221</v>
      </c>
      <c r="C635" s="345" t="s">
        <v>414</v>
      </c>
      <c r="D635" s="304" t="s">
        <v>702</v>
      </c>
      <c r="E635" s="377" t="s">
        <v>503</v>
      </c>
      <c r="F635" s="580"/>
      <c r="G635" s="368">
        <v>1</v>
      </c>
      <c r="H635" s="363"/>
      <c r="I635" s="580"/>
      <c r="J635" s="365"/>
      <c r="K635" s="580"/>
      <c r="L635" s="366"/>
    </row>
    <row r="636" spans="1:12" ht="25.9" customHeight="1" x14ac:dyDescent="0.45">
      <c r="A636" s="344" t="s">
        <v>376</v>
      </c>
      <c r="B636" s="345">
        <v>0.6875</v>
      </c>
      <c r="C636" s="345" t="s">
        <v>414</v>
      </c>
      <c r="D636" s="304" t="s">
        <v>702</v>
      </c>
      <c r="E636" s="377" t="s">
        <v>503</v>
      </c>
      <c r="F636" s="367"/>
      <c r="G636" s="368">
        <v>1</v>
      </c>
      <c r="H636" s="368"/>
      <c r="I636" s="370"/>
      <c r="J636" s="370"/>
      <c r="K636" s="367"/>
      <c r="L636" s="370"/>
    </row>
    <row r="637" spans="1:12" ht="25.9" customHeight="1" x14ac:dyDescent="0.45">
      <c r="A637" s="344" t="s">
        <v>376</v>
      </c>
      <c r="B637" s="345">
        <v>0.76041666666666663</v>
      </c>
      <c r="C637" s="345" t="s">
        <v>414</v>
      </c>
      <c r="D637" s="304" t="s">
        <v>702</v>
      </c>
      <c r="E637" s="377" t="s">
        <v>503</v>
      </c>
      <c r="F637" s="367"/>
      <c r="G637" s="368"/>
      <c r="H637" s="368"/>
      <c r="I637" s="370"/>
      <c r="J637" s="370"/>
      <c r="K637" s="367"/>
      <c r="L637" s="370"/>
    </row>
    <row r="638" spans="1:12" ht="25.9" customHeight="1" x14ac:dyDescent="0.45">
      <c r="A638" s="344" t="s">
        <v>501</v>
      </c>
      <c r="B638" s="345">
        <v>0.78125</v>
      </c>
      <c r="C638" s="345" t="s">
        <v>414</v>
      </c>
      <c r="D638" s="304" t="s">
        <v>702</v>
      </c>
      <c r="E638" s="377" t="s">
        <v>504</v>
      </c>
      <c r="F638" s="367"/>
      <c r="G638" s="368"/>
      <c r="H638" s="368"/>
      <c r="I638" s="370"/>
      <c r="J638" s="370"/>
      <c r="K638" s="367"/>
      <c r="L638" s="370"/>
    </row>
    <row r="639" spans="1:12" ht="30" customHeight="1" x14ac:dyDescent="0.45">
      <c r="A639" s="344" t="s">
        <v>663</v>
      </c>
      <c r="B639" s="345">
        <v>0.80902777777777779</v>
      </c>
      <c r="C639" s="345" t="s">
        <v>414</v>
      </c>
      <c r="D639" s="304" t="s">
        <v>702</v>
      </c>
      <c r="E639" s="377" t="s">
        <v>504</v>
      </c>
      <c r="F639" s="367"/>
      <c r="G639" s="368"/>
      <c r="H639" s="368"/>
      <c r="I639" s="370"/>
      <c r="J639" s="370"/>
      <c r="K639" s="367"/>
      <c r="L639" s="370"/>
    </row>
    <row r="640" spans="1:12" ht="30" customHeight="1" x14ac:dyDescent="0.45">
      <c r="A640" s="344" t="s">
        <v>376</v>
      </c>
      <c r="B640" s="345">
        <v>0.82291666666666663</v>
      </c>
      <c r="C640" s="345" t="s">
        <v>414</v>
      </c>
      <c r="D640" s="304" t="s">
        <v>702</v>
      </c>
      <c r="E640" s="377" t="s">
        <v>503</v>
      </c>
      <c r="F640" s="367"/>
      <c r="G640" s="368"/>
      <c r="H640" s="368"/>
      <c r="I640" s="370"/>
      <c r="J640" s="370"/>
      <c r="K640" s="367"/>
      <c r="L640" s="370"/>
    </row>
    <row r="641" spans="1:12" ht="30" customHeight="1" x14ac:dyDescent="0.45">
      <c r="A641" s="344" t="s">
        <v>336</v>
      </c>
      <c r="B641" s="345"/>
      <c r="C641" s="345" t="s">
        <v>660</v>
      </c>
      <c r="D641" s="304"/>
      <c r="E641" s="377"/>
      <c r="F641" s="367"/>
      <c r="G641" s="368"/>
      <c r="H641" s="368"/>
      <c r="I641" s="370"/>
      <c r="J641" s="370"/>
      <c r="K641" s="367"/>
      <c r="L641" s="370"/>
    </row>
    <row r="642" spans="1:12" ht="30" customHeight="1" x14ac:dyDescent="0.45">
      <c r="A642" s="344" t="s">
        <v>336</v>
      </c>
      <c r="B642" s="345"/>
      <c r="C642" s="345" t="s">
        <v>660</v>
      </c>
      <c r="D642" s="304"/>
      <c r="E642" s="377"/>
      <c r="F642" s="367"/>
      <c r="G642" s="368"/>
      <c r="H642" s="368"/>
      <c r="I642" s="370"/>
      <c r="J642" s="370"/>
      <c r="K642" s="367"/>
      <c r="L642" s="370"/>
    </row>
    <row r="643" spans="1:12" ht="30" customHeight="1" x14ac:dyDescent="0.45">
      <c r="A643" s="344" t="s">
        <v>336</v>
      </c>
      <c r="B643" s="345"/>
      <c r="C643" s="345" t="s">
        <v>660</v>
      </c>
      <c r="D643" s="304"/>
      <c r="E643" s="377"/>
      <c r="F643" s="367"/>
      <c r="G643" s="368"/>
      <c r="H643" s="368"/>
      <c r="I643" s="370"/>
      <c r="J643" s="370"/>
      <c r="K643" s="367"/>
      <c r="L643" s="370"/>
    </row>
    <row r="644" spans="1:12" ht="30" customHeight="1" x14ac:dyDescent="0.45">
      <c r="A644" s="344" t="s">
        <v>336</v>
      </c>
      <c r="B644" s="345"/>
      <c r="C644" s="345" t="s">
        <v>660</v>
      </c>
      <c r="D644" s="304"/>
      <c r="E644" s="377"/>
      <c r="F644" s="367"/>
      <c r="G644" s="368"/>
      <c r="H644" s="368"/>
      <c r="I644" s="370"/>
      <c r="J644" s="370"/>
      <c r="K644" s="367"/>
      <c r="L644" s="370"/>
    </row>
    <row r="645" spans="1:12" ht="30" customHeight="1" x14ac:dyDescent="0.45">
      <c r="A645" s="344" t="s">
        <v>336</v>
      </c>
      <c r="B645" s="345"/>
      <c r="C645" s="345" t="s">
        <v>660</v>
      </c>
      <c r="D645" s="304"/>
      <c r="E645" s="377"/>
      <c r="F645" s="367"/>
      <c r="G645" s="368"/>
      <c r="H645" s="368"/>
      <c r="I645" s="370"/>
      <c r="J645" s="370"/>
      <c r="K645" s="367"/>
      <c r="L645" s="370"/>
    </row>
    <row r="646" spans="1:12" ht="30" customHeight="1" x14ac:dyDescent="0.45">
      <c r="C646" s="190" t="s">
        <v>691</v>
      </c>
      <c r="F646" s="137" t="s">
        <v>15</v>
      </c>
    </row>
  </sheetData>
  <sheetProtection formatCells="0" formatColumns="0" formatRows="0" autoFilter="0"/>
  <autoFilter ref="A7:P19" xr:uid="{5B5BBBDE-33E3-4462-B288-63EC9F5FA152}"/>
  <mergeCells count="1">
    <mergeCell ref="B3:D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0" fitToHeight="0" orientation="portrait" copies="10" r:id="rId1"/>
  <rowBreaks count="30" manualBreakCount="30">
    <brk id="21" max="11" man="1"/>
    <brk id="41" max="11" man="1"/>
    <brk id="62" max="11" man="1"/>
    <brk id="83" max="11" man="1"/>
    <brk id="103" max="11" man="1"/>
    <brk id="124" max="11" man="1"/>
    <brk id="144" max="11" man="1"/>
    <brk id="164" max="11" man="1"/>
    <brk id="184" max="11" man="1"/>
    <brk id="204" max="16383" man="1"/>
    <brk id="225" max="11" man="1"/>
    <brk id="247" max="11" man="1"/>
    <brk id="267" max="16383" man="1"/>
    <brk id="287" max="11" man="1"/>
    <brk id="309" max="16383" man="1"/>
    <brk id="330" max="16383" man="1"/>
    <brk id="350" max="11" man="1"/>
    <brk id="372" max="16383" man="1"/>
    <brk id="393" max="11" man="1"/>
    <brk id="414" max="16383" man="1"/>
    <brk id="435" max="16383" man="1"/>
    <brk id="456" max="16383" man="1"/>
    <brk id="478" max="16383" man="1"/>
    <brk id="499" max="11" man="1"/>
    <brk id="520" max="16383" man="1"/>
    <brk id="542" max="11" man="1"/>
    <brk id="563" max="16383" man="1"/>
    <brk id="584" max="16383" man="1"/>
    <brk id="605" max="16383" man="1"/>
    <brk id="62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64B6-8EF9-4245-BAB9-14850818F955}">
  <dimension ref="A1:O951"/>
  <sheetViews>
    <sheetView showGridLines="0" tabSelected="1" view="pageBreakPreview" topLeftCell="A934" zoomScale="60" zoomScaleNormal="85" workbookViewId="0">
      <selection sqref="A1:I950"/>
    </sheetView>
  </sheetViews>
  <sheetFormatPr baseColWidth="10" defaultColWidth="10.796875" defaultRowHeight="14.25" outlineLevelCol="1" x14ac:dyDescent="0.45"/>
  <cols>
    <col min="1" max="1" width="16.1328125" style="137" customWidth="1"/>
    <col min="2" max="2" width="13" style="137" customWidth="1"/>
    <col min="3" max="3" width="11.9296875" style="137" customWidth="1" outlineLevel="1"/>
    <col min="4" max="4" width="41.46484375" style="137" customWidth="1" outlineLevel="1"/>
    <col min="5" max="5" width="14.33203125" style="137" customWidth="1" outlineLevel="1"/>
    <col min="6" max="6" width="13.6640625" style="137" customWidth="1"/>
    <col min="7" max="7" width="12.265625" style="137" customWidth="1"/>
    <col min="8" max="8" width="15.06640625" style="137" customWidth="1"/>
    <col min="9" max="9" width="31.53125" style="137" customWidth="1"/>
    <col min="10" max="13" width="10.796875" style="137" hidden="1" customWidth="1"/>
    <col min="14" max="14" width="0" style="137" hidden="1" customWidth="1"/>
    <col min="15" max="16384" width="10.796875" style="137"/>
  </cols>
  <sheetData>
    <row r="1" spans="1:14" x14ac:dyDescent="0.45">
      <c r="G1" s="137" t="s">
        <v>658</v>
      </c>
    </row>
    <row r="2" spans="1:14" ht="23.25" x14ac:dyDescent="0.45">
      <c r="B2" s="260"/>
      <c r="C2" s="241"/>
      <c r="D2" s="241"/>
      <c r="E2" s="241"/>
    </row>
    <row r="3" spans="1:14" ht="22.5" hidden="1" customHeight="1" x14ac:dyDescent="0.45">
      <c r="A3" s="137" t="s">
        <v>14</v>
      </c>
      <c r="B3" s="660">
        <v>45627</v>
      </c>
      <c r="C3" s="661"/>
      <c r="D3" s="661"/>
      <c r="E3" s="599"/>
      <c r="F3" s="599"/>
      <c r="G3" s="599"/>
      <c r="H3" s="599"/>
      <c r="I3" s="143"/>
    </row>
    <row r="4" spans="1:14" ht="28.5" customHeight="1" x14ac:dyDescent="0.45">
      <c r="A4" s="662" t="s">
        <v>659</v>
      </c>
      <c r="B4" s="320"/>
      <c r="C4" s="254"/>
      <c r="D4" s="254"/>
      <c r="E4" s="598"/>
      <c r="I4" s="607">
        <v>46143</v>
      </c>
    </row>
    <row r="6" spans="1:14" ht="90" x14ac:dyDescent="0.45">
      <c r="A6" s="322" t="s">
        <v>324</v>
      </c>
      <c r="B6" s="325" t="s">
        <v>0</v>
      </c>
      <c r="C6" s="332" t="s">
        <v>25</v>
      </c>
      <c r="D6" s="291" t="s">
        <v>26</v>
      </c>
      <c r="E6" s="291" t="s">
        <v>661</v>
      </c>
      <c r="F6" s="291" t="s">
        <v>351</v>
      </c>
      <c r="G6" s="291" t="s">
        <v>1</v>
      </c>
      <c r="H6" s="291" t="s">
        <v>328</v>
      </c>
      <c r="I6" s="291"/>
      <c r="J6" s="297" t="s">
        <v>20</v>
      </c>
      <c r="K6" s="302" t="s">
        <v>38</v>
      </c>
      <c r="L6" s="302" t="s">
        <v>39</v>
      </c>
      <c r="M6" s="302" t="s">
        <v>40</v>
      </c>
      <c r="N6" s="297"/>
    </row>
    <row r="7" spans="1:14" ht="33" customHeight="1" x14ac:dyDescent="0.45">
      <c r="A7" s="342" t="str">
        <f>'Horaire dimanche2'!A13</f>
        <v>LA BARGE</v>
      </c>
      <c r="B7" s="330">
        <f>'Horaire dimanche2'!E13</f>
        <v>0.2951388888888889</v>
      </c>
      <c r="C7" s="343" t="str">
        <f>'Horaire dimanche2'!H13</f>
        <v>H3</v>
      </c>
      <c r="D7" s="554" t="str">
        <f>VLOOKUP(C7,'Liste chauffeur'!$B$5:$L$19,2,TRUE)&amp;" "&amp;VLOOKUP(C7,'Liste chauffeur'!$B$5:$L$19,3,TRUE)</f>
        <v>SAID ALI Kamile</v>
      </c>
      <c r="E7" s="555" t="str">
        <f>'Horaire dimanche2'!C13</f>
        <v>DIRECT</v>
      </c>
      <c r="F7" s="291"/>
      <c r="G7" s="291"/>
      <c r="H7" s="291"/>
      <c r="I7" s="323" t="s">
        <v>347</v>
      </c>
      <c r="J7" s="307" t="e">
        <f>IF(G7=1,"",#REF!-F7)</f>
        <v>#REF!</v>
      </c>
      <c r="K7" s="306" t="e">
        <f>#REF!</f>
        <v>#REF!</v>
      </c>
      <c r="L7" s="306" t="e">
        <f>IF(G7=1,0,#REF!)</f>
        <v>#REF!</v>
      </c>
      <c r="M7" s="308" t="e">
        <f t="shared" ref="M7:M16" si="0">IF(L7=0,0,K7/L7)</f>
        <v>#REF!</v>
      </c>
      <c r="N7" s="297"/>
    </row>
    <row r="8" spans="1:14" ht="29" customHeight="1" x14ac:dyDescent="0.45">
      <c r="A8" s="342" t="str">
        <f>'Horaire dimanche2'!A14</f>
        <v>LA BARGE</v>
      </c>
      <c r="B8" s="330">
        <f>'Horaire dimanche2'!E14</f>
        <v>0.3125</v>
      </c>
      <c r="C8" s="343" t="str">
        <f>'Horaire dimanche2'!H14</f>
        <v>H5</v>
      </c>
      <c r="D8" s="554" t="str">
        <f>VLOOKUP(C8,'Liste chauffeur'!$B$5:$L$19,2,TRUE)&amp;" "&amp;VLOOKUP(C8,'Liste chauffeur'!$B$5:$L$19,3,TRUE)</f>
        <v>ATTOUMANI Kamaldine</v>
      </c>
      <c r="E8" s="555" t="str">
        <f>'Horaire dimanche2'!C14</f>
        <v>DIRECT</v>
      </c>
      <c r="F8" s="291"/>
      <c r="G8" s="291"/>
      <c r="H8" s="291"/>
      <c r="I8" s="341"/>
      <c r="J8" s="307" t="e">
        <f>IF(G8=1,"",#REF!-F8)</f>
        <v>#REF!</v>
      </c>
      <c r="K8" s="306" t="e">
        <f>#REF!</f>
        <v>#REF!</v>
      </c>
      <c r="L8" s="306" t="e">
        <f>IF(G8=1,0,#REF!)</f>
        <v>#REF!</v>
      </c>
      <c r="M8" s="308" t="e">
        <f t="shared" si="0"/>
        <v>#REF!</v>
      </c>
      <c r="N8" s="297"/>
    </row>
    <row r="9" spans="1:14" ht="35.25" customHeight="1" x14ac:dyDescent="0.45">
      <c r="A9" s="342" t="str">
        <f>'Horaire dimanche2'!A15</f>
        <v>LA BARGE</v>
      </c>
      <c r="B9" s="330">
        <f>'Horaire dimanche2'!E15</f>
        <v>0.3263888888888889</v>
      </c>
      <c r="C9" s="343" t="str">
        <f>'Horaire dimanche2'!H15</f>
        <v>H5</v>
      </c>
      <c r="D9" s="554" t="str">
        <f>VLOOKUP(C9,'Liste chauffeur'!$B$5:$L$19,2,TRUE)&amp;" "&amp;VLOOKUP(C9,'Liste chauffeur'!$B$5:$L$19,3,TRUE)</f>
        <v>ATTOUMANI Kamaldine</v>
      </c>
      <c r="E9" s="555" t="str">
        <f>'Horaire dimanche2'!C15</f>
        <v>DIRECT</v>
      </c>
      <c r="F9" s="291"/>
      <c r="G9" s="291"/>
      <c r="H9" s="291"/>
      <c r="I9" s="323" t="s">
        <v>348</v>
      </c>
      <c r="J9" s="307" t="e">
        <f>IF(G9=1,"",#REF!-F9)</f>
        <v>#REF!</v>
      </c>
      <c r="K9" s="306" t="e">
        <f>#REF!</f>
        <v>#REF!</v>
      </c>
      <c r="L9" s="306" t="e">
        <f>IF(G9=1,0,#REF!)</f>
        <v>#REF!</v>
      </c>
      <c r="M9" s="308" t="e">
        <f t="shared" si="0"/>
        <v>#REF!</v>
      </c>
      <c r="N9" s="297"/>
    </row>
    <row r="10" spans="1:14" ht="40.049999999999997" customHeight="1" x14ac:dyDescent="0.45">
      <c r="A10" s="342" t="str">
        <f>'Horaire dimanche2'!A16</f>
        <v>LA BARGE</v>
      </c>
      <c r="B10" s="330">
        <f>'Horaire dimanche2'!E16</f>
        <v>0.58333333333333337</v>
      </c>
      <c r="C10" s="343" t="str">
        <f>'Horaire dimanche2'!H16</f>
        <v>H1</v>
      </c>
      <c r="D10" s="554" t="str">
        <f>VLOOKUP(C10,'Liste chauffeur'!$B$5:$L$19,2,TRUE)&amp;" "&amp;VLOOKUP(C10,'Liste chauffeur'!$B$5:$L$19,3,TRUE)</f>
        <v>CHADHOULI Houmadi</v>
      </c>
      <c r="E10" s="555" t="str">
        <f>'Horaire dimanche2'!C16</f>
        <v>13 ARRETS</v>
      </c>
      <c r="F10" s="292" t="str">
        <f>IF(ISBLANK('Feuille saisie'!L17)=TRUE,"",'Feuille saisie'!L17)</f>
        <v/>
      </c>
      <c r="G10" s="292"/>
      <c r="H10" s="293"/>
      <c r="I10" s="216"/>
      <c r="J10" s="307" t="e">
        <f>IF(G10=1,"",#REF!-F10)</f>
        <v>#REF!</v>
      </c>
      <c r="K10" s="306" t="e">
        <f>#REF!</f>
        <v>#REF!</v>
      </c>
      <c r="L10" s="306" t="e">
        <f>IF(G10=1,0,#REF!)</f>
        <v>#REF!</v>
      </c>
      <c r="M10" s="308" t="e">
        <f t="shared" si="0"/>
        <v>#REF!</v>
      </c>
      <c r="N10" s="297"/>
    </row>
    <row r="11" spans="1:14" ht="40.049999999999997" customHeight="1" x14ac:dyDescent="0.45">
      <c r="A11" s="342" t="str">
        <f>'Horaire dimanche2'!A17</f>
        <v>CHM</v>
      </c>
      <c r="B11" s="330">
        <f>'Horaire dimanche2'!E17</f>
        <v>0.58333333333333337</v>
      </c>
      <c r="C11" s="343" t="str">
        <f>'Horaire dimanche2'!H17</f>
        <v>H3</v>
      </c>
      <c r="D11" s="554" t="str">
        <f>VLOOKUP(C11,'Liste chauffeur'!$B$5:$L$19,2,TRUE)&amp;" "&amp;VLOOKUP(C11,'Liste chauffeur'!$B$5:$L$19,3,TRUE)</f>
        <v>SAID ALI Kamile</v>
      </c>
      <c r="E11" s="555" t="str">
        <f>'Horaire dimanche2'!C17</f>
        <v>DIRECT</v>
      </c>
      <c r="F11" s="292" t="str">
        <f>IF(ISBLANK('Feuille saisie'!L18)=TRUE,"",'Feuille saisie'!L18)</f>
        <v/>
      </c>
      <c r="G11" s="292"/>
      <c r="H11" s="293"/>
      <c r="I11" s="216"/>
      <c r="J11" s="307" t="e">
        <f>IF(G11=1,"",#REF!-F11)</f>
        <v>#REF!</v>
      </c>
      <c r="K11" s="306" t="e">
        <f>#REF!</f>
        <v>#REF!</v>
      </c>
      <c r="L11" s="306" t="e">
        <f>IF(G11=1,0,#REF!)</f>
        <v>#REF!</v>
      </c>
      <c r="M11" s="309" t="e">
        <f t="shared" si="0"/>
        <v>#REF!</v>
      </c>
      <c r="N11" s="297"/>
    </row>
    <row r="12" spans="1:14" ht="40.049999999999997" customHeight="1" x14ac:dyDescent="0.45">
      <c r="A12" s="342" t="str">
        <f>'Horaire dimanche2'!A18</f>
        <v>LA BARGE</v>
      </c>
      <c r="B12" s="330">
        <f>'Horaire dimanche2'!E18</f>
        <v>0.61458333333333337</v>
      </c>
      <c r="C12" s="343" t="str">
        <f>'Horaire dimanche2'!H18</f>
        <v>H1</v>
      </c>
      <c r="D12" s="554" t="str">
        <f>VLOOKUP(C12,'Liste chauffeur'!$B$5:$L$19,2,TRUE)&amp;" "&amp;VLOOKUP(C12,'Liste chauffeur'!$B$5:$L$19,3,TRUE)</f>
        <v>CHADHOULI Houmadi</v>
      </c>
      <c r="E12" s="555" t="str">
        <f>'Horaire dimanche2'!C18</f>
        <v>13 ARRETS</v>
      </c>
      <c r="F12" s="321" t="str">
        <f>IF(ISBLANK('Feuille saisie'!L19)=TRUE,"",'Feuille saisie'!L19)</f>
        <v/>
      </c>
      <c r="G12" s="292"/>
      <c r="H12" s="293"/>
      <c r="I12" s="323" t="s">
        <v>350</v>
      </c>
      <c r="J12" s="307" t="e">
        <f>IF(G12=1,"",#REF!-F12)</f>
        <v>#REF!</v>
      </c>
      <c r="K12" s="306" t="e">
        <f>#REF!</f>
        <v>#REF!</v>
      </c>
      <c r="L12" s="306" t="e">
        <f>IF(G12=1,0,#REF!)</f>
        <v>#REF!</v>
      </c>
      <c r="M12" s="309" t="e">
        <f t="shared" si="0"/>
        <v>#REF!</v>
      </c>
      <c r="N12" s="297"/>
    </row>
    <row r="13" spans="1:14" ht="32.25" customHeight="1" x14ac:dyDescent="0.45">
      <c r="A13" s="342" t="str">
        <f>'Horaire dimanche2'!A19</f>
        <v>CHM</v>
      </c>
      <c r="B13" s="330">
        <f>'Horaire dimanche2'!E19</f>
        <v>0.625</v>
      </c>
      <c r="C13" s="343" t="str">
        <f>'Horaire dimanche2'!H19</f>
        <v>H3</v>
      </c>
      <c r="D13" s="554" t="str">
        <f>VLOOKUP(C13,'Liste chauffeur'!$B$5:$L$19,2,TRUE)&amp;" "&amp;VLOOKUP(C13,'Liste chauffeur'!$B$5:$L$19,3,TRUE)</f>
        <v>SAID ALI Kamile</v>
      </c>
      <c r="E13" s="555" t="str">
        <f>'Horaire dimanche2'!C19</f>
        <v>DIRECT</v>
      </c>
      <c r="F13" s="292" t="str">
        <f>IF(ISBLANK('Feuille saisie'!L20)=TRUE,"",'Feuille saisie'!L20)</f>
        <v/>
      </c>
      <c r="G13" s="292"/>
      <c r="H13" s="293"/>
      <c r="I13" s="216"/>
      <c r="J13" s="307" t="e">
        <f>IF(G13=1,"",#REF!-F13)</f>
        <v>#REF!</v>
      </c>
      <c r="K13" s="306" t="e">
        <f>#REF!</f>
        <v>#REF!</v>
      </c>
      <c r="L13" s="306" t="e">
        <f>IF(G13=1,0,#REF!)</f>
        <v>#REF!</v>
      </c>
      <c r="M13" s="309" t="e">
        <f t="shared" si="0"/>
        <v>#REF!</v>
      </c>
      <c r="N13" s="297"/>
    </row>
    <row r="14" spans="1:14" ht="40.049999999999997" customHeight="1" x14ac:dyDescent="0.45">
      <c r="A14" s="342" t="str">
        <f>'Horaire dimanche2'!A20</f>
        <v>LA BARGE</v>
      </c>
      <c r="B14" s="330">
        <f>'Horaire dimanche2'!E20</f>
        <v>0.63888888888888884</v>
      </c>
      <c r="C14" s="343" t="str">
        <f>'Horaire dimanche2'!H20</f>
        <v>H1</v>
      </c>
      <c r="D14" s="554" t="str">
        <f>VLOOKUP(C14,'Liste chauffeur'!$B$5:$L$19,2,TRUE)&amp;" "&amp;VLOOKUP(C14,'Liste chauffeur'!$B$5:$L$19,3,TRUE)</f>
        <v>CHADHOULI Houmadi</v>
      </c>
      <c r="E14" s="555" t="str">
        <f>'Horaire dimanche2'!C20</f>
        <v>13 ARRETS</v>
      </c>
      <c r="F14" s="292" t="str">
        <f>IF(ISBLANK('Feuille saisie'!L21)=TRUE,"",'Feuille saisie'!L21)</f>
        <v/>
      </c>
      <c r="G14" s="292"/>
      <c r="H14" s="293"/>
      <c r="I14" s="323" t="s">
        <v>349</v>
      </c>
      <c r="J14" s="307" t="e">
        <f>IF(G14=1,"",#REF!-F14)</f>
        <v>#REF!</v>
      </c>
      <c r="K14" s="306" t="e">
        <f>#REF!</f>
        <v>#REF!</v>
      </c>
      <c r="L14" s="306" t="e">
        <f>IF(G14=1,0,#REF!)</f>
        <v>#REF!</v>
      </c>
      <c r="M14" s="309" t="e">
        <f t="shared" si="0"/>
        <v>#REF!</v>
      </c>
      <c r="N14" s="297"/>
    </row>
    <row r="15" spans="1:14" ht="40.049999999999997" customHeight="1" x14ac:dyDescent="0.45">
      <c r="A15" s="342" t="str">
        <f>'Horaire dimanche2'!A21</f>
        <v>LA BARGE</v>
      </c>
      <c r="B15" s="330">
        <f>'Horaire dimanche2'!E21</f>
        <v>0.65972222222222221</v>
      </c>
      <c r="C15" s="343" t="str">
        <f>'Horaire dimanche2'!H21</f>
        <v>H5</v>
      </c>
      <c r="D15" s="554" t="str">
        <f>VLOOKUP(C15,'Liste chauffeur'!$B$5:$L$19,2,TRUE)&amp;" "&amp;VLOOKUP(C15,'Liste chauffeur'!$B$5:$L$19,3,TRUE)</f>
        <v>ATTOUMANI Kamaldine</v>
      </c>
      <c r="E15" s="555" t="str">
        <f>'Horaire dimanche2'!C21</f>
        <v>13 ARRETS</v>
      </c>
      <c r="F15" s="292" t="str">
        <f>IF(ISBLANK('Feuille saisie'!L22)=TRUE,"",'Feuille saisie'!L22)</f>
        <v/>
      </c>
      <c r="G15" s="292"/>
      <c r="H15" s="293"/>
      <c r="I15" s="216"/>
      <c r="J15" s="307" t="e">
        <f>IF(G15=1,"",#REF!-F15)</f>
        <v>#REF!</v>
      </c>
      <c r="K15" s="306" t="e">
        <f>#REF!</f>
        <v>#REF!</v>
      </c>
      <c r="L15" s="306" t="e">
        <f>IF(G15=1,0,#REF!)</f>
        <v>#REF!</v>
      </c>
      <c r="M15" s="309" t="e">
        <f t="shared" si="0"/>
        <v>#REF!</v>
      </c>
      <c r="N15" s="297"/>
    </row>
    <row r="16" spans="1:14" ht="40.049999999999997" customHeight="1" x14ac:dyDescent="0.45">
      <c r="A16" s="342" t="str">
        <f>'Horaire dimanche2'!A22</f>
        <v>LA BARGE</v>
      </c>
      <c r="B16" s="330">
        <f>'Horaire dimanche2'!E22</f>
        <v>0.6875</v>
      </c>
      <c r="C16" s="343" t="str">
        <f>'Horaire dimanche2'!H22</f>
        <v>H5</v>
      </c>
      <c r="D16" s="554" t="str">
        <f>VLOOKUP(C16,'Liste chauffeur'!$B$5:$L$19,2,TRUE)&amp;" "&amp;VLOOKUP(C16,'Liste chauffeur'!$B$5:$L$19,3,TRUE)</f>
        <v>ATTOUMANI Kamaldine</v>
      </c>
      <c r="E16" s="555" t="str">
        <f>'Horaire dimanche2'!C22</f>
        <v>13 ARRETS</v>
      </c>
      <c r="F16" s="292"/>
      <c r="G16" s="292"/>
      <c r="H16" s="293"/>
      <c r="I16" s="323"/>
      <c r="J16" s="307"/>
      <c r="K16" s="306" t="e">
        <f>#REF!</f>
        <v>#REF!</v>
      </c>
      <c r="L16" s="306" t="e">
        <f>IF(G16=1,0,#REF!)</f>
        <v>#REF!</v>
      </c>
      <c r="M16" s="309" t="e">
        <f t="shared" si="0"/>
        <v>#REF!</v>
      </c>
      <c r="N16" s="297"/>
    </row>
    <row r="17" spans="1:14" ht="40.049999999999997" customHeight="1" x14ac:dyDescent="0.45">
      <c r="A17" s="342" t="str">
        <f>'Horaire dimanche2'!A23</f>
        <v>CHM</v>
      </c>
      <c r="B17" s="330">
        <f>'Horaire dimanche2'!E23</f>
        <v>0.76041666666666663</v>
      </c>
      <c r="C17" s="343" t="str">
        <f>'Horaire dimanche2'!H23</f>
        <v>H3</v>
      </c>
      <c r="D17" s="554" t="str">
        <f>VLOOKUP(C17,'Liste chauffeur'!$B$5:$L$19,2,TRUE)&amp;" "&amp;VLOOKUP(C17,'Liste chauffeur'!$B$5:$L$19,3,TRUE)</f>
        <v>SAID ALI Kamile</v>
      </c>
      <c r="E17" s="555" t="str">
        <f>'Horaire dimanche2'!C23</f>
        <v>DIRECT</v>
      </c>
      <c r="F17" s="292" t="str">
        <f>IF(ISBLANK('Feuille saisie'!L29)=TRUE,"",'Feuille saisie'!L29)</f>
        <v/>
      </c>
      <c r="G17" s="292"/>
      <c r="H17" s="293"/>
      <c r="I17" s="323"/>
      <c r="J17" s="307"/>
      <c r="K17" s="306" t="e">
        <f>#REF!</f>
        <v>#REF!</v>
      </c>
      <c r="L17" s="306" t="e">
        <f>IF(G17=1,0,#REF!)</f>
        <v>#REF!</v>
      </c>
      <c r="M17" s="309"/>
      <c r="N17" s="297"/>
    </row>
    <row r="18" spans="1:14" ht="46.5" x14ac:dyDescent="0.45">
      <c r="A18" s="342" t="str">
        <f>'Horaire dimanche2'!A24</f>
        <v>LA BARGE</v>
      </c>
      <c r="B18" s="330">
        <f>'Horaire dimanche2'!E24</f>
        <v>0.76041666666666663</v>
      </c>
      <c r="C18" s="343" t="str">
        <f>'Horaire dimanche2'!H24</f>
        <v>H5</v>
      </c>
      <c r="D18" s="554" t="str">
        <f>VLOOKUP(C18,'Liste chauffeur'!$B$5:$L$19,2,TRUE)&amp;" "&amp;VLOOKUP(C18,'Liste chauffeur'!$B$5:$L$19,3,TRUE)</f>
        <v>ATTOUMANI Kamaldine</v>
      </c>
      <c r="E18" s="555" t="str">
        <f>'Horaire dimanche2'!C24</f>
        <v>13 ARRETS</v>
      </c>
      <c r="F18" s="292" t="str">
        <f>IF(ISBLANK('Feuille saisie'!L30)=TRUE,"",'Feuille saisie'!L30)</f>
        <v/>
      </c>
      <c r="G18" s="292"/>
      <c r="H18" s="293"/>
      <c r="I18" s="216"/>
    </row>
    <row r="19" spans="1:14" ht="46.5" x14ac:dyDescent="0.45">
      <c r="A19" s="342" t="str">
        <f>'Horaire dimanche2'!A25</f>
        <v>CHM</v>
      </c>
      <c r="B19" s="330">
        <f>'Horaire dimanche2'!E25</f>
        <v>0.78125</v>
      </c>
      <c r="C19" s="343" t="str">
        <f>'Horaire dimanche2'!H25</f>
        <v>H5</v>
      </c>
      <c r="D19" s="554" t="str">
        <f>VLOOKUP(C19,'Liste chauffeur'!$B$5:$L$19,2,TRUE)&amp;" "&amp;VLOOKUP(C19,'Liste chauffeur'!$B$5:$L$19,3,TRUE)</f>
        <v>ATTOUMANI Kamaldine</v>
      </c>
      <c r="E19" s="555" t="str">
        <f>'Horaire dimanche2'!C25</f>
        <v>DIRECT</v>
      </c>
      <c r="F19" s="292" t="str">
        <f>IF(ISBLANK('Feuille saisie'!L31)=TRUE,"",'Feuille saisie'!L31)</f>
        <v/>
      </c>
      <c r="G19" s="292"/>
      <c r="H19" s="293"/>
      <c r="I19" s="323"/>
    </row>
    <row r="20" spans="1:14" ht="34.15" x14ac:dyDescent="0.45">
      <c r="A20" s="342" t="str">
        <f>'Horaire dimanche2'!A26</f>
        <v>LA BARGE</v>
      </c>
      <c r="B20" s="330">
        <f>'Horaire dimanche2'!E26</f>
        <v>0.78125</v>
      </c>
      <c r="C20" s="343" t="str">
        <f>'Horaire dimanche2'!H26</f>
        <v>H3</v>
      </c>
      <c r="D20" s="554" t="str">
        <f>VLOOKUP(C20,'Liste chauffeur'!$B$5:$L$19,2,TRUE)&amp;" "&amp;VLOOKUP(C20,'Liste chauffeur'!$B$5:$L$19,3,TRUE)</f>
        <v>SAID ALI Kamile</v>
      </c>
      <c r="E20" s="555" t="str">
        <f>'Horaire dimanche2'!C26</f>
        <v>13 ARRETS</v>
      </c>
      <c r="F20" s="292" t="str">
        <f>IF(ISBLANK('Feuille saisie'!L32)=TRUE,"",'Feuille saisie'!L32)</f>
        <v/>
      </c>
      <c r="G20" s="292"/>
      <c r="H20" s="293"/>
      <c r="I20" s="323"/>
    </row>
    <row r="21" spans="1:14" ht="46.5" x14ac:dyDescent="0.45">
      <c r="A21" s="342" t="str">
        <f>'Horaire dimanche2'!A27</f>
        <v>CRA+CHM</v>
      </c>
      <c r="B21" s="330">
        <f>'Horaire dimanche2'!E27</f>
        <v>0.80902777777777779</v>
      </c>
      <c r="C21" s="343" t="str">
        <f>'Horaire dimanche2'!H27</f>
        <v>H5</v>
      </c>
      <c r="D21" s="554" t="str">
        <f>VLOOKUP(C21,'Liste chauffeur'!$B$5:$L$19,2,TRUE)&amp;" "&amp;VLOOKUP(C21,'Liste chauffeur'!$B$5:$L$19,3,TRUE)</f>
        <v>ATTOUMANI Kamaldine</v>
      </c>
      <c r="E21" s="555" t="str">
        <f>'Horaire dimanche2'!C27</f>
        <v>DIRECT</v>
      </c>
      <c r="F21" s="292" t="str">
        <f>IF(ISBLANK('Feuille saisie'!L34)=TRUE,"",'Feuille saisie'!L34)</f>
        <v/>
      </c>
      <c r="G21" s="292"/>
      <c r="H21" s="293"/>
      <c r="I21" s="323"/>
    </row>
    <row r="22" spans="1:14" ht="46.5" x14ac:dyDescent="0.45">
      <c r="A22" s="342" t="str">
        <f>'Horaire dimanche2'!A28</f>
        <v>LA BARGE</v>
      </c>
      <c r="B22" s="330">
        <f>'Horaire dimanche2'!E28</f>
        <v>0.82291666666666663</v>
      </c>
      <c r="C22" s="343" t="str">
        <f>'Horaire dimanche2'!H28</f>
        <v>H5</v>
      </c>
      <c r="D22" s="554" t="str">
        <f>VLOOKUP(C22,'Liste chauffeur'!$B$5:$L$19,2,TRUE)&amp;" "&amp;VLOOKUP(C22,'Liste chauffeur'!$B$5:$L$19,3,TRUE)</f>
        <v>ATTOUMANI Kamaldine</v>
      </c>
      <c r="E22" s="555" t="str">
        <f>'Horaire dimanche2'!C28</f>
        <v>13 ARRETS</v>
      </c>
      <c r="F22" s="292" t="str">
        <f>IF(ISBLANK('Feuille saisie'!L48)=TRUE,"",'Feuille saisie'!L48)</f>
        <v/>
      </c>
      <c r="G22" s="292"/>
      <c r="H22" s="293"/>
      <c r="I22" s="216"/>
    </row>
    <row r="23" spans="1:14" x14ac:dyDescent="0.45">
      <c r="C23" s="190"/>
    </row>
    <row r="24" spans="1:14" x14ac:dyDescent="0.45">
      <c r="C24" s="190"/>
    </row>
    <row r="25" spans="1:14" x14ac:dyDescent="0.45">
      <c r="C25" s="190"/>
    </row>
    <row r="26" spans="1:14" ht="23.25" x14ac:dyDescent="0.45">
      <c r="B26" s="260"/>
      <c r="C26" s="241"/>
      <c r="D26" s="241"/>
      <c r="E26" s="241"/>
    </row>
    <row r="27" spans="1:14" ht="29.25" x14ac:dyDescent="0.45">
      <c r="A27" s="662" t="s">
        <v>659</v>
      </c>
      <c r="B27" s="320"/>
      <c r="C27" s="254"/>
      <c r="D27" s="254"/>
      <c r="E27" s="598"/>
      <c r="I27" s="600">
        <f>I4+1</f>
        <v>46144</v>
      </c>
    </row>
    <row r="29" spans="1:14" ht="90" x14ac:dyDescent="0.45">
      <c r="A29" s="322" t="s">
        <v>324</v>
      </c>
      <c r="B29" s="325" t="s">
        <v>0</v>
      </c>
      <c r="C29" s="332" t="s">
        <v>25</v>
      </c>
      <c r="D29" s="291" t="s">
        <v>26</v>
      </c>
      <c r="E29" s="291" t="s">
        <v>662</v>
      </c>
      <c r="F29" s="291" t="s">
        <v>708</v>
      </c>
      <c r="G29" s="291" t="s">
        <v>1</v>
      </c>
      <c r="H29" s="291" t="s">
        <v>328</v>
      </c>
      <c r="I29" s="291"/>
    </row>
    <row r="30" spans="1:14" ht="33.85" customHeight="1" x14ac:dyDescent="0.45">
      <c r="A30" s="342" t="s">
        <v>501</v>
      </c>
      <c r="B30" s="330">
        <v>0.2326388888888889</v>
      </c>
      <c r="C30" s="343" t="s">
        <v>378</v>
      </c>
      <c r="D30" s="554" t="s">
        <v>700</v>
      </c>
      <c r="E30" s="555" t="s">
        <v>503</v>
      </c>
      <c r="F30" s="291"/>
      <c r="G30" s="291"/>
      <c r="H30" s="291"/>
      <c r="I30" s="341"/>
    </row>
    <row r="31" spans="1:14" ht="33.85" customHeight="1" x14ac:dyDescent="0.45">
      <c r="A31" s="342" t="s">
        <v>376</v>
      </c>
      <c r="B31" s="330">
        <v>0.23958333333333334</v>
      </c>
      <c r="C31" s="343" t="s">
        <v>414</v>
      </c>
      <c r="D31" s="554" t="s">
        <v>702</v>
      </c>
      <c r="E31" s="555" t="s">
        <v>503</v>
      </c>
      <c r="F31" s="291"/>
      <c r="G31" s="291"/>
      <c r="H31" s="291"/>
      <c r="I31" s="341"/>
    </row>
    <row r="32" spans="1:14" ht="33.85" customHeight="1" x14ac:dyDescent="0.45">
      <c r="A32" s="342" t="s">
        <v>501</v>
      </c>
      <c r="B32" s="330">
        <v>0.25</v>
      </c>
      <c r="C32" s="343" t="s">
        <v>384</v>
      </c>
      <c r="D32" s="554" t="s">
        <v>701</v>
      </c>
      <c r="E32" s="555" t="s">
        <v>503</v>
      </c>
      <c r="F32" s="291"/>
      <c r="G32" s="291"/>
      <c r="H32" s="291"/>
      <c r="I32" s="341"/>
    </row>
    <row r="33" spans="1:9" ht="33.85" customHeight="1" x14ac:dyDescent="0.45">
      <c r="A33" s="342" t="s">
        <v>501</v>
      </c>
      <c r="B33" s="330">
        <v>0.27083333333333331</v>
      </c>
      <c r="C33" s="343" t="s">
        <v>378</v>
      </c>
      <c r="D33" s="554" t="s">
        <v>700</v>
      </c>
      <c r="E33" s="555" t="s">
        <v>503</v>
      </c>
      <c r="F33" s="291"/>
      <c r="G33" s="291"/>
      <c r="H33" s="291"/>
      <c r="I33" s="323" t="s">
        <v>347</v>
      </c>
    </row>
    <row r="34" spans="1:9" ht="33.85" customHeight="1" x14ac:dyDescent="0.45">
      <c r="A34" s="342" t="s">
        <v>376</v>
      </c>
      <c r="B34" s="330">
        <v>0.27083333333333331</v>
      </c>
      <c r="C34" s="343" t="s">
        <v>384</v>
      </c>
      <c r="D34" s="554" t="s">
        <v>701</v>
      </c>
      <c r="E34" s="555" t="s">
        <v>504</v>
      </c>
      <c r="F34" s="292" t="s">
        <v>709</v>
      </c>
      <c r="G34" s="292"/>
      <c r="H34" s="293"/>
      <c r="I34" s="216"/>
    </row>
    <row r="35" spans="1:9" ht="33.85" customHeight="1" x14ac:dyDescent="0.45">
      <c r="A35" s="342" t="s">
        <v>376</v>
      </c>
      <c r="B35" s="330">
        <v>0.27083333333333331</v>
      </c>
      <c r="C35" s="343" t="s">
        <v>414</v>
      </c>
      <c r="D35" s="554" t="s">
        <v>702</v>
      </c>
      <c r="E35" s="555" t="s">
        <v>688</v>
      </c>
      <c r="F35" s="292" t="s">
        <v>709</v>
      </c>
      <c r="G35" s="292"/>
      <c r="H35" s="293"/>
      <c r="I35" s="216"/>
    </row>
    <row r="36" spans="1:9" ht="33.85" customHeight="1" x14ac:dyDescent="0.45">
      <c r="A36" s="342" t="s">
        <v>501</v>
      </c>
      <c r="B36" s="330">
        <v>0.28819444444444442</v>
      </c>
      <c r="C36" s="343" t="s">
        <v>378</v>
      </c>
      <c r="D36" s="554" t="s">
        <v>700</v>
      </c>
      <c r="E36" s="555" t="s">
        <v>504</v>
      </c>
      <c r="F36" s="321" t="s">
        <v>709</v>
      </c>
      <c r="G36" s="292"/>
      <c r="H36" s="293"/>
      <c r="I36" s="323"/>
    </row>
    <row r="37" spans="1:9" ht="33.85" customHeight="1" x14ac:dyDescent="0.45">
      <c r="A37" s="342" t="s">
        <v>533</v>
      </c>
      <c r="B37" s="330">
        <v>0.28472222222222221</v>
      </c>
      <c r="C37" s="343" t="s">
        <v>414</v>
      </c>
      <c r="D37" s="554" t="s">
        <v>702</v>
      </c>
      <c r="E37" s="555" t="s">
        <v>504</v>
      </c>
      <c r="F37" s="292" t="s">
        <v>709</v>
      </c>
      <c r="G37" s="292"/>
      <c r="H37" s="293"/>
      <c r="I37" s="323" t="s">
        <v>348</v>
      </c>
    </row>
    <row r="38" spans="1:9" ht="33.85" customHeight="1" x14ac:dyDescent="0.45">
      <c r="A38" s="342" t="s">
        <v>376</v>
      </c>
      <c r="B38" s="330">
        <v>0.2951388888888889</v>
      </c>
      <c r="C38" s="343" t="s">
        <v>384</v>
      </c>
      <c r="D38" s="554" t="s">
        <v>701</v>
      </c>
      <c r="E38" s="555" t="s">
        <v>688</v>
      </c>
      <c r="F38" s="292" t="s">
        <v>709</v>
      </c>
      <c r="G38" s="292"/>
      <c r="H38" s="293"/>
      <c r="I38" s="216"/>
    </row>
    <row r="39" spans="1:9" ht="33.85" customHeight="1" x14ac:dyDescent="0.45">
      <c r="A39" s="342" t="s">
        <v>376</v>
      </c>
      <c r="B39" s="330">
        <v>0.3125</v>
      </c>
      <c r="C39" s="343" t="s">
        <v>414</v>
      </c>
      <c r="D39" s="554" t="s">
        <v>702</v>
      </c>
      <c r="E39" s="555" t="s">
        <v>504</v>
      </c>
      <c r="F39" s="292" t="s">
        <v>709</v>
      </c>
      <c r="G39" s="292"/>
      <c r="H39" s="293"/>
      <c r="I39" s="323" t="s">
        <v>350</v>
      </c>
    </row>
    <row r="40" spans="1:9" ht="33.85" customHeight="1" x14ac:dyDescent="0.45">
      <c r="A40" s="342" t="s">
        <v>501</v>
      </c>
      <c r="B40" s="330">
        <v>0.3263888888888889</v>
      </c>
      <c r="C40" s="343" t="s">
        <v>414</v>
      </c>
      <c r="D40" s="554" t="s">
        <v>702</v>
      </c>
      <c r="E40" s="555" t="s">
        <v>504</v>
      </c>
      <c r="F40" s="292"/>
      <c r="G40" s="292"/>
      <c r="H40" s="293"/>
      <c r="I40" s="323"/>
    </row>
    <row r="41" spans="1:9" ht="33.85" customHeight="1" x14ac:dyDescent="0.45">
      <c r="A41" s="342" t="s">
        <v>376</v>
      </c>
      <c r="B41" s="330">
        <v>0.3263888888888889</v>
      </c>
      <c r="C41" s="343" t="s">
        <v>378</v>
      </c>
      <c r="D41" s="554" t="s">
        <v>700</v>
      </c>
      <c r="E41" s="555" t="s">
        <v>504</v>
      </c>
      <c r="F41" s="292" t="s">
        <v>709</v>
      </c>
      <c r="G41" s="292"/>
      <c r="H41" s="293"/>
      <c r="I41" s="323"/>
    </row>
    <row r="42" spans="1:9" ht="33.85" customHeight="1" x14ac:dyDescent="0.45">
      <c r="A42" s="342" t="s">
        <v>376</v>
      </c>
      <c r="B42" s="330">
        <v>0.58333333333333337</v>
      </c>
      <c r="C42" s="343" t="s">
        <v>378</v>
      </c>
      <c r="D42" s="554" t="s">
        <v>700</v>
      </c>
      <c r="E42" s="555" t="s">
        <v>503</v>
      </c>
      <c r="F42" s="292" t="s">
        <v>709</v>
      </c>
      <c r="G42" s="292"/>
      <c r="H42" s="293"/>
      <c r="I42" s="323" t="s">
        <v>349</v>
      </c>
    </row>
    <row r="43" spans="1:9" ht="33.85" customHeight="1" x14ac:dyDescent="0.45">
      <c r="A43" s="342" t="s">
        <v>501</v>
      </c>
      <c r="B43" s="330">
        <v>0.58333333333333337</v>
      </c>
      <c r="C43" s="343" t="s">
        <v>384</v>
      </c>
      <c r="D43" s="554" t="s">
        <v>701</v>
      </c>
      <c r="E43" s="555" t="s">
        <v>504</v>
      </c>
      <c r="F43" s="292" t="s">
        <v>709</v>
      </c>
      <c r="G43" s="292"/>
      <c r="H43" s="293"/>
      <c r="I43" s="323"/>
    </row>
    <row r="44" spans="1:9" ht="34.15" x14ac:dyDescent="0.45">
      <c r="A44" s="342" t="s">
        <v>376</v>
      </c>
      <c r="B44" s="330">
        <v>0.61458333333333337</v>
      </c>
      <c r="C44" s="343" t="s">
        <v>378</v>
      </c>
      <c r="D44" s="554" t="s">
        <v>700</v>
      </c>
      <c r="E44" s="555" t="s">
        <v>503</v>
      </c>
      <c r="F44" s="292" t="s">
        <v>709</v>
      </c>
      <c r="G44" s="292"/>
      <c r="H44" s="293"/>
      <c r="I44" s="323"/>
    </row>
    <row r="45" spans="1:9" ht="34.15" x14ac:dyDescent="0.45">
      <c r="A45" s="342" t="s">
        <v>376</v>
      </c>
      <c r="B45" s="330">
        <v>0.61805555555555558</v>
      </c>
      <c r="C45" s="343" t="s">
        <v>384</v>
      </c>
      <c r="D45" s="554" t="s">
        <v>701</v>
      </c>
      <c r="E45" s="555" t="s">
        <v>503</v>
      </c>
      <c r="F45" s="292" t="s">
        <v>709</v>
      </c>
      <c r="G45" s="292"/>
      <c r="H45" s="293"/>
      <c r="I45" s="323"/>
    </row>
    <row r="46" spans="1:9" ht="34.15" x14ac:dyDescent="0.45">
      <c r="A46" s="342" t="s">
        <v>501</v>
      </c>
      <c r="B46" s="330">
        <v>0.625</v>
      </c>
      <c r="C46" s="343" t="s">
        <v>414</v>
      </c>
      <c r="D46" s="554" t="s">
        <v>702</v>
      </c>
      <c r="E46" s="555" t="s">
        <v>504</v>
      </c>
      <c r="F46" s="292" t="s">
        <v>709</v>
      </c>
      <c r="G46" s="292"/>
      <c r="H46" s="293"/>
      <c r="I46" s="216"/>
    </row>
    <row r="47" spans="1:9" ht="34.15" x14ac:dyDescent="0.45">
      <c r="A47" s="342" t="s">
        <v>376</v>
      </c>
      <c r="B47" s="330">
        <v>0.63888888888888884</v>
      </c>
      <c r="C47" s="343" t="s">
        <v>378</v>
      </c>
      <c r="D47" s="554" t="s">
        <v>700</v>
      </c>
      <c r="E47" s="555" t="s">
        <v>503</v>
      </c>
      <c r="F47" s="292" t="s">
        <v>709</v>
      </c>
      <c r="G47" s="292"/>
      <c r="H47" s="293"/>
      <c r="I47" s="216"/>
    </row>
    <row r="48" spans="1:9" ht="34.15" x14ac:dyDescent="0.45">
      <c r="A48" s="342" t="s">
        <v>376</v>
      </c>
      <c r="B48" s="330">
        <v>0.65972222222222221</v>
      </c>
      <c r="C48" s="343" t="s">
        <v>414</v>
      </c>
      <c r="D48" s="554" t="s">
        <v>702</v>
      </c>
      <c r="E48" s="555" t="s">
        <v>503</v>
      </c>
      <c r="F48" s="292" t="s">
        <v>709</v>
      </c>
      <c r="G48" s="292"/>
      <c r="H48" s="293"/>
      <c r="I48" s="216"/>
    </row>
    <row r="49" spans="1:9" ht="34.15" x14ac:dyDescent="0.45">
      <c r="A49" s="342" t="s">
        <v>376</v>
      </c>
      <c r="B49" s="330">
        <v>0.6875</v>
      </c>
      <c r="C49" s="343" t="s">
        <v>414</v>
      </c>
      <c r="D49" s="554" t="s">
        <v>702</v>
      </c>
      <c r="E49" s="555" t="s">
        <v>503</v>
      </c>
      <c r="F49" s="292" t="s">
        <v>709</v>
      </c>
      <c r="G49" s="292"/>
      <c r="H49" s="293"/>
      <c r="I49" s="216"/>
    </row>
    <row r="50" spans="1:9" ht="34.15" x14ac:dyDescent="0.45">
      <c r="A50" s="342" t="s">
        <v>376</v>
      </c>
      <c r="B50" s="330">
        <v>0.71180555555555558</v>
      </c>
      <c r="C50" s="343" t="s">
        <v>414</v>
      </c>
      <c r="D50" s="554" t="s">
        <v>702</v>
      </c>
      <c r="E50" s="555" t="s">
        <v>503</v>
      </c>
      <c r="F50" s="292" t="s">
        <v>709</v>
      </c>
      <c r="G50" s="292"/>
      <c r="H50" s="293"/>
      <c r="I50" s="216"/>
    </row>
    <row r="51" spans="1:9" ht="34.15" x14ac:dyDescent="0.45">
      <c r="A51" s="342" t="s">
        <v>376</v>
      </c>
      <c r="B51" s="330">
        <v>0.76041666666666663</v>
      </c>
      <c r="C51" s="343" t="s">
        <v>384</v>
      </c>
      <c r="D51" s="554" t="s">
        <v>701</v>
      </c>
      <c r="E51" s="555" t="s">
        <v>504</v>
      </c>
      <c r="F51" s="292" t="s">
        <v>709</v>
      </c>
      <c r="G51" s="292"/>
      <c r="H51" s="293"/>
      <c r="I51" s="216"/>
    </row>
    <row r="52" spans="1:9" ht="34.15" x14ac:dyDescent="0.45">
      <c r="A52" s="342" t="s">
        <v>501</v>
      </c>
      <c r="B52" s="330">
        <v>0.76041666666666663</v>
      </c>
      <c r="C52" s="343" t="s">
        <v>378</v>
      </c>
      <c r="D52" s="554" t="s">
        <v>700</v>
      </c>
      <c r="E52" s="555" t="s">
        <v>504</v>
      </c>
      <c r="F52" s="292" t="s">
        <v>709</v>
      </c>
      <c r="G52" s="292"/>
      <c r="H52" s="293"/>
      <c r="I52" s="216"/>
    </row>
    <row r="53" spans="1:9" ht="34.15" x14ac:dyDescent="0.45">
      <c r="A53" s="342" t="s">
        <v>376</v>
      </c>
      <c r="B53" s="330">
        <v>0.78125</v>
      </c>
      <c r="C53" s="343" t="s">
        <v>378</v>
      </c>
      <c r="D53" s="554" t="s">
        <v>700</v>
      </c>
      <c r="E53" s="555" t="s">
        <v>503</v>
      </c>
      <c r="F53" s="292" t="s">
        <v>709</v>
      </c>
      <c r="G53" s="292"/>
      <c r="H53" s="293"/>
      <c r="I53" s="216"/>
    </row>
    <row r="54" spans="1:9" ht="34.15" x14ac:dyDescent="0.45">
      <c r="A54" s="342" t="s">
        <v>501</v>
      </c>
      <c r="B54" s="330">
        <v>0.78125</v>
      </c>
      <c r="C54" s="343" t="s">
        <v>384</v>
      </c>
      <c r="D54" s="554" t="s">
        <v>701</v>
      </c>
      <c r="E54" s="555" t="s">
        <v>504</v>
      </c>
      <c r="F54" s="292" t="s">
        <v>709</v>
      </c>
      <c r="G54" s="292"/>
      <c r="H54" s="293"/>
      <c r="I54" s="216"/>
    </row>
    <row r="55" spans="1:9" ht="34.15" x14ac:dyDescent="0.45">
      <c r="A55" s="342" t="s">
        <v>376</v>
      </c>
      <c r="B55" s="330">
        <v>0.80208333333333337</v>
      </c>
      <c r="C55" s="343" t="s">
        <v>384</v>
      </c>
      <c r="D55" s="554" t="s">
        <v>701</v>
      </c>
      <c r="E55" s="555" t="s">
        <v>503</v>
      </c>
      <c r="F55" s="292" t="s">
        <v>709</v>
      </c>
      <c r="G55" s="292"/>
      <c r="H55" s="293"/>
      <c r="I55" s="216"/>
    </row>
    <row r="56" spans="1:9" ht="34.15" x14ac:dyDescent="0.45">
      <c r="A56" s="342" t="s">
        <v>663</v>
      </c>
      <c r="B56" s="330">
        <v>0.80902777777777779</v>
      </c>
      <c r="C56" s="343" t="s">
        <v>378</v>
      </c>
      <c r="D56" s="554" t="s">
        <v>700</v>
      </c>
      <c r="E56" s="555" t="s">
        <v>688</v>
      </c>
      <c r="F56" s="292" t="s">
        <v>709</v>
      </c>
      <c r="G56" s="292"/>
      <c r="H56" s="293"/>
      <c r="I56" s="216"/>
    </row>
    <row r="57" spans="1:9" ht="34.15" x14ac:dyDescent="0.45">
      <c r="A57" s="342" t="s">
        <v>376</v>
      </c>
      <c r="B57" s="330">
        <v>0.82291666666666663</v>
      </c>
      <c r="C57" s="343" t="s">
        <v>384</v>
      </c>
      <c r="D57" s="554" t="s">
        <v>701</v>
      </c>
      <c r="E57" s="555" t="s">
        <v>503</v>
      </c>
      <c r="F57" s="292" t="s">
        <v>709</v>
      </c>
      <c r="G57" s="292"/>
      <c r="H57" s="293"/>
      <c r="I57" s="216"/>
    </row>
    <row r="58" spans="1:9" x14ac:dyDescent="0.45">
      <c r="C58" s="190"/>
    </row>
    <row r="59" spans="1:9" x14ac:dyDescent="0.45">
      <c r="C59" s="190"/>
    </row>
    <row r="60" spans="1:9" x14ac:dyDescent="0.45">
      <c r="C60" s="190"/>
    </row>
    <row r="61" spans="1:9" ht="23.25" x14ac:dyDescent="0.45">
      <c r="B61" s="260"/>
      <c r="C61" s="241"/>
      <c r="D61" s="241"/>
      <c r="E61" s="241"/>
    </row>
    <row r="62" spans="1:9" ht="29.25" x14ac:dyDescent="0.45">
      <c r="A62" s="662" t="s">
        <v>659</v>
      </c>
      <c r="B62" s="320"/>
      <c r="C62" s="254"/>
      <c r="D62" s="254"/>
      <c r="E62" s="598"/>
      <c r="I62" s="607">
        <f>I27+1</f>
        <v>46145</v>
      </c>
    </row>
    <row r="64" spans="1:9" ht="90" x14ac:dyDescent="0.45">
      <c r="A64" s="322" t="s">
        <v>324</v>
      </c>
      <c r="B64" s="325" t="s">
        <v>0</v>
      </c>
      <c r="C64" s="332" t="s">
        <v>25</v>
      </c>
      <c r="D64" s="291" t="s">
        <v>26</v>
      </c>
      <c r="E64" s="291" t="s">
        <v>661</v>
      </c>
      <c r="F64" s="291" t="s">
        <v>708</v>
      </c>
      <c r="G64" s="291" t="s">
        <v>1</v>
      </c>
      <c r="H64" s="291" t="s">
        <v>328</v>
      </c>
      <c r="I64" s="291"/>
    </row>
    <row r="65" spans="1:9" ht="34.15" x14ac:dyDescent="0.45">
      <c r="A65" s="342" t="s">
        <v>376</v>
      </c>
      <c r="B65" s="330">
        <v>0.2951388888888889</v>
      </c>
      <c r="C65" s="343" t="s">
        <v>384</v>
      </c>
      <c r="D65" s="554" t="s">
        <v>701</v>
      </c>
      <c r="E65" s="555" t="s">
        <v>504</v>
      </c>
      <c r="F65" s="291"/>
      <c r="G65" s="291"/>
      <c r="H65" s="291"/>
      <c r="I65" s="323" t="s">
        <v>347</v>
      </c>
    </row>
    <row r="66" spans="1:9" ht="33.4" customHeight="1" x14ac:dyDescent="0.45">
      <c r="A66" s="342" t="s">
        <v>376</v>
      </c>
      <c r="B66" s="330">
        <v>0.3125</v>
      </c>
      <c r="C66" s="343" t="s">
        <v>414</v>
      </c>
      <c r="D66" s="554" t="s">
        <v>702</v>
      </c>
      <c r="E66" s="555" t="s">
        <v>504</v>
      </c>
      <c r="F66" s="291"/>
      <c r="G66" s="291"/>
      <c r="H66" s="291"/>
      <c r="I66" s="341"/>
    </row>
    <row r="67" spans="1:9" ht="33.4" customHeight="1" x14ac:dyDescent="0.45">
      <c r="A67" s="342" t="s">
        <v>376</v>
      </c>
      <c r="B67" s="330">
        <v>0.3263888888888889</v>
      </c>
      <c r="C67" s="343" t="s">
        <v>414</v>
      </c>
      <c r="D67" s="554" t="s">
        <v>702</v>
      </c>
      <c r="E67" s="555" t="s">
        <v>504</v>
      </c>
      <c r="F67" s="291"/>
      <c r="G67" s="291"/>
      <c r="H67" s="291"/>
      <c r="I67" s="323" t="s">
        <v>348</v>
      </c>
    </row>
    <row r="68" spans="1:9" ht="33.4" customHeight="1" x14ac:dyDescent="0.45">
      <c r="A68" s="342" t="s">
        <v>376</v>
      </c>
      <c r="B68" s="330">
        <v>0.58333333333333337</v>
      </c>
      <c r="C68" s="343" t="s">
        <v>378</v>
      </c>
      <c r="D68" s="554" t="s">
        <v>700</v>
      </c>
      <c r="E68" s="555" t="s">
        <v>503</v>
      </c>
      <c r="F68" s="292" t="s">
        <v>709</v>
      </c>
      <c r="G68" s="292"/>
      <c r="H68" s="293"/>
      <c r="I68" s="216"/>
    </row>
    <row r="69" spans="1:9" ht="33.4" customHeight="1" x14ac:dyDescent="0.45">
      <c r="A69" s="342" t="s">
        <v>501</v>
      </c>
      <c r="B69" s="330">
        <v>0.58333333333333337</v>
      </c>
      <c r="C69" s="343" t="s">
        <v>384</v>
      </c>
      <c r="D69" s="554" t="s">
        <v>701</v>
      </c>
      <c r="E69" s="555" t="s">
        <v>504</v>
      </c>
      <c r="F69" s="292" t="s">
        <v>709</v>
      </c>
      <c r="G69" s="292"/>
      <c r="H69" s="293"/>
      <c r="I69" s="216"/>
    </row>
    <row r="70" spans="1:9" ht="33.4" customHeight="1" x14ac:dyDescent="0.45">
      <c r="A70" s="342" t="s">
        <v>376</v>
      </c>
      <c r="B70" s="330">
        <v>0.61458333333333337</v>
      </c>
      <c r="C70" s="343" t="s">
        <v>378</v>
      </c>
      <c r="D70" s="554" t="s">
        <v>700</v>
      </c>
      <c r="E70" s="555" t="s">
        <v>503</v>
      </c>
      <c r="F70" s="321" t="s">
        <v>709</v>
      </c>
      <c r="G70" s="292"/>
      <c r="H70" s="293"/>
      <c r="I70" s="323" t="s">
        <v>350</v>
      </c>
    </row>
    <row r="71" spans="1:9" ht="33.4" customHeight="1" x14ac:dyDescent="0.45">
      <c r="A71" s="342" t="s">
        <v>501</v>
      </c>
      <c r="B71" s="330">
        <v>0.625</v>
      </c>
      <c r="C71" s="343" t="s">
        <v>384</v>
      </c>
      <c r="D71" s="554" t="s">
        <v>701</v>
      </c>
      <c r="E71" s="555" t="s">
        <v>504</v>
      </c>
      <c r="F71" s="292" t="s">
        <v>709</v>
      </c>
      <c r="G71" s="292"/>
      <c r="H71" s="293"/>
      <c r="I71" s="216"/>
    </row>
    <row r="72" spans="1:9" ht="33.4" customHeight="1" x14ac:dyDescent="0.45">
      <c r="A72" s="342" t="s">
        <v>376</v>
      </c>
      <c r="B72" s="330">
        <v>0.63888888888888884</v>
      </c>
      <c r="C72" s="343" t="s">
        <v>378</v>
      </c>
      <c r="D72" s="554" t="s">
        <v>700</v>
      </c>
      <c r="E72" s="555" t="s">
        <v>503</v>
      </c>
      <c r="F72" s="292" t="s">
        <v>709</v>
      </c>
      <c r="G72" s="292"/>
      <c r="H72" s="293"/>
      <c r="I72" s="323" t="s">
        <v>349</v>
      </c>
    </row>
    <row r="73" spans="1:9" ht="33.4" customHeight="1" x14ac:dyDescent="0.45">
      <c r="A73" s="342" t="s">
        <v>376</v>
      </c>
      <c r="B73" s="330">
        <v>0.65972222222222221</v>
      </c>
      <c r="C73" s="343" t="s">
        <v>414</v>
      </c>
      <c r="D73" s="554" t="s">
        <v>702</v>
      </c>
      <c r="E73" s="555" t="s">
        <v>503</v>
      </c>
      <c r="F73" s="292" t="s">
        <v>709</v>
      </c>
      <c r="G73" s="292"/>
      <c r="H73" s="293"/>
      <c r="I73" s="216"/>
    </row>
    <row r="74" spans="1:9" ht="33.4" customHeight="1" x14ac:dyDescent="0.45">
      <c r="A74" s="342" t="s">
        <v>376</v>
      </c>
      <c r="B74" s="330">
        <v>0.6875</v>
      </c>
      <c r="C74" s="343" t="s">
        <v>414</v>
      </c>
      <c r="D74" s="554" t="s">
        <v>702</v>
      </c>
      <c r="E74" s="555" t="s">
        <v>503</v>
      </c>
      <c r="F74" s="292"/>
      <c r="G74" s="292"/>
      <c r="H74" s="293"/>
      <c r="I74" s="323"/>
    </row>
    <row r="75" spans="1:9" ht="33.4" customHeight="1" x14ac:dyDescent="0.45">
      <c r="A75" s="342" t="s">
        <v>501</v>
      </c>
      <c r="B75" s="330">
        <v>0.76041666666666663</v>
      </c>
      <c r="C75" s="343" t="s">
        <v>384</v>
      </c>
      <c r="D75" s="554" t="s">
        <v>701</v>
      </c>
      <c r="E75" s="555" t="s">
        <v>504</v>
      </c>
      <c r="F75" s="292" t="s">
        <v>709</v>
      </c>
      <c r="G75" s="292"/>
      <c r="H75" s="293"/>
      <c r="I75" s="323"/>
    </row>
    <row r="76" spans="1:9" ht="33.4" customHeight="1" x14ac:dyDescent="0.45">
      <c r="A76" s="342" t="s">
        <v>376</v>
      </c>
      <c r="B76" s="330">
        <v>0.76041666666666663</v>
      </c>
      <c r="C76" s="343" t="s">
        <v>414</v>
      </c>
      <c r="D76" s="554" t="s">
        <v>702</v>
      </c>
      <c r="E76" s="555" t="s">
        <v>503</v>
      </c>
      <c r="F76" s="292" t="s">
        <v>709</v>
      </c>
      <c r="G76" s="292"/>
      <c r="H76" s="293"/>
      <c r="I76" s="216"/>
    </row>
    <row r="77" spans="1:9" ht="33.4" customHeight="1" x14ac:dyDescent="0.45">
      <c r="A77" s="342" t="s">
        <v>501</v>
      </c>
      <c r="B77" s="330">
        <v>0.78125</v>
      </c>
      <c r="C77" s="343" t="s">
        <v>414</v>
      </c>
      <c r="D77" s="554" t="s">
        <v>702</v>
      </c>
      <c r="E77" s="555" t="s">
        <v>504</v>
      </c>
      <c r="F77" s="292" t="s">
        <v>709</v>
      </c>
      <c r="G77" s="292"/>
      <c r="H77" s="293"/>
      <c r="I77" s="323"/>
    </row>
    <row r="78" spans="1:9" ht="33.4" customHeight="1" x14ac:dyDescent="0.45">
      <c r="A78" s="342" t="s">
        <v>376</v>
      </c>
      <c r="B78" s="330">
        <v>0.78125</v>
      </c>
      <c r="C78" s="343" t="s">
        <v>384</v>
      </c>
      <c r="D78" s="554" t="s">
        <v>701</v>
      </c>
      <c r="E78" s="555" t="s">
        <v>503</v>
      </c>
      <c r="F78" s="292" t="s">
        <v>709</v>
      </c>
      <c r="G78" s="292"/>
      <c r="H78" s="293"/>
      <c r="I78" s="323"/>
    </row>
    <row r="79" spans="1:9" ht="33.4" customHeight="1" x14ac:dyDescent="0.45">
      <c r="A79" s="342" t="s">
        <v>663</v>
      </c>
      <c r="B79" s="330">
        <v>0.80902777777777779</v>
      </c>
      <c r="C79" s="343" t="s">
        <v>414</v>
      </c>
      <c r="D79" s="554" t="s">
        <v>702</v>
      </c>
      <c r="E79" s="555" t="s">
        <v>504</v>
      </c>
      <c r="F79" s="292" t="s">
        <v>709</v>
      </c>
      <c r="G79" s="292"/>
      <c r="H79" s="293"/>
      <c r="I79" s="323"/>
    </row>
    <row r="80" spans="1:9" ht="33.4" customHeight="1" x14ac:dyDescent="0.45">
      <c r="A80" s="342" t="s">
        <v>376</v>
      </c>
      <c r="B80" s="330">
        <v>0.82291666666666663</v>
      </c>
      <c r="C80" s="343" t="s">
        <v>414</v>
      </c>
      <c r="D80" s="554" t="s">
        <v>702</v>
      </c>
      <c r="E80" s="555" t="s">
        <v>503</v>
      </c>
      <c r="F80" s="292" t="s">
        <v>709</v>
      </c>
      <c r="G80" s="292"/>
      <c r="H80" s="293"/>
      <c r="I80" s="216"/>
    </row>
    <row r="81" spans="1:9" ht="33.4" customHeight="1" x14ac:dyDescent="0.45">
      <c r="A81" s="653"/>
      <c r="B81" s="654"/>
      <c r="C81" s="654"/>
      <c r="D81" s="655"/>
      <c r="E81" s="656"/>
      <c r="F81" s="657"/>
      <c r="G81" s="658"/>
      <c r="H81" s="658"/>
      <c r="I81" s="659"/>
    </row>
    <row r="82" spans="1:9" ht="33.4" customHeight="1" x14ac:dyDescent="0.45">
      <c r="A82" s="653"/>
      <c r="B82" s="654"/>
      <c r="C82" s="654"/>
      <c r="D82" s="655"/>
      <c r="E82" s="656"/>
      <c r="F82" s="657"/>
      <c r="G82" s="658"/>
      <c r="H82" s="658"/>
      <c r="I82" s="659"/>
    </row>
    <row r="84" spans="1:9" ht="29.25" x14ac:dyDescent="0.45">
      <c r="A84" s="662" t="s">
        <v>659</v>
      </c>
      <c r="B84" s="320"/>
      <c r="C84" s="254"/>
      <c r="D84" s="254"/>
      <c r="E84" s="598"/>
      <c r="I84" s="600">
        <f>I62+1</f>
        <v>46146</v>
      </c>
    </row>
    <row r="86" spans="1:9" ht="90" x14ac:dyDescent="0.45">
      <c r="A86" s="322" t="s">
        <v>324</v>
      </c>
      <c r="B86" s="325" t="s">
        <v>0</v>
      </c>
      <c r="C86" s="332" t="s">
        <v>25</v>
      </c>
      <c r="D86" s="291" t="s">
        <v>26</v>
      </c>
      <c r="E86" s="291" t="s">
        <v>662</v>
      </c>
      <c r="F86" s="291" t="s">
        <v>708</v>
      </c>
      <c r="G86" s="291" t="s">
        <v>1</v>
      </c>
      <c r="H86" s="291" t="s">
        <v>328</v>
      </c>
      <c r="I86" s="291"/>
    </row>
    <row r="87" spans="1:9" ht="34.15" x14ac:dyDescent="0.45">
      <c r="A87" s="342" t="s">
        <v>501</v>
      </c>
      <c r="B87" s="330">
        <v>0.2326388888888889</v>
      </c>
      <c r="C87" s="343" t="s">
        <v>378</v>
      </c>
      <c r="D87" s="554" t="s">
        <v>700</v>
      </c>
      <c r="E87" s="555" t="s">
        <v>503</v>
      </c>
      <c r="F87" s="291"/>
      <c r="G87" s="291"/>
      <c r="H87" s="291"/>
      <c r="I87" s="341"/>
    </row>
    <row r="88" spans="1:9" ht="34.15" x14ac:dyDescent="0.45">
      <c r="A88" s="342" t="s">
        <v>376</v>
      </c>
      <c r="B88" s="330">
        <v>0.23958333333333334</v>
      </c>
      <c r="C88" s="343" t="s">
        <v>414</v>
      </c>
      <c r="D88" s="554" t="s">
        <v>702</v>
      </c>
      <c r="E88" s="555" t="s">
        <v>503</v>
      </c>
      <c r="F88" s="291"/>
      <c r="G88" s="291"/>
      <c r="H88" s="291"/>
      <c r="I88" s="341"/>
    </row>
    <row r="89" spans="1:9" ht="33" customHeight="1" x14ac:dyDescent="0.45">
      <c r="A89" s="342" t="s">
        <v>501</v>
      </c>
      <c r="B89" s="330">
        <v>0.25</v>
      </c>
      <c r="C89" s="343" t="s">
        <v>384</v>
      </c>
      <c r="D89" s="554" t="s">
        <v>701</v>
      </c>
      <c r="E89" s="555" t="s">
        <v>503</v>
      </c>
      <c r="F89" s="291"/>
      <c r="G89" s="291"/>
      <c r="H89" s="291"/>
      <c r="I89" s="341"/>
    </row>
    <row r="90" spans="1:9" ht="33" customHeight="1" x14ac:dyDescent="0.45">
      <c r="A90" s="342" t="s">
        <v>501</v>
      </c>
      <c r="B90" s="330">
        <v>0.27083333333333331</v>
      </c>
      <c r="C90" s="343" t="s">
        <v>378</v>
      </c>
      <c r="D90" s="554" t="s">
        <v>700</v>
      </c>
      <c r="E90" s="555" t="s">
        <v>503</v>
      </c>
      <c r="F90" s="291"/>
      <c r="G90" s="291"/>
      <c r="H90" s="291"/>
      <c r="I90" s="323" t="s">
        <v>347</v>
      </c>
    </row>
    <row r="91" spans="1:9" ht="33" customHeight="1" x14ac:dyDescent="0.45">
      <c r="A91" s="342" t="s">
        <v>376</v>
      </c>
      <c r="B91" s="330">
        <v>0.27083333333333331</v>
      </c>
      <c r="C91" s="343" t="s">
        <v>384</v>
      </c>
      <c r="D91" s="554" t="s">
        <v>701</v>
      </c>
      <c r="E91" s="555" t="s">
        <v>504</v>
      </c>
      <c r="F91" s="292" t="s">
        <v>709</v>
      </c>
      <c r="G91" s="292"/>
      <c r="H91" s="293"/>
      <c r="I91" s="216"/>
    </row>
    <row r="92" spans="1:9" ht="33" customHeight="1" x14ac:dyDescent="0.45">
      <c r="A92" s="342" t="s">
        <v>376</v>
      </c>
      <c r="B92" s="330">
        <v>0.27083333333333331</v>
      </c>
      <c r="C92" s="343" t="s">
        <v>414</v>
      </c>
      <c r="D92" s="554" t="s">
        <v>702</v>
      </c>
      <c r="E92" s="555" t="s">
        <v>688</v>
      </c>
      <c r="F92" s="292" t="s">
        <v>709</v>
      </c>
      <c r="G92" s="292"/>
      <c r="H92" s="293"/>
      <c r="I92" s="216"/>
    </row>
    <row r="93" spans="1:9" ht="33" customHeight="1" x14ac:dyDescent="0.45">
      <c r="A93" s="342" t="s">
        <v>501</v>
      </c>
      <c r="B93" s="330">
        <v>0.28819444444444442</v>
      </c>
      <c r="C93" s="343" t="s">
        <v>378</v>
      </c>
      <c r="D93" s="554" t="s">
        <v>700</v>
      </c>
      <c r="E93" s="555" t="s">
        <v>504</v>
      </c>
      <c r="F93" s="321" t="s">
        <v>709</v>
      </c>
      <c r="G93" s="292"/>
      <c r="H93" s="293"/>
      <c r="I93" s="323"/>
    </row>
    <row r="94" spans="1:9" ht="33" customHeight="1" x14ac:dyDescent="0.45">
      <c r="A94" s="342" t="s">
        <v>533</v>
      </c>
      <c r="B94" s="330">
        <v>0.28472222222222221</v>
      </c>
      <c r="C94" s="343" t="s">
        <v>414</v>
      </c>
      <c r="D94" s="554" t="s">
        <v>702</v>
      </c>
      <c r="E94" s="555" t="s">
        <v>504</v>
      </c>
      <c r="F94" s="292" t="s">
        <v>709</v>
      </c>
      <c r="G94" s="292"/>
      <c r="H94" s="293"/>
      <c r="I94" s="323" t="s">
        <v>348</v>
      </c>
    </row>
    <row r="95" spans="1:9" ht="33" customHeight="1" x14ac:dyDescent="0.45">
      <c r="A95" s="342" t="s">
        <v>376</v>
      </c>
      <c r="B95" s="330">
        <v>0.2951388888888889</v>
      </c>
      <c r="C95" s="343" t="s">
        <v>384</v>
      </c>
      <c r="D95" s="554" t="s">
        <v>701</v>
      </c>
      <c r="E95" s="555" t="s">
        <v>688</v>
      </c>
      <c r="F95" s="292" t="s">
        <v>709</v>
      </c>
      <c r="G95" s="292"/>
      <c r="H95" s="293"/>
      <c r="I95" s="216"/>
    </row>
    <row r="96" spans="1:9" ht="33" customHeight="1" x14ac:dyDescent="0.45">
      <c r="A96" s="342" t="s">
        <v>376</v>
      </c>
      <c r="B96" s="330">
        <v>0.3125</v>
      </c>
      <c r="C96" s="343" t="s">
        <v>414</v>
      </c>
      <c r="D96" s="554" t="s">
        <v>702</v>
      </c>
      <c r="E96" s="555" t="s">
        <v>504</v>
      </c>
      <c r="F96" s="292" t="s">
        <v>709</v>
      </c>
      <c r="G96" s="292"/>
      <c r="H96" s="293"/>
      <c r="I96" s="323" t="s">
        <v>350</v>
      </c>
    </row>
    <row r="97" spans="1:9" ht="33" customHeight="1" x14ac:dyDescent="0.45">
      <c r="A97" s="342" t="s">
        <v>501</v>
      </c>
      <c r="B97" s="330">
        <v>0.3263888888888889</v>
      </c>
      <c r="C97" s="343" t="s">
        <v>414</v>
      </c>
      <c r="D97" s="554" t="s">
        <v>702</v>
      </c>
      <c r="E97" s="555" t="s">
        <v>504</v>
      </c>
      <c r="F97" s="292"/>
      <c r="G97" s="292"/>
      <c r="H97" s="293"/>
      <c r="I97" s="323"/>
    </row>
    <row r="98" spans="1:9" ht="33" customHeight="1" x14ac:dyDescent="0.45">
      <c r="A98" s="342" t="s">
        <v>376</v>
      </c>
      <c r="B98" s="330">
        <v>0.3263888888888889</v>
      </c>
      <c r="C98" s="343" t="s">
        <v>378</v>
      </c>
      <c r="D98" s="554" t="s">
        <v>700</v>
      </c>
      <c r="E98" s="555" t="s">
        <v>504</v>
      </c>
      <c r="F98" s="292" t="s">
        <v>709</v>
      </c>
      <c r="G98" s="292"/>
      <c r="H98" s="293"/>
      <c r="I98" s="323"/>
    </row>
    <row r="99" spans="1:9" ht="33" customHeight="1" x14ac:dyDescent="0.45">
      <c r="A99" s="342" t="s">
        <v>376</v>
      </c>
      <c r="B99" s="330">
        <v>0.58333333333333337</v>
      </c>
      <c r="C99" s="343" t="s">
        <v>378</v>
      </c>
      <c r="D99" s="554" t="s">
        <v>700</v>
      </c>
      <c r="E99" s="555" t="s">
        <v>503</v>
      </c>
      <c r="F99" s="292" t="s">
        <v>709</v>
      </c>
      <c r="G99" s="292"/>
      <c r="H99" s="293"/>
      <c r="I99" s="323" t="s">
        <v>349</v>
      </c>
    </row>
    <row r="100" spans="1:9" ht="33" customHeight="1" x14ac:dyDescent="0.45">
      <c r="A100" s="342" t="s">
        <v>501</v>
      </c>
      <c r="B100" s="330">
        <v>0.58333333333333337</v>
      </c>
      <c r="C100" s="343" t="s">
        <v>384</v>
      </c>
      <c r="D100" s="554" t="s">
        <v>701</v>
      </c>
      <c r="E100" s="555" t="s">
        <v>504</v>
      </c>
      <c r="F100" s="292" t="s">
        <v>709</v>
      </c>
      <c r="G100" s="292"/>
      <c r="H100" s="293"/>
      <c r="I100" s="323"/>
    </row>
    <row r="101" spans="1:9" ht="33" customHeight="1" x14ac:dyDescent="0.45">
      <c r="A101" s="342" t="s">
        <v>376</v>
      </c>
      <c r="B101" s="330">
        <v>0.61458333333333337</v>
      </c>
      <c r="C101" s="343" t="s">
        <v>378</v>
      </c>
      <c r="D101" s="554" t="s">
        <v>700</v>
      </c>
      <c r="E101" s="555" t="s">
        <v>503</v>
      </c>
      <c r="F101" s="292" t="s">
        <v>709</v>
      </c>
      <c r="G101" s="292"/>
      <c r="H101" s="293"/>
      <c r="I101" s="323"/>
    </row>
    <row r="102" spans="1:9" ht="33" customHeight="1" x14ac:dyDescent="0.45">
      <c r="A102" s="342" t="s">
        <v>376</v>
      </c>
      <c r="B102" s="330">
        <v>0.61805555555555558</v>
      </c>
      <c r="C102" s="343" t="s">
        <v>384</v>
      </c>
      <c r="D102" s="554" t="s">
        <v>701</v>
      </c>
      <c r="E102" s="555" t="s">
        <v>503</v>
      </c>
      <c r="F102" s="292" t="s">
        <v>709</v>
      </c>
      <c r="G102" s="292"/>
      <c r="H102" s="293"/>
      <c r="I102" s="323"/>
    </row>
    <row r="103" spans="1:9" ht="33" customHeight="1" x14ac:dyDescent="0.45">
      <c r="A103" s="342" t="s">
        <v>501</v>
      </c>
      <c r="B103" s="330">
        <v>0.625</v>
      </c>
      <c r="C103" s="343" t="s">
        <v>414</v>
      </c>
      <c r="D103" s="554" t="s">
        <v>702</v>
      </c>
      <c r="E103" s="555" t="s">
        <v>504</v>
      </c>
      <c r="F103" s="292" t="s">
        <v>709</v>
      </c>
      <c r="G103" s="292"/>
      <c r="H103" s="293"/>
      <c r="I103" s="216"/>
    </row>
    <row r="104" spans="1:9" ht="33" customHeight="1" x14ac:dyDescent="0.45">
      <c r="A104" s="342" t="s">
        <v>376</v>
      </c>
      <c r="B104" s="330">
        <v>0.63888888888888884</v>
      </c>
      <c r="C104" s="343" t="s">
        <v>378</v>
      </c>
      <c r="D104" s="554" t="s">
        <v>700</v>
      </c>
      <c r="E104" s="555" t="s">
        <v>503</v>
      </c>
      <c r="F104" s="292" t="s">
        <v>709</v>
      </c>
      <c r="G104" s="292"/>
      <c r="H104" s="293"/>
      <c r="I104" s="216"/>
    </row>
    <row r="105" spans="1:9" ht="33" customHeight="1" x14ac:dyDescent="0.45">
      <c r="A105" s="342" t="s">
        <v>376</v>
      </c>
      <c r="B105" s="330">
        <v>0.65972222222222221</v>
      </c>
      <c r="C105" s="343" t="s">
        <v>414</v>
      </c>
      <c r="D105" s="554" t="s">
        <v>702</v>
      </c>
      <c r="E105" s="555" t="s">
        <v>503</v>
      </c>
      <c r="F105" s="292" t="s">
        <v>709</v>
      </c>
      <c r="G105" s="292"/>
      <c r="H105" s="293"/>
      <c r="I105" s="216"/>
    </row>
    <row r="106" spans="1:9" ht="33" customHeight="1" x14ac:dyDescent="0.45">
      <c r="A106" s="342" t="s">
        <v>376</v>
      </c>
      <c r="B106" s="330">
        <v>0.6875</v>
      </c>
      <c r="C106" s="343" t="s">
        <v>414</v>
      </c>
      <c r="D106" s="554" t="s">
        <v>702</v>
      </c>
      <c r="E106" s="555" t="s">
        <v>503</v>
      </c>
      <c r="F106" s="292" t="s">
        <v>709</v>
      </c>
      <c r="G106" s="292"/>
      <c r="H106" s="293"/>
      <c r="I106" s="216"/>
    </row>
    <row r="107" spans="1:9" ht="33" customHeight="1" x14ac:dyDescent="0.45">
      <c r="A107" s="342" t="s">
        <v>376</v>
      </c>
      <c r="B107" s="330">
        <v>0.71180555555555558</v>
      </c>
      <c r="C107" s="343" t="s">
        <v>414</v>
      </c>
      <c r="D107" s="554" t="s">
        <v>702</v>
      </c>
      <c r="E107" s="555" t="s">
        <v>503</v>
      </c>
      <c r="F107" s="292" t="s">
        <v>709</v>
      </c>
      <c r="G107" s="292"/>
      <c r="H107" s="293"/>
      <c r="I107" s="216"/>
    </row>
    <row r="108" spans="1:9" ht="33" customHeight="1" x14ac:dyDescent="0.45">
      <c r="A108" s="342" t="s">
        <v>376</v>
      </c>
      <c r="B108" s="330">
        <v>0.76041666666666663</v>
      </c>
      <c r="C108" s="343" t="s">
        <v>384</v>
      </c>
      <c r="D108" s="554" t="s">
        <v>701</v>
      </c>
      <c r="E108" s="555" t="s">
        <v>504</v>
      </c>
      <c r="F108" s="292" t="s">
        <v>709</v>
      </c>
      <c r="G108" s="292"/>
      <c r="H108" s="293"/>
      <c r="I108" s="216"/>
    </row>
    <row r="109" spans="1:9" ht="33" customHeight="1" x14ac:dyDescent="0.45">
      <c r="A109" s="342" t="s">
        <v>501</v>
      </c>
      <c r="B109" s="330">
        <v>0.76041666666666663</v>
      </c>
      <c r="C109" s="343" t="s">
        <v>378</v>
      </c>
      <c r="D109" s="554" t="s">
        <v>700</v>
      </c>
      <c r="E109" s="555" t="s">
        <v>504</v>
      </c>
      <c r="F109" s="292" t="s">
        <v>709</v>
      </c>
      <c r="G109" s="292"/>
      <c r="H109" s="293"/>
      <c r="I109" s="216"/>
    </row>
    <row r="110" spans="1:9" ht="33" customHeight="1" x14ac:dyDescent="0.45">
      <c r="A110" s="342" t="s">
        <v>376</v>
      </c>
      <c r="B110" s="330">
        <v>0.78125</v>
      </c>
      <c r="C110" s="343" t="s">
        <v>378</v>
      </c>
      <c r="D110" s="554" t="s">
        <v>700</v>
      </c>
      <c r="E110" s="555" t="s">
        <v>503</v>
      </c>
      <c r="F110" s="292" t="s">
        <v>709</v>
      </c>
      <c r="G110" s="292"/>
      <c r="H110" s="293"/>
      <c r="I110" s="216"/>
    </row>
    <row r="111" spans="1:9" ht="33" customHeight="1" x14ac:dyDescent="0.45">
      <c r="A111" s="342" t="s">
        <v>501</v>
      </c>
      <c r="B111" s="330">
        <v>0.78125</v>
      </c>
      <c r="C111" s="343" t="s">
        <v>384</v>
      </c>
      <c r="D111" s="554" t="s">
        <v>701</v>
      </c>
      <c r="E111" s="555" t="s">
        <v>504</v>
      </c>
      <c r="F111" s="292" t="s">
        <v>709</v>
      </c>
      <c r="G111" s="292"/>
      <c r="H111" s="293"/>
      <c r="I111" s="216"/>
    </row>
    <row r="112" spans="1:9" ht="33" customHeight="1" x14ac:dyDescent="0.45">
      <c r="A112" s="342" t="s">
        <v>376</v>
      </c>
      <c r="B112" s="330">
        <v>0.80208333333333337</v>
      </c>
      <c r="C112" s="343" t="s">
        <v>384</v>
      </c>
      <c r="D112" s="554" t="s">
        <v>701</v>
      </c>
      <c r="E112" s="555" t="s">
        <v>503</v>
      </c>
      <c r="F112" s="292" t="s">
        <v>709</v>
      </c>
      <c r="G112" s="292"/>
      <c r="H112" s="293"/>
      <c r="I112" s="216"/>
    </row>
    <row r="113" spans="1:11" ht="33" customHeight="1" x14ac:dyDescent="0.45">
      <c r="A113" s="342" t="s">
        <v>663</v>
      </c>
      <c r="B113" s="330">
        <v>0.80902777777777779</v>
      </c>
      <c r="C113" s="343" t="s">
        <v>378</v>
      </c>
      <c r="D113" s="554" t="s">
        <v>700</v>
      </c>
      <c r="E113" s="555" t="s">
        <v>688</v>
      </c>
      <c r="F113" s="292" t="s">
        <v>709</v>
      </c>
      <c r="G113" s="292"/>
      <c r="H113" s="293"/>
      <c r="I113" s="216"/>
    </row>
    <row r="114" spans="1:11" ht="33" customHeight="1" x14ac:dyDescent="0.45">
      <c r="A114" s="342" t="s">
        <v>376</v>
      </c>
      <c r="B114" s="330">
        <v>0.82291666666666663</v>
      </c>
      <c r="C114" s="343" t="s">
        <v>384</v>
      </c>
      <c r="D114" s="554" t="s">
        <v>701</v>
      </c>
      <c r="E114" s="555" t="s">
        <v>503</v>
      </c>
      <c r="F114" s="292" t="s">
        <v>709</v>
      </c>
      <c r="G114" s="292"/>
      <c r="H114" s="293"/>
      <c r="I114" s="216"/>
    </row>
    <row r="115" spans="1:11" ht="33" customHeight="1" x14ac:dyDescent="0.45">
      <c r="C115" s="190"/>
    </row>
    <row r="116" spans="1:11" ht="33" customHeight="1" x14ac:dyDescent="0.45">
      <c r="C116" s="190"/>
    </row>
    <row r="117" spans="1:11" ht="33" customHeight="1" x14ac:dyDescent="0.45">
      <c r="C117" s="190"/>
    </row>
    <row r="118" spans="1:11" x14ac:dyDescent="0.45">
      <c r="C118" s="190"/>
    </row>
    <row r="119" spans="1:11" ht="29.25" x14ac:dyDescent="0.45">
      <c r="A119" s="662" t="s">
        <v>659</v>
      </c>
      <c r="B119" s="320"/>
      <c r="C119" s="254"/>
      <c r="D119" s="254"/>
      <c r="E119" s="598"/>
      <c r="I119" s="600">
        <f>I84+1</f>
        <v>46147</v>
      </c>
    </row>
    <row r="121" spans="1:11" ht="90" x14ac:dyDescent="0.45">
      <c r="A121" s="322" t="s">
        <v>324</v>
      </c>
      <c r="B121" s="325" t="s">
        <v>0</v>
      </c>
      <c r="C121" s="332" t="s">
        <v>25</v>
      </c>
      <c r="D121" s="291" t="s">
        <v>26</v>
      </c>
      <c r="E121" s="291" t="s">
        <v>662</v>
      </c>
      <c r="F121" s="291" t="s">
        <v>708</v>
      </c>
      <c r="G121" s="291" t="s">
        <v>1</v>
      </c>
      <c r="H121" s="291" t="s">
        <v>328</v>
      </c>
      <c r="I121" s="291"/>
    </row>
    <row r="122" spans="1:11" ht="34.15" x14ac:dyDescent="0.45">
      <c r="A122" s="342" t="s">
        <v>501</v>
      </c>
      <c r="B122" s="330">
        <v>0.2326388888888889</v>
      </c>
      <c r="C122" s="343" t="s">
        <v>378</v>
      </c>
      <c r="D122" s="554" t="s">
        <v>700</v>
      </c>
      <c r="E122" s="555" t="s">
        <v>503</v>
      </c>
      <c r="F122" s="291"/>
      <c r="G122" s="291"/>
      <c r="H122" s="291"/>
      <c r="I122" s="341"/>
      <c r="J122" s="137" t="s">
        <v>337</v>
      </c>
    </row>
    <row r="123" spans="1:11" ht="34.15" x14ac:dyDescent="0.45">
      <c r="A123" s="342" t="s">
        <v>376</v>
      </c>
      <c r="B123" s="330">
        <v>0.23958333333333334</v>
      </c>
      <c r="C123" s="343" t="s">
        <v>414</v>
      </c>
      <c r="D123" s="554" t="s">
        <v>702</v>
      </c>
      <c r="E123" s="555" t="s">
        <v>503</v>
      </c>
      <c r="F123" s="291"/>
      <c r="G123" s="291"/>
      <c r="H123" s="291"/>
      <c r="I123" s="341"/>
      <c r="J123" s="137" t="s">
        <v>17</v>
      </c>
      <c r="K123" s="137" t="s">
        <v>12</v>
      </c>
    </row>
    <row r="124" spans="1:11" ht="33" customHeight="1" x14ac:dyDescent="0.45">
      <c r="A124" s="342" t="s">
        <v>501</v>
      </c>
      <c r="B124" s="330">
        <v>0.25</v>
      </c>
      <c r="C124" s="343" t="s">
        <v>384</v>
      </c>
      <c r="D124" s="554" t="s">
        <v>701</v>
      </c>
      <c r="E124" s="555" t="s">
        <v>503</v>
      </c>
      <c r="F124" s="291"/>
      <c r="G124" s="291"/>
      <c r="H124" s="291"/>
      <c r="I124" s="341"/>
    </row>
    <row r="125" spans="1:11" ht="33" customHeight="1" x14ac:dyDescent="0.45">
      <c r="A125" s="342" t="s">
        <v>501</v>
      </c>
      <c r="B125" s="330">
        <v>0.27083333333333331</v>
      </c>
      <c r="C125" s="343" t="s">
        <v>378</v>
      </c>
      <c r="D125" s="554" t="s">
        <v>700</v>
      </c>
      <c r="E125" s="555" t="s">
        <v>503</v>
      </c>
      <c r="F125" s="291"/>
      <c r="G125" s="291"/>
      <c r="H125" s="291"/>
      <c r="I125" s="323" t="s">
        <v>347</v>
      </c>
    </row>
    <row r="126" spans="1:11" ht="33" customHeight="1" x14ac:dyDescent="0.45">
      <c r="A126" s="342" t="s">
        <v>376</v>
      </c>
      <c r="B126" s="330">
        <v>0.27083333333333331</v>
      </c>
      <c r="C126" s="343" t="s">
        <v>384</v>
      </c>
      <c r="D126" s="554" t="s">
        <v>701</v>
      </c>
      <c r="E126" s="555" t="s">
        <v>504</v>
      </c>
      <c r="F126" s="292" t="s">
        <v>709</v>
      </c>
      <c r="G126" s="292"/>
      <c r="H126" s="293"/>
      <c r="I126" s="216"/>
    </row>
    <row r="127" spans="1:11" ht="33" customHeight="1" x14ac:dyDescent="0.45">
      <c r="A127" s="342" t="s">
        <v>376</v>
      </c>
      <c r="B127" s="330">
        <v>0.27083333333333331</v>
      </c>
      <c r="C127" s="343" t="s">
        <v>414</v>
      </c>
      <c r="D127" s="554" t="s">
        <v>702</v>
      </c>
      <c r="E127" s="555" t="s">
        <v>688</v>
      </c>
      <c r="F127" s="292" t="s">
        <v>709</v>
      </c>
      <c r="G127" s="292"/>
      <c r="H127" s="293"/>
      <c r="I127" s="216"/>
    </row>
    <row r="128" spans="1:11" ht="33" customHeight="1" x14ac:dyDescent="0.45">
      <c r="A128" s="342" t="s">
        <v>501</v>
      </c>
      <c r="B128" s="330">
        <v>0.28819444444444442</v>
      </c>
      <c r="C128" s="343" t="s">
        <v>378</v>
      </c>
      <c r="D128" s="554" t="s">
        <v>700</v>
      </c>
      <c r="E128" s="555" t="s">
        <v>504</v>
      </c>
      <c r="F128" s="321" t="s">
        <v>709</v>
      </c>
      <c r="G128" s="292"/>
      <c r="H128" s="293"/>
      <c r="I128" s="323"/>
    </row>
    <row r="129" spans="1:9" ht="33" customHeight="1" x14ac:dyDescent="0.45">
      <c r="A129" s="342" t="s">
        <v>533</v>
      </c>
      <c r="B129" s="330">
        <v>0.28472222222222221</v>
      </c>
      <c r="C129" s="343" t="s">
        <v>414</v>
      </c>
      <c r="D129" s="554" t="s">
        <v>702</v>
      </c>
      <c r="E129" s="555" t="s">
        <v>504</v>
      </c>
      <c r="F129" s="292" t="s">
        <v>709</v>
      </c>
      <c r="G129" s="292"/>
      <c r="H129" s="293"/>
      <c r="I129" s="323" t="s">
        <v>348</v>
      </c>
    </row>
    <row r="130" spans="1:9" ht="33" customHeight="1" x14ac:dyDescent="0.45">
      <c r="A130" s="342" t="s">
        <v>376</v>
      </c>
      <c r="B130" s="330">
        <v>0.2951388888888889</v>
      </c>
      <c r="C130" s="343" t="s">
        <v>384</v>
      </c>
      <c r="D130" s="554" t="s">
        <v>701</v>
      </c>
      <c r="E130" s="555" t="s">
        <v>688</v>
      </c>
      <c r="F130" s="292" t="s">
        <v>709</v>
      </c>
      <c r="G130" s="292"/>
      <c r="H130" s="293"/>
      <c r="I130" s="216"/>
    </row>
    <row r="131" spans="1:9" ht="33" customHeight="1" x14ac:dyDescent="0.45">
      <c r="A131" s="342" t="s">
        <v>376</v>
      </c>
      <c r="B131" s="330">
        <v>0.3125</v>
      </c>
      <c r="C131" s="343" t="s">
        <v>414</v>
      </c>
      <c r="D131" s="554" t="s">
        <v>702</v>
      </c>
      <c r="E131" s="555" t="s">
        <v>504</v>
      </c>
      <c r="F131" s="292" t="s">
        <v>709</v>
      </c>
      <c r="G131" s="292"/>
      <c r="H131" s="293"/>
      <c r="I131" s="323" t="s">
        <v>350</v>
      </c>
    </row>
    <row r="132" spans="1:9" ht="33" customHeight="1" x14ac:dyDescent="0.45">
      <c r="A132" s="342" t="s">
        <v>501</v>
      </c>
      <c r="B132" s="330">
        <v>0.3263888888888889</v>
      </c>
      <c r="C132" s="343" t="s">
        <v>414</v>
      </c>
      <c r="D132" s="554" t="s">
        <v>702</v>
      </c>
      <c r="E132" s="555" t="s">
        <v>504</v>
      </c>
      <c r="F132" s="292"/>
      <c r="G132" s="292"/>
      <c r="H132" s="293"/>
      <c r="I132" s="323"/>
    </row>
    <row r="133" spans="1:9" ht="33" customHeight="1" x14ac:dyDescent="0.45">
      <c r="A133" s="342" t="s">
        <v>376</v>
      </c>
      <c r="B133" s="330">
        <v>0.3263888888888889</v>
      </c>
      <c r="C133" s="343" t="s">
        <v>378</v>
      </c>
      <c r="D133" s="554" t="s">
        <v>700</v>
      </c>
      <c r="E133" s="555" t="s">
        <v>504</v>
      </c>
      <c r="F133" s="292" t="s">
        <v>709</v>
      </c>
      <c r="G133" s="292"/>
      <c r="H133" s="293"/>
      <c r="I133" s="323"/>
    </row>
    <row r="134" spans="1:9" ht="33" customHeight="1" x14ac:dyDescent="0.45">
      <c r="A134" s="342" t="s">
        <v>376</v>
      </c>
      <c r="B134" s="330">
        <v>0.58333333333333337</v>
      </c>
      <c r="C134" s="343" t="s">
        <v>378</v>
      </c>
      <c r="D134" s="554" t="s">
        <v>700</v>
      </c>
      <c r="E134" s="555" t="s">
        <v>503</v>
      </c>
      <c r="F134" s="292" t="s">
        <v>709</v>
      </c>
      <c r="G134" s="292"/>
      <c r="H134" s="293"/>
      <c r="I134" s="323" t="s">
        <v>349</v>
      </c>
    </row>
    <row r="135" spans="1:9" ht="33" customHeight="1" x14ac:dyDescent="0.45">
      <c r="A135" s="342" t="s">
        <v>501</v>
      </c>
      <c r="B135" s="330">
        <v>0.58333333333333337</v>
      </c>
      <c r="C135" s="343" t="s">
        <v>384</v>
      </c>
      <c r="D135" s="554" t="s">
        <v>701</v>
      </c>
      <c r="E135" s="555" t="s">
        <v>504</v>
      </c>
      <c r="F135" s="292" t="s">
        <v>709</v>
      </c>
      <c r="G135" s="292"/>
      <c r="H135" s="293"/>
      <c r="I135" s="323"/>
    </row>
    <row r="136" spans="1:9" ht="33" customHeight="1" x14ac:dyDescent="0.45">
      <c r="A136" s="342" t="s">
        <v>376</v>
      </c>
      <c r="B136" s="330">
        <v>0.61458333333333337</v>
      </c>
      <c r="C136" s="343" t="s">
        <v>378</v>
      </c>
      <c r="D136" s="554" t="s">
        <v>700</v>
      </c>
      <c r="E136" s="555" t="s">
        <v>503</v>
      </c>
      <c r="F136" s="292" t="s">
        <v>709</v>
      </c>
      <c r="G136" s="292"/>
      <c r="H136" s="293"/>
      <c r="I136" s="323"/>
    </row>
    <row r="137" spans="1:9" ht="33" customHeight="1" x14ac:dyDescent="0.45">
      <c r="A137" s="342" t="s">
        <v>376</v>
      </c>
      <c r="B137" s="330">
        <v>0.61805555555555558</v>
      </c>
      <c r="C137" s="343" t="s">
        <v>384</v>
      </c>
      <c r="D137" s="554" t="s">
        <v>701</v>
      </c>
      <c r="E137" s="555" t="s">
        <v>503</v>
      </c>
      <c r="F137" s="292" t="s">
        <v>709</v>
      </c>
      <c r="G137" s="292"/>
      <c r="H137" s="293"/>
      <c r="I137" s="323"/>
    </row>
    <row r="138" spans="1:9" ht="34.15" x14ac:dyDescent="0.45">
      <c r="A138" s="342" t="s">
        <v>501</v>
      </c>
      <c r="B138" s="330">
        <v>0.625</v>
      </c>
      <c r="C138" s="343" t="s">
        <v>414</v>
      </c>
      <c r="D138" s="554" t="s">
        <v>702</v>
      </c>
      <c r="E138" s="555" t="s">
        <v>504</v>
      </c>
      <c r="F138" s="292" t="s">
        <v>709</v>
      </c>
      <c r="G138" s="292"/>
      <c r="H138" s="293"/>
      <c r="I138" s="216"/>
    </row>
    <row r="139" spans="1:9" ht="34.15" x14ac:dyDescent="0.45">
      <c r="A139" s="342" t="s">
        <v>376</v>
      </c>
      <c r="B139" s="330">
        <v>0.63888888888888884</v>
      </c>
      <c r="C139" s="343" t="s">
        <v>378</v>
      </c>
      <c r="D139" s="554" t="s">
        <v>700</v>
      </c>
      <c r="E139" s="555" t="s">
        <v>503</v>
      </c>
      <c r="F139" s="292" t="s">
        <v>709</v>
      </c>
      <c r="G139" s="292"/>
      <c r="H139" s="293"/>
      <c r="I139" s="216"/>
    </row>
    <row r="140" spans="1:9" ht="34.15" x14ac:dyDescent="0.45">
      <c r="A140" s="342" t="s">
        <v>376</v>
      </c>
      <c r="B140" s="330">
        <v>0.65972222222222221</v>
      </c>
      <c r="C140" s="343" t="s">
        <v>414</v>
      </c>
      <c r="D140" s="554" t="s">
        <v>702</v>
      </c>
      <c r="E140" s="555" t="s">
        <v>503</v>
      </c>
      <c r="F140" s="292" t="s">
        <v>709</v>
      </c>
      <c r="G140" s="292"/>
      <c r="H140" s="293"/>
      <c r="I140" s="216"/>
    </row>
    <row r="141" spans="1:9" ht="34.15" x14ac:dyDescent="0.45">
      <c r="A141" s="342" t="s">
        <v>376</v>
      </c>
      <c r="B141" s="330">
        <v>0.6875</v>
      </c>
      <c r="C141" s="343" t="s">
        <v>414</v>
      </c>
      <c r="D141" s="554" t="s">
        <v>702</v>
      </c>
      <c r="E141" s="555" t="s">
        <v>503</v>
      </c>
      <c r="F141" s="292" t="s">
        <v>709</v>
      </c>
      <c r="G141" s="292"/>
      <c r="H141" s="293"/>
      <c r="I141" s="216"/>
    </row>
    <row r="142" spans="1:9" ht="34.15" x14ac:dyDescent="0.45">
      <c r="A142" s="342" t="s">
        <v>376</v>
      </c>
      <c r="B142" s="330">
        <v>0.71180555555555558</v>
      </c>
      <c r="C142" s="343" t="s">
        <v>414</v>
      </c>
      <c r="D142" s="554" t="s">
        <v>702</v>
      </c>
      <c r="E142" s="555" t="s">
        <v>503</v>
      </c>
      <c r="F142" s="292" t="s">
        <v>709</v>
      </c>
      <c r="G142" s="292"/>
      <c r="H142" s="293"/>
      <c r="I142" s="216"/>
    </row>
    <row r="143" spans="1:9" ht="34.15" x14ac:dyDescent="0.45">
      <c r="A143" s="342" t="s">
        <v>376</v>
      </c>
      <c r="B143" s="330">
        <v>0.76041666666666663</v>
      </c>
      <c r="C143" s="343" t="s">
        <v>384</v>
      </c>
      <c r="D143" s="554" t="s">
        <v>701</v>
      </c>
      <c r="E143" s="555" t="s">
        <v>504</v>
      </c>
      <c r="F143" s="292" t="s">
        <v>709</v>
      </c>
      <c r="G143" s="292"/>
      <c r="H143" s="293"/>
      <c r="I143" s="216"/>
    </row>
    <row r="144" spans="1:9" ht="34.15" x14ac:dyDescent="0.45">
      <c r="A144" s="342" t="s">
        <v>501</v>
      </c>
      <c r="B144" s="330">
        <v>0.76041666666666663</v>
      </c>
      <c r="C144" s="343" t="s">
        <v>378</v>
      </c>
      <c r="D144" s="554" t="s">
        <v>700</v>
      </c>
      <c r="E144" s="555" t="s">
        <v>504</v>
      </c>
      <c r="F144" s="292" t="s">
        <v>709</v>
      </c>
      <c r="G144" s="292"/>
      <c r="H144" s="293"/>
      <c r="I144" s="216"/>
    </row>
    <row r="145" spans="1:9" ht="34.15" x14ac:dyDescent="0.45">
      <c r="A145" s="342" t="s">
        <v>376</v>
      </c>
      <c r="B145" s="330">
        <v>0.78125</v>
      </c>
      <c r="C145" s="343" t="s">
        <v>378</v>
      </c>
      <c r="D145" s="554" t="s">
        <v>700</v>
      </c>
      <c r="E145" s="555" t="s">
        <v>503</v>
      </c>
      <c r="F145" s="292" t="s">
        <v>709</v>
      </c>
      <c r="G145" s="292"/>
      <c r="H145" s="293"/>
      <c r="I145" s="216"/>
    </row>
    <row r="146" spans="1:9" ht="34.15" x14ac:dyDescent="0.45">
      <c r="A146" s="342" t="s">
        <v>501</v>
      </c>
      <c r="B146" s="330">
        <v>0.78125</v>
      </c>
      <c r="C146" s="343" t="s">
        <v>384</v>
      </c>
      <c r="D146" s="554" t="s">
        <v>701</v>
      </c>
      <c r="E146" s="555" t="s">
        <v>504</v>
      </c>
      <c r="F146" s="292" t="s">
        <v>709</v>
      </c>
      <c r="G146" s="292"/>
      <c r="H146" s="293"/>
      <c r="I146" s="216"/>
    </row>
    <row r="147" spans="1:9" ht="34.15" x14ac:dyDescent="0.45">
      <c r="A147" s="342" t="s">
        <v>376</v>
      </c>
      <c r="B147" s="330">
        <v>0.80208333333333337</v>
      </c>
      <c r="C147" s="343" t="s">
        <v>384</v>
      </c>
      <c r="D147" s="554" t="s">
        <v>701</v>
      </c>
      <c r="E147" s="555" t="s">
        <v>503</v>
      </c>
      <c r="F147" s="292" t="s">
        <v>709</v>
      </c>
      <c r="G147" s="292"/>
      <c r="H147" s="293"/>
      <c r="I147" s="216"/>
    </row>
    <row r="148" spans="1:9" ht="34.15" x14ac:dyDescent="0.45">
      <c r="A148" s="342" t="s">
        <v>663</v>
      </c>
      <c r="B148" s="330">
        <v>0.80902777777777779</v>
      </c>
      <c r="C148" s="343" t="s">
        <v>378</v>
      </c>
      <c r="D148" s="554" t="s">
        <v>700</v>
      </c>
      <c r="E148" s="555" t="s">
        <v>688</v>
      </c>
      <c r="F148" s="292" t="s">
        <v>709</v>
      </c>
      <c r="G148" s="292"/>
      <c r="H148" s="293"/>
      <c r="I148" s="216"/>
    </row>
    <row r="149" spans="1:9" ht="34.15" x14ac:dyDescent="0.45">
      <c r="A149" s="342" t="s">
        <v>376</v>
      </c>
      <c r="B149" s="330">
        <v>0.82291666666666663</v>
      </c>
      <c r="C149" s="343" t="s">
        <v>384</v>
      </c>
      <c r="D149" s="554" t="s">
        <v>701</v>
      </c>
      <c r="E149" s="555" t="s">
        <v>503</v>
      </c>
      <c r="F149" s="292" t="s">
        <v>709</v>
      </c>
      <c r="G149" s="292"/>
      <c r="H149" s="293"/>
      <c r="I149" s="216"/>
    </row>
    <row r="150" spans="1:9" x14ac:dyDescent="0.45">
      <c r="C150" s="190"/>
    </row>
    <row r="151" spans="1:9" x14ac:dyDescent="0.45">
      <c r="C151" s="190"/>
    </row>
    <row r="152" spans="1:9" x14ac:dyDescent="0.45">
      <c r="C152" s="190"/>
    </row>
    <row r="153" spans="1:9" x14ac:dyDescent="0.45">
      <c r="C153" s="190"/>
    </row>
    <row r="154" spans="1:9" x14ac:dyDescent="0.45">
      <c r="C154" s="190"/>
    </row>
    <row r="155" spans="1:9" x14ac:dyDescent="0.45">
      <c r="C155" s="190"/>
    </row>
    <row r="156" spans="1:9" ht="29.25" x14ac:dyDescent="0.45">
      <c r="A156" s="662" t="s">
        <v>659</v>
      </c>
      <c r="B156" s="320"/>
      <c r="C156" s="254"/>
      <c r="D156" s="254"/>
      <c r="E156" s="598"/>
      <c r="I156" s="600">
        <f>I119+1</f>
        <v>46148</v>
      </c>
    </row>
    <row r="158" spans="1:9" ht="90" x14ac:dyDescent="0.45">
      <c r="A158" s="322" t="s">
        <v>324</v>
      </c>
      <c r="B158" s="325" t="s">
        <v>0</v>
      </c>
      <c r="C158" s="332" t="s">
        <v>25</v>
      </c>
      <c r="D158" s="291" t="s">
        <v>26</v>
      </c>
      <c r="E158" s="291" t="s">
        <v>662</v>
      </c>
      <c r="F158" s="291" t="s">
        <v>708</v>
      </c>
      <c r="G158" s="291" t="s">
        <v>1</v>
      </c>
      <c r="H158" s="291" t="s">
        <v>328</v>
      </c>
      <c r="I158" s="291"/>
    </row>
    <row r="159" spans="1:9" ht="34.15" x14ac:dyDescent="0.45">
      <c r="A159" s="342" t="s">
        <v>501</v>
      </c>
      <c r="B159" s="330">
        <v>0.2326388888888889</v>
      </c>
      <c r="C159" s="343" t="s">
        <v>378</v>
      </c>
      <c r="D159" s="554" t="s">
        <v>700</v>
      </c>
      <c r="E159" s="555" t="s">
        <v>503</v>
      </c>
      <c r="F159" s="291"/>
      <c r="G159" s="291"/>
      <c r="H159" s="291"/>
      <c r="I159" s="341"/>
    </row>
    <row r="160" spans="1:9" ht="32.75" customHeight="1" x14ac:dyDescent="0.45">
      <c r="A160" s="342" t="s">
        <v>376</v>
      </c>
      <c r="B160" s="330">
        <v>0.23958333333333334</v>
      </c>
      <c r="C160" s="343" t="s">
        <v>414</v>
      </c>
      <c r="D160" s="554" t="s">
        <v>702</v>
      </c>
      <c r="E160" s="555" t="s">
        <v>503</v>
      </c>
      <c r="F160" s="291"/>
      <c r="G160" s="291"/>
      <c r="H160" s="291"/>
      <c r="I160" s="341"/>
    </row>
    <row r="161" spans="1:9" ht="32.75" customHeight="1" x14ac:dyDescent="0.45">
      <c r="A161" s="342" t="s">
        <v>501</v>
      </c>
      <c r="B161" s="330">
        <v>0.25</v>
      </c>
      <c r="C161" s="343" t="s">
        <v>384</v>
      </c>
      <c r="D161" s="554" t="s">
        <v>701</v>
      </c>
      <c r="E161" s="555" t="s">
        <v>503</v>
      </c>
      <c r="F161" s="291"/>
      <c r="G161" s="291"/>
      <c r="H161" s="291"/>
      <c r="I161" s="341"/>
    </row>
    <row r="162" spans="1:9" ht="32.75" customHeight="1" x14ac:dyDescent="0.45">
      <c r="A162" s="342" t="s">
        <v>501</v>
      </c>
      <c r="B162" s="330">
        <v>0.27083333333333331</v>
      </c>
      <c r="C162" s="343" t="s">
        <v>378</v>
      </c>
      <c r="D162" s="554" t="s">
        <v>700</v>
      </c>
      <c r="E162" s="555" t="s">
        <v>503</v>
      </c>
      <c r="F162" s="291"/>
      <c r="G162" s="291"/>
      <c r="H162" s="291"/>
      <c r="I162" s="323" t="s">
        <v>347</v>
      </c>
    </row>
    <row r="163" spans="1:9" ht="32.75" customHeight="1" x14ac:dyDescent="0.45">
      <c r="A163" s="342" t="s">
        <v>376</v>
      </c>
      <c r="B163" s="330">
        <v>0.27083333333333331</v>
      </c>
      <c r="C163" s="343" t="s">
        <v>384</v>
      </c>
      <c r="D163" s="554" t="s">
        <v>701</v>
      </c>
      <c r="E163" s="555" t="s">
        <v>504</v>
      </c>
      <c r="F163" s="292" t="s">
        <v>709</v>
      </c>
      <c r="G163" s="292"/>
      <c r="H163" s="293"/>
      <c r="I163" s="216"/>
    </row>
    <row r="164" spans="1:9" ht="32.75" customHeight="1" x14ac:dyDescent="0.45">
      <c r="A164" s="342" t="s">
        <v>376</v>
      </c>
      <c r="B164" s="330">
        <v>0.27083333333333331</v>
      </c>
      <c r="C164" s="343" t="s">
        <v>414</v>
      </c>
      <c r="D164" s="554" t="s">
        <v>702</v>
      </c>
      <c r="E164" s="555" t="s">
        <v>688</v>
      </c>
      <c r="F164" s="292" t="s">
        <v>709</v>
      </c>
      <c r="G164" s="292"/>
      <c r="H164" s="293"/>
      <c r="I164" s="216"/>
    </row>
    <row r="165" spans="1:9" ht="32.75" customHeight="1" x14ac:dyDescent="0.45">
      <c r="A165" s="342" t="s">
        <v>501</v>
      </c>
      <c r="B165" s="330">
        <v>0.28819444444444442</v>
      </c>
      <c r="C165" s="343" t="s">
        <v>378</v>
      </c>
      <c r="D165" s="554" t="s">
        <v>700</v>
      </c>
      <c r="E165" s="555" t="s">
        <v>504</v>
      </c>
      <c r="F165" s="321" t="s">
        <v>709</v>
      </c>
      <c r="G165" s="292"/>
      <c r="H165" s="293"/>
      <c r="I165" s="323"/>
    </row>
    <row r="166" spans="1:9" ht="32.75" customHeight="1" x14ac:dyDescent="0.45">
      <c r="A166" s="342" t="s">
        <v>533</v>
      </c>
      <c r="B166" s="330">
        <v>0.28472222222222221</v>
      </c>
      <c r="C166" s="343" t="s">
        <v>414</v>
      </c>
      <c r="D166" s="554" t="s">
        <v>702</v>
      </c>
      <c r="E166" s="555" t="s">
        <v>504</v>
      </c>
      <c r="F166" s="292" t="s">
        <v>709</v>
      </c>
      <c r="G166" s="292"/>
      <c r="H166" s="293"/>
      <c r="I166" s="323" t="s">
        <v>348</v>
      </c>
    </row>
    <row r="167" spans="1:9" ht="32.75" customHeight="1" x14ac:dyDescent="0.45">
      <c r="A167" s="342" t="s">
        <v>376</v>
      </c>
      <c r="B167" s="330">
        <v>0.2951388888888889</v>
      </c>
      <c r="C167" s="343" t="s">
        <v>384</v>
      </c>
      <c r="D167" s="554" t="s">
        <v>701</v>
      </c>
      <c r="E167" s="555" t="s">
        <v>688</v>
      </c>
      <c r="F167" s="292" t="s">
        <v>709</v>
      </c>
      <c r="G167" s="292"/>
      <c r="H167" s="293"/>
      <c r="I167" s="216"/>
    </row>
    <row r="168" spans="1:9" ht="32.75" customHeight="1" x14ac:dyDescent="0.45">
      <c r="A168" s="342" t="s">
        <v>376</v>
      </c>
      <c r="B168" s="330">
        <v>0.3125</v>
      </c>
      <c r="C168" s="343" t="s">
        <v>414</v>
      </c>
      <c r="D168" s="554" t="s">
        <v>702</v>
      </c>
      <c r="E168" s="555" t="s">
        <v>504</v>
      </c>
      <c r="F168" s="292" t="s">
        <v>709</v>
      </c>
      <c r="G168" s="292"/>
      <c r="H168" s="293"/>
      <c r="I168" s="323" t="s">
        <v>350</v>
      </c>
    </row>
    <row r="169" spans="1:9" ht="32.75" customHeight="1" x14ac:dyDescent="0.45">
      <c r="A169" s="342" t="s">
        <v>501</v>
      </c>
      <c r="B169" s="330">
        <v>0.3263888888888889</v>
      </c>
      <c r="C169" s="343" t="s">
        <v>414</v>
      </c>
      <c r="D169" s="554" t="s">
        <v>702</v>
      </c>
      <c r="E169" s="555" t="s">
        <v>504</v>
      </c>
      <c r="F169" s="292"/>
      <c r="G169" s="292"/>
      <c r="H169" s="293"/>
      <c r="I169" s="323"/>
    </row>
    <row r="170" spans="1:9" ht="32.75" customHeight="1" x14ac:dyDescent="0.45">
      <c r="A170" s="342" t="s">
        <v>376</v>
      </c>
      <c r="B170" s="330">
        <v>0.3263888888888889</v>
      </c>
      <c r="C170" s="343" t="s">
        <v>378</v>
      </c>
      <c r="D170" s="554" t="s">
        <v>700</v>
      </c>
      <c r="E170" s="555" t="s">
        <v>504</v>
      </c>
      <c r="F170" s="292" t="s">
        <v>709</v>
      </c>
      <c r="G170" s="292"/>
      <c r="H170" s="293"/>
      <c r="I170" s="323"/>
    </row>
    <row r="171" spans="1:9" ht="32.75" customHeight="1" x14ac:dyDescent="0.45">
      <c r="A171" s="342" t="s">
        <v>376</v>
      </c>
      <c r="B171" s="330">
        <v>0.58333333333333337</v>
      </c>
      <c r="C171" s="343" t="s">
        <v>378</v>
      </c>
      <c r="D171" s="554" t="s">
        <v>700</v>
      </c>
      <c r="E171" s="555" t="s">
        <v>503</v>
      </c>
      <c r="F171" s="292" t="s">
        <v>709</v>
      </c>
      <c r="G171" s="292"/>
      <c r="H171" s="293"/>
      <c r="I171" s="323" t="s">
        <v>349</v>
      </c>
    </row>
    <row r="172" spans="1:9" ht="32.75" customHeight="1" x14ac:dyDescent="0.45">
      <c r="A172" s="342" t="s">
        <v>501</v>
      </c>
      <c r="B172" s="330">
        <v>0.58333333333333337</v>
      </c>
      <c r="C172" s="343" t="s">
        <v>384</v>
      </c>
      <c r="D172" s="554" t="s">
        <v>701</v>
      </c>
      <c r="E172" s="555" t="s">
        <v>504</v>
      </c>
      <c r="F172" s="292" t="s">
        <v>709</v>
      </c>
      <c r="G172" s="292"/>
      <c r="H172" s="293"/>
      <c r="I172" s="323"/>
    </row>
    <row r="173" spans="1:9" ht="32.75" customHeight="1" x14ac:dyDescent="0.45">
      <c r="A173" s="342" t="s">
        <v>376</v>
      </c>
      <c r="B173" s="330">
        <v>0.61458333333333337</v>
      </c>
      <c r="C173" s="343" t="s">
        <v>378</v>
      </c>
      <c r="D173" s="554" t="s">
        <v>700</v>
      </c>
      <c r="E173" s="555" t="s">
        <v>503</v>
      </c>
      <c r="F173" s="292" t="s">
        <v>709</v>
      </c>
      <c r="G173" s="292"/>
      <c r="H173" s="293"/>
      <c r="I173" s="323"/>
    </row>
    <row r="174" spans="1:9" ht="32.75" customHeight="1" x14ac:dyDescent="0.45">
      <c r="A174" s="342" t="s">
        <v>376</v>
      </c>
      <c r="B174" s="330">
        <v>0.61805555555555558</v>
      </c>
      <c r="C174" s="343" t="s">
        <v>384</v>
      </c>
      <c r="D174" s="554" t="s">
        <v>701</v>
      </c>
      <c r="E174" s="555" t="s">
        <v>503</v>
      </c>
      <c r="F174" s="292" t="s">
        <v>709</v>
      </c>
      <c r="G174" s="292"/>
      <c r="H174" s="293"/>
      <c r="I174" s="323"/>
    </row>
    <row r="175" spans="1:9" ht="32.75" customHeight="1" x14ac:dyDescent="0.45">
      <c r="A175" s="342" t="s">
        <v>501</v>
      </c>
      <c r="B175" s="330">
        <v>0.625</v>
      </c>
      <c r="C175" s="343" t="s">
        <v>414</v>
      </c>
      <c r="D175" s="554" t="s">
        <v>702</v>
      </c>
      <c r="E175" s="555" t="s">
        <v>504</v>
      </c>
      <c r="F175" s="292" t="s">
        <v>709</v>
      </c>
      <c r="G175" s="292"/>
      <c r="H175" s="293"/>
      <c r="I175" s="216"/>
    </row>
    <row r="176" spans="1:9" ht="32.75" customHeight="1" x14ac:dyDescent="0.45">
      <c r="A176" s="342" t="s">
        <v>376</v>
      </c>
      <c r="B176" s="330">
        <v>0.63888888888888884</v>
      </c>
      <c r="C176" s="343" t="s">
        <v>378</v>
      </c>
      <c r="D176" s="554" t="s">
        <v>700</v>
      </c>
      <c r="E176" s="555" t="s">
        <v>503</v>
      </c>
      <c r="F176" s="292" t="s">
        <v>709</v>
      </c>
      <c r="G176" s="292"/>
      <c r="H176" s="293"/>
      <c r="I176" s="216"/>
    </row>
    <row r="177" spans="1:9" ht="32.75" customHeight="1" x14ac:dyDescent="0.45">
      <c r="A177" s="342" t="s">
        <v>376</v>
      </c>
      <c r="B177" s="330">
        <v>0.65972222222222221</v>
      </c>
      <c r="C177" s="343" t="s">
        <v>414</v>
      </c>
      <c r="D177" s="554" t="s">
        <v>702</v>
      </c>
      <c r="E177" s="555" t="s">
        <v>503</v>
      </c>
      <c r="F177" s="292" t="s">
        <v>709</v>
      </c>
      <c r="G177" s="292"/>
      <c r="H177" s="293"/>
      <c r="I177" s="216"/>
    </row>
    <row r="178" spans="1:9" ht="32.75" customHeight="1" x14ac:dyDescent="0.45">
      <c r="A178" s="342" t="s">
        <v>376</v>
      </c>
      <c r="B178" s="330">
        <v>0.6875</v>
      </c>
      <c r="C178" s="343" t="s">
        <v>414</v>
      </c>
      <c r="D178" s="554" t="s">
        <v>702</v>
      </c>
      <c r="E178" s="555" t="s">
        <v>503</v>
      </c>
      <c r="F178" s="292" t="s">
        <v>709</v>
      </c>
      <c r="G178" s="292"/>
      <c r="H178" s="293"/>
      <c r="I178" s="216"/>
    </row>
    <row r="179" spans="1:9" ht="32.75" customHeight="1" x14ac:dyDescent="0.45">
      <c r="A179" s="342" t="s">
        <v>376</v>
      </c>
      <c r="B179" s="330">
        <v>0.71180555555555558</v>
      </c>
      <c r="C179" s="343" t="s">
        <v>414</v>
      </c>
      <c r="D179" s="554" t="s">
        <v>702</v>
      </c>
      <c r="E179" s="555" t="s">
        <v>503</v>
      </c>
      <c r="F179" s="292" t="s">
        <v>709</v>
      </c>
      <c r="G179" s="292"/>
      <c r="H179" s="293"/>
      <c r="I179" s="216"/>
    </row>
    <row r="180" spans="1:9" ht="32.75" customHeight="1" x14ac:dyDescent="0.45">
      <c r="A180" s="342" t="s">
        <v>376</v>
      </c>
      <c r="B180" s="330">
        <v>0.76041666666666663</v>
      </c>
      <c r="C180" s="343" t="s">
        <v>384</v>
      </c>
      <c r="D180" s="554" t="s">
        <v>701</v>
      </c>
      <c r="E180" s="555" t="s">
        <v>504</v>
      </c>
      <c r="F180" s="292" t="s">
        <v>709</v>
      </c>
      <c r="G180" s="292"/>
      <c r="H180" s="293"/>
      <c r="I180" s="216"/>
    </row>
    <row r="181" spans="1:9" ht="32.75" customHeight="1" x14ac:dyDescent="0.45">
      <c r="A181" s="342" t="s">
        <v>501</v>
      </c>
      <c r="B181" s="330">
        <v>0.76041666666666663</v>
      </c>
      <c r="C181" s="343" t="s">
        <v>378</v>
      </c>
      <c r="D181" s="554" t="s">
        <v>700</v>
      </c>
      <c r="E181" s="555" t="s">
        <v>504</v>
      </c>
      <c r="F181" s="292" t="s">
        <v>709</v>
      </c>
      <c r="G181" s="292"/>
      <c r="H181" s="293"/>
      <c r="I181" s="216"/>
    </row>
    <row r="182" spans="1:9" ht="32.75" customHeight="1" x14ac:dyDescent="0.45">
      <c r="A182" s="342" t="s">
        <v>376</v>
      </c>
      <c r="B182" s="330">
        <v>0.78125</v>
      </c>
      <c r="C182" s="343" t="s">
        <v>378</v>
      </c>
      <c r="D182" s="554" t="s">
        <v>700</v>
      </c>
      <c r="E182" s="555" t="s">
        <v>503</v>
      </c>
      <c r="F182" s="292" t="s">
        <v>709</v>
      </c>
      <c r="G182" s="292"/>
      <c r="H182" s="293"/>
      <c r="I182" s="216"/>
    </row>
    <row r="183" spans="1:9" ht="32.75" customHeight="1" x14ac:dyDescent="0.45">
      <c r="A183" s="342" t="s">
        <v>501</v>
      </c>
      <c r="B183" s="330">
        <v>0.78125</v>
      </c>
      <c r="C183" s="343" t="s">
        <v>384</v>
      </c>
      <c r="D183" s="554" t="s">
        <v>701</v>
      </c>
      <c r="E183" s="555" t="s">
        <v>504</v>
      </c>
      <c r="F183" s="292" t="s">
        <v>709</v>
      </c>
      <c r="G183" s="292"/>
      <c r="H183" s="293"/>
      <c r="I183" s="216"/>
    </row>
    <row r="184" spans="1:9" ht="32.75" customHeight="1" x14ac:dyDescent="0.45">
      <c r="A184" s="342" t="s">
        <v>376</v>
      </c>
      <c r="B184" s="330">
        <v>0.80208333333333337</v>
      </c>
      <c r="C184" s="343" t="s">
        <v>384</v>
      </c>
      <c r="D184" s="554" t="s">
        <v>701</v>
      </c>
      <c r="E184" s="555" t="s">
        <v>503</v>
      </c>
      <c r="F184" s="292" t="s">
        <v>709</v>
      </c>
      <c r="G184" s="292"/>
      <c r="H184" s="293"/>
      <c r="I184" s="216"/>
    </row>
    <row r="185" spans="1:9" ht="32.75" customHeight="1" x14ac:dyDescent="0.45">
      <c r="A185" s="342" t="s">
        <v>663</v>
      </c>
      <c r="B185" s="330">
        <v>0.80902777777777779</v>
      </c>
      <c r="C185" s="343" t="s">
        <v>378</v>
      </c>
      <c r="D185" s="554" t="s">
        <v>700</v>
      </c>
      <c r="E185" s="555" t="s">
        <v>688</v>
      </c>
      <c r="F185" s="292" t="s">
        <v>709</v>
      </c>
      <c r="G185" s="292"/>
      <c r="H185" s="293"/>
      <c r="I185" s="216"/>
    </row>
    <row r="186" spans="1:9" ht="32.75" customHeight="1" x14ac:dyDescent="0.45">
      <c r="A186" s="342" t="s">
        <v>376</v>
      </c>
      <c r="B186" s="330">
        <v>0.82291666666666663</v>
      </c>
      <c r="C186" s="343" t="s">
        <v>384</v>
      </c>
      <c r="D186" s="554" t="s">
        <v>701</v>
      </c>
      <c r="E186" s="555" t="s">
        <v>503</v>
      </c>
      <c r="F186" s="292" t="s">
        <v>709</v>
      </c>
      <c r="G186" s="292"/>
      <c r="H186" s="293"/>
      <c r="I186" s="216"/>
    </row>
    <row r="187" spans="1:9" ht="32.75" customHeight="1" x14ac:dyDescent="0.45">
      <c r="C187" s="190"/>
    </row>
    <row r="188" spans="1:9" ht="32.75" customHeight="1" x14ac:dyDescent="0.45">
      <c r="C188" s="190"/>
    </row>
    <row r="189" spans="1:9" ht="32.75" customHeight="1" x14ac:dyDescent="0.45">
      <c r="C189" s="190"/>
    </row>
    <row r="190" spans="1:9" x14ac:dyDescent="0.45">
      <c r="C190" s="190"/>
    </row>
    <row r="191" spans="1:9" ht="29.25" x14ac:dyDescent="0.45">
      <c r="A191" s="662" t="s">
        <v>659</v>
      </c>
      <c r="B191" s="320"/>
      <c r="C191" s="254"/>
      <c r="D191" s="254"/>
      <c r="E191" s="598"/>
      <c r="I191" s="600">
        <f>I156+1</f>
        <v>46149</v>
      </c>
    </row>
    <row r="193" spans="1:9" ht="90" x14ac:dyDescent="0.45">
      <c r="A193" s="322" t="s">
        <v>324</v>
      </c>
      <c r="B193" s="325" t="s">
        <v>0</v>
      </c>
      <c r="C193" s="332" t="s">
        <v>25</v>
      </c>
      <c r="D193" s="291" t="s">
        <v>26</v>
      </c>
      <c r="E193" s="291" t="s">
        <v>662</v>
      </c>
      <c r="F193" s="291" t="s">
        <v>708</v>
      </c>
      <c r="G193" s="291" t="s">
        <v>1</v>
      </c>
      <c r="H193" s="291" t="s">
        <v>328</v>
      </c>
      <c r="I193" s="291"/>
    </row>
    <row r="194" spans="1:9" ht="34.15" x14ac:dyDescent="0.45">
      <c r="A194" s="342" t="s">
        <v>501</v>
      </c>
      <c r="B194" s="330">
        <v>0.2326388888888889</v>
      </c>
      <c r="C194" s="343" t="s">
        <v>378</v>
      </c>
      <c r="D194" s="554" t="s">
        <v>700</v>
      </c>
      <c r="E194" s="555" t="s">
        <v>503</v>
      </c>
      <c r="F194" s="291"/>
      <c r="G194" s="291"/>
      <c r="H194" s="291"/>
      <c r="I194" s="341"/>
    </row>
    <row r="195" spans="1:9" ht="34.15" x14ac:dyDescent="0.45">
      <c r="A195" s="342" t="s">
        <v>376</v>
      </c>
      <c r="B195" s="330">
        <v>0.23958333333333334</v>
      </c>
      <c r="C195" s="343" t="s">
        <v>414</v>
      </c>
      <c r="D195" s="554" t="s">
        <v>702</v>
      </c>
      <c r="E195" s="555" t="s">
        <v>503</v>
      </c>
      <c r="F195" s="291"/>
      <c r="G195" s="291"/>
      <c r="H195" s="291"/>
      <c r="I195" s="341"/>
    </row>
    <row r="196" spans="1:9" ht="33.4" customHeight="1" x14ac:dyDescent="0.45">
      <c r="A196" s="342" t="s">
        <v>501</v>
      </c>
      <c r="B196" s="330">
        <v>0.25</v>
      </c>
      <c r="C196" s="343" t="s">
        <v>384</v>
      </c>
      <c r="D196" s="554" t="s">
        <v>701</v>
      </c>
      <c r="E196" s="555" t="s">
        <v>503</v>
      </c>
      <c r="F196" s="291"/>
      <c r="G196" s="291"/>
      <c r="H196" s="291"/>
      <c r="I196" s="341"/>
    </row>
    <row r="197" spans="1:9" ht="33.4" customHeight="1" x14ac:dyDescent="0.45">
      <c r="A197" s="342" t="s">
        <v>501</v>
      </c>
      <c r="B197" s="330">
        <v>0.27083333333333331</v>
      </c>
      <c r="C197" s="343" t="s">
        <v>378</v>
      </c>
      <c r="D197" s="554" t="s">
        <v>700</v>
      </c>
      <c r="E197" s="555" t="s">
        <v>503</v>
      </c>
      <c r="F197" s="291"/>
      <c r="G197" s="291"/>
      <c r="H197" s="291"/>
      <c r="I197" s="323" t="s">
        <v>347</v>
      </c>
    </row>
    <row r="198" spans="1:9" ht="33.4" customHeight="1" x14ac:dyDescent="0.45">
      <c r="A198" s="342" t="s">
        <v>376</v>
      </c>
      <c r="B198" s="330">
        <v>0.27083333333333331</v>
      </c>
      <c r="C198" s="343" t="s">
        <v>384</v>
      </c>
      <c r="D198" s="554" t="s">
        <v>701</v>
      </c>
      <c r="E198" s="555" t="s">
        <v>504</v>
      </c>
      <c r="F198" s="292" t="s">
        <v>709</v>
      </c>
      <c r="G198" s="292"/>
      <c r="H198" s="293"/>
      <c r="I198" s="216"/>
    </row>
    <row r="199" spans="1:9" ht="33.4" customHeight="1" x14ac:dyDescent="0.45">
      <c r="A199" s="342" t="s">
        <v>376</v>
      </c>
      <c r="B199" s="330">
        <v>0.27083333333333331</v>
      </c>
      <c r="C199" s="343" t="s">
        <v>414</v>
      </c>
      <c r="D199" s="554" t="s">
        <v>702</v>
      </c>
      <c r="E199" s="555" t="s">
        <v>688</v>
      </c>
      <c r="F199" s="292" t="s">
        <v>709</v>
      </c>
      <c r="G199" s="292"/>
      <c r="H199" s="293"/>
      <c r="I199" s="216"/>
    </row>
    <row r="200" spans="1:9" ht="33.4" customHeight="1" x14ac:dyDescent="0.45">
      <c r="A200" s="342" t="s">
        <v>501</v>
      </c>
      <c r="B200" s="330">
        <v>0.28819444444444442</v>
      </c>
      <c r="C200" s="343" t="s">
        <v>378</v>
      </c>
      <c r="D200" s="554" t="s">
        <v>700</v>
      </c>
      <c r="E200" s="555" t="s">
        <v>504</v>
      </c>
      <c r="F200" s="321" t="s">
        <v>709</v>
      </c>
      <c r="G200" s="292"/>
      <c r="H200" s="293"/>
      <c r="I200" s="323"/>
    </row>
    <row r="201" spans="1:9" ht="33.4" customHeight="1" x14ac:dyDescent="0.45">
      <c r="A201" s="342" t="s">
        <v>533</v>
      </c>
      <c r="B201" s="330">
        <v>0.28472222222222221</v>
      </c>
      <c r="C201" s="343" t="s">
        <v>414</v>
      </c>
      <c r="D201" s="554" t="s">
        <v>702</v>
      </c>
      <c r="E201" s="555" t="s">
        <v>504</v>
      </c>
      <c r="F201" s="292" t="s">
        <v>709</v>
      </c>
      <c r="G201" s="292"/>
      <c r="H201" s="293"/>
      <c r="I201" s="323" t="s">
        <v>348</v>
      </c>
    </row>
    <row r="202" spans="1:9" ht="33.4" customHeight="1" x14ac:dyDescent="0.45">
      <c r="A202" s="342" t="s">
        <v>376</v>
      </c>
      <c r="B202" s="330">
        <v>0.2951388888888889</v>
      </c>
      <c r="C202" s="343" t="s">
        <v>384</v>
      </c>
      <c r="D202" s="554" t="s">
        <v>701</v>
      </c>
      <c r="E202" s="555" t="s">
        <v>688</v>
      </c>
      <c r="F202" s="292" t="s">
        <v>709</v>
      </c>
      <c r="G202" s="292"/>
      <c r="H202" s="293"/>
      <c r="I202" s="216"/>
    </row>
    <row r="203" spans="1:9" ht="33.4" customHeight="1" x14ac:dyDescent="0.45">
      <c r="A203" s="342" t="s">
        <v>376</v>
      </c>
      <c r="B203" s="330">
        <v>0.3125</v>
      </c>
      <c r="C203" s="343" t="s">
        <v>414</v>
      </c>
      <c r="D203" s="554" t="s">
        <v>702</v>
      </c>
      <c r="E203" s="555" t="s">
        <v>504</v>
      </c>
      <c r="F203" s="292" t="s">
        <v>709</v>
      </c>
      <c r="G203" s="292"/>
      <c r="H203" s="293"/>
      <c r="I203" s="323" t="s">
        <v>350</v>
      </c>
    </row>
    <row r="204" spans="1:9" ht="33.4" customHeight="1" x14ac:dyDescent="0.45">
      <c r="A204" s="342" t="s">
        <v>501</v>
      </c>
      <c r="B204" s="330">
        <v>0.3263888888888889</v>
      </c>
      <c r="C204" s="343" t="s">
        <v>414</v>
      </c>
      <c r="D204" s="554" t="s">
        <v>702</v>
      </c>
      <c r="E204" s="555" t="s">
        <v>504</v>
      </c>
      <c r="F204" s="292"/>
      <c r="G204" s="292"/>
      <c r="H204" s="293"/>
      <c r="I204" s="323"/>
    </row>
    <row r="205" spans="1:9" ht="33.4" customHeight="1" x14ac:dyDescent="0.45">
      <c r="A205" s="342" t="s">
        <v>376</v>
      </c>
      <c r="B205" s="330">
        <v>0.3263888888888889</v>
      </c>
      <c r="C205" s="343" t="s">
        <v>378</v>
      </c>
      <c r="D205" s="554" t="s">
        <v>700</v>
      </c>
      <c r="E205" s="555" t="s">
        <v>504</v>
      </c>
      <c r="F205" s="292" t="s">
        <v>709</v>
      </c>
      <c r="G205" s="292"/>
      <c r="H205" s="293"/>
      <c r="I205" s="323"/>
    </row>
    <row r="206" spans="1:9" ht="33.4" customHeight="1" x14ac:dyDescent="0.45">
      <c r="A206" s="342" t="s">
        <v>376</v>
      </c>
      <c r="B206" s="330">
        <v>0.58333333333333337</v>
      </c>
      <c r="C206" s="343" t="s">
        <v>378</v>
      </c>
      <c r="D206" s="554" t="s">
        <v>700</v>
      </c>
      <c r="E206" s="555" t="s">
        <v>503</v>
      </c>
      <c r="F206" s="292" t="s">
        <v>709</v>
      </c>
      <c r="G206" s="292"/>
      <c r="H206" s="293"/>
      <c r="I206" s="323" t="s">
        <v>349</v>
      </c>
    </row>
    <row r="207" spans="1:9" ht="33.4" customHeight="1" x14ac:dyDescent="0.45">
      <c r="A207" s="342" t="s">
        <v>501</v>
      </c>
      <c r="B207" s="330">
        <v>0.58333333333333337</v>
      </c>
      <c r="C207" s="343" t="s">
        <v>384</v>
      </c>
      <c r="D207" s="554" t="s">
        <v>701</v>
      </c>
      <c r="E207" s="555" t="s">
        <v>504</v>
      </c>
      <c r="F207" s="292" t="s">
        <v>709</v>
      </c>
      <c r="G207" s="292"/>
      <c r="H207" s="293"/>
      <c r="I207" s="323"/>
    </row>
    <row r="208" spans="1:9" ht="33.4" customHeight="1" x14ac:dyDescent="0.45">
      <c r="A208" s="342" t="s">
        <v>376</v>
      </c>
      <c r="B208" s="330">
        <v>0.61458333333333337</v>
      </c>
      <c r="C208" s="343" t="s">
        <v>378</v>
      </c>
      <c r="D208" s="554" t="s">
        <v>700</v>
      </c>
      <c r="E208" s="555" t="s">
        <v>503</v>
      </c>
      <c r="F208" s="292" t="s">
        <v>709</v>
      </c>
      <c r="G208" s="292"/>
      <c r="H208" s="293"/>
      <c r="I208" s="323"/>
    </row>
    <row r="209" spans="1:9" ht="33.4" customHeight="1" x14ac:dyDescent="0.45">
      <c r="A209" s="342" t="s">
        <v>376</v>
      </c>
      <c r="B209" s="330">
        <v>0.61805555555555558</v>
      </c>
      <c r="C209" s="343" t="s">
        <v>384</v>
      </c>
      <c r="D209" s="554" t="s">
        <v>701</v>
      </c>
      <c r="E209" s="555" t="s">
        <v>503</v>
      </c>
      <c r="F209" s="292" t="s">
        <v>709</v>
      </c>
      <c r="G209" s="292"/>
      <c r="H209" s="293"/>
      <c r="I209" s="323"/>
    </row>
    <row r="210" spans="1:9" ht="33.4" customHeight="1" x14ac:dyDescent="0.45">
      <c r="A210" s="342" t="s">
        <v>501</v>
      </c>
      <c r="B210" s="330">
        <v>0.625</v>
      </c>
      <c r="C210" s="343" t="s">
        <v>414</v>
      </c>
      <c r="D210" s="554" t="s">
        <v>702</v>
      </c>
      <c r="E210" s="555" t="s">
        <v>504</v>
      </c>
      <c r="F210" s="292" t="s">
        <v>709</v>
      </c>
      <c r="G210" s="292"/>
      <c r="H210" s="293"/>
      <c r="I210" s="216"/>
    </row>
    <row r="211" spans="1:9" ht="33.4" customHeight="1" x14ac:dyDescent="0.45">
      <c r="A211" s="342" t="s">
        <v>376</v>
      </c>
      <c r="B211" s="330">
        <v>0.63888888888888884</v>
      </c>
      <c r="C211" s="343" t="s">
        <v>378</v>
      </c>
      <c r="D211" s="554" t="s">
        <v>700</v>
      </c>
      <c r="E211" s="555" t="s">
        <v>503</v>
      </c>
      <c r="F211" s="292" t="s">
        <v>709</v>
      </c>
      <c r="G211" s="292"/>
      <c r="H211" s="293"/>
      <c r="I211" s="216"/>
    </row>
    <row r="212" spans="1:9" ht="33.4" customHeight="1" x14ac:dyDescent="0.45">
      <c r="A212" s="342" t="s">
        <v>376</v>
      </c>
      <c r="B212" s="330">
        <v>0.65972222222222221</v>
      </c>
      <c r="C212" s="343" t="s">
        <v>414</v>
      </c>
      <c r="D212" s="554" t="s">
        <v>702</v>
      </c>
      <c r="E212" s="555" t="s">
        <v>503</v>
      </c>
      <c r="F212" s="292" t="s">
        <v>709</v>
      </c>
      <c r="G212" s="292"/>
      <c r="H212" s="293"/>
      <c r="I212" s="216"/>
    </row>
    <row r="213" spans="1:9" ht="33.4" customHeight="1" x14ac:dyDescent="0.45">
      <c r="A213" s="342" t="s">
        <v>376</v>
      </c>
      <c r="B213" s="330">
        <v>0.6875</v>
      </c>
      <c r="C213" s="343" t="s">
        <v>414</v>
      </c>
      <c r="D213" s="554" t="s">
        <v>702</v>
      </c>
      <c r="E213" s="555" t="s">
        <v>503</v>
      </c>
      <c r="F213" s="292" t="s">
        <v>709</v>
      </c>
      <c r="G213" s="292"/>
      <c r="H213" s="293"/>
      <c r="I213" s="216"/>
    </row>
    <row r="214" spans="1:9" ht="33.4" customHeight="1" x14ac:dyDescent="0.45">
      <c r="A214" s="342" t="s">
        <v>376</v>
      </c>
      <c r="B214" s="330">
        <v>0.71180555555555558</v>
      </c>
      <c r="C214" s="343" t="s">
        <v>414</v>
      </c>
      <c r="D214" s="554" t="s">
        <v>702</v>
      </c>
      <c r="E214" s="555" t="s">
        <v>503</v>
      </c>
      <c r="F214" s="292" t="s">
        <v>709</v>
      </c>
      <c r="G214" s="292"/>
      <c r="H214" s="293"/>
      <c r="I214" s="216"/>
    </row>
    <row r="215" spans="1:9" ht="33.4" customHeight="1" x14ac:dyDescent="0.45">
      <c r="A215" s="342" t="s">
        <v>376</v>
      </c>
      <c r="B215" s="330">
        <v>0.76041666666666663</v>
      </c>
      <c r="C215" s="343" t="s">
        <v>384</v>
      </c>
      <c r="D215" s="554" t="s">
        <v>701</v>
      </c>
      <c r="E215" s="555" t="s">
        <v>504</v>
      </c>
      <c r="F215" s="292" t="s">
        <v>709</v>
      </c>
      <c r="G215" s="292"/>
      <c r="H215" s="293"/>
      <c r="I215" s="216"/>
    </row>
    <row r="216" spans="1:9" ht="33.4" customHeight="1" x14ac:dyDescent="0.45">
      <c r="A216" s="342" t="s">
        <v>501</v>
      </c>
      <c r="B216" s="330">
        <v>0.76041666666666663</v>
      </c>
      <c r="C216" s="343" t="s">
        <v>378</v>
      </c>
      <c r="D216" s="554" t="s">
        <v>700</v>
      </c>
      <c r="E216" s="555" t="s">
        <v>504</v>
      </c>
      <c r="F216" s="292" t="s">
        <v>709</v>
      </c>
      <c r="G216" s="292"/>
      <c r="H216" s="293"/>
      <c r="I216" s="216"/>
    </row>
    <row r="217" spans="1:9" ht="33.4" customHeight="1" x14ac:dyDescent="0.45">
      <c r="A217" s="342" t="s">
        <v>376</v>
      </c>
      <c r="B217" s="330">
        <v>0.78125</v>
      </c>
      <c r="C217" s="343" t="s">
        <v>378</v>
      </c>
      <c r="D217" s="554" t="s">
        <v>700</v>
      </c>
      <c r="E217" s="555" t="s">
        <v>503</v>
      </c>
      <c r="F217" s="292" t="s">
        <v>709</v>
      </c>
      <c r="G217" s="292"/>
      <c r="H217" s="293"/>
      <c r="I217" s="216"/>
    </row>
    <row r="218" spans="1:9" ht="33.4" customHeight="1" x14ac:dyDescent="0.45">
      <c r="A218" s="342" t="s">
        <v>501</v>
      </c>
      <c r="B218" s="330">
        <v>0.78125</v>
      </c>
      <c r="C218" s="343" t="s">
        <v>384</v>
      </c>
      <c r="D218" s="554" t="s">
        <v>701</v>
      </c>
      <c r="E218" s="555" t="s">
        <v>504</v>
      </c>
      <c r="F218" s="292" t="s">
        <v>709</v>
      </c>
      <c r="G218" s="292"/>
      <c r="H218" s="293"/>
      <c r="I218" s="216"/>
    </row>
    <row r="219" spans="1:9" ht="33.4" customHeight="1" x14ac:dyDescent="0.45">
      <c r="A219" s="342" t="s">
        <v>376</v>
      </c>
      <c r="B219" s="330">
        <v>0.80208333333333337</v>
      </c>
      <c r="C219" s="343" t="s">
        <v>384</v>
      </c>
      <c r="D219" s="554" t="s">
        <v>701</v>
      </c>
      <c r="E219" s="555" t="s">
        <v>503</v>
      </c>
      <c r="F219" s="292" t="s">
        <v>709</v>
      </c>
      <c r="G219" s="292"/>
      <c r="H219" s="293"/>
      <c r="I219" s="216"/>
    </row>
    <row r="220" spans="1:9" ht="33.4" customHeight="1" x14ac:dyDescent="0.45">
      <c r="A220" s="342" t="s">
        <v>663</v>
      </c>
      <c r="B220" s="330">
        <v>0.80902777777777779</v>
      </c>
      <c r="C220" s="343" t="s">
        <v>378</v>
      </c>
      <c r="D220" s="554" t="s">
        <v>700</v>
      </c>
      <c r="E220" s="555" t="s">
        <v>688</v>
      </c>
      <c r="F220" s="292" t="s">
        <v>709</v>
      </c>
      <c r="G220" s="292"/>
      <c r="H220" s="293"/>
      <c r="I220" s="216"/>
    </row>
    <row r="221" spans="1:9" ht="33.4" customHeight="1" x14ac:dyDescent="0.45">
      <c r="A221" s="342" t="s">
        <v>376</v>
      </c>
      <c r="B221" s="330">
        <v>0.82291666666666663</v>
      </c>
      <c r="C221" s="343" t="s">
        <v>384</v>
      </c>
      <c r="D221" s="554" t="s">
        <v>701</v>
      </c>
      <c r="E221" s="555" t="s">
        <v>503</v>
      </c>
      <c r="F221" s="292" t="s">
        <v>709</v>
      </c>
      <c r="G221" s="292"/>
      <c r="H221" s="293"/>
      <c r="I221" s="216"/>
    </row>
    <row r="222" spans="1:9" ht="33.4" customHeight="1" x14ac:dyDescent="0.45">
      <c r="C222" s="190"/>
    </row>
    <row r="223" spans="1:9" x14ac:dyDescent="0.45">
      <c r="C223" s="190"/>
    </row>
    <row r="224" spans="1:9" x14ac:dyDescent="0.45">
      <c r="C224" s="190"/>
    </row>
    <row r="225" spans="1:9" ht="29.25" x14ac:dyDescent="0.45">
      <c r="A225" s="662" t="s">
        <v>659</v>
      </c>
      <c r="B225" s="320"/>
      <c r="C225" s="254"/>
      <c r="D225" s="254"/>
      <c r="E225" s="598"/>
      <c r="I225" s="607">
        <f>I191+1</f>
        <v>46150</v>
      </c>
    </row>
    <row r="227" spans="1:9" x14ac:dyDescent="0.45">
      <c r="A227" s="141"/>
      <c r="B227" s="142"/>
      <c r="C227" s="142"/>
      <c r="D227" s="142"/>
      <c r="E227" s="142"/>
      <c r="F227" s="142"/>
      <c r="G227" s="142"/>
      <c r="H227" s="142"/>
      <c r="I227" s="142"/>
    </row>
    <row r="228" spans="1:9" ht="90" x14ac:dyDescent="0.45">
      <c r="A228" s="322" t="s">
        <v>324</v>
      </c>
      <c r="B228" s="325" t="s">
        <v>0</v>
      </c>
      <c r="C228" s="332" t="s">
        <v>25</v>
      </c>
      <c r="D228" s="291" t="s">
        <v>26</v>
      </c>
      <c r="E228" s="291" t="s">
        <v>661</v>
      </c>
      <c r="F228" s="291" t="s">
        <v>708</v>
      </c>
      <c r="G228" s="291" t="s">
        <v>1</v>
      </c>
      <c r="H228" s="291" t="s">
        <v>328</v>
      </c>
      <c r="I228" s="291"/>
    </row>
    <row r="229" spans="1:9" ht="33.4" customHeight="1" x14ac:dyDescent="0.45">
      <c r="A229" s="342" t="s">
        <v>376</v>
      </c>
      <c r="B229" s="330">
        <v>0.2951388888888889</v>
      </c>
      <c r="C229" s="343" t="s">
        <v>384</v>
      </c>
      <c r="D229" s="554" t="s">
        <v>701</v>
      </c>
      <c r="E229" s="555" t="s">
        <v>504</v>
      </c>
      <c r="F229" s="291"/>
      <c r="G229" s="291"/>
      <c r="H229" s="291"/>
      <c r="I229" s="323" t="s">
        <v>347</v>
      </c>
    </row>
    <row r="230" spans="1:9" ht="33.4" customHeight="1" x14ac:dyDescent="0.45">
      <c r="A230" s="342" t="s">
        <v>376</v>
      </c>
      <c r="B230" s="330">
        <v>0.3125</v>
      </c>
      <c r="C230" s="343" t="s">
        <v>414</v>
      </c>
      <c r="D230" s="554" t="s">
        <v>702</v>
      </c>
      <c r="E230" s="555" t="s">
        <v>504</v>
      </c>
      <c r="F230" s="291"/>
      <c r="G230" s="291"/>
      <c r="H230" s="291"/>
      <c r="I230" s="341"/>
    </row>
    <row r="231" spans="1:9" ht="33.4" customHeight="1" x14ac:dyDescent="0.45">
      <c r="A231" s="342" t="s">
        <v>376</v>
      </c>
      <c r="B231" s="330">
        <v>0.3263888888888889</v>
      </c>
      <c r="C231" s="343" t="s">
        <v>414</v>
      </c>
      <c r="D231" s="554" t="s">
        <v>702</v>
      </c>
      <c r="E231" s="555" t="s">
        <v>504</v>
      </c>
      <c r="F231" s="291"/>
      <c r="G231" s="291"/>
      <c r="H231" s="291"/>
      <c r="I231" s="323" t="s">
        <v>348</v>
      </c>
    </row>
    <row r="232" spans="1:9" ht="33.4" customHeight="1" x14ac:dyDescent="0.45">
      <c r="A232" s="342" t="s">
        <v>376</v>
      </c>
      <c r="B232" s="330">
        <v>0.58333333333333337</v>
      </c>
      <c r="C232" s="343" t="s">
        <v>378</v>
      </c>
      <c r="D232" s="554" t="s">
        <v>700</v>
      </c>
      <c r="E232" s="555" t="s">
        <v>503</v>
      </c>
      <c r="F232" s="292" t="s">
        <v>709</v>
      </c>
      <c r="G232" s="292"/>
      <c r="H232" s="293"/>
      <c r="I232" s="216"/>
    </row>
    <row r="233" spans="1:9" ht="33.4" customHeight="1" x14ac:dyDescent="0.45">
      <c r="A233" s="342" t="s">
        <v>501</v>
      </c>
      <c r="B233" s="330">
        <v>0.58333333333333337</v>
      </c>
      <c r="C233" s="343" t="s">
        <v>384</v>
      </c>
      <c r="D233" s="554" t="s">
        <v>701</v>
      </c>
      <c r="E233" s="555" t="s">
        <v>504</v>
      </c>
      <c r="F233" s="292" t="s">
        <v>709</v>
      </c>
      <c r="G233" s="292"/>
      <c r="H233" s="293"/>
      <c r="I233" s="216"/>
    </row>
    <row r="234" spans="1:9" ht="33.4" customHeight="1" x14ac:dyDescent="0.45">
      <c r="A234" s="342" t="s">
        <v>376</v>
      </c>
      <c r="B234" s="330">
        <v>0.61458333333333337</v>
      </c>
      <c r="C234" s="343" t="s">
        <v>378</v>
      </c>
      <c r="D234" s="554" t="s">
        <v>700</v>
      </c>
      <c r="E234" s="555" t="s">
        <v>503</v>
      </c>
      <c r="F234" s="321" t="s">
        <v>709</v>
      </c>
      <c r="G234" s="292"/>
      <c r="H234" s="293"/>
      <c r="I234" s="323" t="s">
        <v>350</v>
      </c>
    </row>
    <row r="235" spans="1:9" ht="33.4" customHeight="1" x14ac:dyDescent="0.45">
      <c r="A235" s="342" t="s">
        <v>501</v>
      </c>
      <c r="B235" s="330">
        <v>0.625</v>
      </c>
      <c r="C235" s="343" t="s">
        <v>384</v>
      </c>
      <c r="D235" s="554" t="s">
        <v>701</v>
      </c>
      <c r="E235" s="555" t="s">
        <v>504</v>
      </c>
      <c r="F235" s="292" t="s">
        <v>709</v>
      </c>
      <c r="G235" s="292"/>
      <c r="H235" s="293"/>
      <c r="I235" s="216"/>
    </row>
    <row r="236" spans="1:9" ht="33.4" customHeight="1" x14ac:dyDescent="0.45">
      <c r="A236" s="342" t="s">
        <v>376</v>
      </c>
      <c r="B236" s="330">
        <v>0.63888888888888884</v>
      </c>
      <c r="C236" s="343" t="s">
        <v>378</v>
      </c>
      <c r="D236" s="554" t="s">
        <v>700</v>
      </c>
      <c r="E236" s="555" t="s">
        <v>503</v>
      </c>
      <c r="F236" s="292" t="s">
        <v>709</v>
      </c>
      <c r="G236" s="292"/>
      <c r="H236" s="293"/>
      <c r="I236" s="323" t="s">
        <v>349</v>
      </c>
    </row>
    <row r="237" spans="1:9" ht="33.4" customHeight="1" x14ac:dyDescent="0.45">
      <c r="A237" s="342" t="s">
        <v>376</v>
      </c>
      <c r="B237" s="330">
        <v>0.65972222222222221</v>
      </c>
      <c r="C237" s="343" t="s">
        <v>414</v>
      </c>
      <c r="D237" s="554" t="s">
        <v>702</v>
      </c>
      <c r="E237" s="555" t="s">
        <v>503</v>
      </c>
      <c r="F237" s="292" t="s">
        <v>709</v>
      </c>
      <c r="G237" s="292"/>
      <c r="H237" s="293"/>
      <c r="I237" s="216"/>
    </row>
    <row r="238" spans="1:9" ht="33.4" customHeight="1" x14ac:dyDescent="0.45">
      <c r="A238" s="342" t="s">
        <v>376</v>
      </c>
      <c r="B238" s="330">
        <v>0.6875</v>
      </c>
      <c r="C238" s="343" t="s">
        <v>414</v>
      </c>
      <c r="D238" s="554" t="s">
        <v>702</v>
      </c>
      <c r="E238" s="555" t="s">
        <v>503</v>
      </c>
      <c r="F238" s="292"/>
      <c r="G238" s="292"/>
      <c r="H238" s="293"/>
      <c r="I238" s="323"/>
    </row>
    <row r="239" spans="1:9" ht="33.4" customHeight="1" x14ac:dyDescent="0.45">
      <c r="A239" s="342" t="s">
        <v>501</v>
      </c>
      <c r="B239" s="330">
        <v>0.76041666666666663</v>
      </c>
      <c r="C239" s="343" t="s">
        <v>384</v>
      </c>
      <c r="D239" s="554" t="s">
        <v>701</v>
      </c>
      <c r="E239" s="555" t="s">
        <v>504</v>
      </c>
      <c r="F239" s="292" t="s">
        <v>709</v>
      </c>
      <c r="G239" s="292"/>
      <c r="H239" s="293"/>
      <c r="I239" s="323"/>
    </row>
    <row r="240" spans="1:9" ht="33.4" customHeight="1" x14ac:dyDescent="0.45">
      <c r="A240" s="342" t="s">
        <v>376</v>
      </c>
      <c r="B240" s="330">
        <v>0.76041666666666663</v>
      </c>
      <c r="C240" s="343" t="s">
        <v>414</v>
      </c>
      <c r="D240" s="554" t="s">
        <v>702</v>
      </c>
      <c r="E240" s="555" t="s">
        <v>503</v>
      </c>
      <c r="F240" s="292" t="s">
        <v>709</v>
      </c>
      <c r="G240" s="292"/>
      <c r="H240" s="293"/>
      <c r="I240" s="216"/>
    </row>
    <row r="241" spans="1:9" ht="33.4" customHeight="1" x14ac:dyDescent="0.45">
      <c r="A241" s="342" t="s">
        <v>501</v>
      </c>
      <c r="B241" s="330">
        <v>0.78125</v>
      </c>
      <c r="C241" s="343" t="s">
        <v>414</v>
      </c>
      <c r="D241" s="554" t="s">
        <v>702</v>
      </c>
      <c r="E241" s="555" t="s">
        <v>504</v>
      </c>
      <c r="F241" s="292" t="s">
        <v>709</v>
      </c>
      <c r="G241" s="292"/>
      <c r="H241" s="293"/>
      <c r="I241" s="323"/>
    </row>
    <row r="242" spans="1:9" ht="33.4" customHeight="1" x14ac:dyDescent="0.45">
      <c r="A242" s="342" t="s">
        <v>376</v>
      </c>
      <c r="B242" s="330">
        <v>0.78125</v>
      </c>
      <c r="C242" s="343" t="s">
        <v>384</v>
      </c>
      <c r="D242" s="554" t="s">
        <v>701</v>
      </c>
      <c r="E242" s="555" t="s">
        <v>503</v>
      </c>
      <c r="F242" s="292" t="s">
        <v>709</v>
      </c>
      <c r="G242" s="292"/>
      <c r="H242" s="293"/>
      <c r="I242" s="323"/>
    </row>
    <row r="243" spans="1:9" ht="33.4" customHeight="1" x14ac:dyDescent="0.45">
      <c r="A243" s="342" t="s">
        <v>663</v>
      </c>
      <c r="B243" s="330">
        <v>0.80902777777777779</v>
      </c>
      <c r="C243" s="343" t="s">
        <v>414</v>
      </c>
      <c r="D243" s="554" t="s">
        <v>702</v>
      </c>
      <c r="E243" s="555" t="s">
        <v>504</v>
      </c>
      <c r="F243" s="292" t="s">
        <v>709</v>
      </c>
      <c r="G243" s="292"/>
      <c r="H243" s="293"/>
      <c r="I243" s="323"/>
    </row>
    <row r="244" spans="1:9" ht="33.4" customHeight="1" x14ac:dyDescent="0.45">
      <c r="A244" s="342" t="s">
        <v>376</v>
      </c>
      <c r="B244" s="330">
        <v>0.82291666666666663</v>
      </c>
      <c r="C244" s="343" t="s">
        <v>414</v>
      </c>
      <c r="D244" s="554" t="s">
        <v>702</v>
      </c>
      <c r="E244" s="555" t="s">
        <v>503</v>
      </c>
      <c r="F244" s="292" t="s">
        <v>709</v>
      </c>
      <c r="G244" s="292"/>
      <c r="H244" s="293"/>
      <c r="I244" s="216"/>
    </row>
    <row r="245" spans="1:9" ht="33.4" customHeight="1" x14ac:dyDescent="0.45">
      <c r="A245" s="653"/>
      <c r="B245" s="654"/>
      <c r="C245" s="654"/>
      <c r="D245" s="655"/>
      <c r="E245" s="656"/>
      <c r="F245" s="657"/>
      <c r="G245" s="658"/>
      <c r="H245" s="658"/>
      <c r="I245" s="659"/>
    </row>
    <row r="246" spans="1:9" ht="33.4" customHeight="1" x14ac:dyDescent="0.45">
      <c r="C246" s="190"/>
    </row>
    <row r="248" spans="1:9" ht="29.25" x14ac:dyDescent="0.45">
      <c r="A248" s="662" t="s">
        <v>659</v>
      </c>
      <c r="B248" s="320"/>
      <c r="C248" s="254"/>
      <c r="D248" s="254"/>
      <c r="E248" s="598"/>
      <c r="I248" s="600">
        <f>I225+1</f>
        <v>46151</v>
      </c>
    </row>
    <row r="250" spans="1:9" ht="90" x14ac:dyDescent="0.45">
      <c r="A250" s="322" t="s">
        <v>324</v>
      </c>
      <c r="B250" s="325" t="s">
        <v>0</v>
      </c>
      <c r="C250" s="332" t="s">
        <v>25</v>
      </c>
      <c r="D250" s="291" t="s">
        <v>26</v>
      </c>
      <c r="E250" s="291" t="s">
        <v>662</v>
      </c>
      <c r="F250" s="291" t="s">
        <v>708</v>
      </c>
      <c r="G250" s="291" t="s">
        <v>1</v>
      </c>
      <c r="H250" s="291" t="s">
        <v>328</v>
      </c>
      <c r="I250" s="291"/>
    </row>
    <row r="251" spans="1:9" ht="34.15" x14ac:dyDescent="0.45">
      <c r="A251" s="342" t="s">
        <v>501</v>
      </c>
      <c r="B251" s="330">
        <v>0.2326388888888889</v>
      </c>
      <c r="C251" s="343" t="s">
        <v>378</v>
      </c>
      <c r="D251" s="554" t="s">
        <v>700</v>
      </c>
      <c r="E251" s="555" t="s">
        <v>503</v>
      </c>
      <c r="F251" s="291"/>
      <c r="G251" s="291"/>
      <c r="H251" s="291"/>
      <c r="I251" s="341"/>
    </row>
    <row r="252" spans="1:9" ht="34.15" x14ac:dyDescent="0.45">
      <c r="A252" s="342" t="s">
        <v>376</v>
      </c>
      <c r="B252" s="330">
        <v>0.23958333333333334</v>
      </c>
      <c r="C252" s="343" t="s">
        <v>414</v>
      </c>
      <c r="D252" s="554" t="s">
        <v>702</v>
      </c>
      <c r="E252" s="555" t="s">
        <v>503</v>
      </c>
      <c r="F252" s="291"/>
      <c r="G252" s="291"/>
      <c r="H252" s="291"/>
      <c r="I252" s="341"/>
    </row>
    <row r="253" spans="1:9" ht="33" customHeight="1" x14ac:dyDescent="0.45">
      <c r="A253" s="342" t="s">
        <v>501</v>
      </c>
      <c r="B253" s="330">
        <v>0.25</v>
      </c>
      <c r="C253" s="343" t="s">
        <v>384</v>
      </c>
      <c r="D253" s="554" t="s">
        <v>701</v>
      </c>
      <c r="E253" s="555" t="s">
        <v>503</v>
      </c>
      <c r="F253" s="291"/>
      <c r="G253" s="291"/>
      <c r="H253" s="291"/>
      <c r="I253" s="341"/>
    </row>
    <row r="254" spans="1:9" ht="33" customHeight="1" x14ac:dyDescent="0.45">
      <c r="A254" s="342" t="s">
        <v>501</v>
      </c>
      <c r="B254" s="330">
        <v>0.27083333333333331</v>
      </c>
      <c r="C254" s="343" t="s">
        <v>378</v>
      </c>
      <c r="D254" s="554" t="s">
        <v>700</v>
      </c>
      <c r="E254" s="555" t="s">
        <v>503</v>
      </c>
      <c r="F254" s="291"/>
      <c r="G254" s="291"/>
      <c r="H254" s="291"/>
      <c r="I254" s="323" t="s">
        <v>347</v>
      </c>
    </row>
    <row r="255" spans="1:9" ht="33" customHeight="1" x14ac:dyDescent="0.45">
      <c r="A255" s="342" t="s">
        <v>376</v>
      </c>
      <c r="B255" s="330">
        <v>0.27083333333333331</v>
      </c>
      <c r="C255" s="343" t="s">
        <v>384</v>
      </c>
      <c r="D255" s="554" t="s">
        <v>701</v>
      </c>
      <c r="E255" s="555" t="s">
        <v>504</v>
      </c>
      <c r="F255" s="292" t="s">
        <v>709</v>
      </c>
      <c r="G255" s="292"/>
      <c r="H255" s="293"/>
      <c r="I255" s="216"/>
    </row>
    <row r="256" spans="1:9" ht="33" customHeight="1" x14ac:dyDescent="0.45">
      <c r="A256" s="342" t="s">
        <v>376</v>
      </c>
      <c r="B256" s="330">
        <v>0.27083333333333331</v>
      </c>
      <c r="C256" s="343" t="s">
        <v>414</v>
      </c>
      <c r="D256" s="554" t="s">
        <v>702</v>
      </c>
      <c r="E256" s="555" t="s">
        <v>688</v>
      </c>
      <c r="F256" s="292" t="s">
        <v>709</v>
      </c>
      <c r="G256" s="292"/>
      <c r="H256" s="293"/>
      <c r="I256" s="216"/>
    </row>
    <row r="257" spans="1:9" ht="33" customHeight="1" x14ac:dyDescent="0.45">
      <c r="A257" s="342" t="s">
        <v>501</v>
      </c>
      <c r="B257" s="330">
        <v>0.28819444444444442</v>
      </c>
      <c r="C257" s="343" t="s">
        <v>378</v>
      </c>
      <c r="D257" s="554" t="s">
        <v>700</v>
      </c>
      <c r="E257" s="555" t="s">
        <v>504</v>
      </c>
      <c r="F257" s="321" t="s">
        <v>709</v>
      </c>
      <c r="G257" s="292"/>
      <c r="H257" s="293"/>
      <c r="I257" s="323"/>
    </row>
    <row r="258" spans="1:9" ht="33" customHeight="1" x14ac:dyDescent="0.45">
      <c r="A258" s="342" t="s">
        <v>533</v>
      </c>
      <c r="B258" s="330">
        <v>0.28472222222222221</v>
      </c>
      <c r="C258" s="343" t="s">
        <v>414</v>
      </c>
      <c r="D258" s="554" t="s">
        <v>702</v>
      </c>
      <c r="E258" s="555" t="s">
        <v>504</v>
      </c>
      <c r="F258" s="292" t="s">
        <v>709</v>
      </c>
      <c r="G258" s="292"/>
      <c r="H258" s="293"/>
      <c r="I258" s="323" t="s">
        <v>348</v>
      </c>
    </row>
    <row r="259" spans="1:9" ht="33" customHeight="1" x14ac:dyDescent="0.45">
      <c r="A259" s="342" t="s">
        <v>376</v>
      </c>
      <c r="B259" s="330">
        <v>0.2951388888888889</v>
      </c>
      <c r="C259" s="343" t="s">
        <v>384</v>
      </c>
      <c r="D259" s="554" t="s">
        <v>701</v>
      </c>
      <c r="E259" s="555" t="s">
        <v>688</v>
      </c>
      <c r="F259" s="292" t="s">
        <v>709</v>
      </c>
      <c r="G259" s="292"/>
      <c r="H259" s="293"/>
      <c r="I259" s="216"/>
    </row>
    <row r="260" spans="1:9" ht="33" customHeight="1" x14ac:dyDescent="0.45">
      <c r="A260" s="342" t="s">
        <v>376</v>
      </c>
      <c r="B260" s="330">
        <v>0.3125</v>
      </c>
      <c r="C260" s="343" t="s">
        <v>414</v>
      </c>
      <c r="D260" s="554" t="s">
        <v>702</v>
      </c>
      <c r="E260" s="555" t="s">
        <v>504</v>
      </c>
      <c r="F260" s="292" t="s">
        <v>709</v>
      </c>
      <c r="G260" s="292"/>
      <c r="H260" s="293"/>
      <c r="I260" s="323" t="s">
        <v>350</v>
      </c>
    </row>
    <row r="261" spans="1:9" ht="33" customHeight="1" x14ac:dyDescent="0.45">
      <c r="A261" s="342" t="s">
        <v>501</v>
      </c>
      <c r="B261" s="330">
        <v>0.3263888888888889</v>
      </c>
      <c r="C261" s="343" t="s">
        <v>414</v>
      </c>
      <c r="D261" s="554" t="s">
        <v>702</v>
      </c>
      <c r="E261" s="555" t="s">
        <v>504</v>
      </c>
      <c r="F261" s="292"/>
      <c r="G261" s="292"/>
      <c r="H261" s="293"/>
      <c r="I261" s="323"/>
    </row>
    <row r="262" spans="1:9" ht="33" customHeight="1" x14ac:dyDescent="0.45">
      <c r="A262" s="342" t="s">
        <v>376</v>
      </c>
      <c r="B262" s="330">
        <v>0.3263888888888889</v>
      </c>
      <c r="C262" s="343" t="s">
        <v>378</v>
      </c>
      <c r="D262" s="554" t="s">
        <v>700</v>
      </c>
      <c r="E262" s="555" t="s">
        <v>504</v>
      </c>
      <c r="F262" s="292" t="s">
        <v>709</v>
      </c>
      <c r="G262" s="292"/>
      <c r="H262" s="293"/>
      <c r="I262" s="323"/>
    </row>
    <row r="263" spans="1:9" ht="33" customHeight="1" x14ac:dyDescent="0.45">
      <c r="A263" s="342" t="s">
        <v>376</v>
      </c>
      <c r="B263" s="330">
        <v>0.58333333333333337</v>
      </c>
      <c r="C263" s="343" t="s">
        <v>378</v>
      </c>
      <c r="D263" s="554" t="s">
        <v>700</v>
      </c>
      <c r="E263" s="555" t="s">
        <v>503</v>
      </c>
      <c r="F263" s="292" t="s">
        <v>709</v>
      </c>
      <c r="G263" s="292"/>
      <c r="H263" s="293"/>
      <c r="I263" s="323" t="s">
        <v>349</v>
      </c>
    </row>
    <row r="264" spans="1:9" ht="33" customHeight="1" x14ac:dyDescent="0.45">
      <c r="A264" s="342" t="s">
        <v>501</v>
      </c>
      <c r="B264" s="330">
        <v>0.58333333333333337</v>
      </c>
      <c r="C264" s="343" t="s">
        <v>384</v>
      </c>
      <c r="D264" s="554" t="s">
        <v>701</v>
      </c>
      <c r="E264" s="555" t="s">
        <v>504</v>
      </c>
      <c r="F264" s="292" t="s">
        <v>709</v>
      </c>
      <c r="G264" s="292"/>
      <c r="H264" s="293"/>
      <c r="I264" s="323"/>
    </row>
    <row r="265" spans="1:9" ht="33" customHeight="1" x14ac:dyDescent="0.45">
      <c r="A265" s="342" t="s">
        <v>376</v>
      </c>
      <c r="B265" s="330">
        <v>0.61458333333333337</v>
      </c>
      <c r="C265" s="343" t="s">
        <v>378</v>
      </c>
      <c r="D265" s="554" t="s">
        <v>700</v>
      </c>
      <c r="E265" s="555" t="s">
        <v>503</v>
      </c>
      <c r="F265" s="292" t="s">
        <v>709</v>
      </c>
      <c r="G265" s="292"/>
      <c r="H265" s="293"/>
      <c r="I265" s="323"/>
    </row>
    <row r="266" spans="1:9" ht="33" customHeight="1" x14ac:dyDescent="0.45">
      <c r="A266" s="342" t="s">
        <v>376</v>
      </c>
      <c r="B266" s="330">
        <v>0.61805555555555558</v>
      </c>
      <c r="C266" s="343" t="s">
        <v>384</v>
      </c>
      <c r="D266" s="554" t="s">
        <v>701</v>
      </c>
      <c r="E266" s="555" t="s">
        <v>503</v>
      </c>
      <c r="F266" s="292" t="s">
        <v>709</v>
      </c>
      <c r="G266" s="292"/>
      <c r="H266" s="293"/>
      <c r="I266" s="323"/>
    </row>
    <row r="267" spans="1:9" ht="33" customHeight="1" x14ac:dyDescent="0.45">
      <c r="A267" s="342" t="s">
        <v>501</v>
      </c>
      <c r="B267" s="330">
        <v>0.625</v>
      </c>
      <c r="C267" s="343" t="s">
        <v>414</v>
      </c>
      <c r="D267" s="554" t="s">
        <v>702</v>
      </c>
      <c r="E267" s="555" t="s">
        <v>504</v>
      </c>
      <c r="F267" s="292" t="s">
        <v>709</v>
      </c>
      <c r="G267" s="292"/>
      <c r="H267" s="293"/>
      <c r="I267" s="216"/>
    </row>
    <row r="268" spans="1:9" ht="33" customHeight="1" x14ac:dyDescent="0.45">
      <c r="A268" s="342" t="s">
        <v>376</v>
      </c>
      <c r="B268" s="330">
        <v>0.63888888888888884</v>
      </c>
      <c r="C268" s="343" t="s">
        <v>378</v>
      </c>
      <c r="D268" s="554" t="s">
        <v>700</v>
      </c>
      <c r="E268" s="555" t="s">
        <v>503</v>
      </c>
      <c r="F268" s="292" t="s">
        <v>709</v>
      </c>
      <c r="G268" s="292"/>
      <c r="H268" s="293"/>
      <c r="I268" s="216"/>
    </row>
    <row r="269" spans="1:9" ht="33" customHeight="1" x14ac:dyDescent="0.45">
      <c r="A269" s="342" t="s">
        <v>376</v>
      </c>
      <c r="B269" s="330">
        <v>0.65972222222222221</v>
      </c>
      <c r="C269" s="343" t="s">
        <v>414</v>
      </c>
      <c r="D269" s="554" t="s">
        <v>702</v>
      </c>
      <c r="E269" s="555" t="s">
        <v>503</v>
      </c>
      <c r="F269" s="292" t="s">
        <v>709</v>
      </c>
      <c r="G269" s="292"/>
      <c r="H269" s="293"/>
      <c r="I269" s="216"/>
    </row>
    <row r="270" spans="1:9" ht="33" customHeight="1" x14ac:dyDescent="0.45">
      <c r="A270" s="342" t="s">
        <v>376</v>
      </c>
      <c r="B270" s="330">
        <v>0.6875</v>
      </c>
      <c r="C270" s="343" t="s">
        <v>414</v>
      </c>
      <c r="D270" s="554" t="s">
        <v>702</v>
      </c>
      <c r="E270" s="555" t="s">
        <v>503</v>
      </c>
      <c r="F270" s="292" t="s">
        <v>709</v>
      </c>
      <c r="G270" s="292"/>
      <c r="H270" s="293"/>
      <c r="I270" s="216"/>
    </row>
    <row r="271" spans="1:9" ht="33" customHeight="1" x14ac:dyDescent="0.45">
      <c r="A271" s="342" t="s">
        <v>376</v>
      </c>
      <c r="B271" s="330">
        <v>0.71180555555555558</v>
      </c>
      <c r="C271" s="343" t="s">
        <v>414</v>
      </c>
      <c r="D271" s="554" t="s">
        <v>702</v>
      </c>
      <c r="E271" s="555" t="s">
        <v>503</v>
      </c>
      <c r="F271" s="292" t="s">
        <v>709</v>
      </c>
      <c r="G271" s="292"/>
      <c r="H271" s="293"/>
      <c r="I271" s="216"/>
    </row>
    <row r="272" spans="1:9" ht="33" customHeight="1" x14ac:dyDescent="0.45">
      <c r="A272" s="342" t="s">
        <v>376</v>
      </c>
      <c r="B272" s="330">
        <v>0.76041666666666663</v>
      </c>
      <c r="C272" s="343" t="s">
        <v>384</v>
      </c>
      <c r="D272" s="554" t="s">
        <v>701</v>
      </c>
      <c r="E272" s="555" t="s">
        <v>504</v>
      </c>
      <c r="F272" s="292" t="s">
        <v>709</v>
      </c>
      <c r="G272" s="292"/>
      <c r="H272" s="293"/>
      <c r="I272" s="216"/>
    </row>
    <row r="273" spans="1:9" ht="33" customHeight="1" x14ac:dyDescent="0.45">
      <c r="A273" s="342" t="s">
        <v>501</v>
      </c>
      <c r="B273" s="330">
        <v>0.76041666666666663</v>
      </c>
      <c r="C273" s="343" t="s">
        <v>378</v>
      </c>
      <c r="D273" s="554" t="s">
        <v>700</v>
      </c>
      <c r="E273" s="555" t="s">
        <v>504</v>
      </c>
      <c r="F273" s="292" t="s">
        <v>709</v>
      </c>
      <c r="G273" s="292"/>
      <c r="H273" s="293"/>
      <c r="I273" s="216"/>
    </row>
    <row r="274" spans="1:9" ht="33" customHeight="1" x14ac:dyDescent="0.45">
      <c r="A274" s="342" t="s">
        <v>376</v>
      </c>
      <c r="B274" s="330">
        <v>0.78125</v>
      </c>
      <c r="C274" s="343" t="s">
        <v>378</v>
      </c>
      <c r="D274" s="554" t="s">
        <v>700</v>
      </c>
      <c r="E274" s="555" t="s">
        <v>503</v>
      </c>
      <c r="F274" s="292" t="s">
        <v>709</v>
      </c>
      <c r="G274" s="292"/>
      <c r="H274" s="293"/>
      <c r="I274" s="216"/>
    </row>
    <row r="275" spans="1:9" ht="33" customHeight="1" x14ac:dyDescent="0.45">
      <c r="A275" s="342" t="s">
        <v>501</v>
      </c>
      <c r="B275" s="330">
        <v>0.78125</v>
      </c>
      <c r="C275" s="343" t="s">
        <v>384</v>
      </c>
      <c r="D275" s="554" t="s">
        <v>701</v>
      </c>
      <c r="E275" s="555" t="s">
        <v>504</v>
      </c>
      <c r="F275" s="292" t="s">
        <v>709</v>
      </c>
      <c r="G275" s="292"/>
      <c r="H275" s="293"/>
      <c r="I275" s="216"/>
    </row>
    <row r="276" spans="1:9" ht="33" customHeight="1" x14ac:dyDescent="0.45">
      <c r="A276" s="342" t="s">
        <v>376</v>
      </c>
      <c r="B276" s="330">
        <v>0.80208333333333337</v>
      </c>
      <c r="C276" s="343" t="s">
        <v>384</v>
      </c>
      <c r="D276" s="554" t="s">
        <v>701</v>
      </c>
      <c r="E276" s="555" t="s">
        <v>503</v>
      </c>
      <c r="F276" s="292" t="s">
        <v>709</v>
      </c>
      <c r="G276" s="292"/>
      <c r="H276" s="293"/>
      <c r="I276" s="216"/>
    </row>
    <row r="277" spans="1:9" ht="33" customHeight="1" x14ac:dyDescent="0.45">
      <c r="A277" s="342" t="s">
        <v>663</v>
      </c>
      <c r="B277" s="330">
        <v>0.80902777777777779</v>
      </c>
      <c r="C277" s="343" t="s">
        <v>378</v>
      </c>
      <c r="D277" s="554" t="s">
        <v>700</v>
      </c>
      <c r="E277" s="555" t="s">
        <v>688</v>
      </c>
      <c r="F277" s="292" t="s">
        <v>709</v>
      </c>
      <c r="G277" s="292"/>
      <c r="H277" s="293"/>
      <c r="I277" s="216"/>
    </row>
    <row r="278" spans="1:9" ht="33" customHeight="1" x14ac:dyDescent="0.45">
      <c r="A278" s="342" t="s">
        <v>376</v>
      </c>
      <c r="B278" s="330">
        <v>0.82291666666666663</v>
      </c>
      <c r="C278" s="343" t="s">
        <v>384</v>
      </c>
      <c r="D278" s="554" t="s">
        <v>701</v>
      </c>
      <c r="E278" s="555" t="s">
        <v>503</v>
      </c>
      <c r="F278" s="292" t="s">
        <v>709</v>
      </c>
      <c r="G278" s="292"/>
      <c r="H278" s="293"/>
      <c r="I278" s="216"/>
    </row>
    <row r="279" spans="1:9" ht="33" customHeight="1" x14ac:dyDescent="0.45">
      <c r="C279" s="190"/>
    </row>
    <row r="280" spans="1:9" ht="33" customHeight="1" x14ac:dyDescent="0.45">
      <c r="C280" s="190"/>
    </row>
    <row r="281" spans="1:9" ht="33" customHeight="1" x14ac:dyDescent="0.45">
      <c r="C281" s="190"/>
    </row>
    <row r="282" spans="1:9" ht="29.25" x14ac:dyDescent="0.45">
      <c r="A282" s="662" t="s">
        <v>659</v>
      </c>
      <c r="B282" s="320"/>
      <c r="C282" s="254"/>
      <c r="D282" s="254"/>
      <c r="E282" s="598"/>
      <c r="I282" s="607">
        <f>I248+1</f>
        <v>46152</v>
      </c>
    </row>
    <row r="284" spans="1:9" ht="90" x14ac:dyDescent="0.45">
      <c r="A284" s="322" t="s">
        <v>324</v>
      </c>
      <c r="B284" s="325" t="s">
        <v>0</v>
      </c>
      <c r="C284" s="332" t="s">
        <v>25</v>
      </c>
      <c r="D284" s="291" t="s">
        <v>26</v>
      </c>
      <c r="E284" s="291" t="s">
        <v>661</v>
      </c>
      <c r="F284" s="291" t="s">
        <v>708</v>
      </c>
      <c r="G284" s="291" t="s">
        <v>1</v>
      </c>
      <c r="H284" s="291" t="s">
        <v>328</v>
      </c>
      <c r="I284" s="291"/>
    </row>
    <row r="285" spans="1:9" ht="34.15" x14ac:dyDescent="0.45">
      <c r="A285" s="342" t="s">
        <v>376</v>
      </c>
      <c r="B285" s="330">
        <v>0.2951388888888889</v>
      </c>
      <c r="C285" s="343" t="s">
        <v>384</v>
      </c>
      <c r="D285" s="554" t="s">
        <v>701</v>
      </c>
      <c r="E285" s="555" t="s">
        <v>504</v>
      </c>
      <c r="F285" s="291"/>
      <c r="G285" s="291"/>
      <c r="H285" s="291"/>
      <c r="I285" s="323" t="s">
        <v>347</v>
      </c>
    </row>
    <row r="286" spans="1:9" ht="32.75" customHeight="1" x14ac:dyDescent="0.45">
      <c r="A286" s="342" t="s">
        <v>376</v>
      </c>
      <c r="B286" s="330">
        <v>0.3125</v>
      </c>
      <c r="C286" s="343" t="s">
        <v>414</v>
      </c>
      <c r="D286" s="554" t="s">
        <v>702</v>
      </c>
      <c r="E286" s="555" t="s">
        <v>504</v>
      </c>
      <c r="F286" s="291"/>
      <c r="G286" s="291"/>
      <c r="H286" s="291"/>
      <c r="I286" s="341"/>
    </row>
    <row r="287" spans="1:9" ht="32.75" customHeight="1" x14ac:dyDescent="0.45">
      <c r="A287" s="342" t="s">
        <v>376</v>
      </c>
      <c r="B287" s="330">
        <v>0.3263888888888889</v>
      </c>
      <c r="C287" s="343" t="s">
        <v>414</v>
      </c>
      <c r="D287" s="554" t="s">
        <v>702</v>
      </c>
      <c r="E287" s="555" t="s">
        <v>504</v>
      </c>
      <c r="F287" s="291"/>
      <c r="G287" s="291"/>
      <c r="H287" s="291"/>
      <c r="I287" s="323" t="s">
        <v>348</v>
      </c>
    </row>
    <row r="288" spans="1:9" ht="32.75" customHeight="1" x14ac:dyDescent="0.45">
      <c r="A288" s="342" t="s">
        <v>376</v>
      </c>
      <c r="B288" s="330">
        <v>0.58333333333333337</v>
      </c>
      <c r="C288" s="343" t="s">
        <v>378</v>
      </c>
      <c r="D288" s="554" t="s">
        <v>700</v>
      </c>
      <c r="E288" s="555" t="s">
        <v>503</v>
      </c>
      <c r="F288" s="292" t="s">
        <v>709</v>
      </c>
      <c r="G288" s="292"/>
      <c r="H288" s="293"/>
      <c r="I288" s="216"/>
    </row>
    <row r="289" spans="1:9" ht="32.75" customHeight="1" x14ac:dyDescent="0.45">
      <c r="A289" s="342" t="s">
        <v>501</v>
      </c>
      <c r="B289" s="330">
        <v>0.58333333333333337</v>
      </c>
      <c r="C289" s="343" t="s">
        <v>384</v>
      </c>
      <c r="D289" s="554" t="s">
        <v>701</v>
      </c>
      <c r="E289" s="555" t="s">
        <v>504</v>
      </c>
      <c r="F289" s="292" t="s">
        <v>709</v>
      </c>
      <c r="G289" s="292"/>
      <c r="H289" s="293"/>
      <c r="I289" s="216"/>
    </row>
    <row r="290" spans="1:9" ht="32.75" customHeight="1" x14ac:dyDescent="0.45">
      <c r="A290" s="342" t="s">
        <v>376</v>
      </c>
      <c r="B290" s="330">
        <v>0.61458333333333337</v>
      </c>
      <c r="C290" s="343" t="s">
        <v>378</v>
      </c>
      <c r="D290" s="554" t="s">
        <v>700</v>
      </c>
      <c r="E290" s="555" t="s">
        <v>503</v>
      </c>
      <c r="F290" s="321" t="s">
        <v>709</v>
      </c>
      <c r="G290" s="292"/>
      <c r="H290" s="293"/>
      <c r="I290" s="323" t="s">
        <v>350</v>
      </c>
    </row>
    <row r="291" spans="1:9" ht="32.75" customHeight="1" x14ac:dyDescent="0.45">
      <c r="A291" s="342" t="s">
        <v>501</v>
      </c>
      <c r="B291" s="330">
        <v>0.625</v>
      </c>
      <c r="C291" s="343" t="s">
        <v>384</v>
      </c>
      <c r="D291" s="554" t="s">
        <v>701</v>
      </c>
      <c r="E291" s="555" t="s">
        <v>504</v>
      </c>
      <c r="F291" s="292" t="s">
        <v>709</v>
      </c>
      <c r="G291" s="292"/>
      <c r="H291" s="293"/>
      <c r="I291" s="216"/>
    </row>
    <row r="292" spans="1:9" ht="32.75" customHeight="1" x14ac:dyDescent="0.45">
      <c r="A292" s="342" t="s">
        <v>376</v>
      </c>
      <c r="B292" s="330">
        <v>0.63888888888888884</v>
      </c>
      <c r="C292" s="343" t="s">
        <v>378</v>
      </c>
      <c r="D292" s="554" t="s">
        <v>700</v>
      </c>
      <c r="E292" s="555" t="s">
        <v>503</v>
      </c>
      <c r="F292" s="292" t="s">
        <v>709</v>
      </c>
      <c r="G292" s="292"/>
      <c r="H292" s="293"/>
      <c r="I292" s="323" t="s">
        <v>349</v>
      </c>
    </row>
    <row r="293" spans="1:9" ht="32.75" customHeight="1" x14ac:dyDescent="0.45">
      <c r="A293" s="342" t="s">
        <v>376</v>
      </c>
      <c r="B293" s="330">
        <v>0.65972222222222221</v>
      </c>
      <c r="C293" s="343" t="s">
        <v>414</v>
      </c>
      <c r="D293" s="554" t="s">
        <v>702</v>
      </c>
      <c r="E293" s="555" t="s">
        <v>503</v>
      </c>
      <c r="F293" s="292" t="s">
        <v>709</v>
      </c>
      <c r="G293" s="292"/>
      <c r="H293" s="293"/>
      <c r="I293" s="216"/>
    </row>
    <row r="294" spans="1:9" ht="32.75" customHeight="1" x14ac:dyDescent="0.45">
      <c r="A294" s="342" t="s">
        <v>376</v>
      </c>
      <c r="B294" s="330">
        <v>0.6875</v>
      </c>
      <c r="C294" s="343" t="s">
        <v>414</v>
      </c>
      <c r="D294" s="554" t="s">
        <v>702</v>
      </c>
      <c r="E294" s="555" t="s">
        <v>503</v>
      </c>
      <c r="F294" s="292"/>
      <c r="G294" s="292"/>
      <c r="H294" s="293"/>
      <c r="I294" s="323"/>
    </row>
    <row r="295" spans="1:9" ht="32.75" customHeight="1" x14ac:dyDescent="0.45">
      <c r="A295" s="342" t="s">
        <v>501</v>
      </c>
      <c r="B295" s="330">
        <v>0.76041666666666663</v>
      </c>
      <c r="C295" s="343" t="s">
        <v>384</v>
      </c>
      <c r="D295" s="554" t="s">
        <v>701</v>
      </c>
      <c r="E295" s="555" t="s">
        <v>504</v>
      </c>
      <c r="F295" s="292" t="s">
        <v>709</v>
      </c>
      <c r="G295" s="292"/>
      <c r="H295" s="293"/>
      <c r="I295" s="323"/>
    </row>
    <row r="296" spans="1:9" ht="32.75" customHeight="1" x14ac:dyDescent="0.45">
      <c r="A296" s="342" t="s">
        <v>376</v>
      </c>
      <c r="B296" s="330">
        <v>0.76041666666666663</v>
      </c>
      <c r="C296" s="343" t="s">
        <v>414</v>
      </c>
      <c r="D296" s="554" t="s">
        <v>702</v>
      </c>
      <c r="E296" s="555" t="s">
        <v>503</v>
      </c>
      <c r="F296" s="292" t="s">
        <v>709</v>
      </c>
      <c r="G296" s="292"/>
      <c r="H296" s="293"/>
      <c r="I296" s="216"/>
    </row>
    <row r="297" spans="1:9" ht="32.75" customHeight="1" x14ac:dyDescent="0.45">
      <c r="A297" s="342" t="s">
        <v>501</v>
      </c>
      <c r="B297" s="330">
        <v>0.78125</v>
      </c>
      <c r="C297" s="343" t="s">
        <v>414</v>
      </c>
      <c r="D297" s="554" t="s">
        <v>702</v>
      </c>
      <c r="E297" s="555" t="s">
        <v>504</v>
      </c>
      <c r="F297" s="292" t="s">
        <v>709</v>
      </c>
      <c r="G297" s="292"/>
      <c r="H297" s="293"/>
      <c r="I297" s="323"/>
    </row>
    <row r="298" spans="1:9" ht="32.75" customHeight="1" x14ac:dyDescent="0.45">
      <c r="A298" s="342" t="s">
        <v>376</v>
      </c>
      <c r="B298" s="330">
        <v>0.78125</v>
      </c>
      <c r="C298" s="343" t="s">
        <v>384</v>
      </c>
      <c r="D298" s="554" t="s">
        <v>701</v>
      </c>
      <c r="E298" s="555" t="s">
        <v>503</v>
      </c>
      <c r="F298" s="292" t="s">
        <v>709</v>
      </c>
      <c r="G298" s="292"/>
      <c r="H298" s="293"/>
      <c r="I298" s="323"/>
    </row>
    <row r="299" spans="1:9" ht="32.75" customHeight="1" x14ac:dyDescent="0.45">
      <c r="A299" s="342" t="s">
        <v>663</v>
      </c>
      <c r="B299" s="330">
        <v>0.80902777777777779</v>
      </c>
      <c r="C299" s="343" t="s">
        <v>414</v>
      </c>
      <c r="D299" s="554" t="s">
        <v>702</v>
      </c>
      <c r="E299" s="555" t="s">
        <v>504</v>
      </c>
      <c r="F299" s="292" t="s">
        <v>709</v>
      </c>
      <c r="G299" s="292"/>
      <c r="H299" s="293"/>
      <c r="I299" s="323"/>
    </row>
    <row r="300" spans="1:9" ht="32.75" customHeight="1" x14ac:dyDescent="0.45">
      <c r="A300" s="342" t="s">
        <v>376</v>
      </c>
      <c r="B300" s="330">
        <v>0.82291666666666663</v>
      </c>
      <c r="C300" s="343" t="s">
        <v>414</v>
      </c>
      <c r="D300" s="554" t="s">
        <v>702</v>
      </c>
      <c r="E300" s="555" t="s">
        <v>503</v>
      </c>
      <c r="F300" s="292" t="s">
        <v>709</v>
      </c>
      <c r="G300" s="292"/>
      <c r="H300" s="293"/>
      <c r="I300" s="216"/>
    </row>
    <row r="301" spans="1:9" ht="32.75" customHeight="1" x14ac:dyDescent="0.45">
      <c r="A301" s="653"/>
      <c r="B301" s="654"/>
      <c r="C301" s="654"/>
      <c r="D301" s="655"/>
      <c r="E301" s="656"/>
      <c r="F301" s="657"/>
      <c r="G301" s="658"/>
      <c r="H301" s="658"/>
      <c r="I301" s="659"/>
    </row>
    <row r="303" spans="1:9" ht="29.25" x14ac:dyDescent="0.45">
      <c r="A303" s="662" t="s">
        <v>659</v>
      </c>
      <c r="B303" s="320"/>
      <c r="C303" s="254"/>
      <c r="D303" s="254"/>
      <c r="E303" s="598"/>
      <c r="I303" s="600">
        <f>I282+1</f>
        <v>46153</v>
      </c>
    </row>
    <row r="305" spans="1:9" ht="90" x14ac:dyDescent="0.45">
      <c r="A305" s="322" t="s">
        <v>324</v>
      </c>
      <c r="B305" s="325" t="s">
        <v>0</v>
      </c>
      <c r="C305" s="332" t="s">
        <v>25</v>
      </c>
      <c r="D305" s="291" t="s">
        <v>26</v>
      </c>
      <c r="E305" s="291" t="s">
        <v>662</v>
      </c>
      <c r="F305" s="291" t="s">
        <v>708</v>
      </c>
      <c r="G305" s="291" t="s">
        <v>1</v>
      </c>
      <c r="H305" s="291" t="s">
        <v>328</v>
      </c>
      <c r="I305" s="291"/>
    </row>
    <row r="306" spans="1:9" ht="34.15" x14ac:dyDescent="0.45">
      <c r="A306" s="342" t="s">
        <v>501</v>
      </c>
      <c r="B306" s="330">
        <v>0.2326388888888889</v>
      </c>
      <c r="C306" s="343" t="s">
        <v>378</v>
      </c>
      <c r="D306" s="554" t="s">
        <v>700</v>
      </c>
      <c r="E306" s="555" t="s">
        <v>503</v>
      </c>
      <c r="F306" s="291"/>
      <c r="G306" s="291"/>
      <c r="H306" s="291"/>
      <c r="I306" s="341"/>
    </row>
    <row r="307" spans="1:9" ht="34.15" x14ac:dyDescent="0.45">
      <c r="A307" s="342" t="s">
        <v>376</v>
      </c>
      <c r="B307" s="330">
        <v>0.23958333333333334</v>
      </c>
      <c r="C307" s="343" t="s">
        <v>414</v>
      </c>
      <c r="D307" s="554" t="s">
        <v>702</v>
      </c>
      <c r="E307" s="555" t="s">
        <v>503</v>
      </c>
      <c r="F307" s="291"/>
      <c r="G307" s="291"/>
      <c r="H307" s="291"/>
      <c r="I307" s="341"/>
    </row>
    <row r="308" spans="1:9" ht="33" customHeight="1" x14ac:dyDescent="0.45">
      <c r="A308" s="342" t="s">
        <v>501</v>
      </c>
      <c r="B308" s="330">
        <v>0.25</v>
      </c>
      <c r="C308" s="343" t="s">
        <v>384</v>
      </c>
      <c r="D308" s="554" t="s">
        <v>701</v>
      </c>
      <c r="E308" s="555" t="s">
        <v>503</v>
      </c>
      <c r="F308" s="291"/>
      <c r="G308" s="291"/>
      <c r="H308" s="291"/>
      <c r="I308" s="341"/>
    </row>
    <row r="309" spans="1:9" ht="33" customHeight="1" x14ac:dyDescent="0.45">
      <c r="A309" s="342" t="s">
        <v>501</v>
      </c>
      <c r="B309" s="330">
        <v>0.27083333333333331</v>
      </c>
      <c r="C309" s="343" t="s">
        <v>378</v>
      </c>
      <c r="D309" s="554" t="s">
        <v>700</v>
      </c>
      <c r="E309" s="555" t="s">
        <v>503</v>
      </c>
      <c r="F309" s="291"/>
      <c r="G309" s="291"/>
      <c r="H309" s="291"/>
      <c r="I309" s="323" t="s">
        <v>347</v>
      </c>
    </row>
    <row r="310" spans="1:9" ht="33" customHeight="1" x14ac:dyDescent="0.45">
      <c r="A310" s="342" t="s">
        <v>376</v>
      </c>
      <c r="B310" s="330">
        <v>0.27083333333333331</v>
      </c>
      <c r="C310" s="343" t="s">
        <v>384</v>
      </c>
      <c r="D310" s="554" t="s">
        <v>701</v>
      </c>
      <c r="E310" s="555" t="s">
        <v>504</v>
      </c>
      <c r="F310" s="292" t="s">
        <v>709</v>
      </c>
      <c r="G310" s="292"/>
      <c r="H310" s="293"/>
      <c r="I310" s="216"/>
    </row>
    <row r="311" spans="1:9" ht="33" customHeight="1" x14ac:dyDescent="0.45">
      <c r="A311" s="342" t="s">
        <v>376</v>
      </c>
      <c r="B311" s="330">
        <v>0.27083333333333331</v>
      </c>
      <c r="C311" s="343" t="s">
        <v>414</v>
      </c>
      <c r="D311" s="554" t="s">
        <v>702</v>
      </c>
      <c r="E311" s="555" t="s">
        <v>688</v>
      </c>
      <c r="F311" s="292" t="s">
        <v>709</v>
      </c>
      <c r="G311" s="292"/>
      <c r="H311" s="293"/>
      <c r="I311" s="216"/>
    </row>
    <row r="312" spans="1:9" ht="33" customHeight="1" x14ac:dyDescent="0.45">
      <c r="A312" s="342" t="s">
        <v>501</v>
      </c>
      <c r="B312" s="330">
        <v>0.28819444444444442</v>
      </c>
      <c r="C312" s="343" t="s">
        <v>378</v>
      </c>
      <c r="D312" s="554" t="s">
        <v>700</v>
      </c>
      <c r="E312" s="555" t="s">
        <v>504</v>
      </c>
      <c r="F312" s="321" t="s">
        <v>709</v>
      </c>
      <c r="G312" s="292"/>
      <c r="H312" s="293"/>
      <c r="I312" s="323"/>
    </row>
    <row r="313" spans="1:9" ht="33" customHeight="1" x14ac:dyDescent="0.45">
      <c r="A313" s="342" t="s">
        <v>533</v>
      </c>
      <c r="B313" s="330">
        <v>0.28472222222222221</v>
      </c>
      <c r="C313" s="343" t="s">
        <v>414</v>
      </c>
      <c r="D313" s="554" t="s">
        <v>702</v>
      </c>
      <c r="E313" s="555" t="s">
        <v>504</v>
      </c>
      <c r="F313" s="292" t="s">
        <v>709</v>
      </c>
      <c r="G313" s="292"/>
      <c r="H313" s="293"/>
      <c r="I313" s="323" t="s">
        <v>348</v>
      </c>
    </row>
    <row r="314" spans="1:9" ht="33" customHeight="1" x14ac:dyDescent="0.45">
      <c r="A314" s="342" t="s">
        <v>376</v>
      </c>
      <c r="B314" s="330">
        <v>0.2951388888888889</v>
      </c>
      <c r="C314" s="343" t="s">
        <v>384</v>
      </c>
      <c r="D314" s="554" t="s">
        <v>701</v>
      </c>
      <c r="E314" s="555" t="s">
        <v>688</v>
      </c>
      <c r="F314" s="292" t="s">
        <v>709</v>
      </c>
      <c r="G314" s="292"/>
      <c r="H314" s="293"/>
      <c r="I314" s="216"/>
    </row>
    <row r="315" spans="1:9" ht="33" customHeight="1" x14ac:dyDescent="0.45">
      <c r="A315" s="342" t="s">
        <v>376</v>
      </c>
      <c r="B315" s="330">
        <v>0.3125</v>
      </c>
      <c r="C315" s="343" t="s">
        <v>414</v>
      </c>
      <c r="D315" s="554" t="s">
        <v>702</v>
      </c>
      <c r="E315" s="555" t="s">
        <v>504</v>
      </c>
      <c r="F315" s="292" t="s">
        <v>709</v>
      </c>
      <c r="G315" s="292"/>
      <c r="H315" s="293"/>
      <c r="I315" s="323" t="s">
        <v>350</v>
      </c>
    </row>
    <row r="316" spans="1:9" ht="33" customHeight="1" x14ac:dyDescent="0.45">
      <c r="A316" s="342" t="s">
        <v>501</v>
      </c>
      <c r="B316" s="330">
        <v>0.3263888888888889</v>
      </c>
      <c r="C316" s="343" t="s">
        <v>414</v>
      </c>
      <c r="D316" s="554" t="s">
        <v>702</v>
      </c>
      <c r="E316" s="555" t="s">
        <v>504</v>
      </c>
      <c r="F316" s="292"/>
      <c r="G316" s="292"/>
      <c r="H316" s="293"/>
      <c r="I316" s="323"/>
    </row>
    <row r="317" spans="1:9" ht="33" customHeight="1" x14ac:dyDescent="0.45">
      <c r="A317" s="342" t="s">
        <v>376</v>
      </c>
      <c r="B317" s="330">
        <v>0.3263888888888889</v>
      </c>
      <c r="C317" s="343" t="s">
        <v>378</v>
      </c>
      <c r="D317" s="554" t="s">
        <v>700</v>
      </c>
      <c r="E317" s="555" t="s">
        <v>504</v>
      </c>
      <c r="F317" s="292" t="s">
        <v>709</v>
      </c>
      <c r="G317" s="292"/>
      <c r="H317" s="293"/>
      <c r="I317" s="323"/>
    </row>
    <row r="318" spans="1:9" ht="33" customHeight="1" x14ac:dyDescent="0.45">
      <c r="A318" s="342" t="s">
        <v>376</v>
      </c>
      <c r="B318" s="330">
        <v>0.58333333333333337</v>
      </c>
      <c r="C318" s="343" t="s">
        <v>378</v>
      </c>
      <c r="D318" s="554" t="s">
        <v>700</v>
      </c>
      <c r="E318" s="555" t="s">
        <v>503</v>
      </c>
      <c r="F318" s="292" t="s">
        <v>709</v>
      </c>
      <c r="G318" s="292"/>
      <c r="H318" s="293"/>
      <c r="I318" s="323" t="s">
        <v>349</v>
      </c>
    </row>
    <row r="319" spans="1:9" ht="33" customHeight="1" x14ac:dyDescent="0.45">
      <c r="A319" s="342" t="s">
        <v>501</v>
      </c>
      <c r="B319" s="330">
        <v>0.58333333333333337</v>
      </c>
      <c r="C319" s="343" t="s">
        <v>384</v>
      </c>
      <c r="D319" s="554" t="s">
        <v>701</v>
      </c>
      <c r="E319" s="555" t="s">
        <v>504</v>
      </c>
      <c r="F319" s="292" t="s">
        <v>709</v>
      </c>
      <c r="G319" s="292"/>
      <c r="H319" s="293"/>
      <c r="I319" s="323"/>
    </row>
    <row r="320" spans="1:9" ht="33" customHeight="1" x14ac:dyDescent="0.45">
      <c r="A320" s="342" t="s">
        <v>376</v>
      </c>
      <c r="B320" s="330">
        <v>0.61458333333333337</v>
      </c>
      <c r="C320" s="343" t="s">
        <v>378</v>
      </c>
      <c r="D320" s="554" t="s">
        <v>700</v>
      </c>
      <c r="E320" s="555" t="s">
        <v>503</v>
      </c>
      <c r="F320" s="292" t="s">
        <v>709</v>
      </c>
      <c r="G320" s="292"/>
      <c r="H320" s="293"/>
      <c r="I320" s="323"/>
    </row>
    <row r="321" spans="1:9" ht="33" customHeight="1" x14ac:dyDescent="0.45">
      <c r="A321" s="342" t="s">
        <v>376</v>
      </c>
      <c r="B321" s="330">
        <v>0.61805555555555558</v>
      </c>
      <c r="C321" s="343" t="s">
        <v>384</v>
      </c>
      <c r="D321" s="554" t="s">
        <v>701</v>
      </c>
      <c r="E321" s="555" t="s">
        <v>503</v>
      </c>
      <c r="F321" s="292" t="s">
        <v>709</v>
      </c>
      <c r="G321" s="292"/>
      <c r="H321" s="293"/>
      <c r="I321" s="323"/>
    </row>
    <row r="322" spans="1:9" ht="33" customHeight="1" x14ac:dyDescent="0.45">
      <c r="A322" s="342" t="s">
        <v>501</v>
      </c>
      <c r="B322" s="330">
        <v>0.625</v>
      </c>
      <c r="C322" s="343" t="s">
        <v>414</v>
      </c>
      <c r="D322" s="554" t="s">
        <v>702</v>
      </c>
      <c r="E322" s="555" t="s">
        <v>504</v>
      </c>
      <c r="F322" s="292" t="s">
        <v>709</v>
      </c>
      <c r="G322" s="292"/>
      <c r="H322" s="293"/>
      <c r="I322" s="216"/>
    </row>
    <row r="323" spans="1:9" ht="33" customHeight="1" x14ac:dyDescent="0.45">
      <c r="A323" s="342" t="s">
        <v>376</v>
      </c>
      <c r="B323" s="330">
        <v>0.63888888888888884</v>
      </c>
      <c r="C323" s="343" t="s">
        <v>378</v>
      </c>
      <c r="D323" s="554" t="s">
        <v>700</v>
      </c>
      <c r="E323" s="555" t="s">
        <v>503</v>
      </c>
      <c r="F323" s="292" t="s">
        <v>709</v>
      </c>
      <c r="G323" s="292"/>
      <c r="H323" s="293"/>
      <c r="I323" s="216"/>
    </row>
    <row r="324" spans="1:9" ht="33" customHeight="1" x14ac:dyDescent="0.45">
      <c r="A324" s="342" t="s">
        <v>376</v>
      </c>
      <c r="B324" s="330">
        <v>0.65972222222222221</v>
      </c>
      <c r="C324" s="343" t="s">
        <v>414</v>
      </c>
      <c r="D324" s="554" t="s">
        <v>702</v>
      </c>
      <c r="E324" s="555" t="s">
        <v>503</v>
      </c>
      <c r="F324" s="292" t="s">
        <v>709</v>
      </c>
      <c r="G324" s="292"/>
      <c r="H324" s="293"/>
      <c r="I324" s="216"/>
    </row>
    <row r="325" spans="1:9" ht="33" customHeight="1" x14ac:dyDescent="0.45">
      <c r="A325" s="342" t="s">
        <v>376</v>
      </c>
      <c r="B325" s="330">
        <v>0.6875</v>
      </c>
      <c r="C325" s="343" t="s">
        <v>414</v>
      </c>
      <c r="D325" s="554" t="s">
        <v>702</v>
      </c>
      <c r="E325" s="555" t="s">
        <v>503</v>
      </c>
      <c r="F325" s="292" t="s">
        <v>709</v>
      </c>
      <c r="G325" s="292"/>
      <c r="H325" s="293"/>
      <c r="I325" s="216"/>
    </row>
    <row r="326" spans="1:9" ht="33" customHeight="1" x14ac:dyDescent="0.45">
      <c r="A326" s="342" t="s">
        <v>376</v>
      </c>
      <c r="B326" s="330">
        <v>0.71180555555555558</v>
      </c>
      <c r="C326" s="343" t="s">
        <v>414</v>
      </c>
      <c r="D326" s="554" t="s">
        <v>702</v>
      </c>
      <c r="E326" s="555" t="s">
        <v>503</v>
      </c>
      <c r="F326" s="292" t="s">
        <v>709</v>
      </c>
      <c r="G326" s="292"/>
      <c r="H326" s="293"/>
      <c r="I326" s="216"/>
    </row>
    <row r="327" spans="1:9" ht="33" customHeight="1" x14ac:dyDescent="0.45">
      <c r="A327" s="342" t="s">
        <v>376</v>
      </c>
      <c r="B327" s="330">
        <v>0.76041666666666663</v>
      </c>
      <c r="C327" s="343" t="s">
        <v>384</v>
      </c>
      <c r="D327" s="554" t="s">
        <v>701</v>
      </c>
      <c r="E327" s="555" t="s">
        <v>504</v>
      </c>
      <c r="F327" s="292" t="s">
        <v>709</v>
      </c>
      <c r="G327" s="292"/>
      <c r="H327" s="293"/>
      <c r="I327" s="216"/>
    </row>
    <row r="328" spans="1:9" ht="33" customHeight="1" x14ac:dyDescent="0.45">
      <c r="A328" s="342" t="s">
        <v>501</v>
      </c>
      <c r="B328" s="330">
        <v>0.76041666666666663</v>
      </c>
      <c r="C328" s="343" t="s">
        <v>378</v>
      </c>
      <c r="D328" s="554" t="s">
        <v>700</v>
      </c>
      <c r="E328" s="555" t="s">
        <v>504</v>
      </c>
      <c r="F328" s="292" t="s">
        <v>709</v>
      </c>
      <c r="G328" s="292"/>
      <c r="H328" s="293"/>
      <c r="I328" s="216"/>
    </row>
    <row r="329" spans="1:9" ht="33" customHeight="1" x14ac:dyDescent="0.45">
      <c r="A329" s="342" t="s">
        <v>376</v>
      </c>
      <c r="B329" s="330">
        <v>0.78125</v>
      </c>
      <c r="C329" s="343" t="s">
        <v>378</v>
      </c>
      <c r="D329" s="554" t="s">
        <v>700</v>
      </c>
      <c r="E329" s="555" t="s">
        <v>503</v>
      </c>
      <c r="F329" s="292" t="s">
        <v>709</v>
      </c>
      <c r="G329" s="292"/>
      <c r="H329" s="293"/>
      <c r="I329" s="216"/>
    </row>
    <row r="330" spans="1:9" ht="33" customHeight="1" x14ac:dyDescent="0.45">
      <c r="A330" s="342" t="s">
        <v>501</v>
      </c>
      <c r="B330" s="330">
        <v>0.78125</v>
      </c>
      <c r="C330" s="343" t="s">
        <v>384</v>
      </c>
      <c r="D330" s="554" t="s">
        <v>701</v>
      </c>
      <c r="E330" s="555" t="s">
        <v>504</v>
      </c>
      <c r="F330" s="292" t="s">
        <v>709</v>
      </c>
      <c r="G330" s="292"/>
      <c r="H330" s="293"/>
      <c r="I330" s="216"/>
    </row>
    <row r="331" spans="1:9" ht="33" customHeight="1" x14ac:dyDescent="0.45">
      <c r="A331" s="342" t="s">
        <v>376</v>
      </c>
      <c r="B331" s="330">
        <v>0.80208333333333337</v>
      </c>
      <c r="C331" s="343" t="s">
        <v>384</v>
      </c>
      <c r="D331" s="554" t="s">
        <v>701</v>
      </c>
      <c r="E331" s="555" t="s">
        <v>503</v>
      </c>
      <c r="F331" s="292" t="s">
        <v>709</v>
      </c>
      <c r="G331" s="292"/>
      <c r="H331" s="293"/>
      <c r="I331" s="216"/>
    </row>
    <row r="332" spans="1:9" ht="33" customHeight="1" x14ac:dyDescent="0.45">
      <c r="A332" s="342" t="s">
        <v>663</v>
      </c>
      <c r="B332" s="330">
        <v>0.80902777777777779</v>
      </c>
      <c r="C332" s="343" t="s">
        <v>378</v>
      </c>
      <c r="D332" s="554" t="s">
        <v>700</v>
      </c>
      <c r="E332" s="555" t="s">
        <v>688</v>
      </c>
      <c r="F332" s="292" t="s">
        <v>709</v>
      </c>
      <c r="G332" s="292"/>
      <c r="H332" s="293"/>
      <c r="I332" s="216"/>
    </row>
    <row r="333" spans="1:9" ht="33" customHeight="1" x14ac:dyDescent="0.45">
      <c r="A333" s="342" t="s">
        <v>376</v>
      </c>
      <c r="B333" s="330">
        <v>0.82291666666666663</v>
      </c>
      <c r="C333" s="343" t="s">
        <v>384</v>
      </c>
      <c r="D333" s="554" t="s">
        <v>701</v>
      </c>
      <c r="E333" s="555" t="s">
        <v>503</v>
      </c>
      <c r="F333" s="292" t="s">
        <v>709</v>
      </c>
      <c r="G333" s="292"/>
      <c r="H333" s="293"/>
      <c r="I333" s="216"/>
    </row>
    <row r="334" spans="1:9" ht="33" customHeight="1" x14ac:dyDescent="0.45">
      <c r="C334" s="190"/>
    </row>
    <row r="335" spans="1:9" x14ac:dyDescent="0.45">
      <c r="C335" s="190"/>
    </row>
    <row r="336" spans="1:9" x14ac:dyDescent="0.45">
      <c r="C336" s="190"/>
    </row>
    <row r="337" spans="1:9" x14ac:dyDescent="0.45">
      <c r="C337" s="190"/>
    </row>
    <row r="338" spans="1:9" ht="29.25" x14ac:dyDescent="0.45">
      <c r="A338" s="662" t="s">
        <v>659</v>
      </c>
      <c r="B338" s="320"/>
      <c r="C338" s="254"/>
      <c r="D338" s="254"/>
      <c r="E338" s="598"/>
      <c r="I338" s="600">
        <f>I303+1</f>
        <v>46154</v>
      </c>
    </row>
    <row r="340" spans="1:9" ht="90" x14ac:dyDescent="0.45">
      <c r="A340" s="322" t="s">
        <v>324</v>
      </c>
      <c r="B340" s="325" t="s">
        <v>0</v>
      </c>
      <c r="C340" s="332" t="s">
        <v>25</v>
      </c>
      <c r="D340" s="291" t="s">
        <v>26</v>
      </c>
      <c r="E340" s="291" t="s">
        <v>662</v>
      </c>
      <c r="F340" s="291" t="s">
        <v>708</v>
      </c>
      <c r="G340" s="291" t="s">
        <v>1</v>
      </c>
      <c r="H340" s="291" t="s">
        <v>328</v>
      </c>
      <c r="I340" s="291"/>
    </row>
    <row r="341" spans="1:9" ht="34.15" x14ac:dyDescent="0.45">
      <c r="A341" s="342" t="s">
        <v>501</v>
      </c>
      <c r="B341" s="330">
        <v>0.2326388888888889</v>
      </c>
      <c r="C341" s="343" t="s">
        <v>378</v>
      </c>
      <c r="D341" s="554" t="s">
        <v>700</v>
      </c>
      <c r="E341" s="555" t="s">
        <v>503</v>
      </c>
      <c r="F341" s="291"/>
      <c r="G341" s="291"/>
      <c r="H341" s="291"/>
      <c r="I341" s="341"/>
    </row>
    <row r="342" spans="1:9" ht="34.15" x14ac:dyDescent="0.45">
      <c r="A342" s="342" t="s">
        <v>376</v>
      </c>
      <c r="B342" s="330">
        <v>0.23958333333333334</v>
      </c>
      <c r="C342" s="343" t="s">
        <v>414</v>
      </c>
      <c r="D342" s="554" t="s">
        <v>702</v>
      </c>
      <c r="E342" s="555" t="s">
        <v>503</v>
      </c>
      <c r="F342" s="291"/>
      <c r="G342" s="291"/>
      <c r="H342" s="291"/>
      <c r="I342" s="341"/>
    </row>
    <row r="343" spans="1:9" ht="33.4" customHeight="1" x14ac:dyDescent="0.45">
      <c r="A343" s="342" t="s">
        <v>501</v>
      </c>
      <c r="B343" s="330">
        <v>0.25</v>
      </c>
      <c r="C343" s="343" t="s">
        <v>384</v>
      </c>
      <c r="D343" s="554" t="s">
        <v>701</v>
      </c>
      <c r="E343" s="555" t="s">
        <v>503</v>
      </c>
      <c r="F343" s="291"/>
      <c r="G343" s="291"/>
      <c r="H343" s="291"/>
      <c r="I343" s="341"/>
    </row>
    <row r="344" spans="1:9" ht="33.4" customHeight="1" x14ac:dyDescent="0.45">
      <c r="A344" s="342" t="s">
        <v>501</v>
      </c>
      <c r="B344" s="330">
        <v>0.27083333333333331</v>
      </c>
      <c r="C344" s="343" t="s">
        <v>378</v>
      </c>
      <c r="D344" s="554" t="s">
        <v>700</v>
      </c>
      <c r="E344" s="555" t="s">
        <v>503</v>
      </c>
      <c r="F344" s="291"/>
      <c r="G344" s="291"/>
      <c r="H344" s="291"/>
      <c r="I344" s="323" t="s">
        <v>347</v>
      </c>
    </row>
    <row r="345" spans="1:9" ht="33.4" customHeight="1" x14ac:dyDescent="0.45">
      <c r="A345" s="342" t="s">
        <v>376</v>
      </c>
      <c r="B345" s="330">
        <v>0.27083333333333331</v>
      </c>
      <c r="C345" s="343" t="s">
        <v>384</v>
      </c>
      <c r="D345" s="554" t="s">
        <v>701</v>
      </c>
      <c r="E345" s="555" t="s">
        <v>504</v>
      </c>
      <c r="F345" s="292" t="s">
        <v>709</v>
      </c>
      <c r="G345" s="292"/>
      <c r="H345" s="293"/>
      <c r="I345" s="216"/>
    </row>
    <row r="346" spans="1:9" ht="33.4" customHeight="1" x14ac:dyDescent="0.45">
      <c r="A346" s="342" t="s">
        <v>376</v>
      </c>
      <c r="B346" s="330">
        <v>0.27083333333333331</v>
      </c>
      <c r="C346" s="343" t="s">
        <v>414</v>
      </c>
      <c r="D346" s="554" t="s">
        <v>702</v>
      </c>
      <c r="E346" s="555" t="s">
        <v>688</v>
      </c>
      <c r="F346" s="292" t="s">
        <v>709</v>
      </c>
      <c r="G346" s="292"/>
      <c r="H346" s="293"/>
      <c r="I346" s="216"/>
    </row>
    <row r="347" spans="1:9" ht="33.4" customHeight="1" x14ac:dyDescent="0.45">
      <c r="A347" s="342" t="s">
        <v>501</v>
      </c>
      <c r="B347" s="330">
        <v>0.28819444444444442</v>
      </c>
      <c r="C347" s="343" t="s">
        <v>378</v>
      </c>
      <c r="D347" s="554" t="s">
        <v>700</v>
      </c>
      <c r="E347" s="555" t="s">
        <v>504</v>
      </c>
      <c r="F347" s="321" t="s">
        <v>709</v>
      </c>
      <c r="G347" s="292"/>
      <c r="H347" s="293"/>
      <c r="I347" s="323"/>
    </row>
    <row r="348" spans="1:9" ht="33.4" customHeight="1" x14ac:dyDescent="0.45">
      <c r="A348" s="342" t="s">
        <v>533</v>
      </c>
      <c r="B348" s="330">
        <v>0.28472222222222221</v>
      </c>
      <c r="C348" s="343" t="s">
        <v>414</v>
      </c>
      <c r="D348" s="554" t="s">
        <v>702</v>
      </c>
      <c r="E348" s="555" t="s">
        <v>504</v>
      </c>
      <c r="F348" s="292" t="s">
        <v>709</v>
      </c>
      <c r="G348" s="292"/>
      <c r="H348" s="293"/>
      <c r="I348" s="323" t="s">
        <v>348</v>
      </c>
    </row>
    <row r="349" spans="1:9" ht="33.4" customHeight="1" x14ac:dyDescent="0.45">
      <c r="A349" s="342" t="s">
        <v>376</v>
      </c>
      <c r="B349" s="330">
        <v>0.2951388888888889</v>
      </c>
      <c r="C349" s="343" t="s">
        <v>384</v>
      </c>
      <c r="D349" s="554" t="s">
        <v>701</v>
      </c>
      <c r="E349" s="555" t="s">
        <v>688</v>
      </c>
      <c r="F349" s="292" t="s">
        <v>709</v>
      </c>
      <c r="G349" s="292"/>
      <c r="H349" s="293"/>
      <c r="I349" s="216"/>
    </row>
    <row r="350" spans="1:9" ht="33.4" customHeight="1" x14ac:dyDescent="0.45">
      <c r="A350" s="342" t="s">
        <v>376</v>
      </c>
      <c r="B350" s="330">
        <v>0.3125</v>
      </c>
      <c r="C350" s="343" t="s">
        <v>414</v>
      </c>
      <c r="D350" s="554" t="s">
        <v>702</v>
      </c>
      <c r="E350" s="555" t="s">
        <v>504</v>
      </c>
      <c r="F350" s="292" t="s">
        <v>709</v>
      </c>
      <c r="G350" s="292"/>
      <c r="H350" s="293"/>
      <c r="I350" s="323" t="s">
        <v>350</v>
      </c>
    </row>
    <row r="351" spans="1:9" ht="33.4" customHeight="1" x14ac:dyDescent="0.45">
      <c r="A351" s="342" t="s">
        <v>501</v>
      </c>
      <c r="B351" s="330">
        <v>0.3263888888888889</v>
      </c>
      <c r="C351" s="343" t="s">
        <v>414</v>
      </c>
      <c r="D351" s="554" t="s">
        <v>702</v>
      </c>
      <c r="E351" s="555" t="s">
        <v>504</v>
      </c>
      <c r="F351" s="292"/>
      <c r="G351" s="292"/>
      <c r="H351" s="293"/>
      <c r="I351" s="323"/>
    </row>
    <row r="352" spans="1:9" ht="33.4" customHeight="1" x14ac:dyDescent="0.45">
      <c r="A352" s="342" t="s">
        <v>376</v>
      </c>
      <c r="B352" s="330">
        <v>0.3263888888888889</v>
      </c>
      <c r="C352" s="343" t="s">
        <v>378</v>
      </c>
      <c r="D352" s="554" t="s">
        <v>700</v>
      </c>
      <c r="E352" s="555" t="s">
        <v>504</v>
      </c>
      <c r="F352" s="292" t="s">
        <v>709</v>
      </c>
      <c r="G352" s="292"/>
      <c r="H352" s="293"/>
      <c r="I352" s="323"/>
    </row>
    <row r="353" spans="1:9" ht="33.4" customHeight="1" x14ac:dyDescent="0.45">
      <c r="A353" s="342" t="s">
        <v>376</v>
      </c>
      <c r="B353" s="330">
        <v>0.58333333333333337</v>
      </c>
      <c r="C353" s="343" t="s">
        <v>378</v>
      </c>
      <c r="D353" s="554" t="s">
        <v>700</v>
      </c>
      <c r="E353" s="555" t="s">
        <v>503</v>
      </c>
      <c r="F353" s="292" t="s">
        <v>709</v>
      </c>
      <c r="G353" s="292"/>
      <c r="H353" s="293"/>
      <c r="I353" s="323" t="s">
        <v>349</v>
      </c>
    </row>
    <row r="354" spans="1:9" ht="33.4" customHeight="1" x14ac:dyDescent="0.45">
      <c r="A354" s="342" t="s">
        <v>501</v>
      </c>
      <c r="B354" s="330">
        <v>0.58333333333333337</v>
      </c>
      <c r="C354" s="343" t="s">
        <v>384</v>
      </c>
      <c r="D354" s="554" t="s">
        <v>701</v>
      </c>
      <c r="E354" s="555" t="s">
        <v>504</v>
      </c>
      <c r="F354" s="292" t="s">
        <v>709</v>
      </c>
      <c r="G354" s="292"/>
      <c r="H354" s="293"/>
      <c r="I354" s="323"/>
    </row>
    <row r="355" spans="1:9" ht="33.4" customHeight="1" x14ac:dyDescent="0.45">
      <c r="A355" s="342" t="s">
        <v>376</v>
      </c>
      <c r="B355" s="330">
        <v>0.61458333333333337</v>
      </c>
      <c r="C355" s="343" t="s">
        <v>378</v>
      </c>
      <c r="D355" s="554" t="s">
        <v>700</v>
      </c>
      <c r="E355" s="555" t="s">
        <v>503</v>
      </c>
      <c r="F355" s="292" t="s">
        <v>709</v>
      </c>
      <c r="G355" s="292"/>
      <c r="H355" s="293"/>
      <c r="I355" s="323"/>
    </row>
    <row r="356" spans="1:9" ht="33.4" customHeight="1" x14ac:dyDescent="0.45">
      <c r="A356" s="342" t="s">
        <v>376</v>
      </c>
      <c r="B356" s="330">
        <v>0.61805555555555558</v>
      </c>
      <c r="C356" s="343" t="s">
        <v>384</v>
      </c>
      <c r="D356" s="554" t="s">
        <v>701</v>
      </c>
      <c r="E356" s="555" t="s">
        <v>503</v>
      </c>
      <c r="F356" s="292" t="s">
        <v>709</v>
      </c>
      <c r="G356" s="292"/>
      <c r="H356" s="293"/>
      <c r="I356" s="323"/>
    </row>
    <row r="357" spans="1:9" ht="33.4" customHeight="1" x14ac:dyDescent="0.45">
      <c r="A357" s="342" t="s">
        <v>501</v>
      </c>
      <c r="B357" s="330">
        <v>0.625</v>
      </c>
      <c r="C357" s="343" t="s">
        <v>414</v>
      </c>
      <c r="D357" s="554" t="s">
        <v>702</v>
      </c>
      <c r="E357" s="555" t="s">
        <v>504</v>
      </c>
      <c r="F357" s="292" t="s">
        <v>709</v>
      </c>
      <c r="G357" s="292"/>
      <c r="H357" s="293"/>
      <c r="I357" s="216"/>
    </row>
    <row r="358" spans="1:9" ht="33.4" customHeight="1" x14ac:dyDescent="0.45">
      <c r="A358" s="342" t="s">
        <v>376</v>
      </c>
      <c r="B358" s="330">
        <v>0.63888888888888884</v>
      </c>
      <c r="C358" s="343" t="s">
        <v>378</v>
      </c>
      <c r="D358" s="554" t="s">
        <v>700</v>
      </c>
      <c r="E358" s="555" t="s">
        <v>503</v>
      </c>
      <c r="F358" s="292" t="s">
        <v>709</v>
      </c>
      <c r="G358" s="292"/>
      <c r="H358" s="293"/>
      <c r="I358" s="216"/>
    </row>
    <row r="359" spans="1:9" ht="33.4" customHeight="1" x14ac:dyDescent="0.45">
      <c r="A359" s="342" t="s">
        <v>376</v>
      </c>
      <c r="B359" s="330">
        <v>0.65972222222222221</v>
      </c>
      <c r="C359" s="343" t="s">
        <v>414</v>
      </c>
      <c r="D359" s="554" t="s">
        <v>702</v>
      </c>
      <c r="E359" s="555" t="s">
        <v>503</v>
      </c>
      <c r="F359" s="292" t="s">
        <v>709</v>
      </c>
      <c r="G359" s="292"/>
      <c r="H359" s="293"/>
      <c r="I359" s="216"/>
    </row>
    <row r="360" spans="1:9" ht="33.4" customHeight="1" x14ac:dyDescent="0.45">
      <c r="A360" s="342" t="s">
        <v>376</v>
      </c>
      <c r="B360" s="330">
        <v>0.6875</v>
      </c>
      <c r="C360" s="343" t="s">
        <v>414</v>
      </c>
      <c r="D360" s="554" t="s">
        <v>702</v>
      </c>
      <c r="E360" s="555" t="s">
        <v>503</v>
      </c>
      <c r="F360" s="292" t="s">
        <v>709</v>
      </c>
      <c r="G360" s="292"/>
      <c r="H360" s="293"/>
      <c r="I360" s="216"/>
    </row>
    <row r="361" spans="1:9" ht="33.4" customHeight="1" x14ac:dyDescent="0.45">
      <c r="A361" s="342" t="s">
        <v>376</v>
      </c>
      <c r="B361" s="330">
        <v>0.71180555555555558</v>
      </c>
      <c r="C361" s="343" t="s">
        <v>414</v>
      </c>
      <c r="D361" s="554" t="s">
        <v>702</v>
      </c>
      <c r="E361" s="555" t="s">
        <v>503</v>
      </c>
      <c r="F361" s="292" t="s">
        <v>709</v>
      </c>
      <c r="G361" s="292"/>
      <c r="H361" s="293"/>
      <c r="I361" s="216"/>
    </row>
    <row r="362" spans="1:9" ht="33.4" customHeight="1" x14ac:dyDescent="0.45">
      <c r="A362" s="342" t="s">
        <v>376</v>
      </c>
      <c r="B362" s="330">
        <v>0.76041666666666663</v>
      </c>
      <c r="C362" s="343" t="s">
        <v>384</v>
      </c>
      <c r="D362" s="554" t="s">
        <v>701</v>
      </c>
      <c r="E362" s="555" t="s">
        <v>504</v>
      </c>
      <c r="F362" s="292" t="s">
        <v>709</v>
      </c>
      <c r="G362" s="292"/>
      <c r="H362" s="293"/>
      <c r="I362" s="216"/>
    </row>
    <row r="363" spans="1:9" ht="33.4" customHeight="1" x14ac:dyDescent="0.45">
      <c r="A363" s="342" t="s">
        <v>501</v>
      </c>
      <c r="B363" s="330">
        <v>0.76041666666666663</v>
      </c>
      <c r="C363" s="343" t="s">
        <v>378</v>
      </c>
      <c r="D363" s="554" t="s">
        <v>700</v>
      </c>
      <c r="E363" s="555" t="s">
        <v>504</v>
      </c>
      <c r="F363" s="292" t="s">
        <v>709</v>
      </c>
      <c r="G363" s="292"/>
      <c r="H363" s="293"/>
      <c r="I363" s="216"/>
    </row>
    <row r="364" spans="1:9" ht="33.4" customHeight="1" x14ac:dyDescent="0.45">
      <c r="A364" s="342" t="s">
        <v>376</v>
      </c>
      <c r="B364" s="330">
        <v>0.78125</v>
      </c>
      <c r="C364" s="343" t="s">
        <v>378</v>
      </c>
      <c r="D364" s="554" t="s">
        <v>700</v>
      </c>
      <c r="E364" s="555" t="s">
        <v>503</v>
      </c>
      <c r="F364" s="292" t="s">
        <v>709</v>
      </c>
      <c r="G364" s="292"/>
      <c r="H364" s="293"/>
      <c r="I364" s="216"/>
    </row>
    <row r="365" spans="1:9" ht="33.4" customHeight="1" x14ac:dyDescent="0.45">
      <c r="A365" s="342" t="s">
        <v>501</v>
      </c>
      <c r="B365" s="330">
        <v>0.78125</v>
      </c>
      <c r="C365" s="343" t="s">
        <v>384</v>
      </c>
      <c r="D365" s="554" t="s">
        <v>701</v>
      </c>
      <c r="E365" s="555" t="s">
        <v>504</v>
      </c>
      <c r="F365" s="292" t="s">
        <v>709</v>
      </c>
      <c r="G365" s="292"/>
      <c r="H365" s="293"/>
      <c r="I365" s="216"/>
    </row>
    <row r="366" spans="1:9" ht="33.4" customHeight="1" x14ac:dyDescent="0.45">
      <c r="A366" s="342" t="s">
        <v>376</v>
      </c>
      <c r="B366" s="330">
        <v>0.80208333333333337</v>
      </c>
      <c r="C366" s="343" t="s">
        <v>384</v>
      </c>
      <c r="D366" s="554" t="s">
        <v>701</v>
      </c>
      <c r="E366" s="555" t="s">
        <v>503</v>
      </c>
      <c r="F366" s="292" t="s">
        <v>709</v>
      </c>
      <c r="G366" s="292"/>
      <c r="H366" s="293"/>
      <c r="I366" s="216"/>
    </row>
    <row r="367" spans="1:9" ht="33.4" customHeight="1" x14ac:dyDescent="0.45">
      <c r="A367" s="342" t="s">
        <v>663</v>
      </c>
      <c r="B367" s="330">
        <v>0.80902777777777779</v>
      </c>
      <c r="C367" s="343" t="s">
        <v>378</v>
      </c>
      <c r="D367" s="554" t="s">
        <v>700</v>
      </c>
      <c r="E367" s="555" t="s">
        <v>688</v>
      </c>
      <c r="F367" s="292" t="s">
        <v>709</v>
      </c>
      <c r="G367" s="292"/>
      <c r="H367" s="293"/>
      <c r="I367" s="216"/>
    </row>
    <row r="368" spans="1:9" ht="33.4" customHeight="1" x14ac:dyDescent="0.45">
      <c r="A368" s="342" t="s">
        <v>376</v>
      </c>
      <c r="B368" s="330">
        <v>0.82291666666666663</v>
      </c>
      <c r="C368" s="343" t="s">
        <v>384</v>
      </c>
      <c r="D368" s="554" t="s">
        <v>701</v>
      </c>
      <c r="E368" s="555" t="s">
        <v>503</v>
      </c>
      <c r="F368" s="292" t="s">
        <v>709</v>
      </c>
      <c r="G368" s="292"/>
      <c r="H368" s="293"/>
      <c r="I368" s="216"/>
    </row>
    <row r="369" spans="1:9" ht="33.4" customHeight="1" x14ac:dyDescent="0.45">
      <c r="C369" s="190"/>
    </row>
    <row r="370" spans="1:9" ht="33.4" customHeight="1" x14ac:dyDescent="0.45"/>
    <row r="371" spans="1:9" ht="29.25" x14ac:dyDescent="0.45">
      <c r="A371" s="662" t="s">
        <v>659</v>
      </c>
      <c r="B371" s="320"/>
      <c r="C371" s="254"/>
      <c r="D371" s="254"/>
      <c r="E371" s="598"/>
      <c r="I371" s="600">
        <f>I338+1</f>
        <v>46155</v>
      </c>
    </row>
    <row r="373" spans="1:9" ht="90" x14ac:dyDescent="0.45">
      <c r="A373" s="322" t="s">
        <v>324</v>
      </c>
      <c r="B373" s="325" t="s">
        <v>0</v>
      </c>
      <c r="C373" s="332" t="s">
        <v>25</v>
      </c>
      <c r="D373" s="291" t="s">
        <v>26</v>
      </c>
      <c r="E373" s="291" t="s">
        <v>662</v>
      </c>
      <c r="F373" s="291" t="s">
        <v>708</v>
      </c>
      <c r="G373" s="291" t="s">
        <v>1</v>
      </c>
      <c r="H373" s="291" t="s">
        <v>328</v>
      </c>
      <c r="I373" s="291"/>
    </row>
    <row r="374" spans="1:9" ht="34.15" x14ac:dyDescent="0.45">
      <c r="A374" s="342" t="s">
        <v>501</v>
      </c>
      <c r="B374" s="330">
        <v>0.2326388888888889</v>
      </c>
      <c r="C374" s="343" t="s">
        <v>378</v>
      </c>
      <c r="D374" s="554" t="s">
        <v>700</v>
      </c>
      <c r="E374" s="555" t="s">
        <v>503</v>
      </c>
      <c r="F374" s="291"/>
      <c r="G374" s="291"/>
      <c r="H374" s="291"/>
      <c r="I374" s="341"/>
    </row>
    <row r="375" spans="1:9" ht="34.15" x14ac:dyDescent="0.45">
      <c r="A375" s="342" t="s">
        <v>376</v>
      </c>
      <c r="B375" s="330">
        <v>0.23958333333333334</v>
      </c>
      <c r="C375" s="343" t="s">
        <v>414</v>
      </c>
      <c r="D375" s="554" t="s">
        <v>702</v>
      </c>
      <c r="E375" s="555" t="s">
        <v>503</v>
      </c>
      <c r="F375" s="291"/>
      <c r="G375" s="291"/>
      <c r="H375" s="291"/>
      <c r="I375" s="341"/>
    </row>
    <row r="376" spans="1:9" ht="33" customHeight="1" x14ac:dyDescent="0.45">
      <c r="A376" s="342" t="s">
        <v>501</v>
      </c>
      <c r="B376" s="330">
        <v>0.25</v>
      </c>
      <c r="C376" s="343" t="s">
        <v>384</v>
      </c>
      <c r="D376" s="554" t="s">
        <v>701</v>
      </c>
      <c r="E376" s="555" t="s">
        <v>503</v>
      </c>
      <c r="F376" s="291"/>
      <c r="G376" s="291"/>
      <c r="H376" s="291"/>
      <c r="I376" s="341"/>
    </row>
    <row r="377" spans="1:9" ht="33" customHeight="1" x14ac:dyDescent="0.45">
      <c r="A377" s="342" t="s">
        <v>501</v>
      </c>
      <c r="B377" s="330">
        <v>0.27083333333333331</v>
      </c>
      <c r="C377" s="343" t="s">
        <v>378</v>
      </c>
      <c r="D377" s="554" t="s">
        <v>700</v>
      </c>
      <c r="E377" s="555" t="s">
        <v>503</v>
      </c>
      <c r="F377" s="291"/>
      <c r="G377" s="291"/>
      <c r="H377" s="291"/>
      <c r="I377" s="323" t="s">
        <v>347</v>
      </c>
    </row>
    <row r="378" spans="1:9" ht="33" customHeight="1" x14ac:dyDescent="0.45">
      <c r="A378" s="342" t="s">
        <v>376</v>
      </c>
      <c r="B378" s="330">
        <v>0.27083333333333331</v>
      </c>
      <c r="C378" s="343" t="s">
        <v>384</v>
      </c>
      <c r="D378" s="554" t="s">
        <v>701</v>
      </c>
      <c r="E378" s="555" t="s">
        <v>504</v>
      </c>
      <c r="F378" s="292" t="s">
        <v>709</v>
      </c>
      <c r="G378" s="292"/>
      <c r="H378" s="293"/>
      <c r="I378" s="216"/>
    </row>
    <row r="379" spans="1:9" ht="33" customHeight="1" x14ac:dyDescent="0.45">
      <c r="A379" s="342" t="s">
        <v>376</v>
      </c>
      <c r="B379" s="330">
        <v>0.27083333333333331</v>
      </c>
      <c r="C379" s="343" t="s">
        <v>414</v>
      </c>
      <c r="D379" s="554" t="s">
        <v>702</v>
      </c>
      <c r="E379" s="555" t="s">
        <v>688</v>
      </c>
      <c r="F379" s="292" t="s">
        <v>709</v>
      </c>
      <c r="G379" s="292"/>
      <c r="H379" s="293"/>
      <c r="I379" s="216"/>
    </row>
    <row r="380" spans="1:9" ht="33" customHeight="1" x14ac:dyDescent="0.45">
      <c r="A380" s="342" t="s">
        <v>501</v>
      </c>
      <c r="B380" s="330">
        <v>0.28819444444444442</v>
      </c>
      <c r="C380" s="343" t="s">
        <v>378</v>
      </c>
      <c r="D380" s="554" t="s">
        <v>700</v>
      </c>
      <c r="E380" s="555" t="s">
        <v>504</v>
      </c>
      <c r="F380" s="321" t="s">
        <v>709</v>
      </c>
      <c r="G380" s="292"/>
      <c r="H380" s="293"/>
      <c r="I380" s="323"/>
    </row>
    <row r="381" spans="1:9" ht="33" customHeight="1" x14ac:dyDescent="0.45">
      <c r="A381" s="342" t="s">
        <v>533</v>
      </c>
      <c r="B381" s="330">
        <v>0.28472222222222221</v>
      </c>
      <c r="C381" s="343" t="s">
        <v>414</v>
      </c>
      <c r="D381" s="554" t="s">
        <v>702</v>
      </c>
      <c r="E381" s="555" t="s">
        <v>504</v>
      </c>
      <c r="F381" s="292" t="s">
        <v>709</v>
      </c>
      <c r="G381" s="292"/>
      <c r="H381" s="293"/>
      <c r="I381" s="323" t="s">
        <v>348</v>
      </c>
    </row>
    <row r="382" spans="1:9" ht="33" customHeight="1" x14ac:dyDescent="0.45">
      <c r="A382" s="342" t="s">
        <v>376</v>
      </c>
      <c r="B382" s="330">
        <v>0.2951388888888889</v>
      </c>
      <c r="C382" s="343" t="s">
        <v>384</v>
      </c>
      <c r="D382" s="554" t="s">
        <v>701</v>
      </c>
      <c r="E382" s="555" t="s">
        <v>688</v>
      </c>
      <c r="F382" s="292" t="s">
        <v>709</v>
      </c>
      <c r="G382" s="292"/>
      <c r="H382" s="293"/>
      <c r="I382" s="216"/>
    </row>
    <row r="383" spans="1:9" ht="33" customHeight="1" x14ac:dyDescent="0.45">
      <c r="A383" s="342" t="s">
        <v>376</v>
      </c>
      <c r="B383" s="330">
        <v>0.3125</v>
      </c>
      <c r="C383" s="343" t="s">
        <v>414</v>
      </c>
      <c r="D383" s="554" t="s">
        <v>702</v>
      </c>
      <c r="E383" s="555" t="s">
        <v>504</v>
      </c>
      <c r="F383" s="292" t="s">
        <v>709</v>
      </c>
      <c r="G383" s="292"/>
      <c r="H383" s="293"/>
      <c r="I383" s="323" t="s">
        <v>350</v>
      </c>
    </row>
    <row r="384" spans="1:9" ht="33" customHeight="1" x14ac:dyDescent="0.45">
      <c r="A384" s="342" t="s">
        <v>501</v>
      </c>
      <c r="B384" s="330">
        <v>0.3263888888888889</v>
      </c>
      <c r="C384" s="343" t="s">
        <v>414</v>
      </c>
      <c r="D384" s="554" t="s">
        <v>702</v>
      </c>
      <c r="E384" s="555" t="s">
        <v>504</v>
      </c>
      <c r="F384" s="292"/>
      <c r="G384" s="292"/>
      <c r="H384" s="293"/>
      <c r="I384" s="323"/>
    </row>
    <row r="385" spans="1:9" ht="33" customHeight="1" x14ac:dyDescent="0.45">
      <c r="A385" s="342" t="s">
        <v>376</v>
      </c>
      <c r="B385" s="330">
        <v>0.3263888888888889</v>
      </c>
      <c r="C385" s="343" t="s">
        <v>378</v>
      </c>
      <c r="D385" s="554" t="s">
        <v>700</v>
      </c>
      <c r="E385" s="555" t="s">
        <v>504</v>
      </c>
      <c r="F385" s="292" t="s">
        <v>709</v>
      </c>
      <c r="G385" s="292"/>
      <c r="H385" s="293"/>
      <c r="I385" s="323"/>
    </row>
    <row r="386" spans="1:9" ht="33" customHeight="1" x14ac:dyDescent="0.45">
      <c r="A386" s="342" t="s">
        <v>376</v>
      </c>
      <c r="B386" s="330">
        <v>0.58333333333333337</v>
      </c>
      <c r="C386" s="343" t="s">
        <v>378</v>
      </c>
      <c r="D386" s="554" t="s">
        <v>700</v>
      </c>
      <c r="E386" s="555" t="s">
        <v>503</v>
      </c>
      <c r="F386" s="292" t="s">
        <v>709</v>
      </c>
      <c r="G386" s="292"/>
      <c r="H386" s="293"/>
      <c r="I386" s="323" t="s">
        <v>349</v>
      </c>
    </row>
    <row r="387" spans="1:9" ht="33" customHeight="1" x14ac:dyDescent="0.45">
      <c r="A387" s="342" t="s">
        <v>501</v>
      </c>
      <c r="B387" s="330">
        <v>0.58333333333333337</v>
      </c>
      <c r="C387" s="343" t="s">
        <v>384</v>
      </c>
      <c r="D387" s="554" t="s">
        <v>701</v>
      </c>
      <c r="E387" s="555" t="s">
        <v>504</v>
      </c>
      <c r="F387" s="292" t="s">
        <v>709</v>
      </c>
      <c r="G387" s="292"/>
      <c r="H387" s="293"/>
      <c r="I387" s="323"/>
    </row>
    <row r="388" spans="1:9" ht="33" customHeight="1" x14ac:dyDescent="0.45">
      <c r="A388" s="342" t="s">
        <v>376</v>
      </c>
      <c r="B388" s="330">
        <v>0.61458333333333337</v>
      </c>
      <c r="C388" s="343" t="s">
        <v>378</v>
      </c>
      <c r="D388" s="554" t="s">
        <v>700</v>
      </c>
      <c r="E388" s="555" t="s">
        <v>503</v>
      </c>
      <c r="F388" s="292" t="s">
        <v>709</v>
      </c>
      <c r="G388" s="292"/>
      <c r="H388" s="293"/>
      <c r="I388" s="323"/>
    </row>
    <row r="389" spans="1:9" ht="33" customHeight="1" x14ac:dyDescent="0.45">
      <c r="A389" s="342" t="s">
        <v>376</v>
      </c>
      <c r="B389" s="330">
        <v>0.61805555555555558</v>
      </c>
      <c r="C389" s="343" t="s">
        <v>384</v>
      </c>
      <c r="D389" s="554" t="s">
        <v>701</v>
      </c>
      <c r="E389" s="555" t="s">
        <v>503</v>
      </c>
      <c r="F389" s="292" t="s">
        <v>709</v>
      </c>
      <c r="G389" s="292"/>
      <c r="H389" s="293"/>
      <c r="I389" s="323"/>
    </row>
    <row r="390" spans="1:9" ht="33" customHeight="1" x14ac:dyDescent="0.45">
      <c r="A390" s="342" t="s">
        <v>501</v>
      </c>
      <c r="B390" s="330">
        <v>0.625</v>
      </c>
      <c r="C390" s="343" t="s">
        <v>414</v>
      </c>
      <c r="D390" s="554" t="s">
        <v>702</v>
      </c>
      <c r="E390" s="555" t="s">
        <v>504</v>
      </c>
      <c r="F390" s="292" t="s">
        <v>709</v>
      </c>
      <c r="G390" s="292"/>
      <c r="H390" s="293"/>
      <c r="I390" s="216"/>
    </row>
    <row r="391" spans="1:9" ht="33" customHeight="1" x14ac:dyDescent="0.45">
      <c r="A391" s="342" t="s">
        <v>376</v>
      </c>
      <c r="B391" s="330">
        <v>0.63888888888888884</v>
      </c>
      <c r="C391" s="343" t="s">
        <v>378</v>
      </c>
      <c r="D391" s="554" t="s">
        <v>700</v>
      </c>
      <c r="E391" s="555" t="s">
        <v>503</v>
      </c>
      <c r="F391" s="292" t="s">
        <v>709</v>
      </c>
      <c r="G391" s="292"/>
      <c r="H391" s="293"/>
      <c r="I391" s="216"/>
    </row>
    <row r="392" spans="1:9" ht="33" customHeight="1" x14ac:dyDescent="0.45">
      <c r="A392" s="342" t="s">
        <v>376</v>
      </c>
      <c r="B392" s="330">
        <v>0.65972222222222221</v>
      </c>
      <c r="C392" s="343" t="s">
        <v>414</v>
      </c>
      <c r="D392" s="554" t="s">
        <v>702</v>
      </c>
      <c r="E392" s="555" t="s">
        <v>503</v>
      </c>
      <c r="F392" s="292" t="s">
        <v>709</v>
      </c>
      <c r="G392" s="292"/>
      <c r="H392" s="293"/>
      <c r="I392" s="216"/>
    </row>
    <row r="393" spans="1:9" ht="33" customHeight="1" x14ac:dyDescent="0.45">
      <c r="A393" s="342" t="s">
        <v>376</v>
      </c>
      <c r="B393" s="330">
        <v>0.6875</v>
      </c>
      <c r="C393" s="343" t="s">
        <v>414</v>
      </c>
      <c r="D393" s="554" t="s">
        <v>702</v>
      </c>
      <c r="E393" s="555" t="s">
        <v>503</v>
      </c>
      <c r="F393" s="292" t="s">
        <v>709</v>
      </c>
      <c r="G393" s="292"/>
      <c r="H393" s="293"/>
      <c r="I393" s="216"/>
    </row>
    <row r="394" spans="1:9" ht="33" customHeight="1" x14ac:dyDescent="0.45">
      <c r="A394" s="342" t="s">
        <v>376</v>
      </c>
      <c r="B394" s="330">
        <v>0.71180555555555558</v>
      </c>
      <c r="C394" s="343" t="s">
        <v>414</v>
      </c>
      <c r="D394" s="554" t="s">
        <v>702</v>
      </c>
      <c r="E394" s="555" t="s">
        <v>503</v>
      </c>
      <c r="F394" s="292" t="s">
        <v>709</v>
      </c>
      <c r="G394" s="292"/>
      <c r="H394" s="293"/>
      <c r="I394" s="216"/>
    </row>
    <row r="395" spans="1:9" ht="33" customHeight="1" x14ac:dyDescent="0.45">
      <c r="A395" s="342" t="s">
        <v>376</v>
      </c>
      <c r="B395" s="330">
        <v>0.76041666666666663</v>
      </c>
      <c r="C395" s="343" t="s">
        <v>384</v>
      </c>
      <c r="D395" s="554" t="s">
        <v>701</v>
      </c>
      <c r="E395" s="555" t="s">
        <v>504</v>
      </c>
      <c r="F395" s="292" t="s">
        <v>709</v>
      </c>
      <c r="G395" s="292"/>
      <c r="H395" s="293"/>
      <c r="I395" s="216"/>
    </row>
    <row r="396" spans="1:9" ht="33" customHeight="1" x14ac:dyDescent="0.45">
      <c r="A396" s="342" t="s">
        <v>501</v>
      </c>
      <c r="B396" s="330">
        <v>0.76041666666666663</v>
      </c>
      <c r="C396" s="343" t="s">
        <v>378</v>
      </c>
      <c r="D396" s="554" t="s">
        <v>700</v>
      </c>
      <c r="E396" s="555" t="s">
        <v>504</v>
      </c>
      <c r="F396" s="292" t="s">
        <v>709</v>
      </c>
      <c r="G396" s="292"/>
      <c r="H396" s="293"/>
      <c r="I396" s="216"/>
    </row>
    <row r="397" spans="1:9" ht="33" customHeight="1" x14ac:dyDescent="0.45">
      <c r="A397" s="342" t="s">
        <v>376</v>
      </c>
      <c r="B397" s="330">
        <v>0.78125</v>
      </c>
      <c r="C397" s="343" t="s">
        <v>378</v>
      </c>
      <c r="D397" s="554" t="s">
        <v>700</v>
      </c>
      <c r="E397" s="555" t="s">
        <v>503</v>
      </c>
      <c r="F397" s="292" t="s">
        <v>709</v>
      </c>
      <c r="G397" s="292"/>
      <c r="H397" s="293"/>
      <c r="I397" s="216"/>
    </row>
    <row r="398" spans="1:9" ht="33" customHeight="1" x14ac:dyDescent="0.45">
      <c r="A398" s="342" t="s">
        <v>501</v>
      </c>
      <c r="B398" s="330">
        <v>0.78125</v>
      </c>
      <c r="C398" s="343" t="s">
        <v>384</v>
      </c>
      <c r="D398" s="554" t="s">
        <v>701</v>
      </c>
      <c r="E398" s="555" t="s">
        <v>504</v>
      </c>
      <c r="F398" s="292" t="s">
        <v>709</v>
      </c>
      <c r="G398" s="292"/>
      <c r="H398" s="293"/>
      <c r="I398" s="216"/>
    </row>
    <row r="399" spans="1:9" ht="33" customHeight="1" x14ac:dyDescent="0.45">
      <c r="A399" s="342" t="s">
        <v>376</v>
      </c>
      <c r="B399" s="330">
        <v>0.80208333333333337</v>
      </c>
      <c r="C399" s="343" t="s">
        <v>384</v>
      </c>
      <c r="D399" s="554" t="s">
        <v>701</v>
      </c>
      <c r="E399" s="555" t="s">
        <v>503</v>
      </c>
      <c r="F399" s="292" t="s">
        <v>709</v>
      </c>
      <c r="G399" s="292"/>
      <c r="H399" s="293"/>
      <c r="I399" s="216"/>
    </row>
    <row r="400" spans="1:9" ht="33" customHeight="1" x14ac:dyDescent="0.45">
      <c r="A400" s="342" t="s">
        <v>663</v>
      </c>
      <c r="B400" s="330">
        <v>0.80902777777777779</v>
      </c>
      <c r="C400" s="343" t="s">
        <v>378</v>
      </c>
      <c r="D400" s="554" t="s">
        <v>700</v>
      </c>
      <c r="E400" s="555" t="s">
        <v>688</v>
      </c>
      <c r="F400" s="292" t="s">
        <v>709</v>
      </c>
      <c r="G400" s="292"/>
      <c r="H400" s="293"/>
      <c r="I400" s="216"/>
    </row>
    <row r="401" spans="1:9" ht="33" customHeight="1" x14ac:dyDescent="0.45">
      <c r="A401" s="342" t="s">
        <v>376</v>
      </c>
      <c r="B401" s="330">
        <v>0.82291666666666663</v>
      </c>
      <c r="C401" s="343" t="s">
        <v>384</v>
      </c>
      <c r="D401" s="554" t="s">
        <v>701</v>
      </c>
      <c r="E401" s="555" t="s">
        <v>503</v>
      </c>
      <c r="F401" s="292" t="s">
        <v>709</v>
      </c>
      <c r="G401" s="292"/>
      <c r="H401" s="293"/>
      <c r="I401" s="216"/>
    </row>
    <row r="402" spans="1:9" x14ac:dyDescent="0.45">
      <c r="C402" s="190"/>
    </row>
    <row r="403" spans="1:9" x14ac:dyDescent="0.45">
      <c r="C403" s="190"/>
    </row>
    <row r="404" spans="1:9" x14ac:dyDescent="0.45">
      <c r="C404" s="190"/>
    </row>
    <row r="407" spans="1:9" ht="29.25" x14ac:dyDescent="0.45">
      <c r="A407" s="662" t="s">
        <v>659</v>
      </c>
      <c r="B407" s="320"/>
      <c r="C407" s="254"/>
      <c r="D407" s="254"/>
      <c r="E407" s="598"/>
      <c r="I407" s="607">
        <f>I371+1</f>
        <v>46156</v>
      </c>
    </row>
    <row r="408" spans="1:9" ht="33" customHeight="1" x14ac:dyDescent="0.45"/>
    <row r="409" spans="1:9" ht="33" customHeight="1" x14ac:dyDescent="0.45">
      <c r="A409" s="322" t="s">
        <v>324</v>
      </c>
      <c r="B409" s="325" t="s">
        <v>0</v>
      </c>
      <c r="C409" s="332" t="s">
        <v>25</v>
      </c>
      <c r="D409" s="291" t="s">
        <v>26</v>
      </c>
      <c r="E409" s="291" t="s">
        <v>661</v>
      </c>
      <c r="F409" s="291" t="s">
        <v>708</v>
      </c>
      <c r="G409" s="291" t="s">
        <v>1</v>
      </c>
      <c r="H409" s="291" t="s">
        <v>328</v>
      </c>
      <c r="I409" s="291"/>
    </row>
    <row r="410" spans="1:9" ht="33" customHeight="1" x14ac:dyDescent="0.45">
      <c r="A410" s="342" t="s">
        <v>376</v>
      </c>
      <c r="B410" s="330">
        <v>0.2951388888888889</v>
      </c>
      <c r="C410" s="343" t="s">
        <v>384</v>
      </c>
      <c r="D410" s="554" t="s">
        <v>701</v>
      </c>
      <c r="E410" s="555" t="s">
        <v>504</v>
      </c>
      <c r="F410" s="291"/>
      <c r="G410" s="291"/>
      <c r="H410" s="291"/>
      <c r="I410" s="323" t="s">
        <v>347</v>
      </c>
    </row>
    <row r="411" spans="1:9" ht="33" customHeight="1" x14ac:dyDescent="0.45">
      <c r="A411" s="342" t="s">
        <v>376</v>
      </c>
      <c r="B411" s="330">
        <v>0.3125</v>
      </c>
      <c r="C411" s="343" t="s">
        <v>414</v>
      </c>
      <c r="D411" s="554" t="s">
        <v>702</v>
      </c>
      <c r="E411" s="555" t="s">
        <v>504</v>
      </c>
      <c r="F411" s="291"/>
      <c r="G411" s="291"/>
      <c r="H411" s="291"/>
      <c r="I411" s="341"/>
    </row>
    <row r="412" spans="1:9" ht="33" customHeight="1" x14ac:dyDescent="0.45">
      <c r="A412" s="342" t="s">
        <v>376</v>
      </c>
      <c r="B412" s="330">
        <v>0.3263888888888889</v>
      </c>
      <c r="C412" s="343" t="s">
        <v>414</v>
      </c>
      <c r="D412" s="554" t="s">
        <v>702</v>
      </c>
      <c r="E412" s="555" t="s">
        <v>504</v>
      </c>
      <c r="F412" s="291"/>
      <c r="G412" s="291"/>
      <c r="H412" s="291"/>
      <c r="I412" s="323" t="s">
        <v>348</v>
      </c>
    </row>
    <row r="413" spans="1:9" ht="33" customHeight="1" x14ac:dyDescent="0.45">
      <c r="A413" s="342" t="s">
        <v>376</v>
      </c>
      <c r="B413" s="330">
        <v>0.58333333333333337</v>
      </c>
      <c r="C413" s="343" t="s">
        <v>378</v>
      </c>
      <c r="D413" s="554" t="s">
        <v>700</v>
      </c>
      <c r="E413" s="555" t="s">
        <v>503</v>
      </c>
      <c r="F413" s="292" t="s">
        <v>709</v>
      </c>
      <c r="G413" s="292"/>
      <c r="H413" s="293"/>
      <c r="I413" s="216"/>
    </row>
    <row r="414" spans="1:9" ht="33" customHeight="1" x14ac:dyDescent="0.45">
      <c r="A414" s="342" t="s">
        <v>501</v>
      </c>
      <c r="B414" s="330">
        <v>0.58333333333333337</v>
      </c>
      <c r="C414" s="343" t="s">
        <v>384</v>
      </c>
      <c r="D414" s="554" t="s">
        <v>701</v>
      </c>
      <c r="E414" s="555" t="s">
        <v>504</v>
      </c>
      <c r="F414" s="292" t="s">
        <v>709</v>
      </c>
      <c r="G414" s="292"/>
      <c r="H414" s="293"/>
      <c r="I414" s="216"/>
    </row>
    <row r="415" spans="1:9" ht="33" customHeight="1" x14ac:dyDescent="0.45">
      <c r="A415" s="342" t="s">
        <v>376</v>
      </c>
      <c r="B415" s="330">
        <v>0.61458333333333337</v>
      </c>
      <c r="C415" s="343" t="s">
        <v>378</v>
      </c>
      <c r="D415" s="554" t="s">
        <v>700</v>
      </c>
      <c r="E415" s="555" t="s">
        <v>503</v>
      </c>
      <c r="F415" s="321" t="s">
        <v>709</v>
      </c>
      <c r="G415" s="292"/>
      <c r="H415" s="293"/>
      <c r="I415" s="323" t="s">
        <v>350</v>
      </c>
    </row>
    <row r="416" spans="1:9" ht="33" customHeight="1" x14ac:dyDescent="0.45">
      <c r="A416" s="342" t="s">
        <v>501</v>
      </c>
      <c r="B416" s="330">
        <v>0.625</v>
      </c>
      <c r="C416" s="343" t="s">
        <v>384</v>
      </c>
      <c r="D416" s="554" t="s">
        <v>701</v>
      </c>
      <c r="E416" s="555" t="s">
        <v>504</v>
      </c>
      <c r="F416" s="292" t="s">
        <v>709</v>
      </c>
      <c r="G416" s="292"/>
      <c r="H416" s="293"/>
      <c r="I416" s="216"/>
    </row>
    <row r="417" spans="1:9" ht="33" customHeight="1" x14ac:dyDescent="0.45">
      <c r="A417" s="342" t="s">
        <v>376</v>
      </c>
      <c r="B417" s="330">
        <v>0.63888888888888884</v>
      </c>
      <c r="C417" s="343" t="s">
        <v>378</v>
      </c>
      <c r="D417" s="554" t="s">
        <v>700</v>
      </c>
      <c r="E417" s="555" t="s">
        <v>503</v>
      </c>
      <c r="F417" s="292" t="s">
        <v>709</v>
      </c>
      <c r="G417" s="292"/>
      <c r="H417" s="293"/>
      <c r="I417" s="323" t="s">
        <v>349</v>
      </c>
    </row>
    <row r="418" spans="1:9" ht="33" customHeight="1" x14ac:dyDescent="0.45">
      <c r="A418" s="342" t="s">
        <v>376</v>
      </c>
      <c r="B418" s="330">
        <v>0.65972222222222221</v>
      </c>
      <c r="C418" s="343" t="s">
        <v>414</v>
      </c>
      <c r="D418" s="554" t="s">
        <v>702</v>
      </c>
      <c r="E418" s="555" t="s">
        <v>503</v>
      </c>
      <c r="F418" s="292" t="s">
        <v>709</v>
      </c>
      <c r="G418" s="292"/>
      <c r="H418" s="293"/>
      <c r="I418" s="216"/>
    </row>
    <row r="419" spans="1:9" ht="33" customHeight="1" x14ac:dyDescent="0.45">
      <c r="A419" s="342" t="s">
        <v>376</v>
      </c>
      <c r="B419" s="330">
        <v>0.6875</v>
      </c>
      <c r="C419" s="343" t="s">
        <v>414</v>
      </c>
      <c r="D419" s="554" t="s">
        <v>702</v>
      </c>
      <c r="E419" s="555" t="s">
        <v>503</v>
      </c>
      <c r="F419" s="292"/>
      <c r="G419" s="292"/>
      <c r="H419" s="293"/>
      <c r="I419" s="323"/>
    </row>
    <row r="420" spans="1:9" ht="33" customHeight="1" x14ac:dyDescent="0.45">
      <c r="A420" s="342" t="s">
        <v>501</v>
      </c>
      <c r="B420" s="330">
        <v>0.76041666666666663</v>
      </c>
      <c r="C420" s="343" t="s">
        <v>384</v>
      </c>
      <c r="D420" s="554" t="s">
        <v>701</v>
      </c>
      <c r="E420" s="555" t="s">
        <v>504</v>
      </c>
      <c r="F420" s="292" t="s">
        <v>709</v>
      </c>
      <c r="G420" s="292"/>
      <c r="H420" s="293"/>
      <c r="I420" s="323"/>
    </row>
    <row r="421" spans="1:9" ht="33" customHeight="1" x14ac:dyDescent="0.45">
      <c r="A421" s="342" t="s">
        <v>376</v>
      </c>
      <c r="B421" s="330">
        <v>0.76041666666666663</v>
      </c>
      <c r="C421" s="343" t="s">
        <v>414</v>
      </c>
      <c r="D421" s="554" t="s">
        <v>702</v>
      </c>
      <c r="E421" s="555" t="s">
        <v>503</v>
      </c>
      <c r="F421" s="292" t="s">
        <v>709</v>
      </c>
      <c r="G421" s="292"/>
      <c r="H421" s="293"/>
      <c r="I421" s="216"/>
    </row>
    <row r="422" spans="1:9" ht="33" customHeight="1" x14ac:dyDescent="0.45">
      <c r="A422" s="342" t="s">
        <v>501</v>
      </c>
      <c r="B422" s="330">
        <v>0.78125</v>
      </c>
      <c r="C422" s="343" t="s">
        <v>414</v>
      </c>
      <c r="D422" s="554" t="s">
        <v>702</v>
      </c>
      <c r="E422" s="555" t="s">
        <v>504</v>
      </c>
      <c r="F422" s="292" t="s">
        <v>709</v>
      </c>
      <c r="G422" s="292"/>
      <c r="H422" s="293"/>
      <c r="I422" s="323"/>
    </row>
    <row r="423" spans="1:9" ht="33" customHeight="1" x14ac:dyDescent="0.45">
      <c r="A423" s="342" t="s">
        <v>376</v>
      </c>
      <c r="B423" s="330">
        <v>0.78125</v>
      </c>
      <c r="C423" s="343" t="s">
        <v>384</v>
      </c>
      <c r="D423" s="554" t="s">
        <v>701</v>
      </c>
      <c r="E423" s="555" t="s">
        <v>503</v>
      </c>
      <c r="F423" s="292" t="s">
        <v>709</v>
      </c>
      <c r="G423" s="292"/>
      <c r="H423" s="293"/>
      <c r="I423" s="323"/>
    </row>
    <row r="424" spans="1:9" ht="33" customHeight="1" x14ac:dyDescent="0.45">
      <c r="A424" s="342" t="s">
        <v>663</v>
      </c>
      <c r="B424" s="330">
        <v>0.80902777777777779</v>
      </c>
      <c r="C424" s="343" t="s">
        <v>414</v>
      </c>
      <c r="D424" s="554" t="s">
        <v>702</v>
      </c>
      <c r="E424" s="555" t="s">
        <v>504</v>
      </c>
      <c r="F424" s="292" t="s">
        <v>709</v>
      </c>
      <c r="G424" s="292"/>
      <c r="H424" s="293"/>
      <c r="I424" s="323"/>
    </row>
    <row r="425" spans="1:9" ht="33" customHeight="1" x14ac:dyDescent="0.45">
      <c r="A425" s="342" t="s">
        <v>376</v>
      </c>
      <c r="B425" s="330">
        <v>0.82291666666666663</v>
      </c>
      <c r="C425" s="343" t="s">
        <v>414</v>
      </c>
      <c r="D425" s="554" t="s">
        <v>702</v>
      </c>
      <c r="E425" s="555" t="s">
        <v>503</v>
      </c>
      <c r="F425" s="292" t="s">
        <v>709</v>
      </c>
      <c r="G425" s="292"/>
      <c r="H425" s="293"/>
      <c r="I425" s="216"/>
    </row>
    <row r="426" spans="1:9" ht="33" customHeight="1" x14ac:dyDescent="0.45">
      <c r="C426" s="190"/>
    </row>
    <row r="427" spans="1:9" ht="33" customHeight="1" x14ac:dyDescent="0.45">
      <c r="C427" s="190"/>
    </row>
    <row r="430" spans="1:9" ht="29.25" x14ac:dyDescent="0.45">
      <c r="A430" s="662" t="s">
        <v>659</v>
      </c>
      <c r="B430" s="320"/>
      <c r="C430" s="254"/>
      <c r="D430" s="254"/>
      <c r="E430" s="598"/>
      <c r="I430" s="600">
        <f>I407+1</f>
        <v>46157</v>
      </c>
    </row>
    <row r="432" spans="1:9" ht="90" x14ac:dyDescent="0.45">
      <c r="A432" s="322" t="s">
        <v>324</v>
      </c>
      <c r="B432" s="325" t="s">
        <v>0</v>
      </c>
      <c r="C432" s="332" t="s">
        <v>25</v>
      </c>
      <c r="D432" s="291" t="s">
        <v>26</v>
      </c>
      <c r="E432" s="291" t="s">
        <v>662</v>
      </c>
      <c r="F432" s="291" t="s">
        <v>708</v>
      </c>
      <c r="G432" s="291" t="s">
        <v>1</v>
      </c>
      <c r="H432" s="291" t="s">
        <v>328</v>
      </c>
      <c r="I432" s="291"/>
    </row>
    <row r="433" spans="1:9" ht="34.15" x14ac:dyDescent="0.45">
      <c r="A433" s="342" t="s">
        <v>501</v>
      </c>
      <c r="B433" s="330">
        <v>0.2326388888888889</v>
      </c>
      <c r="C433" s="343" t="s">
        <v>378</v>
      </c>
      <c r="D433" s="554" t="s">
        <v>700</v>
      </c>
      <c r="E433" s="555" t="s">
        <v>503</v>
      </c>
      <c r="F433" s="291"/>
      <c r="G433" s="291"/>
      <c r="H433" s="291"/>
      <c r="I433" s="341"/>
    </row>
    <row r="434" spans="1:9" ht="33" customHeight="1" x14ac:dyDescent="0.45">
      <c r="A434" s="342" t="s">
        <v>376</v>
      </c>
      <c r="B434" s="330">
        <v>0.23958333333333334</v>
      </c>
      <c r="C434" s="343" t="s">
        <v>414</v>
      </c>
      <c r="D434" s="554" t="s">
        <v>702</v>
      </c>
      <c r="E434" s="555" t="s">
        <v>503</v>
      </c>
      <c r="F434" s="291"/>
      <c r="G434" s="291"/>
      <c r="H434" s="291"/>
      <c r="I434" s="341"/>
    </row>
    <row r="435" spans="1:9" ht="33" customHeight="1" x14ac:dyDescent="0.45">
      <c r="A435" s="342" t="s">
        <v>501</v>
      </c>
      <c r="B435" s="330">
        <v>0.25</v>
      </c>
      <c r="C435" s="343" t="s">
        <v>384</v>
      </c>
      <c r="D435" s="554" t="s">
        <v>701</v>
      </c>
      <c r="E435" s="555" t="s">
        <v>503</v>
      </c>
      <c r="F435" s="291"/>
      <c r="G435" s="291"/>
      <c r="H435" s="291"/>
      <c r="I435" s="341"/>
    </row>
    <row r="436" spans="1:9" ht="33" customHeight="1" x14ac:dyDescent="0.45">
      <c r="A436" s="342" t="s">
        <v>501</v>
      </c>
      <c r="B436" s="330">
        <v>0.27083333333333331</v>
      </c>
      <c r="C436" s="343" t="s">
        <v>378</v>
      </c>
      <c r="D436" s="554" t="s">
        <v>700</v>
      </c>
      <c r="E436" s="555" t="s">
        <v>503</v>
      </c>
      <c r="F436" s="291"/>
      <c r="G436" s="291"/>
      <c r="H436" s="291"/>
      <c r="I436" s="323" t="s">
        <v>347</v>
      </c>
    </row>
    <row r="437" spans="1:9" ht="33" customHeight="1" x14ac:dyDescent="0.45">
      <c r="A437" s="342" t="s">
        <v>376</v>
      </c>
      <c r="B437" s="330">
        <v>0.27083333333333331</v>
      </c>
      <c r="C437" s="343" t="s">
        <v>384</v>
      </c>
      <c r="D437" s="554" t="s">
        <v>701</v>
      </c>
      <c r="E437" s="555" t="s">
        <v>504</v>
      </c>
      <c r="F437" s="292" t="s">
        <v>709</v>
      </c>
      <c r="G437" s="292"/>
      <c r="H437" s="293"/>
      <c r="I437" s="216"/>
    </row>
    <row r="438" spans="1:9" ht="33" customHeight="1" x14ac:dyDescent="0.45">
      <c r="A438" s="342" t="s">
        <v>376</v>
      </c>
      <c r="B438" s="330">
        <v>0.27083333333333331</v>
      </c>
      <c r="C438" s="343" t="s">
        <v>414</v>
      </c>
      <c r="D438" s="554" t="s">
        <v>702</v>
      </c>
      <c r="E438" s="555" t="s">
        <v>688</v>
      </c>
      <c r="F438" s="292" t="s">
        <v>709</v>
      </c>
      <c r="G438" s="292"/>
      <c r="H438" s="293"/>
      <c r="I438" s="216"/>
    </row>
    <row r="439" spans="1:9" ht="33" customHeight="1" x14ac:dyDescent="0.45">
      <c r="A439" s="342" t="s">
        <v>501</v>
      </c>
      <c r="B439" s="330">
        <v>0.28819444444444442</v>
      </c>
      <c r="C439" s="343" t="s">
        <v>378</v>
      </c>
      <c r="D439" s="554" t="s">
        <v>700</v>
      </c>
      <c r="E439" s="555" t="s">
        <v>504</v>
      </c>
      <c r="F439" s="321" t="s">
        <v>709</v>
      </c>
      <c r="G439" s="292"/>
      <c r="H439" s="293"/>
      <c r="I439" s="323"/>
    </row>
    <row r="440" spans="1:9" ht="33" customHeight="1" x14ac:dyDescent="0.45">
      <c r="A440" s="342" t="s">
        <v>533</v>
      </c>
      <c r="B440" s="330">
        <v>0.28472222222222221</v>
      </c>
      <c r="C440" s="343" t="s">
        <v>414</v>
      </c>
      <c r="D440" s="554" t="s">
        <v>702</v>
      </c>
      <c r="E440" s="555" t="s">
        <v>504</v>
      </c>
      <c r="F440" s="292" t="s">
        <v>709</v>
      </c>
      <c r="G440" s="292"/>
      <c r="H440" s="293"/>
      <c r="I440" s="323" t="s">
        <v>348</v>
      </c>
    </row>
    <row r="441" spans="1:9" ht="33" customHeight="1" x14ac:dyDescent="0.45">
      <c r="A441" s="342" t="s">
        <v>376</v>
      </c>
      <c r="B441" s="330">
        <v>0.2951388888888889</v>
      </c>
      <c r="C441" s="343" t="s">
        <v>384</v>
      </c>
      <c r="D441" s="554" t="s">
        <v>701</v>
      </c>
      <c r="E441" s="555" t="s">
        <v>688</v>
      </c>
      <c r="F441" s="292" t="s">
        <v>709</v>
      </c>
      <c r="G441" s="292"/>
      <c r="H441" s="293"/>
      <c r="I441" s="216"/>
    </row>
    <row r="442" spans="1:9" ht="33" customHeight="1" x14ac:dyDescent="0.45">
      <c r="A442" s="342" t="s">
        <v>376</v>
      </c>
      <c r="B442" s="330">
        <v>0.3125</v>
      </c>
      <c r="C442" s="343" t="s">
        <v>414</v>
      </c>
      <c r="D442" s="554" t="s">
        <v>702</v>
      </c>
      <c r="E442" s="555" t="s">
        <v>504</v>
      </c>
      <c r="F442" s="292" t="s">
        <v>709</v>
      </c>
      <c r="G442" s="292"/>
      <c r="H442" s="293"/>
      <c r="I442" s="323" t="s">
        <v>350</v>
      </c>
    </row>
    <row r="443" spans="1:9" ht="33" customHeight="1" x14ac:dyDescent="0.45">
      <c r="A443" s="342" t="s">
        <v>501</v>
      </c>
      <c r="B443" s="330">
        <v>0.3263888888888889</v>
      </c>
      <c r="C443" s="343" t="s">
        <v>414</v>
      </c>
      <c r="D443" s="554" t="s">
        <v>702</v>
      </c>
      <c r="E443" s="555" t="s">
        <v>504</v>
      </c>
      <c r="F443" s="292"/>
      <c r="G443" s="292"/>
      <c r="H443" s="293"/>
      <c r="I443" s="323"/>
    </row>
    <row r="444" spans="1:9" ht="33" customHeight="1" x14ac:dyDescent="0.45">
      <c r="A444" s="342" t="s">
        <v>376</v>
      </c>
      <c r="B444" s="330">
        <v>0.3263888888888889</v>
      </c>
      <c r="C444" s="343" t="s">
        <v>378</v>
      </c>
      <c r="D444" s="554" t="s">
        <v>700</v>
      </c>
      <c r="E444" s="555" t="s">
        <v>504</v>
      </c>
      <c r="F444" s="292" t="s">
        <v>709</v>
      </c>
      <c r="G444" s="292"/>
      <c r="H444" s="293"/>
      <c r="I444" s="323"/>
    </row>
    <row r="445" spans="1:9" ht="33" customHeight="1" x14ac:dyDescent="0.45">
      <c r="A445" s="342" t="s">
        <v>376</v>
      </c>
      <c r="B445" s="330">
        <v>0.58333333333333337</v>
      </c>
      <c r="C445" s="343" t="s">
        <v>378</v>
      </c>
      <c r="D445" s="554" t="s">
        <v>700</v>
      </c>
      <c r="E445" s="555" t="s">
        <v>503</v>
      </c>
      <c r="F445" s="292" t="s">
        <v>709</v>
      </c>
      <c r="G445" s="292"/>
      <c r="H445" s="293"/>
      <c r="I445" s="323" t="s">
        <v>349</v>
      </c>
    </row>
    <row r="446" spans="1:9" ht="33" customHeight="1" x14ac:dyDescent="0.45">
      <c r="A446" s="342" t="s">
        <v>501</v>
      </c>
      <c r="B446" s="330">
        <v>0.58333333333333337</v>
      </c>
      <c r="C446" s="343" t="s">
        <v>384</v>
      </c>
      <c r="D446" s="554" t="s">
        <v>701</v>
      </c>
      <c r="E446" s="555" t="s">
        <v>504</v>
      </c>
      <c r="F446" s="292" t="s">
        <v>709</v>
      </c>
      <c r="G446" s="292"/>
      <c r="H446" s="293"/>
      <c r="I446" s="323"/>
    </row>
    <row r="447" spans="1:9" ht="33" customHeight="1" x14ac:dyDescent="0.45">
      <c r="A447" s="342" t="s">
        <v>376</v>
      </c>
      <c r="B447" s="330">
        <v>0.61458333333333337</v>
      </c>
      <c r="C447" s="343" t="s">
        <v>378</v>
      </c>
      <c r="D447" s="554" t="s">
        <v>700</v>
      </c>
      <c r="E447" s="555" t="s">
        <v>503</v>
      </c>
      <c r="F447" s="292" t="s">
        <v>709</v>
      </c>
      <c r="G447" s="292"/>
      <c r="H447" s="293"/>
      <c r="I447" s="323"/>
    </row>
    <row r="448" spans="1:9" ht="33" customHeight="1" x14ac:dyDescent="0.45">
      <c r="A448" s="342" t="s">
        <v>376</v>
      </c>
      <c r="B448" s="330">
        <v>0.61805555555555558</v>
      </c>
      <c r="C448" s="343" t="s">
        <v>384</v>
      </c>
      <c r="D448" s="554" t="s">
        <v>701</v>
      </c>
      <c r="E448" s="555" t="s">
        <v>503</v>
      </c>
      <c r="F448" s="292" t="s">
        <v>709</v>
      </c>
      <c r="G448" s="292"/>
      <c r="H448" s="293"/>
      <c r="I448" s="323"/>
    </row>
    <row r="449" spans="1:9" ht="33" customHeight="1" x14ac:dyDescent="0.45">
      <c r="A449" s="342" t="s">
        <v>501</v>
      </c>
      <c r="B449" s="330">
        <v>0.625</v>
      </c>
      <c r="C449" s="343" t="s">
        <v>414</v>
      </c>
      <c r="D449" s="554" t="s">
        <v>702</v>
      </c>
      <c r="E449" s="555" t="s">
        <v>504</v>
      </c>
      <c r="F449" s="292" t="s">
        <v>709</v>
      </c>
      <c r="G449" s="292"/>
      <c r="H449" s="293"/>
      <c r="I449" s="216"/>
    </row>
    <row r="450" spans="1:9" ht="33" customHeight="1" x14ac:dyDescent="0.45">
      <c r="A450" s="342" t="s">
        <v>376</v>
      </c>
      <c r="B450" s="330">
        <v>0.63888888888888884</v>
      </c>
      <c r="C450" s="343" t="s">
        <v>378</v>
      </c>
      <c r="D450" s="554" t="s">
        <v>700</v>
      </c>
      <c r="E450" s="555" t="s">
        <v>503</v>
      </c>
      <c r="F450" s="292" t="s">
        <v>709</v>
      </c>
      <c r="G450" s="292"/>
      <c r="H450" s="293"/>
      <c r="I450" s="216"/>
    </row>
    <row r="451" spans="1:9" ht="33" customHeight="1" x14ac:dyDescent="0.45">
      <c r="A451" s="342" t="s">
        <v>376</v>
      </c>
      <c r="B451" s="330">
        <v>0.65972222222222221</v>
      </c>
      <c r="C451" s="343" t="s">
        <v>414</v>
      </c>
      <c r="D451" s="554" t="s">
        <v>702</v>
      </c>
      <c r="E451" s="555" t="s">
        <v>503</v>
      </c>
      <c r="F451" s="292" t="s">
        <v>709</v>
      </c>
      <c r="G451" s="292"/>
      <c r="H451" s="293"/>
      <c r="I451" s="216"/>
    </row>
    <row r="452" spans="1:9" ht="33" customHeight="1" x14ac:dyDescent="0.45">
      <c r="A452" s="342" t="s">
        <v>376</v>
      </c>
      <c r="B452" s="330">
        <v>0.6875</v>
      </c>
      <c r="C452" s="343" t="s">
        <v>414</v>
      </c>
      <c r="D452" s="554" t="s">
        <v>702</v>
      </c>
      <c r="E452" s="555" t="s">
        <v>503</v>
      </c>
      <c r="F452" s="292" t="s">
        <v>709</v>
      </c>
      <c r="G452" s="292"/>
      <c r="H452" s="293"/>
      <c r="I452" s="216"/>
    </row>
    <row r="453" spans="1:9" ht="33" customHeight="1" x14ac:dyDescent="0.45">
      <c r="A453" s="342" t="s">
        <v>376</v>
      </c>
      <c r="B453" s="330">
        <v>0.71180555555555558</v>
      </c>
      <c r="C453" s="343" t="s">
        <v>414</v>
      </c>
      <c r="D453" s="554" t="s">
        <v>702</v>
      </c>
      <c r="E453" s="555" t="s">
        <v>503</v>
      </c>
      <c r="F453" s="292" t="s">
        <v>709</v>
      </c>
      <c r="G453" s="292"/>
      <c r="H453" s="293"/>
      <c r="I453" s="216"/>
    </row>
    <row r="454" spans="1:9" ht="33" customHeight="1" x14ac:dyDescent="0.45">
      <c r="A454" s="342" t="s">
        <v>376</v>
      </c>
      <c r="B454" s="330">
        <v>0.76041666666666663</v>
      </c>
      <c r="C454" s="343" t="s">
        <v>384</v>
      </c>
      <c r="D454" s="554" t="s">
        <v>701</v>
      </c>
      <c r="E454" s="555" t="s">
        <v>504</v>
      </c>
      <c r="F454" s="292" t="s">
        <v>709</v>
      </c>
      <c r="G454" s="292"/>
      <c r="H454" s="293"/>
      <c r="I454" s="216"/>
    </row>
    <row r="455" spans="1:9" ht="33" customHeight="1" x14ac:dyDescent="0.45">
      <c r="A455" s="342" t="s">
        <v>501</v>
      </c>
      <c r="B455" s="330">
        <v>0.76041666666666663</v>
      </c>
      <c r="C455" s="343" t="s">
        <v>378</v>
      </c>
      <c r="D455" s="554" t="s">
        <v>700</v>
      </c>
      <c r="E455" s="555" t="s">
        <v>504</v>
      </c>
      <c r="F455" s="292" t="s">
        <v>709</v>
      </c>
      <c r="G455" s="292"/>
      <c r="H455" s="293"/>
      <c r="I455" s="216"/>
    </row>
    <row r="456" spans="1:9" ht="33" customHeight="1" x14ac:dyDescent="0.45">
      <c r="A456" s="342" t="s">
        <v>376</v>
      </c>
      <c r="B456" s="330">
        <v>0.78125</v>
      </c>
      <c r="C456" s="343" t="s">
        <v>378</v>
      </c>
      <c r="D456" s="554" t="s">
        <v>700</v>
      </c>
      <c r="E456" s="555" t="s">
        <v>503</v>
      </c>
      <c r="F456" s="292" t="s">
        <v>709</v>
      </c>
      <c r="G456" s="292"/>
      <c r="H456" s="293"/>
      <c r="I456" s="216"/>
    </row>
    <row r="457" spans="1:9" ht="33" customHeight="1" x14ac:dyDescent="0.45">
      <c r="A457" s="342" t="s">
        <v>501</v>
      </c>
      <c r="B457" s="330">
        <v>0.78125</v>
      </c>
      <c r="C457" s="343" t="s">
        <v>384</v>
      </c>
      <c r="D457" s="554" t="s">
        <v>701</v>
      </c>
      <c r="E457" s="555" t="s">
        <v>504</v>
      </c>
      <c r="F457" s="292" t="s">
        <v>709</v>
      </c>
      <c r="G457" s="292"/>
      <c r="H457" s="293"/>
      <c r="I457" s="216"/>
    </row>
    <row r="458" spans="1:9" ht="33" customHeight="1" x14ac:dyDescent="0.45">
      <c r="A458" s="342" t="s">
        <v>376</v>
      </c>
      <c r="B458" s="330">
        <v>0.80208333333333337</v>
      </c>
      <c r="C458" s="343" t="s">
        <v>384</v>
      </c>
      <c r="D458" s="554" t="s">
        <v>701</v>
      </c>
      <c r="E458" s="555" t="s">
        <v>503</v>
      </c>
      <c r="F458" s="292" t="s">
        <v>709</v>
      </c>
      <c r="G458" s="292"/>
      <c r="H458" s="293"/>
      <c r="I458" s="216"/>
    </row>
    <row r="459" spans="1:9" ht="33" customHeight="1" x14ac:dyDescent="0.45">
      <c r="A459" s="342" t="s">
        <v>663</v>
      </c>
      <c r="B459" s="330">
        <v>0.80902777777777779</v>
      </c>
      <c r="C459" s="343" t="s">
        <v>378</v>
      </c>
      <c r="D459" s="554" t="s">
        <v>700</v>
      </c>
      <c r="E459" s="555" t="s">
        <v>688</v>
      </c>
      <c r="F459" s="292" t="s">
        <v>709</v>
      </c>
      <c r="G459" s="292"/>
      <c r="H459" s="293"/>
      <c r="I459" s="216"/>
    </row>
    <row r="460" spans="1:9" ht="33" customHeight="1" x14ac:dyDescent="0.45">
      <c r="A460" s="342" t="s">
        <v>376</v>
      </c>
      <c r="B460" s="330">
        <v>0.82291666666666663</v>
      </c>
      <c r="C460" s="343" t="s">
        <v>384</v>
      </c>
      <c r="D460" s="554" t="s">
        <v>701</v>
      </c>
      <c r="E460" s="555" t="s">
        <v>503</v>
      </c>
      <c r="F460" s="292" t="s">
        <v>709</v>
      </c>
      <c r="G460" s="292"/>
      <c r="H460" s="293"/>
      <c r="I460" s="216"/>
    </row>
    <row r="461" spans="1:9" ht="33" customHeight="1" x14ac:dyDescent="0.45">
      <c r="C461" s="190"/>
    </row>
    <row r="462" spans="1:9" ht="33" customHeight="1" x14ac:dyDescent="0.45">
      <c r="C462" s="190"/>
    </row>
    <row r="465" spans="1:9" ht="29.25" x14ac:dyDescent="0.45">
      <c r="A465" s="662" t="s">
        <v>659</v>
      </c>
      <c r="B465" s="320"/>
      <c r="C465" s="254"/>
      <c r="D465" s="254"/>
      <c r="E465" s="598"/>
      <c r="I465" s="600">
        <f>I430+1</f>
        <v>46158</v>
      </c>
    </row>
    <row r="467" spans="1:9" ht="90" x14ac:dyDescent="0.45">
      <c r="A467" s="322" t="s">
        <v>324</v>
      </c>
      <c r="B467" s="325" t="s">
        <v>0</v>
      </c>
      <c r="C467" s="332" t="s">
        <v>25</v>
      </c>
      <c r="D467" s="291" t="s">
        <v>26</v>
      </c>
      <c r="E467" s="291" t="s">
        <v>662</v>
      </c>
      <c r="F467" s="291" t="s">
        <v>708</v>
      </c>
      <c r="G467" s="291" t="s">
        <v>1</v>
      </c>
      <c r="H467" s="291" t="s">
        <v>328</v>
      </c>
      <c r="I467" s="291"/>
    </row>
    <row r="468" spans="1:9" ht="34.15" x14ac:dyDescent="0.45">
      <c r="A468" s="342" t="s">
        <v>501</v>
      </c>
      <c r="B468" s="330">
        <v>0.2326388888888889</v>
      </c>
      <c r="C468" s="343" t="s">
        <v>378</v>
      </c>
      <c r="D468" s="554" t="s">
        <v>700</v>
      </c>
      <c r="E468" s="555" t="s">
        <v>503</v>
      </c>
      <c r="F468" s="291"/>
      <c r="G468" s="291"/>
      <c r="H468" s="291"/>
      <c r="I468" s="341"/>
    </row>
    <row r="469" spans="1:9" ht="33" customHeight="1" x14ac:dyDescent="0.45">
      <c r="A469" s="342" t="s">
        <v>376</v>
      </c>
      <c r="B469" s="330">
        <v>0.23958333333333334</v>
      </c>
      <c r="C469" s="343" t="s">
        <v>414</v>
      </c>
      <c r="D469" s="554" t="s">
        <v>702</v>
      </c>
      <c r="E469" s="555" t="s">
        <v>503</v>
      </c>
      <c r="F469" s="291"/>
      <c r="G469" s="291"/>
      <c r="H469" s="291"/>
      <c r="I469" s="341"/>
    </row>
    <row r="470" spans="1:9" ht="33" customHeight="1" x14ac:dyDescent="0.45">
      <c r="A470" s="342" t="s">
        <v>501</v>
      </c>
      <c r="B470" s="330">
        <v>0.25</v>
      </c>
      <c r="C470" s="343" t="s">
        <v>384</v>
      </c>
      <c r="D470" s="554" t="s">
        <v>701</v>
      </c>
      <c r="E470" s="555" t="s">
        <v>503</v>
      </c>
      <c r="F470" s="291"/>
      <c r="G470" s="291"/>
      <c r="H470" s="291"/>
      <c r="I470" s="341"/>
    </row>
    <row r="471" spans="1:9" ht="33" customHeight="1" x14ac:dyDescent="0.45">
      <c r="A471" s="342" t="s">
        <v>501</v>
      </c>
      <c r="B471" s="330">
        <v>0.27083333333333331</v>
      </c>
      <c r="C471" s="343" t="s">
        <v>378</v>
      </c>
      <c r="D471" s="554" t="s">
        <v>700</v>
      </c>
      <c r="E471" s="555" t="s">
        <v>503</v>
      </c>
      <c r="F471" s="291"/>
      <c r="G471" s="291"/>
      <c r="H471" s="291"/>
      <c r="I471" s="323" t="s">
        <v>347</v>
      </c>
    </row>
    <row r="472" spans="1:9" ht="33" customHeight="1" x14ac:dyDescent="0.45">
      <c r="A472" s="342" t="s">
        <v>376</v>
      </c>
      <c r="B472" s="330">
        <v>0.27083333333333331</v>
      </c>
      <c r="C472" s="343" t="s">
        <v>384</v>
      </c>
      <c r="D472" s="554" t="s">
        <v>701</v>
      </c>
      <c r="E472" s="555" t="s">
        <v>504</v>
      </c>
      <c r="F472" s="292" t="s">
        <v>709</v>
      </c>
      <c r="G472" s="292"/>
      <c r="H472" s="293"/>
      <c r="I472" s="216"/>
    </row>
    <row r="473" spans="1:9" ht="33" customHeight="1" x14ac:dyDescent="0.45">
      <c r="A473" s="342" t="s">
        <v>376</v>
      </c>
      <c r="B473" s="330">
        <v>0.27083333333333331</v>
      </c>
      <c r="C473" s="343" t="s">
        <v>414</v>
      </c>
      <c r="D473" s="554" t="s">
        <v>702</v>
      </c>
      <c r="E473" s="555" t="s">
        <v>688</v>
      </c>
      <c r="F473" s="292" t="s">
        <v>709</v>
      </c>
      <c r="G473" s="292"/>
      <c r="H473" s="293"/>
      <c r="I473" s="216"/>
    </row>
    <row r="474" spans="1:9" ht="33" customHeight="1" x14ac:dyDescent="0.45">
      <c r="A474" s="342" t="s">
        <v>501</v>
      </c>
      <c r="B474" s="330">
        <v>0.28819444444444442</v>
      </c>
      <c r="C474" s="343" t="s">
        <v>378</v>
      </c>
      <c r="D474" s="554" t="s">
        <v>700</v>
      </c>
      <c r="E474" s="555" t="s">
        <v>504</v>
      </c>
      <c r="F474" s="321" t="s">
        <v>709</v>
      </c>
      <c r="G474" s="292"/>
      <c r="H474" s="293"/>
      <c r="I474" s="323"/>
    </row>
    <row r="475" spans="1:9" ht="33" customHeight="1" x14ac:dyDescent="0.45">
      <c r="A475" s="342" t="s">
        <v>533</v>
      </c>
      <c r="B475" s="330">
        <v>0.28472222222222221</v>
      </c>
      <c r="C475" s="343" t="s">
        <v>414</v>
      </c>
      <c r="D475" s="554" t="s">
        <v>702</v>
      </c>
      <c r="E475" s="555" t="s">
        <v>504</v>
      </c>
      <c r="F475" s="292" t="s">
        <v>709</v>
      </c>
      <c r="G475" s="292"/>
      <c r="H475" s="293"/>
      <c r="I475" s="323" t="s">
        <v>348</v>
      </c>
    </row>
    <row r="476" spans="1:9" ht="33" customHeight="1" x14ac:dyDescent="0.45">
      <c r="A476" s="342" t="s">
        <v>376</v>
      </c>
      <c r="B476" s="330">
        <v>0.2951388888888889</v>
      </c>
      <c r="C476" s="343" t="s">
        <v>384</v>
      </c>
      <c r="D476" s="554" t="s">
        <v>701</v>
      </c>
      <c r="E476" s="555" t="s">
        <v>688</v>
      </c>
      <c r="F476" s="292" t="s">
        <v>709</v>
      </c>
      <c r="G476" s="292"/>
      <c r="H476" s="293"/>
      <c r="I476" s="216"/>
    </row>
    <row r="477" spans="1:9" ht="33" customHeight="1" x14ac:dyDescent="0.45">
      <c r="A477" s="342" t="s">
        <v>376</v>
      </c>
      <c r="B477" s="330">
        <v>0.3125</v>
      </c>
      <c r="C477" s="343" t="s">
        <v>414</v>
      </c>
      <c r="D477" s="554" t="s">
        <v>702</v>
      </c>
      <c r="E477" s="555" t="s">
        <v>504</v>
      </c>
      <c r="F477" s="292" t="s">
        <v>709</v>
      </c>
      <c r="G477" s="292"/>
      <c r="H477" s="293"/>
      <c r="I477" s="323" t="s">
        <v>350</v>
      </c>
    </row>
    <row r="478" spans="1:9" ht="33" customHeight="1" x14ac:dyDescent="0.45">
      <c r="A478" s="342" t="s">
        <v>501</v>
      </c>
      <c r="B478" s="330">
        <v>0.3263888888888889</v>
      </c>
      <c r="C478" s="343" t="s">
        <v>414</v>
      </c>
      <c r="D478" s="554" t="s">
        <v>702</v>
      </c>
      <c r="E478" s="555" t="s">
        <v>504</v>
      </c>
      <c r="F478" s="292"/>
      <c r="G478" s="292"/>
      <c r="H478" s="293"/>
      <c r="I478" s="323"/>
    </row>
    <row r="479" spans="1:9" ht="33" customHeight="1" x14ac:dyDescent="0.45">
      <c r="A479" s="342" t="s">
        <v>376</v>
      </c>
      <c r="B479" s="330">
        <v>0.3263888888888889</v>
      </c>
      <c r="C479" s="343" t="s">
        <v>378</v>
      </c>
      <c r="D479" s="554" t="s">
        <v>700</v>
      </c>
      <c r="E479" s="555" t="s">
        <v>504</v>
      </c>
      <c r="F479" s="292" t="s">
        <v>709</v>
      </c>
      <c r="G479" s="292"/>
      <c r="H479" s="293"/>
      <c r="I479" s="323"/>
    </row>
    <row r="480" spans="1:9" ht="33" customHeight="1" x14ac:dyDescent="0.45">
      <c r="A480" s="342" t="s">
        <v>376</v>
      </c>
      <c r="B480" s="330">
        <v>0.58333333333333337</v>
      </c>
      <c r="C480" s="343" t="s">
        <v>378</v>
      </c>
      <c r="D480" s="554" t="s">
        <v>700</v>
      </c>
      <c r="E480" s="555" t="s">
        <v>503</v>
      </c>
      <c r="F480" s="292" t="s">
        <v>709</v>
      </c>
      <c r="G480" s="292"/>
      <c r="H480" s="293"/>
      <c r="I480" s="323" t="s">
        <v>349</v>
      </c>
    </row>
    <row r="481" spans="1:9" ht="33" customHeight="1" x14ac:dyDescent="0.45">
      <c r="A481" s="342" t="s">
        <v>501</v>
      </c>
      <c r="B481" s="330">
        <v>0.58333333333333337</v>
      </c>
      <c r="C481" s="343" t="s">
        <v>384</v>
      </c>
      <c r="D481" s="554" t="s">
        <v>701</v>
      </c>
      <c r="E481" s="555" t="s">
        <v>504</v>
      </c>
      <c r="F481" s="292" t="s">
        <v>709</v>
      </c>
      <c r="G481" s="292"/>
      <c r="H481" s="293"/>
      <c r="I481" s="323"/>
    </row>
    <row r="482" spans="1:9" ht="33" customHeight="1" x14ac:dyDescent="0.45">
      <c r="A482" s="342" t="s">
        <v>376</v>
      </c>
      <c r="B482" s="330">
        <v>0.61458333333333337</v>
      </c>
      <c r="C482" s="343" t="s">
        <v>378</v>
      </c>
      <c r="D482" s="554" t="s">
        <v>700</v>
      </c>
      <c r="E482" s="555" t="s">
        <v>503</v>
      </c>
      <c r="F482" s="292" t="s">
        <v>709</v>
      </c>
      <c r="G482" s="292"/>
      <c r="H482" s="293"/>
      <c r="I482" s="323"/>
    </row>
    <row r="483" spans="1:9" ht="33" customHeight="1" x14ac:dyDescent="0.45">
      <c r="A483" s="342" t="s">
        <v>376</v>
      </c>
      <c r="B483" s="330">
        <v>0.61805555555555558</v>
      </c>
      <c r="C483" s="343" t="s">
        <v>384</v>
      </c>
      <c r="D483" s="554" t="s">
        <v>701</v>
      </c>
      <c r="E483" s="555" t="s">
        <v>503</v>
      </c>
      <c r="F483" s="292" t="s">
        <v>709</v>
      </c>
      <c r="G483" s="292"/>
      <c r="H483" s="293"/>
      <c r="I483" s="323"/>
    </row>
    <row r="484" spans="1:9" ht="33" customHeight="1" x14ac:dyDescent="0.45">
      <c r="A484" s="342" t="s">
        <v>501</v>
      </c>
      <c r="B484" s="330">
        <v>0.625</v>
      </c>
      <c r="C484" s="343" t="s">
        <v>414</v>
      </c>
      <c r="D484" s="554" t="s">
        <v>702</v>
      </c>
      <c r="E484" s="555" t="s">
        <v>504</v>
      </c>
      <c r="F484" s="292" t="s">
        <v>709</v>
      </c>
      <c r="G484" s="292"/>
      <c r="H484" s="293"/>
      <c r="I484" s="216"/>
    </row>
    <row r="485" spans="1:9" ht="33" customHeight="1" x14ac:dyDescent="0.45">
      <c r="A485" s="342" t="s">
        <v>376</v>
      </c>
      <c r="B485" s="330">
        <v>0.63888888888888884</v>
      </c>
      <c r="C485" s="343" t="s">
        <v>378</v>
      </c>
      <c r="D485" s="554" t="s">
        <v>700</v>
      </c>
      <c r="E485" s="555" t="s">
        <v>503</v>
      </c>
      <c r="F485" s="292" t="s">
        <v>709</v>
      </c>
      <c r="G485" s="292"/>
      <c r="H485" s="293"/>
      <c r="I485" s="216"/>
    </row>
    <row r="486" spans="1:9" ht="33" customHeight="1" x14ac:dyDescent="0.45">
      <c r="A486" s="342" t="s">
        <v>376</v>
      </c>
      <c r="B486" s="330">
        <v>0.65972222222222221</v>
      </c>
      <c r="C486" s="343" t="s">
        <v>414</v>
      </c>
      <c r="D486" s="554" t="s">
        <v>702</v>
      </c>
      <c r="E486" s="555" t="s">
        <v>503</v>
      </c>
      <c r="F486" s="292" t="s">
        <v>709</v>
      </c>
      <c r="G486" s="292"/>
      <c r="H486" s="293"/>
      <c r="I486" s="216"/>
    </row>
    <row r="487" spans="1:9" ht="33" customHeight="1" x14ac:dyDescent="0.45">
      <c r="A487" s="342" t="s">
        <v>376</v>
      </c>
      <c r="B487" s="330">
        <v>0.6875</v>
      </c>
      <c r="C487" s="343" t="s">
        <v>414</v>
      </c>
      <c r="D487" s="554" t="s">
        <v>702</v>
      </c>
      <c r="E487" s="555" t="s">
        <v>503</v>
      </c>
      <c r="F487" s="292" t="s">
        <v>709</v>
      </c>
      <c r="G487" s="292"/>
      <c r="H487" s="293"/>
      <c r="I487" s="216"/>
    </row>
    <row r="488" spans="1:9" ht="33" customHeight="1" x14ac:dyDescent="0.45">
      <c r="A488" s="342" t="s">
        <v>376</v>
      </c>
      <c r="B488" s="330">
        <v>0.71180555555555558</v>
      </c>
      <c r="C488" s="343" t="s">
        <v>414</v>
      </c>
      <c r="D488" s="554" t="s">
        <v>702</v>
      </c>
      <c r="E488" s="555" t="s">
        <v>503</v>
      </c>
      <c r="F488" s="292" t="s">
        <v>709</v>
      </c>
      <c r="G488" s="292"/>
      <c r="H488" s="293"/>
      <c r="I488" s="216"/>
    </row>
    <row r="489" spans="1:9" ht="33" customHeight="1" x14ac:dyDescent="0.45">
      <c r="A489" s="342" t="s">
        <v>376</v>
      </c>
      <c r="B489" s="330">
        <v>0.76041666666666663</v>
      </c>
      <c r="C489" s="343" t="s">
        <v>384</v>
      </c>
      <c r="D489" s="554" t="s">
        <v>701</v>
      </c>
      <c r="E489" s="555" t="s">
        <v>504</v>
      </c>
      <c r="F489" s="292" t="s">
        <v>709</v>
      </c>
      <c r="G489" s="292"/>
      <c r="H489" s="293"/>
      <c r="I489" s="216"/>
    </row>
    <row r="490" spans="1:9" ht="33" customHeight="1" x14ac:dyDescent="0.45">
      <c r="A490" s="342" t="s">
        <v>501</v>
      </c>
      <c r="B490" s="330">
        <v>0.76041666666666663</v>
      </c>
      <c r="C490" s="343" t="s">
        <v>378</v>
      </c>
      <c r="D490" s="554" t="s">
        <v>700</v>
      </c>
      <c r="E490" s="555" t="s">
        <v>504</v>
      </c>
      <c r="F490" s="292" t="s">
        <v>709</v>
      </c>
      <c r="G490" s="292"/>
      <c r="H490" s="293"/>
      <c r="I490" s="216"/>
    </row>
    <row r="491" spans="1:9" ht="33" customHeight="1" x14ac:dyDescent="0.45">
      <c r="A491" s="342" t="s">
        <v>376</v>
      </c>
      <c r="B491" s="330">
        <v>0.78125</v>
      </c>
      <c r="C491" s="343" t="s">
        <v>378</v>
      </c>
      <c r="D491" s="554" t="s">
        <v>700</v>
      </c>
      <c r="E491" s="555" t="s">
        <v>503</v>
      </c>
      <c r="F491" s="292" t="s">
        <v>709</v>
      </c>
      <c r="G491" s="292"/>
      <c r="H491" s="293"/>
      <c r="I491" s="216"/>
    </row>
    <row r="492" spans="1:9" ht="33" customHeight="1" x14ac:dyDescent="0.45">
      <c r="A492" s="342" t="s">
        <v>501</v>
      </c>
      <c r="B492" s="330">
        <v>0.78125</v>
      </c>
      <c r="C492" s="343" t="s">
        <v>384</v>
      </c>
      <c r="D492" s="554" t="s">
        <v>701</v>
      </c>
      <c r="E492" s="555" t="s">
        <v>504</v>
      </c>
      <c r="F492" s="292" t="s">
        <v>709</v>
      </c>
      <c r="G492" s="292"/>
      <c r="H492" s="293"/>
      <c r="I492" s="216"/>
    </row>
    <row r="493" spans="1:9" ht="33" customHeight="1" x14ac:dyDescent="0.45">
      <c r="A493" s="342" t="s">
        <v>376</v>
      </c>
      <c r="B493" s="330">
        <v>0.80208333333333337</v>
      </c>
      <c r="C493" s="343" t="s">
        <v>384</v>
      </c>
      <c r="D493" s="554" t="s">
        <v>701</v>
      </c>
      <c r="E493" s="555" t="s">
        <v>503</v>
      </c>
      <c r="F493" s="292" t="s">
        <v>709</v>
      </c>
      <c r="G493" s="292"/>
      <c r="H493" s="293"/>
      <c r="I493" s="216"/>
    </row>
    <row r="494" spans="1:9" ht="33" customHeight="1" x14ac:dyDescent="0.45">
      <c r="A494" s="342" t="s">
        <v>663</v>
      </c>
      <c r="B494" s="330">
        <v>0.80902777777777779</v>
      </c>
      <c r="C494" s="343" t="s">
        <v>378</v>
      </c>
      <c r="D494" s="554" t="s">
        <v>700</v>
      </c>
      <c r="E494" s="555" t="s">
        <v>688</v>
      </c>
      <c r="F494" s="292" t="s">
        <v>709</v>
      </c>
      <c r="G494" s="292"/>
      <c r="H494" s="293"/>
      <c r="I494" s="216"/>
    </row>
    <row r="495" spans="1:9" ht="33" customHeight="1" x14ac:dyDescent="0.45">
      <c r="A495" s="342" t="s">
        <v>376</v>
      </c>
      <c r="B495" s="330">
        <v>0.82291666666666663</v>
      </c>
      <c r="C495" s="343" t="s">
        <v>384</v>
      </c>
      <c r="D495" s="554" t="s">
        <v>701</v>
      </c>
      <c r="E495" s="555" t="s">
        <v>503</v>
      </c>
      <c r="F495" s="292" t="s">
        <v>709</v>
      </c>
      <c r="G495" s="292"/>
      <c r="H495" s="293"/>
      <c r="I495" s="216"/>
    </row>
    <row r="496" spans="1:9" ht="33" customHeight="1" x14ac:dyDescent="0.45">
      <c r="C496" s="190"/>
    </row>
    <row r="498" spans="1:9" ht="23.25" x14ac:dyDescent="0.45">
      <c r="B498" s="260"/>
      <c r="C498" s="241"/>
      <c r="D498" s="241"/>
      <c r="E498" s="241"/>
    </row>
    <row r="499" spans="1:9" ht="29.25" x14ac:dyDescent="0.45">
      <c r="A499" s="662" t="s">
        <v>659</v>
      </c>
      <c r="B499" s="320"/>
      <c r="C499" s="254"/>
      <c r="D499" s="254"/>
      <c r="E499" s="598"/>
      <c r="I499" s="607">
        <f>I465+1</f>
        <v>46159</v>
      </c>
    </row>
    <row r="501" spans="1:9" ht="90" x14ac:dyDescent="0.45">
      <c r="A501" s="322" t="s">
        <v>324</v>
      </c>
      <c r="B501" s="325" t="s">
        <v>0</v>
      </c>
      <c r="C501" s="332" t="s">
        <v>25</v>
      </c>
      <c r="D501" s="291" t="s">
        <v>26</v>
      </c>
      <c r="E501" s="291" t="s">
        <v>661</v>
      </c>
      <c r="F501" s="291" t="s">
        <v>708</v>
      </c>
      <c r="G501" s="291" t="s">
        <v>1</v>
      </c>
      <c r="H501" s="291" t="s">
        <v>328</v>
      </c>
      <c r="I501" s="291"/>
    </row>
    <row r="502" spans="1:9" ht="34.15" x14ac:dyDescent="0.45">
      <c r="A502" s="342" t="s">
        <v>376</v>
      </c>
      <c r="B502" s="330">
        <v>0.2951388888888889</v>
      </c>
      <c r="C502" s="343" t="s">
        <v>384</v>
      </c>
      <c r="D502" s="554" t="s">
        <v>701</v>
      </c>
      <c r="E502" s="555" t="s">
        <v>504</v>
      </c>
      <c r="F502" s="291"/>
      <c r="G502" s="291"/>
      <c r="H502" s="291"/>
      <c r="I502" s="323" t="s">
        <v>347</v>
      </c>
    </row>
    <row r="503" spans="1:9" ht="33" customHeight="1" x14ac:dyDescent="0.45">
      <c r="A503" s="342" t="s">
        <v>376</v>
      </c>
      <c r="B503" s="330">
        <v>0.3125</v>
      </c>
      <c r="C503" s="343" t="s">
        <v>414</v>
      </c>
      <c r="D503" s="554" t="s">
        <v>702</v>
      </c>
      <c r="E503" s="555" t="s">
        <v>504</v>
      </c>
      <c r="F503" s="291"/>
      <c r="G503" s="291"/>
      <c r="H503" s="291"/>
      <c r="I503" s="341"/>
    </row>
    <row r="504" spans="1:9" ht="33" customHeight="1" x14ac:dyDescent="0.45">
      <c r="A504" s="342" t="s">
        <v>376</v>
      </c>
      <c r="B504" s="330">
        <v>0.3263888888888889</v>
      </c>
      <c r="C504" s="343" t="s">
        <v>414</v>
      </c>
      <c r="D504" s="554" t="s">
        <v>702</v>
      </c>
      <c r="E504" s="555" t="s">
        <v>504</v>
      </c>
      <c r="F504" s="291"/>
      <c r="G504" s="291"/>
      <c r="H504" s="291"/>
      <c r="I504" s="323" t="s">
        <v>348</v>
      </c>
    </row>
    <row r="505" spans="1:9" ht="33" customHeight="1" x14ac:dyDescent="0.45">
      <c r="A505" s="342" t="s">
        <v>376</v>
      </c>
      <c r="B505" s="330">
        <v>0.58333333333333337</v>
      </c>
      <c r="C505" s="343" t="s">
        <v>378</v>
      </c>
      <c r="D505" s="554" t="s">
        <v>700</v>
      </c>
      <c r="E505" s="555" t="s">
        <v>503</v>
      </c>
      <c r="F505" s="292" t="s">
        <v>709</v>
      </c>
      <c r="G505" s="292"/>
      <c r="H505" s="293"/>
      <c r="I505" s="216"/>
    </row>
    <row r="506" spans="1:9" ht="33" customHeight="1" x14ac:dyDescent="0.45">
      <c r="A506" s="342" t="s">
        <v>501</v>
      </c>
      <c r="B506" s="330">
        <v>0.58333333333333337</v>
      </c>
      <c r="C506" s="343" t="s">
        <v>384</v>
      </c>
      <c r="D506" s="554" t="s">
        <v>701</v>
      </c>
      <c r="E506" s="555" t="s">
        <v>504</v>
      </c>
      <c r="F506" s="292" t="s">
        <v>709</v>
      </c>
      <c r="G506" s="292"/>
      <c r="H506" s="293"/>
      <c r="I506" s="216"/>
    </row>
    <row r="507" spans="1:9" ht="33" customHeight="1" x14ac:dyDescent="0.45">
      <c r="A507" s="342" t="s">
        <v>376</v>
      </c>
      <c r="B507" s="330">
        <v>0.61458333333333337</v>
      </c>
      <c r="C507" s="343" t="s">
        <v>378</v>
      </c>
      <c r="D507" s="554" t="s">
        <v>700</v>
      </c>
      <c r="E507" s="555" t="s">
        <v>503</v>
      </c>
      <c r="F507" s="321" t="s">
        <v>709</v>
      </c>
      <c r="G507" s="292"/>
      <c r="H507" s="293"/>
      <c r="I507" s="323" t="s">
        <v>350</v>
      </c>
    </row>
    <row r="508" spans="1:9" ht="33" customHeight="1" x14ac:dyDescent="0.45">
      <c r="A508" s="342" t="s">
        <v>501</v>
      </c>
      <c r="B508" s="330">
        <v>0.625</v>
      </c>
      <c r="C508" s="343" t="s">
        <v>384</v>
      </c>
      <c r="D508" s="554" t="s">
        <v>701</v>
      </c>
      <c r="E508" s="555" t="s">
        <v>504</v>
      </c>
      <c r="F508" s="292" t="s">
        <v>709</v>
      </c>
      <c r="G508" s="292"/>
      <c r="H508" s="293"/>
      <c r="I508" s="216"/>
    </row>
    <row r="509" spans="1:9" ht="33" customHeight="1" x14ac:dyDescent="0.45">
      <c r="A509" s="342" t="s">
        <v>376</v>
      </c>
      <c r="B509" s="330">
        <v>0.63888888888888884</v>
      </c>
      <c r="C509" s="343" t="s">
        <v>378</v>
      </c>
      <c r="D509" s="554" t="s">
        <v>700</v>
      </c>
      <c r="E509" s="555" t="s">
        <v>503</v>
      </c>
      <c r="F509" s="292" t="s">
        <v>709</v>
      </c>
      <c r="G509" s="292"/>
      <c r="H509" s="293"/>
      <c r="I509" s="323" t="s">
        <v>349</v>
      </c>
    </row>
    <row r="510" spans="1:9" ht="33" customHeight="1" x14ac:dyDescent="0.45">
      <c r="A510" s="342" t="s">
        <v>376</v>
      </c>
      <c r="B510" s="330">
        <v>0.65972222222222221</v>
      </c>
      <c r="C510" s="343" t="s">
        <v>414</v>
      </c>
      <c r="D510" s="554" t="s">
        <v>702</v>
      </c>
      <c r="E510" s="555" t="s">
        <v>503</v>
      </c>
      <c r="F510" s="292" t="s">
        <v>709</v>
      </c>
      <c r="G510" s="292"/>
      <c r="H510" s="293"/>
      <c r="I510" s="216"/>
    </row>
    <row r="511" spans="1:9" ht="33" customHeight="1" x14ac:dyDescent="0.45">
      <c r="A511" s="342" t="s">
        <v>376</v>
      </c>
      <c r="B511" s="330">
        <v>0.6875</v>
      </c>
      <c r="C511" s="343" t="s">
        <v>414</v>
      </c>
      <c r="D511" s="554" t="s">
        <v>702</v>
      </c>
      <c r="E511" s="555" t="s">
        <v>503</v>
      </c>
      <c r="F511" s="292"/>
      <c r="G511" s="292"/>
      <c r="H511" s="293"/>
      <c r="I511" s="323"/>
    </row>
    <row r="512" spans="1:9" ht="33" customHeight="1" x14ac:dyDescent="0.45">
      <c r="A512" s="342" t="s">
        <v>501</v>
      </c>
      <c r="B512" s="330">
        <v>0.76041666666666663</v>
      </c>
      <c r="C512" s="343" t="s">
        <v>384</v>
      </c>
      <c r="D512" s="554" t="s">
        <v>701</v>
      </c>
      <c r="E512" s="555" t="s">
        <v>504</v>
      </c>
      <c r="F512" s="292" t="s">
        <v>709</v>
      </c>
      <c r="G512" s="292"/>
      <c r="H512" s="293"/>
      <c r="I512" s="323"/>
    </row>
    <row r="513" spans="1:9" ht="33" customHeight="1" x14ac:dyDescent="0.45">
      <c r="A513" s="342" t="s">
        <v>376</v>
      </c>
      <c r="B513" s="330">
        <v>0.76041666666666663</v>
      </c>
      <c r="C513" s="343" t="s">
        <v>414</v>
      </c>
      <c r="D513" s="554" t="s">
        <v>702</v>
      </c>
      <c r="E513" s="555" t="s">
        <v>503</v>
      </c>
      <c r="F513" s="292" t="s">
        <v>709</v>
      </c>
      <c r="G513" s="292"/>
      <c r="H513" s="293"/>
      <c r="I513" s="216"/>
    </row>
    <row r="514" spans="1:9" ht="33" customHeight="1" x14ac:dyDescent="0.45">
      <c r="A514" s="342" t="s">
        <v>501</v>
      </c>
      <c r="B514" s="330">
        <v>0.78125</v>
      </c>
      <c r="C514" s="343" t="s">
        <v>414</v>
      </c>
      <c r="D514" s="554" t="s">
        <v>702</v>
      </c>
      <c r="E514" s="555" t="s">
        <v>504</v>
      </c>
      <c r="F514" s="292" t="s">
        <v>709</v>
      </c>
      <c r="G514" s="292"/>
      <c r="H514" s="293"/>
      <c r="I514" s="323"/>
    </row>
    <row r="515" spans="1:9" ht="33" customHeight="1" x14ac:dyDescent="0.45">
      <c r="A515" s="342" t="s">
        <v>376</v>
      </c>
      <c r="B515" s="330">
        <v>0.78125</v>
      </c>
      <c r="C515" s="343" t="s">
        <v>384</v>
      </c>
      <c r="D515" s="554" t="s">
        <v>701</v>
      </c>
      <c r="E515" s="555" t="s">
        <v>503</v>
      </c>
      <c r="F515" s="292" t="s">
        <v>709</v>
      </c>
      <c r="G515" s="292"/>
      <c r="H515" s="293"/>
      <c r="I515" s="323"/>
    </row>
    <row r="516" spans="1:9" ht="33" customHeight="1" x14ac:dyDescent="0.45">
      <c r="A516" s="342" t="s">
        <v>663</v>
      </c>
      <c r="B516" s="330">
        <v>0.80902777777777779</v>
      </c>
      <c r="C516" s="343" t="s">
        <v>414</v>
      </c>
      <c r="D516" s="554" t="s">
        <v>702</v>
      </c>
      <c r="E516" s="555" t="s">
        <v>504</v>
      </c>
      <c r="F516" s="292" t="s">
        <v>709</v>
      </c>
      <c r="G516" s="292"/>
      <c r="H516" s="293"/>
      <c r="I516" s="323"/>
    </row>
    <row r="517" spans="1:9" ht="33" customHeight="1" x14ac:dyDescent="0.45">
      <c r="A517" s="342" t="s">
        <v>376</v>
      </c>
      <c r="B517" s="330">
        <v>0.82291666666666663</v>
      </c>
      <c r="C517" s="343" t="s">
        <v>414</v>
      </c>
      <c r="D517" s="554" t="s">
        <v>702</v>
      </c>
      <c r="E517" s="555" t="s">
        <v>503</v>
      </c>
      <c r="F517" s="292" t="s">
        <v>709</v>
      </c>
      <c r="G517" s="292"/>
      <c r="H517" s="293"/>
      <c r="I517" s="216"/>
    </row>
    <row r="518" spans="1:9" ht="33" customHeight="1" x14ac:dyDescent="0.45">
      <c r="C518" s="190"/>
    </row>
    <row r="519" spans="1:9" ht="13.9" customHeight="1" x14ac:dyDescent="0.45"/>
    <row r="520" spans="1:9" ht="23.25" x14ac:dyDescent="0.45">
      <c r="B520" s="260"/>
      <c r="C520" s="241"/>
      <c r="D520" s="241"/>
      <c r="E520" s="241"/>
    </row>
    <row r="521" spans="1:9" ht="29.25" x14ac:dyDescent="0.45">
      <c r="A521" s="662" t="s">
        <v>659</v>
      </c>
      <c r="B521" s="320"/>
      <c r="C521" s="254"/>
      <c r="D521" s="254"/>
      <c r="E521" s="598"/>
      <c r="I521" s="600">
        <f>I499+1</f>
        <v>46160</v>
      </c>
    </row>
    <row r="523" spans="1:9" ht="90" x14ac:dyDescent="0.45">
      <c r="A523" s="322" t="s">
        <v>324</v>
      </c>
      <c r="B523" s="325" t="s">
        <v>0</v>
      </c>
      <c r="C523" s="332" t="s">
        <v>25</v>
      </c>
      <c r="D523" s="291" t="s">
        <v>26</v>
      </c>
      <c r="E523" s="291" t="s">
        <v>662</v>
      </c>
      <c r="F523" s="291" t="s">
        <v>708</v>
      </c>
      <c r="G523" s="291" t="s">
        <v>1</v>
      </c>
      <c r="H523" s="291" t="s">
        <v>328</v>
      </c>
      <c r="I523" s="291"/>
    </row>
    <row r="524" spans="1:9" ht="34.15" x14ac:dyDescent="0.45">
      <c r="A524" s="342" t="s">
        <v>501</v>
      </c>
      <c r="B524" s="330">
        <v>0.2326388888888889</v>
      </c>
      <c r="C524" s="343" t="s">
        <v>378</v>
      </c>
      <c r="D524" s="554" t="s">
        <v>700</v>
      </c>
      <c r="E524" s="555" t="s">
        <v>503</v>
      </c>
      <c r="F524" s="291"/>
      <c r="G524" s="291"/>
      <c r="H524" s="291"/>
      <c r="I524" s="341"/>
    </row>
    <row r="525" spans="1:9" ht="33.4" customHeight="1" x14ac:dyDescent="0.45">
      <c r="A525" s="342" t="s">
        <v>376</v>
      </c>
      <c r="B525" s="330">
        <v>0.23958333333333334</v>
      </c>
      <c r="C525" s="343" t="s">
        <v>414</v>
      </c>
      <c r="D525" s="554" t="s">
        <v>702</v>
      </c>
      <c r="E525" s="555" t="s">
        <v>503</v>
      </c>
      <c r="F525" s="291"/>
      <c r="G525" s="291"/>
      <c r="H525" s="291"/>
      <c r="I525" s="341"/>
    </row>
    <row r="526" spans="1:9" ht="33.4" customHeight="1" x14ac:dyDescent="0.45">
      <c r="A526" s="342" t="s">
        <v>501</v>
      </c>
      <c r="B526" s="330">
        <v>0.25</v>
      </c>
      <c r="C526" s="343" t="s">
        <v>384</v>
      </c>
      <c r="D526" s="554" t="s">
        <v>701</v>
      </c>
      <c r="E526" s="555" t="s">
        <v>503</v>
      </c>
      <c r="F526" s="291"/>
      <c r="G526" s="291"/>
      <c r="H526" s="291"/>
      <c r="I526" s="341"/>
    </row>
    <row r="527" spans="1:9" ht="33.4" customHeight="1" x14ac:dyDescent="0.45">
      <c r="A527" s="342" t="s">
        <v>501</v>
      </c>
      <c r="B527" s="330">
        <v>0.27083333333333331</v>
      </c>
      <c r="C527" s="343" t="s">
        <v>378</v>
      </c>
      <c r="D527" s="554" t="s">
        <v>700</v>
      </c>
      <c r="E527" s="555" t="s">
        <v>503</v>
      </c>
      <c r="F527" s="291"/>
      <c r="G527" s="291"/>
      <c r="H527" s="291"/>
      <c r="I527" s="323" t="s">
        <v>347</v>
      </c>
    </row>
    <row r="528" spans="1:9" ht="33.4" customHeight="1" x14ac:dyDescent="0.45">
      <c r="A528" s="342" t="s">
        <v>376</v>
      </c>
      <c r="B528" s="330">
        <v>0.27083333333333331</v>
      </c>
      <c r="C528" s="343" t="s">
        <v>384</v>
      </c>
      <c r="D528" s="554" t="s">
        <v>701</v>
      </c>
      <c r="E528" s="555" t="s">
        <v>504</v>
      </c>
      <c r="F528" s="292" t="s">
        <v>709</v>
      </c>
      <c r="G528" s="292"/>
      <c r="H528" s="293"/>
      <c r="I528" s="216"/>
    </row>
    <row r="529" spans="1:9" ht="33.4" customHeight="1" x14ac:dyDescent="0.45">
      <c r="A529" s="342" t="s">
        <v>376</v>
      </c>
      <c r="B529" s="330">
        <v>0.27083333333333331</v>
      </c>
      <c r="C529" s="343" t="s">
        <v>414</v>
      </c>
      <c r="D529" s="554" t="s">
        <v>702</v>
      </c>
      <c r="E529" s="555" t="s">
        <v>688</v>
      </c>
      <c r="F529" s="292" t="s">
        <v>709</v>
      </c>
      <c r="G529" s="292"/>
      <c r="H529" s="293"/>
      <c r="I529" s="216"/>
    </row>
    <row r="530" spans="1:9" ht="33.4" customHeight="1" x14ac:dyDescent="0.45">
      <c r="A530" s="342" t="s">
        <v>501</v>
      </c>
      <c r="B530" s="330">
        <v>0.28819444444444442</v>
      </c>
      <c r="C530" s="343" t="s">
        <v>378</v>
      </c>
      <c r="D530" s="554" t="s">
        <v>700</v>
      </c>
      <c r="E530" s="555" t="s">
        <v>504</v>
      </c>
      <c r="F530" s="321" t="s">
        <v>709</v>
      </c>
      <c r="G530" s="292"/>
      <c r="H530" s="293"/>
      <c r="I530" s="323"/>
    </row>
    <row r="531" spans="1:9" ht="33.4" customHeight="1" x14ac:dyDescent="0.45">
      <c r="A531" s="342" t="s">
        <v>533</v>
      </c>
      <c r="B531" s="330">
        <v>0.28472222222222221</v>
      </c>
      <c r="C531" s="343" t="s">
        <v>414</v>
      </c>
      <c r="D531" s="554" t="s">
        <v>702</v>
      </c>
      <c r="E531" s="555" t="s">
        <v>504</v>
      </c>
      <c r="F531" s="292" t="s">
        <v>709</v>
      </c>
      <c r="G531" s="292"/>
      <c r="H531" s="293"/>
      <c r="I531" s="323" t="s">
        <v>348</v>
      </c>
    </row>
    <row r="532" spans="1:9" ht="33.4" customHeight="1" x14ac:dyDescent="0.45">
      <c r="A532" s="342" t="s">
        <v>376</v>
      </c>
      <c r="B532" s="330">
        <v>0.2951388888888889</v>
      </c>
      <c r="C532" s="343" t="s">
        <v>384</v>
      </c>
      <c r="D532" s="554" t="s">
        <v>701</v>
      </c>
      <c r="E532" s="555" t="s">
        <v>688</v>
      </c>
      <c r="F532" s="292" t="s">
        <v>709</v>
      </c>
      <c r="G532" s="292"/>
      <c r="H532" s="293"/>
      <c r="I532" s="216"/>
    </row>
    <row r="533" spans="1:9" ht="33.4" customHeight="1" x14ac:dyDescent="0.45">
      <c r="A533" s="342" t="s">
        <v>376</v>
      </c>
      <c r="B533" s="330">
        <v>0.3125</v>
      </c>
      <c r="C533" s="343" t="s">
        <v>414</v>
      </c>
      <c r="D533" s="554" t="s">
        <v>702</v>
      </c>
      <c r="E533" s="555" t="s">
        <v>504</v>
      </c>
      <c r="F533" s="292" t="s">
        <v>709</v>
      </c>
      <c r="G533" s="292"/>
      <c r="H533" s="293"/>
      <c r="I533" s="323" t="s">
        <v>350</v>
      </c>
    </row>
    <row r="534" spans="1:9" ht="33.4" customHeight="1" x14ac:dyDescent="0.45">
      <c r="A534" s="342" t="s">
        <v>501</v>
      </c>
      <c r="B534" s="330">
        <v>0.3263888888888889</v>
      </c>
      <c r="C534" s="343" t="s">
        <v>414</v>
      </c>
      <c r="D534" s="554" t="s">
        <v>702</v>
      </c>
      <c r="E534" s="555" t="s">
        <v>504</v>
      </c>
      <c r="F534" s="292"/>
      <c r="G534" s="292"/>
      <c r="H534" s="293"/>
      <c r="I534" s="323"/>
    </row>
    <row r="535" spans="1:9" ht="33.4" customHeight="1" x14ac:dyDescent="0.45">
      <c r="A535" s="342" t="s">
        <v>376</v>
      </c>
      <c r="B535" s="330">
        <v>0.3263888888888889</v>
      </c>
      <c r="C535" s="343" t="s">
        <v>378</v>
      </c>
      <c r="D535" s="554" t="s">
        <v>700</v>
      </c>
      <c r="E535" s="555" t="s">
        <v>504</v>
      </c>
      <c r="F535" s="292" t="s">
        <v>709</v>
      </c>
      <c r="G535" s="292"/>
      <c r="H535" s="293"/>
      <c r="I535" s="323"/>
    </row>
    <row r="536" spans="1:9" ht="33.4" customHeight="1" x14ac:dyDescent="0.45">
      <c r="A536" s="342" t="s">
        <v>376</v>
      </c>
      <c r="B536" s="330">
        <v>0.58333333333333337</v>
      </c>
      <c r="C536" s="343" t="s">
        <v>378</v>
      </c>
      <c r="D536" s="554" t="s">
        <v>700</v>
      </c>
      <c r="E536" s="555" t="s">
        <v>503</v>
      </c>
      <c r="F536" s="292" t="s">
        <v>709</v>
      </c>
      <c r="G536" s="292"/>
      <c r="H536" s="293"/>
      <c r="I536" s="323" t="s">
        <v>349</v>
      </c>
    </row>
    <row r="537" spans="1:9" ht="33.4" customHeight="1" x14ac:dyDescent="0.45">
      <c r="A537" s="342" t="s">
        <v>501</v>
      </c>
      <c r="B537" s="330">
        <v>0.58333333333333337</v>
      </c>
      <c r="C537" s="343" t="s">
        <v>384</v>
      </c>
      <c r="D537" s="554" t="s">
        <v>701</v>
      </c>
      <c r="E537" s="555" t="s">
        <v>504</v>
      </c>
      <c r="F537" s="292" t="s">
        <v>709</v>
      </c>
      <c r="G537" s="292"/>
      <c r="H537" s="293"/>
      <c r="I537" s="323"/>
    </row>
    <row r="538" spans="1:9" ht="33.4" customHeight="1" x14ac:dyDescent="0.45">
      <c r="A538" s="342" t="s">
        <v>376</v>
      </c>
      <c r="B538" s="330">
        <v>0.61458333333333337</v>
      </c>
      <c r="C538" s="343" t="s">
        <v>378</v>
      </c>
      <c r="D538" s="554" t="s">
        <v>700</v>
      </c>
      <c r="E538" s="555" t="s">
        <v>503</v>
      </c>
      <c r="F538" s="292" t="s">
        <v>709</v>
      </c>
      <c r="G538" s="292"/>
      <c r="H538" s="293"/>
      <c r="I538" s="323"/>
    </row>
    <row r="539" spans="1:9" ht="33.4" customHeight="1" x14ac:dyDescent="0.45">
      <c r="A539" s="342" t="s">
        <v>376</v>
      </c>
      <c r="B539" s="330">
        <v>0.61805555555555558</v>
      </c>
      <c r="C539" s="343" t="s">
        <v>384</v>
      </c>
      <c r="D539" s="554" t="s">
        <v>701</v>
      </c>
      <c r="E539" s="555" t="s">
        <v>503</v>
      </c>
      <c r="F539" s="292" t="s">
        <v>709</v>
      </c>
      <c r="G539" s="292"/>
      <c r="H539" s="293"/>
      <c r="I539" s="323"/>
    </row>
    <row r="540" spans="1:9" ht="33.4" customHeight="1" x14ac:dyDescent="0.45">
      <c r="A540" s="342" t="s">
        <v>501</v>
      </c>
      <c r="B540" s="330">
        <v>0.625</v>
      </c>
      <c r="C540" s="343" t="s">
        <v>414</v>
      </c>
      <c r="D540" s="554" t="s">
        <v>702</v>
      </c>
      <c r="E540" s="555" t="s">
        <v>504</v>
      </c>
      <c r="F540" s="292" t="s">
        <v>709</v>
      </c>
      <c r="G540" s="292"/>
      <c r="H540" s="293"/>
      <c r="I540" s="216"/>
    </row>
    <row r="541" spans="1:9" ht="33.4" customHeight="1" x14ac:dyDescent="0.45">
      <c r="A541" s="342" t="s">
        <v>376</v>
      </c>
      <c r="B541" s="330">
        <v>0.63888888888888884</v>
      </c>
      <c r="C541" s="343" t="s">
        <v>378</v>
      </c>
      <c r="D541" s="554" t="s">
        <v>700</v>
      </c>
      <c r="E541" s="555" t="s">
        <v>503</v>
      </c>
      <c r="F541" s="292" t="s">
        <v>709</v>
      </c>
      <c r="G541" s="292"/>
      <c r="H541" s="293"/>
      <c r="I541" s="216"/>
    </row>
    <row r="542" spans="1:9" ht="33.4" customHeight="1" x14ac:dyDescent="0.45">
      <c r="A542" s="342" t="s">
        <v>376</v>
      </c>
      <c r="B542" s="330">
        <v>0.65972222222222221</v>
      </c>
      <c r="C542" s="343" t="s">
        <v>414</v>
      </c>
      <c r="D542" s="554" t="s">
        <v>702</v>
      </c>
      <c r="E542" s="555" t="s">
        <v>503</v>
      </c>
      <c r="F542" s="292" t="s">
        <v>709</v>
      </c>
      <c r="G542" s="292"/>
      <c r="H542" s="293"/>
      <c r="I542" s="216"/>
    </row>
    <row r="543" spans="1:9" ht="33.4" customHeight="1" x14ac:dyDescent="0.45">
      <c r="A543" s="342" t="s">
        <v>376</v>
      </c>
      <c r="B543" s="330">
        <v>0.6875</v>
      </c>
      <c r="C543" s="343" t="s">
        <v>414</v>
      </c>
      <c r="D543" s="554" t="s">
        <v>702</v>
      </c>
      <c r="E543" s="555" t="s">
        <v>503</v>
      </c>
      <c r="F543" s="292" t="s">
        <v>709</v>
      </c>
      <c r="G543" s="292"/>
      <c r="H543" s="293"/>
      <c r="I543" s="216"/>
    </row>
    <row r="544" spans="1:9" ht="33.4" customHeight="1" x14ac:dyDescent="0.45">
      <c r="A544" s="342" t="s">
        <v>376</v>
      </c>
      <c r="B544" s="330">
        <v>0.71180555555555558</v>
      </c>
      <c r="C544" s="343" t="s">
        <v>414</v>
      </c>
      <c r="D544" s="554" t="s">
        <v>702</v>
      </c>
      <c r="E544" s="555" t="s">
        <v>503</v>
      </c>
      <c r="F544" s="292" t="s">
        <v>709</v>
      </c>
      <c r="G544" s="292"/>
      <c r="H544" s="293"/>
      <c r="I544" s="216"/>
    </row>
    <row r="545" spans="1:9" ht="33.4" customHeight="1" x14ac:dyDescent="0.45">
      <c r="A545" s="342" t="s">
        <v>376</v>
      </c>
      <c r="B545" s="330">
        <v>0.76041666666666663</v>
      </c>
      <c r="C545" s="343" t="s">
        <v>384</v>
      </c>
      <c r="D545" s="554" t="s">
        <v>701</v>
      </c>
      <c r="E545" s="555" t="s">
        <v>504</v>
      </c>
      <c r="F545" s="292" t="s">
        <v>709</v>
      </c>
      <c r="G545" s="292"/>
      <c r="H545" s="293"/>
      <c r="I545" s="216"/>
    </row>
    <row r="546" spans="1:9" ht="33.4" customHeight="1" x14ac:dyDescent="0.45">
      <c r="A546" s="342" t="s">
        <v>501</v>
      </c>
      <c r="B546" s="330">
        <v>0.76041666666666663</v>
      </c>
      <c r="C546" s="343" t="s">
        <v>378</v>
      </c>
      <c r="D546" s="554" t="s">
        <v>700</v>
      </c>
      <c r="E546" s="555" t="s">
        <v>504</v>
      </c>
      <c r="F546" s="292" t="s">
        <v>709</v>
      </c>
      <c r="G546" s="292"/>
      <c r="H546" s="293"/>
      <c r="I546" s="216"/>
    </row>
    <row r="547" spans="1:9" ht="33.4" customHeight="1" x14ac:dyDescent="0.45">
      <c r="A547" s="342" t="s">
        <v>376</v>
      </c>
      <c r="B547" s="330">
        <v>0.78125</v>
      </c>
      <c r="C547" s="343" t="s">
        <v>378</v>
      </c>
      <c r="D547" s="554" t="s">
        <v>700</v>
      </c>
      <c r="E547" s="555" t="s">
        <v>503</v>
      </c>
      <c r="F547" s="292" t="s">
        <v>709</v>
      </c>
      <c r="G547" s="292"/>
      <c r="H547" s="293"/>
      <c r="I547" s="216"/>
    </row>
    <row r="548" spans="1:9" ht="33.4" customHeight="1" x14ac:dyDescent="0.45">
      <c r="A548" s="342" t="s">
        <v>501</v>
      </c>
      <c r="B548" s="330">
        <v>0.78125</v>
      </c>
      <c r="C548" s="343" t="s">
        <v>384</v>
      </c>
      <c r="D548" s="554" t="s">
        <v>701</v>
      </c>
      <c r="E548" s="555" t="s">
        <v>504</v>
      </c>
      <c r="F548" s="292" t="s">
        <v>709</v>
      </c>
      <c r="G548" s="292"/>
      <c r="H548" s="293"/>
      <c r="I548" s="216"/>
    </row>
    <row r="549" spans="1:9" ht="33.4" customHeight="1" x14ac:dyDescent="0.45">
      <c r="A549" s="342" t="s">
        <v>376</v>
      </c>
      <c r="B549" s="330">
        <v>0.80208333333333337</v>
      </c>
      <c r="C549" s="343" t="s">
        <v>384</v>
      </c>
      <c r="D549" s="554" t="s">
        <v>701</v>
      </c>
      <c r="E549" s="555" t="s">
        <v>503</v>
      </c>
      <c r="F549" s="292" t="s">
        <v>709</v>
      </c>
      <c r="G549" s="292"/>
      <c r="H549" s="293"/>
      <c r="I549" s="216"/>
    </row>
    <row r="550" spans="1:9" ht="33.4" customHeight="1" x14ac:dyDescent="0.45">
      <c r="A550" s="342" t="s">
        <v>663</v>
      </c>
      <c r="B550" s="330">
        <v>0.80902777777777779</v>
      </c>
      <c r="C550" s="343" t="s">
        <v>378</v>
      </c>
      <c r="D550" s="554" t="s">
        <v>700</v>
      </c>
      <c r="E550" s="555" t="s">
        <v>688</v>
      </c>
      <c r="F550" s="292" t="s">
        <v>709</v>
      </c>
      <c r="G550" s="292"/>
      <c r="H550" s="293"/>
      <c r="I550" s="216"/>
    </row>
    <row r="551" spans="1:9" ht="33.4" customHeight="1" x14ac:dyDescent="0.45">
      <c r="A551" s="342" t="s">
        <v>376</v>
      </c>
      <c r="B551" s="330">
        <v>0.82291666666666663</v>
      </c>
      <c r="C551" s="343" t="s">
        <v>384</v>
      </c>
      <c r="D551" s="554" t="s">
        <v>701</v>
      </c>
      <c r="E551" s="555" t="s">
        <v>503</v>
      </c>
      <c r="F551" s="292" t="s">
        <v>709</v>
      </c>
      <c r="G551" s="292"/>
      <c r="H551" s="293"/>
      <c r="I551" s="216"/>
    </row>
    <row r="552" spans="1:9" ht="33.4" customHeight="1" x14ac:dyDescent="0.45">
      <c r="C552" s="190"/>
    </row>
    <row r="554" spans="1:9" ht="23.25" x14ac:dyDescent="0.45">
      <c r="B554" s="260"/>
      <c r="C554" s="241"/>
      <c r="D554" s="241"/>
      <c r="E554" s="241"/>
      <c r="I554" s="600">
        <f>I521+1</f>
        <v>46161</v>
      </c>
    </row>
    <row r="555" spans="1:9" ht="29.25" x14ac:dyDescent="0.45">
      <c r="A555" s="662" t="s">
        <v>659</v>
      </c>
      <c r="B555" s="320"/>
      <c r="C555" s="254"/>
      <c r="D555" s="254"/>
      <c r="E555" s="598"/>
    </row>
    <row r="557" spans="1:9" ht="90" x14ac:dyDescent="0.45">
      <c r="A557" s="322" t="s">
        <v>324</v>
      </c>
      <c r="B557" s="325" t="s">
        <v>0</v>
      </c>
      <c r="C557" s="332" t="s">
        <v>25</v>
      </c>
      <c r="D557" s="291" t="s">
        <v>26</v>
      </c>
      <c r="E557" s="291" t="s">
        <v>662</v>
      </c>
      <c r="F557" s="291" t="s">
        <v>708</v>
      </c>
      <c r="G557" s="291" t="s">
        <v>1</v>
      </c>
      <c r="H557" s="291" t="s">
        <v>328</v>
      </c>
      <c r="I557" s="291"/>
    </row>
    <row r="558" spans="1:9" ht="34.15" x14ac:dyDescent="0.45">
      <c r="A558" s="342" t="s">
        <v>501</v>
      </c>
      <c r="B558" s="330">
        <v>0.2326388888888889</v>
      </c>
      <c r="C558" s="343" t="s">
        <v>378</v>
      </c>
      <c r="D558" s="554" t="s">
        <v>700</v>
      </c>
      <c r="E558" s="555" t="s">
        <v>503</v>
      </c>
      <c r="F558" s="291"/>
      <c r="G558" s="291"/>
      <c r="H558" s="291"/>
      <c r="I558" s="341"/>
    </row>
    <row r="559" spans="1:9" ht="33" customHeight="1" x14ac:dyDescent="0.45">
      <c r="A559" s="342" t="s">
        <v>376</v>
      </c>
      <c r="B559" s="330">
        <v>0.23958333333333334</v>
      </c>
      <c r="C559" s="343" t="s">
        <v>414</v>
      </c>
      <c r="D559" s="554" t="s">
        <v>702</v>
      </c>
      <c r="E559" s="555" t="s">
        <v>503</v>
      </c>
      <c r="F559" s="291"/>
      <c r="G559" s="291"/>
      <c r="H559" s="291"/>
      <c r="I559" s="341"/>
    </row>
    <row r="560" spans="1:9" ht="33" customHeight="1" x14ac:dyDescent="0.45">
      <c r="A560" s="342" t="s">
        <v>501</v>
      </c>
      <c r="B560" s="330">
        <v>0.25</v>
      </c>
      <c r="C560" s="343" t="s">
        <v>384</v>
      </c>
      <c r="D560" s="554" t="s">
        <v>701</v>
      </c>
      <c r="E560" s="555" t="s">
        <v>503</v>
      </c>
      <c r="F560" s="291"/>
      <c r="G560" s="291"/>
      <c r="H560" s="291"/>
      <c r="I560" s="341"/>
    </row>
    <row r="561" spans="1:9" ht="33" customHeight="1" x14ac:dyDescent="0.45">
      <c r="A561" s="342" t="s">
        <v>501</v>
      </c>
      <c r="B561" s="330">
        <v>0.27083333333333331</v>
      </c>
      <c r="C561" s="343" t="s">
        <v>378</v>
      </c>
      <c r="D561" s="554" t="s">
        <v>700</v>
      </c>
      <c r="E561" s="555" t="s">
        <v>503</v>
      </c>
      <c r="F561" s="291"/>
      <c r="G561" s="291"/>
      <c r="H561" s="291"/>
      <c r="I561" s="323" t="s">
        <v>347</v>
      </c>
    </row>
    <row r="562" spans="1:9" ht="33" customHeight="1" x14ac:dyDescent="0.45">
      <c r="A562" s="342" t="s">
        <v>376</v>
      </c>
      <c r="B562" s="330">
        <v>0.27083333333333331</v>
      </c>
      <c r="C562" s="343" t="s">
        <v>384</v>
      </c>
      <c r="D562" s="554" t="s">
        <v>701</v>
      </c>
      <c r="E562" s="555" t="s">
        <v>504</v>
      </c>
      <c r="F562" s="292" t="s">
        <v>709</v>
      </c>
      <c r="G562" s="292"/>
      <c r="H562" s="293"/>
      <c r="I562" s="216"/>
    </row>
    <row r="563" spans="1:9" ht="33" customHeight="1" x14ac:dyDescent="0.45">
      <c r="A563" s="342" t="s">
        <v>376</v>
      </c>
      <c r="B563" s="330">
        <v>0.27083333333333331</v>
      </c>
      <c r="C563" s="343" t="s">
        <v>414</v>
      </c>
      <c r="D563" s="554" t="s">
        <v>702</v>
      </c>
      <c r="E563" s="555" t="s">
        <v>688</v>
      </c>
      <c r="F563" s="292" t="s">
        <v>709</v>
      </c>
      <c r="G563" s="292"/>
      <c r="H563" s="293"/>
      <c r="I563" s="216"/>
    </row>
    <row r="564" spans="1:9" ht="33" customHeight="1" x14ac:dyDescent="0.45">
      <c r="A564" s="342" t="s">
        <v>501</v>
      </c>
      <c r="B564" s="330">
        <v>0.28819444444444442</v>
      </c>
      <c r="C564" s="343" t="s">
        <v>378</v>
      </c>
      <c r="D564" s="554" t="s">
        <v>700</v>
      </c>
      <c r="E564" s="555" t="s">
        <v>504</v>
      </c>
      <c r="F564" s="321" t="s">
        <v>709</v>
      </c>
      <c r="G564" s="292"/>
      <c r="H564" s="293"/>
      <c r="I564" s="323"/>
    </row>
    <row r="565" spans="1:9" ht="33" customHeight="1" x14ac:dyDescent="0.45">
      <c r="A565" s="342" t="s">
        <v>533</v>
      </c>
      <c r="B565" s="330">
        <v>0.28472222222222221</v>
      </c>
      <c r="C565" s="343" t="s">
        <v>414</v>
      </c>
      <c r="D565" s="554" t="s">
        <v>702</v>
      </c>
      <c r="E565" s="555" t="s">
        <v>504</v>
      </c>
      <c r="F565" s="292" t="s">
        <v>709</v>
      </c>
      <c r="G565" s="292"/>
      <c r="H565" s="293"/>
      <c r="I565" s="323" t="s">
        <v>348</v>
      </c>
    </row>
    <row r="566" spans="1:9" ht="33" customHeight="1" x14ac:dyDescent="0.45">
      <c r="A566" s="342" t="s">
        <v>376</v>
      </c>
      <c r="B566" s="330">
        <v>0.2951388888888889</v>
      </c>
      <c r="C566" s="343" t="s">
        <v>384</v>
      </c>
      <c r="D566" s="554" t="s">
        <v>701</v>
      </c>
      <c r="E566" s="555" t="s">
        <v>688</v>
      </c>
      <c r="F566" s="292" t="s">
        <v>709</v>
      </c>
      <c r="G566" s="292"/>
      <c r="H566" s="293"/>
      <c r="I566" s="216"/>
    </row>
    <row r="567" spans="1:9" ht="33" customHeight="1" x14ac:dyDescent="0.45">
      <c r="A567" s="342" t="s">
        <v>376</v>
      </c>
      <c r="B567" s="330">
        <v>0.3125</v>
      </c>
      <c r="C567" s="343" t="s">
        <v>414</v>
      </c>
      <c r="D567" s="554" t="s">
        <v>702</v>
      </c>
      <c r="E567" s="555" t="s">
        <v>504</v>
      </c>
      <c r="F567" s="292" t="s">
        <v>709</v>
      </c>
      <c r="G567" s="292"/>
      <c r="H567" s="293"/>
      <c r="I567" s="323" t="s">
        <v>350</v>
      </c>
    </row>
    <row r="568" spans="1:9" ht="33" customHeight="1" x14ac:dyDescent="0.45">
      <c r="A568" s="342" t="s">
        <v>501</v>
      </c>
      <c r="B568" s="330">
        <v>0.3263888888888889</v>
      </c>
      <c r="C568" s="343" t="s">
        <v>414</v>
      </c>
      <c r="D568" s="554" t="s">
        <v>702</v>
      </c>
      <c r="E568" s="555" t="s">
        <v>504</v>
      </c>
      <c r="F568" s="292"/>
      <c r="G568" s="292"/>
      <c r="H568" s="293"/>
      <c r="I568" s="323"/>
    </row>
    <row r="569" spans="1:9" ht="33" customHeight="1" x14ac:dyDescent="0.45">
      <c r="A569" s="342" t="s">
        <v>376</v>
      </c>
      <c r="B569" s="330">
        <v>0.3263888888888889</v>
      </c>
      <c r="C569" s="343" t="s">
        <v>378</v>
      </c>
      <c r="D569" s="554" t="s">
        <v>700</v>
      </c>
      <c r="E569" s="555" t="s">
        <v>504</v>
      </c>
      <c r="F569" s="292" t="s">
        <v>709</v>
      </c>
      <c r="G569" s="292"/>
      <c r="H569" s="293"/>
      <c r="I569" s="323"/>
    </row>
    <row r="570" spans="1:9" ht="33" customHeight="1" x14ac:dyDescent="0.45">
      <c r="A570" s="342" t="s">
        <v>376</v>
      </c>
      <c r="B570" s="330">
        <v>0.58333333333333337</v>
      </c>
      <c r="C570" s="343" t="s">
        <v>378</v>
      </c>
      <c r="D570" s="554" t="s">
        <v>700</v>
      </c>
      <c r="E570" s="555" t="s">
        <v>503</v>
      </c>
      <c r="F570" s="292" t="s">
        <v>709</v>
      </c>
      <c r="G570" s="292"/>
      <c r="H570" s="293"/>
      <c r="I570" s="323" t="s">
        <v>349</v>
      </c>
    </row>
    <row r="571" spans="1:9" ht="34.15" x14ac:dyDescent="0.45">
      <c r="A571" s="342" t="s">
        <v>501</v>
      </c>
      <c r="B571" s="330">
        <v>0.58333333333333337</v>
      </c>
      <c r="C571" s="343" t="s">
        <v>384</v>
      </c>
      <c r="D571" s="554" t="s">
        <v>701</v>
      </c>
      <c r="E571" s="555" t="s">
        <v>504</v>
      </c>
      <c r="F571" s="292" t="s">
        <v>709</v>
      </c>
      <c r="G571" s="292"/>
      <c r="H571" s="293"/>
      <c r="I571" s="323"/>
    </row>
    <row r="572" spans="1:9" ht="34.15" x14ac:dyDescent="0.45">
      <c r="A572" s="342" t="s">
        <v>376</v>
      </c>
      <c r="B572" s="330">
        <v>0.61458333333333337</v>
      </c>
      <c r="C572" s="343" t="s">
        <v>378</v>
      </c>
      <c r="D572" s="554" t="s">
        <v>700</v>
      </c>
      <c r="E572" s="555" t="s">
        <v>503</v>
      </c>
      <c r="F572" s="292" t="s">
        <v>709</v>
      </c>
      <c r="G572" s="292"/>
      <c r="H572" s="293"/>
      <c r="I572" s="323"/>
    </row>
    <row r="573" spans="1:9" ht="34.15" x14ac:dyDescent="0.45">
      <c r="A573" s="342" t="s">
        <v>376</v>
      </c>
      <c r="B573" s="330">
        <v>0.61805555555555558</v>
      </c>
      <c r="C573" s="343" t="s">
        <v>384</v>
      </c>
      <c r="D573" s="554" t="s">
        <v>701</v>
      </c>
      <c r="E573" s="555" t="s">
        <v>503</v>
      </c>
      <c r="F573" s="292" t="s">
        <v>709</v>
      </c>
      <c r="G573" s="292"/>
      <c r="H573" s="293"/>
      <c r="I573" s="323"/>
    </row>
    <row r="574" spans="1:9" ht="34.15" x14ac:dyDescent="0.45">
      <c r="A574" s="342" t="s">
        <v>501</v>
      </c>
      <c r="B574" s="330">
        <v>0.625</v>
      </c>
      <c r="C574" s="343" t="s">
        <v>414</v>
      </c>
      <c r="D574" s="554" t="s">
        <v>702</v>
      </c>
      <c r="E574" s="555" t="s">
        <v>504</v>
      </c>
      <c r="F574" s="292" t="s">
        <v>709</v>
      </c>
      <c r="G574" s="292"/>
      <c r="H574" s="293"/>
      <c r="I574" s="216"/>
    </row>
    <row r="575" spans="1:9" ht="34.15" x14ac:dyDescent="0.45">
      <c r="A575" s="342" t="s">
        <v>376</v>
      </c>
      <c r="B575" s="330">
        <v>0.63888888888888884</v>
      </c>
      <c r="C575" s="343" t="s">
        <v>378</v>
      </c>
      <c r="D575" s="554" t="s">
        <v>700</v>
      </c>
      <c r="E575" s="555" t="s">
        <v>503</v>
      </c>
      <c r="F575" s="292" t="s">
        <v>709</v>
      </c>
      <c r="G575" s="292"/>
      <c r="H575" s="293"/>
      <c r="I575" s="216"/>
    </row>
    <row r="576" spans="1:9" ht="34.15" x14ac:dyDescent="0.45">
      <c r="A576" s="342" t="s">
        <v>376</v>
      </c>
      <c r="B576" s="330">
        <v>0.65972222222222221</v>
      </c>
      <c r="C576" s="343" t="s">
        <v>414</v>
      </c>
      <c r="D576" s="554" t="s">
        <v>702</v>
      </c>
      <c r="E576" s="555" t="s">
        <v>503</v>
      </c>
      <c r="F576" s="292" t="s">
        <v>709</v>
      </c>
      <c r="G576" s="292"/>
      <c r="H576" s="293"/>
      <c r="I576" s="216"/>
    </row>
    <row r="577" spans="1:9" ht="34.15" x14ac:dyDescent="0.45">
      <c r="A577" s="342" t="s">
        <v>376</v>
      </c>
      <c r="B577" s="330">
        <v>0.6875</v>
      </c>
      <c r="C577" s="343" t="s">
        <v>414</v>
      </c>
      <c r="D577" s="554" t="s">
        <v>702</v>
      </c>
      <c r="E577" s="555" t="s">
        <v>503</v>
      </c>
      <c r="F577" s="292" t="s">
        <v>709</v>
      </c>
      <c r="G577" s="292"/>
      <c r="H577" s="293"/>
      <c r="I577" s="216"/>
    </row>
    <row r="578" spans="1:9" ht="34.15" x14ac:dyDescent="0.45">
      <c r="A578" s="342" t="s">
        <v>376</v>
      </c>
      <c r="B578" s="330">
        <v>0.71180555555555558</v>
      </c>
      <c r="C578" s="343" t="s">
        <v>414</v>
      </c>
      <c r="D578" s="554" t="s">
        <v>702</v>
      </c>
      <c r="E578" s="555" t="s">
        <v>503</v>
      </c>
      <c r="F578" s="292" t="s">
        <v>709</v>
      </c>
      <c r="G578" s="292"/>
      <c r="H578" s="293"/>
      <c r="I578" s="216"/>
    </row>
    <row r="579" spans="1:9" ht="34.15" x14ac:dyDescent="0.45">
      <c r="A579" s="342" t="s">
        <v>376</v>
      </c>
      <c r="B579" s="330">
        <v>0.76041666666666663</v>
      </c>
      <c r="C579" s="343" t="s">
        <v>384</v>
      </c>
      <c r="D579" s="554" t="s">
        <v>701</v>
      </c>
      <c r="E579" s="555" t="s">
        <v>504</v>
      </c>
      <c r="F579" s="292" t="s">
        <v>709</v>
      </c>
      <c r="G579" s="292"/>
      <c r="H579" s="293"/>
      <c r="I579" s="216"/>
    </row>
    <row r="580" spans="1:9" ht="34.15" x14ac:dyDescent="0.45">
      <c r="A580" s="342" t="s">
        <v>501</v>
      </c>
      <c r="B580" s="330">
        <v>0.76041666666666663</v>
      </c>
      <c r="C580" s="343" t="s">
        <v>378</v>
      </c>
      <c r="D580" s="554" t="s">
        <v>700</v>
      </c>
      <c r="E580" s="555" t="s">
        <v>504</v>
      </c>
      <c r="F580" s="292" t="s">
        <v>709</v>
      </c>
      <c r="G580" s="292"/>
      <c r="H580" s="293"/>
      <c r="I580" s="216"/>
    </row>
    <row r="581" spans="1:9" ht="34.15" x14ac:dyDescent="0.45">
      <c r="A581" s="342" t="s">
        <v>376</v>
      </c>
      <c r="B581" s="330">
        <v>0.78125</v>
      </c>
      <c r="C581" s="343" t="s">
        <v>378</v>
      </c>
      <c r="D581" s="554" t="s">
        <v>700</v>
      </c>
      <c r="E581" s="555" t="s">
        <v>503</v>
      </c>
      <c r="F581" s="292" t="s">
        <v>709</v>
      </c>
      <c r="G581" s="292"/>
      <c r="H581" s="293"/>
      <c r="I581" s="216"/>
    </row>
    <row r="582" spans="1:9" ht="34.15" x14ac:dyDescent="0.45">
      <c r="A582" s="342" t="s">
        <v>501</v>
      </c>
      <c r="B582" s="330">
        <v>0.78125</v>
      </c>
      <c r="C582" s="343" t="s">
        <v>384</v>
      </c>
      <c r="D582" s="554" t="s">
        <v>701</v>
      </c>
      <c r="E582" s="555" t="s">
        <v>504</v>
      </c>
      <c r="F582" s="292" t="s">
        <v>709</v>
      </c>
      <c r="G582" s="292"/>
      <c r="H582" s="293"/>
      <c r="I582" s="216"/>
    </row>
    <row r="583" spans="1:9" ht="34.15" x14ac:dyDescent="0.45">
      <c r="A583" s="342" t="s">
        <v>376</v>
      </c>
      <c r="B583" s="330">
        <v>0.80208333333333337</v>
      </c>
      <c r="C583" s="343" t="s">
        <v>384</v>
      </c>
      <c r="D583" s="554" t="s">
        <v>701</v>
      </c>
      <c r="E583" s="555" t="s">
        <v>503</v>
      </c>
      <c r="F583" s="292" t="s">
        <v>709</v>
      </c>
      <c r="G583" s="292"/>
      <c r="H583" s="293"/>
      <c r="I583" s="216"/>
    </row>
    <row r="584" spans="1:9" ht="34.15" x14ac:dyDescent="0.45">
      <c r="A584" s="342" t="s">
        <v>663</v>
      </c>
      <c r="B584" s="330">
        <v>0.80902777777777779</v>
      </c>
      <c r="C584" s="343" t="s">
        <v>378</v>
      </c>
      <c r="D584" s="554" t="s">
        <v>700</v>
      </c>
      <c r="E584" s="555" t="s">
        <v>688</v>
      </c>
      <c r="F584" s="292" t="s">
        <v>709</v>
      </c>
      <c r="G584" s="292"/>
      <c r="H584" s="293"/>
      <c r="I584" s="216"/>
    </row>
    <row r="585" spans="1:9" ht="34.15" x14ac:dyDescent="0.45">
      <c r="A585" s="342" t="s">
        <v>376</v>
      </c>
      <c r="B585" s="330">
        <v>0.82291666666666663</v>
      </c>
      <c r="C585" s="343" t="s">
        <v>384</v>
      </c>
      <c r="D585" s="554" t="s">
        <v>701</v>
      </c>
      <c r="E585" s="555" t="s">
        <v>503</v>
      </c>
      <c r="F585" s="292" t="s">
        <v>709</v>
      </c>
      <c r="G585" s="292"/>
      <c r="H585" s="293"/>
      <c r="I585" s="216"/>
    </row>
    <row r="586" spans="1:9" x14ac:dyDescent="0.45">
      <c r="C586" s="190"/>
    </row>
    <row r="588" spans="1:9" ht="23.25" x14ac:dyDescent="0.45">
      <c r="B588" s="260"/>
      <c r="C588" s="241"/>
      <c r="D588" s="241"/>
      <c r="E588" s="241"/>
    </row>
    <row r="589" spans="1:9" ht="29.25" x14ac:dyDescent="0.45">
      <c r="A589" s="662" t="s">
        <v>659</v>
      </c>
      <c r="B589" s="320"/>
      <c r="C589" s="254"/>
      <c r="D589" s="254"/>
      <c r="E589" s="598"/>
      <c r="I589" s="600">
        <f>I554+1</f>
        <v>46162</v>
      </c>
    </row>
    <row r="591" spans="1:9" ht="90" x14ac:dyDescent="0.45">
      <c r="A591" s="322" t="s">
        <v>324</v>
      </c>
      <c r="B591" s="325" t="s">
        <v>0</v>
      </c>
      <c r="C591" s="332" t="s">
        <v>25</v>
      </c>
      <c r="D591" s="291" t="s">
        <v>26</v>
      </c>
      <c r="E591" s="291" t="s">
        <v>662</v>
      </c>
      <c r="F591" s="291" t="s">
        <v>708</v>
      </c>
      <c r="G591" s="291" t="s">
        <v>1</v>
      </c>
      <c r="H591" s="291" t="s">
        <v>328</v>
      </c>
      <c r="I591" s="291"/>
    </row>
    <row r="592" spans="1:9" ht="34.15" x14ac:dyDescent="0.45">
      <c r="A592" s="342" t="s">
        <v>501</v>
      </c>
      <c r="B592" s="330">
        <v>0.2326388888888889</v>
      </c>
      <c r="C592" s="343" t="s">
        <v>378</v>
      </c>
      <c r="D592" s="554" t="s">
        <v>700</v>
      </c>
      <c r="E592" s="555" t="s">
        <v>503</v>
      </c>
      <c r="F592" s="291"/>
      <c r="G592" s="291"/>
      <c r="H592" s="291"/>
      <c r="I592" s="341"/>
    </row>
    <row r="593" spans="1:9" ht="33" customHeight="1" x14ac:dyDescent="0.45">
      <c r="A593" s="342" t="s">
        <v>376</v>
      </c>
      <c r="B593" s="330">
        <v>0.23958333333333334</v>
      </c>
      <c r="C593" s="343" t="s">
        <v>414</v>
      </c>
      <c r="D593" s="554" t="s">
        <v>702</v>
      </c>
      <c r="E593" s="555" t="s">
        <v>503</v>
      </c>
      <c r="F593" s="291"/>
      <c r="G593" s="291"/>
      <c r="H593" s="291"/>
      <c r="I593" s="341"/>
    </row>
    <row r="594" spans="1:9" ht="33" customHeight="1" x14ac:dyDescent="0.45">
      <c r="A594" s="342" t="s">
        <v>501</v>
      </c>
      <c r="B594" s="330">
        <v>0.25</v>
      </c>
      <c r="C594" s="343" t="s">
        <v>384</v>
      </c>
      <c r="D594" s="554" t="s">
        <v>701</v>
      </c>
      <c r="E594" s="555" t="s">
        <v>503</v>
      </c>
      <c r="F594" s="291"/>
      <c r="G594" s="291"/>
      <c r="H594" s="291"/>
      <c r="I594" s="341"/>
    </row>
    <row r="595" spans="1:9" ht="33" customHeight="1" x14ac:dyDescent="0.45">
      <c r="A595" s="342" t="s">
        <v>501</v>
      </c>
      <c r="B595" s="330">
        <v>0.27083333333333331</v>
      </c>
      <c r="C595" s="343" t="s">
        <v>378</v>
      </c>
      <c r="D595" s="554" t="s">
        <v>700</v>
      </c>
      <c r="E595" s="555" t="s">
        <v>503</v>
      </c>
      <c r="F595" s="291"/>
      <c r="G595" s="291"/>
      <c r="H595" s="291"/>
      <c r="I595" s="323" t="s">
        <v>347</v>
      </c>
    </row>
    <row r="596" spans="1:9" ht="33" customHeight="1" x14ac:dyDescent="0.45">
      <c r="A596" s="342" t="s">
        <v>376</v>
      </c>
      <c r="B596" s="330">
        <v>0.27083333333333331</v>
      </c>
      <c r="C596" s="343" t="s">
        <v>384</v>
      </c>
      <c r="D596" s="554" t="s">
        <v>701</v>
      </c>
      <c r="E596" s="555" t="s">
        <v>504</v>
      </c>
      <c r="F596" s="292" t="s">
        <v>709</v>
      </c>
      <c r="G596" s="292"/>
      <c r="H596" s="293"/>
      <c r="I596" s="216"/>
    </row>
    <row r="597" spans="1:9" ht="33" customHeight="1" x14ac:dyDescent="0.45">
      <c r="A597" s="342" t="s">
        <v>376</v>
      </c>
      <c r="B597" s="330">
        <v>0.27083333333333331</v>
      </c>
      <c r="C597" s="343" t="s">
        <v>414</v>
      </c>
      <c r="D597" s="554" t="s">
        <v>702</v>
      </c>
      <c r="E597" s="555" t="s">
        <v>688</v>
      </c>
      <c r="F597" s="292" t="s">
        <v>709</v>
      </c>
      <c r="G597" s="292"/>
      <c r="H597" s="293"/>
      <c r="I597" s="216"/>
    </row>
    <row r="598" spans="1:9" ht="33" customHeight="1" x14ac:dyDescent="0.45">
      <c r="A598" s="342" t="s">
        <v>501</v>
      </c>
      <c r="B598" s="330">
        <v>0.28819444444444442</v>
      </c>
      <c r="C598" s="343" t="s">
        <v>378</v>
      </c>
      <c r="D598" s="554" t="s">
        <v>700</v>
      </c>
      <c r="E598" s="555" t="s">
        <v>504</v>
      </c>
      <c r="F598" s="321" t="s">
        <v>709</v>
      </c>
      <c r="G598" s="292"/>
      <c r="H598" s="293"/>
      <c r="I598" s="323"/>
    </row>
    <row r="599" spans="1:9" ht="33" customHeight="1" x14ac:dyDescent="0.45">
      <c r="A599" s="342" t="s">
        <v>533</v>
      </c>
      <c r="B599" s="330">
        <v>0.28472222222222221</v>
      </c>
      <c r="C599" s="343" t="s">
        <v>414</v>
      </c>
      <c r="D599" s="554" t="s">
        <v>702</v>
      </c>
      <c r="E599" s="555" t="s">
        <v>504</v>
      </c>
      <c r="F599" s="292" t="s">
        <v>709</v>
      </c>
      <c r="G599" s="292"/>
      <c r="H599" s="293"/>
      <c r="I599" s="323" t="s">
        <v>348</v>
      </c>
    </row>
    <row r="600" spans="1:9" ht="33" customHeight="1" x14ac:dyDescent="0.45">
      <c r="A600" s="342" t="s">
        <v>376</v>
      </c>
      <c r="B600" s="330">
        <v>0.2951388888888889</v>
      </c>
      <c r="C600" s="343" t="s">
        <v>384</v>
      </c>
      <c r="D600" s="554" t="s">
        <v>701</v>
      </c>
      <c r="E600" s="555" t="s">
        <v>688</v>
      </c>
      <c r="F600" s="292" t="s">
        <v>709</v>
      </c>
      <c r="G600" s="292"/>
      <c r="H600" s="293"/>
      <c r="I600" s="216"/>
    </row>
    <row r="601" spans="1:9" ht="33" customHeight="1" x14ac:dyDescent="0.45">
      <c r="A601" s="342" t="s">
        <v>376</v>
      </c>
      <c r="B601" s="330">
        <v>0.3125</v>
      </c>
      <c r="C601" s="343" t="s">
        <v>414</v>
      </c>
      <c r="D601" s="554" t="s">
        <v>702</v>
      </c>
      <c r="E601" s="555" t="s">
        <v>504</v>
      </c>
      <c r="F601" s="292" t="s">
        <v>709</v>
      </c>
      <c r="G601" s="292"/>
      <c r="H601" s="293"/>
      <c r="I601" s="323" t="s">
        <v>350</v>
      </c>
    </row>
    <row r="602" spans="1:9" ht="33" customHeight="1" x14ac:dyDescent="0.45">
      <c r="A602" s="342" t="s">
        <v>501</v>
      </c>
      <c r="B602" s="330">
        <v>0.3263888888888889</v>
      </c>
      <c r="C602" s="343" t="s">
        <v>414</v>
      </c>
      <c r="D602" s="554" t="s">
        <v>702</v>
      </c>
      <c r="E602" s="555" t="s">
        <v>504</v>
      </c>
      <c r="F602" s="292"/>
      <c r="G602" s="292"/>
      <c r="H602" s="293"/>
      <c r="I602" s="323"/>
    </row>
    <row r="603" spans="1:9" ht="33" customHeight="1" x14ac:dyDescent="0.45">
      <c r="A603" s="342" t="s">
        <v>376</v>
      </c>
      <c r="B603" s="330">
        <v>0.3263888888888889</v>
      </c>
      <c r="C603" s="343" t="s">
        <v>378</v>
      </c>
      <c r="D603" s="554" t="s">
        <v>700</v>
      </c>
      <c r="E603" s="555" t="s">
        <v>504</v>
      </c>
      <c r="F603" s="292" t="s">
        <v>709</v>
      </c>
      <c r="G603" s="292"/>
      <c r="H603" s="293"/>
      <c r="I603" s="323"/>
    </row>
    <row r="604" spans="1:9" ht="33" customHeight="1" x14ac:dyDescent="0.45">
      <c r="A604" s="342" t="s">
        <v>376</v>
      </c>
      <c r="B604" s="330">
        <v>0.58333333333333337</v>
      </c>
      <c r="C604" s="343" t="s">
        <v>378</v>
      </c>
      <c r="D604" s="554" t="s">
        <v>700</v>
      </c>
      <c r="E604" s="555" t="s">
        <v>503</v>
      </c>
      <c r="F604" s="292" t="s">
        <v>709</v>
      </c>
      <c r="G604" s="292"/>
      <c r="H604" s="293"/>
      <c r="I604" s="323" t="s">
        <v>349</v>
      </c>
    </row>
    <row r="605" spans="1:9" ht="33" customHeight="1" x14ac:dyDescent="0.45">
      <c r="A605" s="342" t="s">
        <v>501</v>
      </c>
      <c r="B605" s="330">
        <v>0.58333333333333337</v>
      </c>
      <c r="C605" s="343" t="s">
        <v>384</v>
      </c>
      <c r="D605" s="554" t="s">
        <v>701</v>
      </c>
      <c r="E605" s="555" t="s">
        <v>504</v>
      </c>
      <c r="F605" s="292" t="s">
        <v>709</v>
      </c>
      <c r="G605" s="292"/>
      <c r="H605" s="293"/>
      <c r="I605" s="323"/>
    </row>
    <row r="606" spans="1:9" ht="33" customHeight="1" x14ac:dyDescent="0.45">
      <c r="A606" s="342" t="s">
        <v>376</v>
      </c>
      <c r="B606" s="330">
        <v>0.61458333333333337</v>
      </c>
      <c r="C606" s="343" t="s">
        <v>378</v>
      </c>
      <c r="D606" s="554" t="s">
        <v>700</v>
      </c>
      <c r="E606" s="555" t="s">
        <v>503</v>
      </c>
      <c r="F606" s="292" t="s">
        <v>709</v>
      </c>
      <c r="G606" s="292"/>
      <c r="H606" s="293"/>
      <c r="I606" s="323"/>
    </row>
    <row r="607" spans="1:9" ht="33" customHeight="1" x14ac:dyDescent="0.45">
      <c r="A607" s="342" t="s">
        <v>376</v>
      </c>
      <c r="B607" s="330">
        <v>0.61805555555555558</v>
      </c>
      <c r="C607" s="343" t="s">
        <v>384</v>
      </c>
      <c r="D607" s="554" t="s">
        <v>701</v>
      </c>
      <c r="E607" s="555" t="s">
        <v>503</v>
      </c>
      <c r="F607" s="292" t="s">
        <v>709</v>
      </c>
      <c r="G607" s="292"/>
      <c r="H607" s="293"/>
      <c r="I607" s="323"/>
    </row>
    <row r="608" spans="1:9" ht="33" customHeight="1" x14ac:dyDescent="0.45">
      <c r="A608" s="342" t="s">
        <v>501</v>
      </c>
      <c r="B608" s="330">
        <v>0.625</v>
      </c>
      <c r="C608" s="343" t="s">
        <v>414</v>
      </c>
      <c r="D608" s="554" t="s">
        <v>702</v>
      </c>
      <c r="E608" s="555" t="s">
        <v>504</v>
      </c>
      <c r="F608" s="292" t="s">
        <v>709</v>
      </c>
      <c r="G608" s="292"/>
      <c r="H608" s="293"/>
      <c r="I608" s="216"/>
    </row>
    <row r="609" spans="1:9" ht="33" customHeight="1" x14ac:dyDescent="0.45">
      <c r="A609" s="342" t="s">
        <v>376</v>
      </c>
      <c r="B609" s="330">
        <v>0.63888888888888884</v>
      </c>
      <c r="C609" s="343" t="s">
        <v>378</v>
      </c>
      <c r="D609" s="554" t="s">
        <v>700</v>
      </c>
      <c r="E609" s="555" t="s">
        <v>503</v>
      </c>
      <c r="F609" s="292" t="s">
        <v>709</v>
      </c>
      <c r="G609" s="292"/>
      <c r="H609" s="293"/>
      <c r="I609" s="216"/>
    </row>
    <row r="610" spans="1:9" ht="33" customHeight="1" x14ac:dyDescent="0.45">
      <c r="A610" s="342" t="s">
        <v>376</v>
      </c>
      <c r="B610" s="330">
        <v>0.65972222222222221</v>
      </c>
      <c r="C610" s="343" t="s">
        <v>414</v>
      </c>
      <c r="D610" s="554" t="s">
        <v>702</v>
      </c>
      <c r="E610" s="555" t="s">
        <v>503</v>
      </c>
      <c r="F610" s="292" t="s">
        <v>709</v>
      </c>
      <c r="G610" s="292"/>
      <c r="H610" s="293"/>
      <c r="I610" s="216"/>
    </row>
    <row r="611" spans="1:9" ht="33" customHeight="1" x14ac:dyDescent="0.45">
      <c r="A611" s="342" t="s">
        <v>376</v>
      </c>
      <c r="B611" s="330">
        <v>0.6875</v>
      </c>
      <c r="C611" s="343" t="s">
        <v>414</v>
      </c>
      <c r="D611" s="554" t="s">
        <v>702</v>
      </c>
      <c r="E611" s="555" t="s">
        <v>503</v>
      </c>
      <c r="F611" s="292" t="s">
        <v>709</v>
      </c>
      <c r="G611" s="292"/>
      <c r="H611" s="293"/>
      <c r="I611" s="216"/>
    </row>
    <row r="612" spans="1:9" ht="33" customHeight="1" x14ac:dyDescent="0.45">
      <c r="A612" s="342" t="s">
        <v>376</v>
      </c>
      <c r="B612" s="330">
        <v>0.71180555555555558</v>
      </c>
      <c r="C612" s="343" t="s">
        <v>414</v>
      </c>
      <c r="D612" s="554" t="s">
        <v>702</v>
      </c>
      <c r="E612" s="555" t="s">
        <v>503</v>
      </c>
      <c r="F612" s="292" t="s">
        <v>709</v>
      </c>
      <c r="G612" s="292"/>
      <c r="H612" s="293"/>
      <c r="I612" s="216"/>
    </row>
    <row r="613" spans="1:9" ht="33" customHeight="1" x14ac:dyDescent="0.45">
      <c r="A613" s="342" t="s">
        <v>376</v>
      </c>
      <c r="B613" s="330">
        <v>0.76041666666666663</v>
      </c>
      <c r="C613" s="343" t="s">
        <v>384</v>
      </c>
      <c r="D613" s="554" t="s">
        <v>701</v>
      </c>
      <c r="E613" s="555" t="s">
        <v>504</v>
      </c>
      <c r="F613" s="292" t="s">
        <v>709</v>
      </c>
      <c r="G613" s="292"/>
      <c r="H613" s="293"/>
      <c r="I613" s="216"/>
    </row>
    <row r="614" spans="1:9" ht="33" customHeight="1" x14ac:dyDescent="0.45">
      <c r="A614" s="342" t="s">
        <v>501</v>
      </c>
      <c r="B614" s="330">
        <v>0.76041666666666663</v>
      </c>
      <c r="C614" s="343" t="s">
        <v>378</v>
      </c>
      <c r="D614" s="554" t="s">
        <v>700</v>
      </c>
      <c r="E614" s="555" t="s">
        <v>504</v>
      </c>
      <c r="F614" s="292" t="s">
        <v>709</v>
      </c>
      <c r="G614" s="292"/>
      <c r="H614" s="293"/>
      <c r="I614" s="216"/>
    </row>
    <row r="615" spans="1:9" ht="33" customHeight="1" x14ac:dyDescent="0.45">
      <c r="A615" s="342" t="s">
        <v>376</v>
      </c>
      <c r="B615" s="330">
        <v>0.78125</v>
      </c>
      <c r="C615" s="343" t="s">
        <v>378</v>
      </c>
      <c r="D615" s="554" t="s">
        <v>700</v>
      </c>
      <c r="E615" s="555" t="s">
        <v>503</v>
      </c>
      <c r="F615" s="292" t="s">
        <v>709</v>
      </c>
      <c r="G615" s="292"/>
      <c r="H615" s="293"/>
      <c r="I615" s="216"/>
    </row>
    <row r="616" spans="1:9" ht="33" customHeight="1" x14ac:dyDescent="0.45">
      <c r="A616" s="342" t="s">
        <v>501</v>
      </c>
      <c r="B616" s="330">
        <v>0.78125</v>
      </c>
      <c r="C616" s="343" t="s">
        <v>384</v>
      </c>
      <c r="D616" s="554" t="s">
        <v>701</v>
      </c>
      <c r="E616" s="555" t="s">
        <v>504</v>
      </c>
      <c r="F616" s="292" t="s">
        <v>709</v>
      </c>
      <c r="G616" s="292"/>
      <c r="H616" s="293"/>
      <c r="I616" s="216"/>
    </row>
    <row r="617" spans="1:9" ht="33" customHeight="1" x14ac:dyDescent="0.45">
      <c r="A617" s="342" t="s">
        <v>376</v>
      </c>
      <c r="B617" s="330">
        <v>0.80208333333333337</v>
      </c>
      <c r="C617" s="343" t="s">
        <v>384</v>
      </c>
      <c r="D617" s="554" t="s">
        <v>701</v>
      </c>
      <c r="E617" s="555" t="s">
        <v>503</v>
      </c>
      <c r="F617" s="292" t="s">
        <v>709</v>
      </c>
      <c r="G617" s="292"/>
      <c r="H617" s="293"/>
      <c r="I617" s="216"/>
    </row>
    <row r="618" spans="1:9" ht="33" customHeight="1" x14ac:dyDescent="0.45">
      <c r="A618" s="342" t="s">
        <v>663</v>
      </c>
      <c r="B618" s="330">
        <v>0.80902777777777779</v>
      </c>
      <c r="C618" s="343" t="s">
        <v>378</v>
      </c>
      <c r="D618" s="554" t="s">
        <v>700</v>
      </c>
      <c r="E618" s="555" t="s">
        <v>688</v>
      </c>
      <c r="F618" s="292" t="s">
        <v>709</v>
      </c>
      <c r="G618" s="292"/>
      <c r="H618" s="293"/>
      <c r="I618" s="216"/>
    </row>
    <row r="619" spans="1:9" ht="33" customHeight="1" x14ac:dyDescent="0.45">
      <c r="A619" s="342" t="s">
        <v>376</v>
      </c>
      <c r="B619" s="330">
        <v>0.82291666666666663</v>
      </c>
      <c r="C619" s="343" t="s">
        <v>384</v>
      </c>
      <c r="D619" s="554" t="s">
        <v>701</v>
      </c>
      <c r="E619" s="555" t="s">
        <v>503</v>
      </c>
      <c r="F619" s="292" t="s">
        <v>709</v>
      </c>
      <c r="G619" s="292"/>
      <c r="H619" s="293"/>
      <c r="I619" s="216"/>
    </row>
    <row r="620" spans="1:9" x14ac:dyDescent="0.45">
      <c r="C620" s="190"/>
    </row>
    <row r="621" spans="1:9" ht="23.25" x14ac:dyDescent="0.45">
      <c r="B621" s="260"/>
      <c r="C621" s="241"/>
      <c r="D621" s="241"/>
      <c r="E621" s="241"/>
    </row>
    <row r="622" spans="1:9" ht="29.25" x14ac:dyDescent="0.45">
      <c r="A622" s="662" t="s">
        <v>659</v>
      </c>
      <c r="B622" s="320"/>
      <c r="C622" s="254"/>
      <c r="D622" s="254"/>
      <c r="E622" s="598"/>
      <c r="I622" s="600">
        <f>I589+1</f>
        <v>46163</v>
      </c>
    </row>
    <row r="624" spans="1:9" ht="90" x14ac:dyDescent="0.45">
      <c r="A624" s="322" t="s">
        <v>324</v>
      </c>
      <c r="B624" s="325" t="s">
        <v>0</v>
      </c>
      <c r="C624" s="332" t="s">
        <v>25</v>
      </c>
      <c r="D624" s="291" t="s">
        <v>26</v>
      </c>
      <c r="E624" s="291" t="s">
        <v>662</v>
      </c>
      <c r="F624" s="291" t="s">
        <v>708</v>
      </c>
      <c r="G624" s="291" t="s">
        <v>1</v>
      </c>
      <c r="H624" s="291" t="s">
        <v>328</v>
      </c>
      <c r="I624" s="291"/>
    </row>
    <row r="625" spans="1:9" ht="34.15" x14ac:dyDescent="0.45">
      <c r="A625" s="342" t="s">
        <v>501</v>
      </c>
      <c r="B625" s="330">
        <v>0.2326388888888889</v>
      </c>
      <c r="C625" s="343" t="s">
        <v>378</v>
      </c>
      <c r="D625" s="554" t="s">
        <v>700</v>
      </c>
      <c r="E625" s="555" t="s">
        <v>503</v>
      </c>
      <c r="F625" s="291"/>
      <c r="G625" s="291"/>
      <c r="H625" s="291"/>
      <c r="I625" s="341"/>
    </row>
    <row r="626" spans="1:9" ht="31.9" customHeight="1" x14ac:dyDescent="0.45">
      <c r="A626" s="342" t="s">
        <v>376</v>
      </c>
      <c r="B626" s="330">
        <v>0.23958333333333334</v>
      </c>
      <c r="C626" s="343" t="s">
        <v>414</v>
      </c>
      <c r="D626" s="554" t="s">
        <v>702</v>
      </c>
      <c r="E626" s="555" t="s">
        <v>503</v>
      </c>
      <c r="F626" s="291"/>
      <c r="G626" s="291"/>
      <c r="H626" s="291"/>
      <c r="I626" s="341"/>
    </row>
    <row r="627" spans="1:9" ht="31.9" customHeight="1" x14ac:dyDescent="0.45">
      <c r="A627" s="342" t="s">
        <v>501</v>
      </c>
      <c r="B627" s="330">
        <v>0.25</v>
      </c>
      <c r="C627" s="343" t="s">
        <v>384</v>
      </c>
      <c r="D627" s="554" t="s">
        <v>701</v>
      </c>
      <c r="E627" s="555" t="s">
        <v>503</v>
      </c>
      <c r="F627" s="291"/>
      <c r="G627" s="291"/>
      <c r="H627" s="291"/>
      <c r="I627" s="341"/>
    </row>
    <row r="628" spans="1:9" ht="31.9" customHeight="1" x14ac:dyDescent="0.45">
      <c r="A628" s="342" t="s">
        <v>501</v>
      </c>
      <c r="B628" s="330">
        <v>0.27083333333333331</v>
      </c>
      <c r="C628" s="343" t="s">
        <v>378</v>
      </c>
      <c r="D628" s="554" t="s">
        <v>700</v>
      </c>
      <c r="E628" s="555" t="s">
        <v>503</v>
      </c>
      <c r="F628" s="291"/>
      <c r="G628" s="291"/>
      <c r="H628" s="291"/>
      <c r="I628" s="323" t="s">
        <v>347</v>
      </c>
    </row>
    <row r="629" spans="1:9" ht="31.9" customHeight="1" x14ac:dyDescent="0.45">
      <c r="A629" s="342" t="s">
        <v>376</v>
      </c>
      <c r="B629" s="330">
        <v>0.27083333333333331</v>
      </c>
      <c r="C629" s="343" t="s">
        <v>384</v>
      </c>
      <c r="D629" s="554" t="s">
        <v>701</v>
      </c>
      <c r="E629" s="555" t="s">
        <v>504</v>
      </c>
      <c r="F629" s="292" t="s">
        <v>709</v>
      </c>
      <c r="G629" s="292"/>
      <c r="H629" s="293"/>
      <c r="I629" s="216"/>
    </row>
    <row r="630" spans="1:9" ht="31.9" customHeight="1" x14ac:dyDescent="0.45">
      <c r="A630" s="342" t="s">
        <v>376</v>
      </c>
      <c r="B630" s="330">
        <v>0.27083333333333331</v>
      </c>
      <c r="C630" s="343" t="s">
        <v>414</v>
      </c>
      <c r="D630" s="554" t="s">
        <v>702</v>
      </c>
      <c r="E630" s="555" t="s">
        <v>688</v>
      </c>
      <c r="F630" s="292" t="s">
        <v>709</v>
      </c>
      <c r="G630" s="292"/>
      <c r="H630" s="293"/>
      <c r="I630" s="216"/>
    </row>
    <row r="631" spans="1:9" ht="31.9" customHeight="1" x14ac:dyDescent="0.45">
      <c r="A631" s="342" t="s">
        <v>501</v>
      </c>
      <c r="B631" s="330">
        <v>0.28819444444444442</v>
      </c>
      <c r="C631" s="343" t="s">
        <v>378</v>
      </c>
      <c r="D631" s="554" t="s">
        <v>700</v>
      </c>
      <c r="E631" s="555" t="s">
        <v>504</v>
      </c>
      <c r="F631" s="321" t="s">
        <v>709</v>
      </c>
      <c r="G631" s="292"/>
      <c r="H631" s="293"/>
      <c r="I631" s="323"/>
    </row>
    <row r="632" spans="1:9" ht="31.9" customHeight="1" x14ac:dyDescent="0.45">
      <c r="A632" s="342" t="s">
        <v>533</v>
      </c>
      <c r="B632" s="330">
        <v>0.28472222222222221</v>
      </c>
      <c r="C632" s="343" t="s">
        <v>414</v>
      </c>
      <c r="D632" s="554" t="s">
        <v>702</v>
      </c>
      <c r="E632" s="555" t="s">
        <v>504</v>
      </c>
      <c r="F632" s="292" t="s">
        <v>709</v>
      </c>
      <c r="G632" s="292"/>
      <c r="H632" s="293"/>
      <c r="I632" s="323" t="s">
        <v>348</v>
      </c>
    </row>
    <row r="633" spans="1:9" ht="31.9" customHeight="1" x14ac:dyDescent="0.45">
      <c r="A633" s="342" t="s">
        <v>376</v>
      </c>
      <c r="B633" s="330">
        <v>0.2951388888888889</v>
      </c>
      <c r="C633" s="343" t="s">
        <v>384</v>
      </c>
      <c r="D633" s="554" t="s">
        <v>701</v>
      </c>
      <c r="E633" s="555" t="s">
        <v>688</v>
      </c>
      <c r="F633" s="292" t="s">
        <v>709</v>
      </c>
      <c r="G633" s="292"/>
      <c r="H633" s="293"/>
      <c r="I633" s="216"/>
    </row>
    <row r="634" spans="1:9" ht="31.9" customHeight="1" x14ac:dyDescent="0.45">
      <c r="A634" s="342" t="s">
        <v>376</v>
      </c>
      <c r="B634" s="330">
        <v>0.3125</v>
      </c>
      <c r="C634" s="343" t="s">
        <v>414</v>
      </c>
      <c r="D634" s="554" t="s">
        <v>702</v>
      </c>
      <c r="E634" s="555" t="s">
        <v>504</v>
      </c>
      <c r="F634" s="292" t="s">
        <v>709</v>
      </c>
      <c r="G634" s="292"/>
      <c r="H634" s="293"/>
      <c r="I634" s="323" t="s">
        <v>350</v>
      </c>
    </row>
    <row r="635" spans="1:9" ht="31.9" customHeight="1" x14ac:dyDescent="0.45">
      <c r="A635" s="342" t="s">
        <v>501</v>
      </c>
      <c r="B635" s="330">
        <v>0.3263888888888889</v>
      </c>
      <c r="C635" s="343" t="s">
        <v>414</v>
      </c>
      <c r="D635" s="554" t="s">
        <v>702</v>
      </c>
      <c r="E635" s="555" t="s">
        <v>504</v>
      </c>
      <c r="F635" s="292"/>
      <c r="G635" s="292"/>
      <c r="H635" s="293"/>
      <c r="I635" s="323"/>
    </row>
    <row r="636" spans="1:9" ht="31.9" customHeight="1" x14ac:dyDescent="0.45">
      <c r="A636" s="342" t="s">
        <v>376</v>
      </c>
      <c r="B636" s="330">
        <v>0.3263888888888889</v>
      </c>
      <c r="C636" s="343" t="s">
        <v>378</v>
      </c>
      <c r="D636" s="554" t="s">
        <v>700</v>
      </c>
      <c r="E636" s="555" t="s">
        <v>504</v>
      </c>
      <c r="F636" s="292" t="s">
        <v>709</v>
      </c>
      <c r="G636" s="292"/>
      <c r="H636" s="293"/>
      <c r="I636" s="323"/>
    </row>
    <row r="637" spans="1:9" ht="31.9" customHeight="1" x14ac:dyDescent="0.45">
      <c r="A637" s="342" t="s">
        <v>376</v>
      </c>
      <c r="B637" s="330">
        <v>0.58333333333333337</v>
      </c>
      <c r="C637" s="343" t="s">
        <v>378</v>
      </c>
      <c r="D637" s="554" t="s">
        <v>700</v>
      </c>
      <c r="E637" s="555" t="s">
        <v>503</v>
      </c>
      <c r="F637" s="292" t="s">
        <v>709</v>
      </c>
      <c r="G637" s="292"/>
      <c r="H637" s="293"/>
      <c r="I637" s="323" t="s">
        <v>349</v>
      </c>
    </row>
    <row r="638" spans="1:9" ht="31.9" customHeight="1" x14ac:dyDescent="0.45">
      <c r="A638" s="342" t="s">
        <v>501</v>
      </c>
      <c r="B638" s="330">
        <v>0.58333333333333337</v>
      </c>
      <c r="C638" s="343" t="s">
        <v>384</v>
      </c>
      <c r="D638" s="554" t="s">
        <v>701</v>
      </c>
      <c r="E638" s="555" t="s">
        <v>504</v>
      </c>
      <c r="F638" s="292" t="s">
        <v>709</v>
      </c>
      <c r="G638" s="292"/>
      <c r="H638" s="293"/>
      <c r="I638" s="323"/>
    </row>
    <row r="639" spans="1:9" ht="31.9" customHeight="1" x14ac:dyDescent="0.45">
      <c r="A639" s="342" t="s">
        <v>376</v>
      </c>
      <c r="B639" s="330">
        <v>0.61458333333333337</v>
      </c>
      <c r="C639" s="343" t="s">
        <v>378</v>
      </c>
      <c r="D639" s="554" t="s">
        <v>700</v>
      </c>
      <c r="E639" s="555" t="s">
        <v>503</v>
      </c>
      <c r="F639" s="292" t="s">
        <v>709</v>
      </c>
      <c r="G639" s="292"/>
      <c r="H639" s="293"/>
      <c r="I639" s="323"/>
    </row>
    <row r="640" spans="1:9" ht="31.9" customHeight="1" x14ac:dyDescent="0.45">
      <c r="A640" s="342" t="s">
        <v>376</v>
      </c>
      <c r="B640" s="330">
        <v>0.61805555555555558</v>
      </c>
      <c r="C640" s="343" t="s">
        <v>384</v>
      </c>
      <c r="D640" s="554" t="s">
        <v>701</v>
      </c>
      <c r="E640" s="555" t="s">
        <v>503</v>
      </c>
      <c r="F640" s="292" t="s">
        <v>709</v>
      </c>
      <c r="G640" s="292"/>
      <c r="H640" s="293"/>
      <c r="I640" s="323"/>
    </row>
    <row r="641" spans="1:9" ht="31.9" customHeight="1" x14ac:dyDescent="0.45">
      <c r="A641" s="342" t="s">
        <v>501</v>
      </c>
      <c r="B641" s="330">
        <v>0.625</v>
      </c>
      <c r="C641" s="343" t="s">
        <v>414</v>
      </c>
      <c r="D641" s="554" t="s">
        <v>702</v>
      </c>
      <c r="E641" s="555" t="s">
        <v>504</v>
      </c>
      <c r="F641" s="292" t="s">
        <v>709</v>
      </c>
      <c r="G641" s="292"/>
      <c r="H641" s="293"/>
      <c r="I641" s="216"/>
    </row>
    <row r="642" spans="1:9" ht="31.9" customHeight="1" x14ac:dyDescent="0.45">
      <c r="A642" s="342" t="s">
        <v>376</v>
      </c>
      <c r="B642" s="330">
        <v>0.63888888888888884</v>
      </c>
      <c r="C642" s="343" t="s">
        <v>378</v>
      </c>
      <c r="D642" s="554" t="s">
        <v>700</v>
      </c>
      <c r="E642" s="555" t="s">
        <v>503</v>
      </c>
      <c r="F642" s="292" t="s">
        <v>709</v>
      </c>
      <c r="G642" s="292"/>
      <c r="H642" s="293"/>
      <c r="I642" s="216"/>
    </row>
    <row r="643" spans="1:9" ht="31.9" customHeight="1" x14ac:dyDescent="0.45">
      <c r="A643" s="342" t="s">
        <v>376</v>
      </c>
      <c r="B643" s="330">
        <v>0.65972222222222221</v>
      </c>
      <c r="C643" s="343" t="s">
        <v>414</v>
      </c>
      <c r="D643" s="554" t="s">
        <v>702</v>
      </c>
      <c r="E643" s="555" t="s">
        <v>503</v>
      </c>
      <c r="F643" s="292" t="s">
        <v>709</v>
      </c>
      <c r="G643" s="292"/>
      <c r="H643" s="293"/>
      <c r="I643" s="216"/>
    </row>
    <row r="644" spans="1:9" ht="31.9" customHeight="1" x14ac:dyDescent="0.45">
      <c r="A644" s="342" t="s">
        <v>376</v>
      </c>
      <c r="B644" s="330">
        <v>0.6875</v>
      </c>
      <c r="C644" s="343" t="s">
        <v>414</v>
      </c>
      <c r="D644" s="554" t="s">
        <v>702</v>
      </c>
      <c r="E644" s="555" t="s">
        <v>503</v>
      </c>
      <c r="F644" s="292" t="s">
        <v>709</v>
      </c>
      <c r="G644" s="292"/>
      <c r="H644" s="293"/>
      <c r="I644" s="216"/>
    </row>
    <row r="645" spans="1:9" ht="31.9" customHeight="1" x14ac:dyDescent="0.45">
      <c r="A645" s="342" t="s">
        <v>376</v>
      </c>
      <c r="B645" s="330">
        <v>0.71180555555555558</v>
      </c>
      <c r="C645" s="343" t="s">
        <v>414</v>
      </c>
      <c r="D645" s="554" t="s">
        <v>702</v>
      </c>
      <c r="E645" s="555" t="s">
        <v>503</v>
      </c>
      <c r="F645" s="292" t="s">
        <v>709</v>
      </c>
      <c r="G645" s="292"/>
      <c r="H645" s="293"/>
      <c r="I645" s="216"/>
    </row>
    <row r="646" spans="1:9" ht="31.9" customHeight="1" x14ac:dyDescent="0.45">
      <c r="A646" s="342" t="s">
        <v>376</v>
      </c>
      <c r="B646" s="330">
        <v>0.76041666666666663</v>
      </c>
      <c r="C646" s="343" t="s">
        <v>384</v>
      </c>
      <c r="D646" s="554" t="s">
        <v>701</v>
      </c>
      <c r="E646" s="555" t="s">
        <v>504</v>
      </c>
      <c r="F646" s="292" t="s">
        <v>709</v>
      </c>
      <c r="G646" s="292"/>
      <c r="H646" s="293"/>
      <c r="I646" s="216"/>
    </row>
    <row r="647" spans="1:9" ht="31.9" customHeight="1" x14ac:dyDescent="0.45">
      <c r="A647" s="342" t="s">
        <v>501</v>
      </c>
      <c r="B647" s="330">
        <v>0.76041666666666663</v>
      </c>
      <c r="C647" s="343" t="s">
        <v>378</v>
      </c>
      <c r="D647" s="554" t="s">
        <v>700</v>
      </c>
      <c r="E647" s="555" t="s">
        <v>504</v>
      </c>
      <c r="F647" s="292" t="s">
        <v>709</v>
      </c>
      <c r="G647" s="292"/>
      <c r="H647" s="293"/>
      <c r="I647" s="216"/>
    </row>
    <row r="648" spans="1:9" ht="31.9" customHeight="1" x14ac:dyDescent="0.45">
      <c r="A648" s="342" t="s">
        <v>376</v>
      </c>
      <c r="B648" s="330">
        <v>0.78125</v>
      </c>
      <c r="C648" s="343" t="s">
        <v>378</v>
      </c>
      <c r="D648" s="554" t="s">
        <v>700</v>
      </c>
      <c r="E648" s="555" t="s">
        <v>503</v>
      </c>
      <c r="F648" s="292" t="s">
        <v>709</v>
      </c>
      <c r="G648" s="292"/>
      <c r="H648" s="293"/>
      <c r="I648" s="216"/>
    </row>
    <row r="649" spans="1:9" ht="31.9" customHeight="1" x14ac:dyDescent="0.45">
      <c r="A649" s="342" t="s">
        <v>501</v>
      </c>
      <c r="B649" s="330">
        <v>0.78125</v>
      </c>
      <c r="C649" s="343" t="s">
        <v>384</v>
      </c>
      <c r="D649" s="554" t="s">
        <v>701</v>
      </c>
      <c r="E649" s="555" t="s">
        <v>504</v>
      </c>
      <c r="F649" s="292" t="s">
        <v>709</v>
      </c>
      <c r="G649" s="292"/>
      <c r="H649" s="293"/>
      <c r="I649" s="216"/>
    </row>
    <row r="650" spans="1:9" ht="31.9" customHeight="1" x14ac:dyDescent="0.45">
      <c r="A650" s="342" t="s">
        <v>376</v>
      </c>
      <c r="B650" s="330">
        <v>0.80208333333333337</v>
      </c>
      <c r="C650" s="343" t="s">
        <v>384</v>
      </c>
      <c r="D650" s="554" t="s">
        <v>701</v>
      </c>
      <c r="E650" s="555" t="s">
        <v>503</v>
      </c>
      <c r="F650" s="292" t="s">
        <v>709</v>
      </c>
      <c r="G650" s="292"/>
      <c r="H650" s="293"/>
      <c r="I650" s="216"/>
    </row>
    <row r="651" spans="1:9" ht="31.9" customHeight="1" x14ac:dyDescent="0.45">
      <c r="A651" s="342" t="s">
        <v>663</v>
      </c>
      <c r="B651" s="330">
        <v>0.80902777777777779</v>
      </c>
      <c r="C651" s="343" t="s">
        <v>378</v>
      </c>
      <c r="D651" s="554" t="s">
        <v>700</v>
      </c>
      <c r="E651" s="555" t="s">
        <v>688</v>
      </c>
      <c r="F651" s="292" t="s">
        <v>709</v>
      </c>
      <c r="G651" s="292"/>
      <c r="H651" s="293"/>
      <c r="I651" s="216"/>
    </row>
    <row r="652" spans="1:9" ht="34.15" x14ac:dyDescent="0.45">
      <c r="A652" s="342" t="s">
        <v>376</v>
      </c>
      <c r="B652" s="330">
        <v>0.82291666666666663</v>
      </c>
      <c r="C652" s="343" t="s">
        <v>384</v>
      </c>
      <c r="D652" s="554" t="s">
        <v>701</v>
      </c>
      <c r="E652" s="555" t="s">
        <v>503</v>
      </c>
      <c r="F652" s="292" t="s">
        <v>709</v>
      </c>
      <c r="G652" s="292"/>
      <c r="H652" s="293"/>
      <c r="I652" s="216"/>
    </row>
    <row r="653" spans="1:9" x14ac:dyDescent="0.45">
      <c r="C653" s="190"/>
    </row>
    <row r="658" spans="1:9" ht="23.25" x14ac:dyDescent="0.45">
      <c r="B658" s="260"/>
      <c r="C658" s="241"/>
      <c r="D658" s="241"/>
      <c r="E658" s="241"/>
    </row>
    <row r="659" spans="1:9" ht="29.25" x14ac:dyDescent="0.45">
      <c r="A659" s="662" t="s">
        <v>659</v>
      </c>
      <c r="B659" s="320"/>
      <c r="C659" s="254"/>
      <c r="D659" s="254"/>
      <c r="E659" s="598"/>
      <c r="I659" s="600">
        <f>I622+1</f>
        <v>46164</v>
      </c>
    </row>
    <row r="661" spans="1:9" ht="90" x14ac:dyDescent="0.45">
      <c r="A661" s="322" t="s">
        <v>324</v>
      </c>
      <c r="B661" s="325" t="s">
        <v>0</v>
      </c>
      <c r="C661" s="332" t="s">
        <v>25</v>
      </c>
      <c r="D661" s="291" t="s">
        <v>26</v>
      </c>
      <c r="E661" s="291" t="s">
        <v>662</v>
      </c>
      <c r="F661" s="291" t="s">
        <v>708</v>
      </c>
      <c r="G661" s="291" t="s">
        <v>1</v>
      </c>
      <c r="H661" s="291" t="s">
        <v>328</v>
      </c>
      <c r="I661" s="291"/>
    </row>
    <row r="662" spans="1:9" ht="34.15" x14ac:dyDescent="0.45">
      <c r="A662" s="342" t="s">
        <v>501</v>
      </c>
      <c r="B662" s="330">
        <v>0.2326388888888889</v>
      </c>
      <c r="C662" s="343" t="s">
        <v>378</v>
      </c>
      <c r="D662" s="554" t="s">
        <v>700</v>
      </c>
      <c r="E662" s="555" t="s">
        <v>503</v>
      </c>
      <c r="F662" s="291"/>
      <c r="G662" s="291"/>
      <c r="H662" s="291"/>
      <c r="I662" s="341"/>
    </row>
    <row r="663" spans="1:9" ht="33" customHeight="1" x14ac:dyDescent="0.45">
      <c r="A663" s="342" t="s">
        <v>376</v>
      </c>
      <c r="B663" s="330">
        <v>0.23958333333333334</v>
      </c>
      <c r="C663" s="343" t="s">
        <v>414</v>
      </c>
      <c r="D663" s="554" t="s">
        <v>702</v>
      </c>
      <c r="E663" s="555" t="s">
        <v>503</v>
      </c>
      <c r="F663" s="291"/>
      <c r="G663" s="291"/>
      <c r="H663" s="291"/>
      <c r="I663" s="341"/>
    </row>
    <row r="664" spans="1:9" ht="33" customHeight="1" x14ac:dyDescent="0.45">
      <c r="A664" s="342" t="s">
        <v>501</v>
      </c>
      <c r="B664" s="330">
        <v>0.25</v>
      </c>
      <c r="C664" s="343" t="s">
        <v>384</v>
      </c>
      <c r="D664" s="554" t="s">
        <v>701</v>
      </c>
      <c r="E664" s="555" t="s">
        <v>503</v>
      </c>
      <c r="F664" s="291"/>
      <c r="G664" s="291"/>
      <c r="H664" s="291"/>
      <c r="I664" s="341"/>
    </row>
    <row r="665" spans="1:9" ht="33" customHeight="1" x14ac:dyDescent="0.45">
      <c r="A665" s="342" t="s">
        <v>501</v>
      </c>
      <c r="B665" s="330">
        <v>0.27083333333333331</v>
      </c>
      <c r="C665" s="343" t="s">
        <v>378</v>
      </c>
      <c r="D665" s="554" t="s">
        <v>700</v>
      </c>
      <c r="E665" s="555" t="s">
        <v>503</v>
      </c>
      <c r="F665" s="291"/>
      <c r="G665" s="291"/>
      <c r="H665" s="291"/>
      <c r="I665" s="323" t="s">
        <v>347</v>
      </c>
    </row>
    <row r="666" spans="1:9" ht="33" customHeight="1" x14ac:dyDescent="0.45">
      <c r="A666" s="342" t="s">
        <v>376</v>
      </c>
      <c r="B666" s="330">
        <v>0.27083333333333331</v>
      </c>
      <c r="C666" s="343" t="s">
        <v>384</v>
      </c>
      <c r="D666" s="554" t="s">
        <v>701</v>
      </c>
      <c r="E666" s="555" t="s">
        <v>504</v>
      </c>
      <c r="F666" s="292" t="s">
        <v>709</v>
      </c>
      <c r="G666" s="292"/>
      <c r="H666" s="293"/>
      <c r="I666" s="216"/>
    </row>
    <row r="667" spans="1:9" ht="33" customHeight="1" x14ac:dyDescent="0.45">
      <c r="A667" s="342" t="s">
        <v>376</v>
      </c>
      <c r="B667" s="330">
        <v>0.27083333333333331</v>
      </c>
      <c r="C667" s="343" t="s">
        <v>414</v>
      </c>
      <c r="D667" s="554" t="s">
        <v>702</v>
      </c>
      <c r="E667" s="555" t="s">
        <v>688</v>
      </c>
      <c r="F667" s="292" t="s">
        <v>709</v>
      </c>
      <c r="G667" s="292"/>
      <c r="H667" s="293"/>
      <c r="I667" s="216"/>
    </row>
    <row r="668" spans="1:9" ht="33" customHeight="1" x14ac:dyDescent="0.45">
      <c r="A668" s="342" t="s">
        <v>501</v>
      </c>
      <c r="B668" s="330">
        <v>0.28819444444444442</v>
      </c>
      <c r="C668" s="343" t="s">
        <v>378</v>
      </c>
      <c r="D668" s="554" t="s">
        <v>700</v>
      </c>
      <c r="E668" s="555" t="s">
        <v>504</v>
      </c>
      <c r="F668" s="321" t="s">
        <v>709</v>
      </c>
      <c r="G668" s="292"/>
      <c r="H668" s="293"/>
      <c r="I668" s="323"/>
    </row>
    <row r="669" spans="1:9" ht="33" customHeight="1" x14ac:dyDescent="0.45">
      <c r="A669" s="342" t="s">
        <v>533</v>
      </c>
      <c r="B669" s="330">
        <v>0.28472222222222221</v>
      </c>
      <c r="C669" s="343" t="s">
        <v>414</v>
      </c>
      <c r="D669" s="554" t="s">
        <v>702</v>
      </c>
      <c r="E669" s="555" t="s">
        <v>504</v>
      </c>
      <c r="F669" s="292" t="s">
        <v>709</v>
      </c>
      <c r="G669" s="292"/>
      <c r="H669" s="293"/>
      <c r="I669" s="323" t="s">
        <v>348</v>
      </c>
    </row>
    <row r="670" spans="1:9" ht="33" customHeight="1" x14ac:dyDescent="0.45">
      <c r="A670" s="342" t="s">
        <v>376</v>
      </c>
      <c r="B670" s="330">
        <v>0.2951388888888889</v>
      </c>
      <c r="C670" s="343" t="s">
        <v>384</v>
      </c>
      <c r="D670" s="554" t="s">
        <v>701</v>
      </c>
      <c r="E670" s="555" t="s">
        <v>688</v>
      </c>
      <c r="F670" s="292" t="s">
        <v>709</v>
      </c>
      <c r="G670" s="292"/>
      <c r="H670" s="293"/>
      <c r="I670" s="216"/>
    </row>
    <row r="671" spans="1:9" ht="33" customHeight="1" x14ac:dyDescent="0.45">
      <c r="A671" s="342" t="s">
        <v>376</v>
      </c>
      <c r="B671" s="330">
        <v>0.3125</v>
      </c>
      <c r="C671" s="343" t="s">
        <v>414</v>
      </c>
      <c r="D671" s="554" t="s">
        <v>702</v>
      </c>
      <c r="E671" s="555" t="s">
        <v>504</v>
      </c>
      <c r="F671" s="292" t="s">
        <v>709</v>
      </c>
      <c r="G671" s="292"/>
      <c r="H671" s="293"/>
      <c r="I671" s="323" t="s">
        <v>350</v>
      </c>
    </row>
    <row r="672" spans="1:9" ht="33" customHeight="1" x14ac:dyDescent="0.45">
      <c r="A672" s="342" t="s">
        <v>501</v>
      </c>
      <c r="B672" s="330">
        <v>0.3263888888888889</v>
      </c>
      <c r="C672" s="343" t="s">
        <v>414</v>
      </c>
      <c r="D672" s="554" t="s">
        <v>702</v>
      </c>
      <c r="E672" s="555" t="s">
        <v>504</v>
      </c>
      <c r="F672" s="292"/>
      <c r="G672" s="292"/>
      <c r="H672" s="293"/>
      <c r="I672" s="323"/>
    </row>
    <row r="673" spans="1:9" ht="33" customHeight="1" x14ac:dyDescent="0.45">
      <c r="A673" s="342" t="s">
        <v>376</v>
      </c>
      <c r="B673" s="330">
        <v>0.3263888888888889</v>
      </c>
      <c r="C673" s="343" t="s">
        <v>378</v>
      </c>
      <c r="D673" s="554" t="s">
        <v>700</v>
      </c>
      <c r="E673" s="555" t="s">
        <v>504</v>
      </c>
      <c r="F673" s="292" t="s">
        <v>709</v>
      </c>
      <c r="G673" s="292"/>
      <c r="H673" s="293"/>
      <c r="I673" s="323"/>
    </row>
    <row r="674" spans="1:9" ht="33" customHeight="1" x14ac:dyDescent="0.45">
      <c r="A674" s="342" t="s">
        <v>376</v>
      </c>
      <c r="B674" s="330">
        <v>0.58333333333333337</v>
      </c>
      <c r="C674" s="343" t="s">
        <v>378</v>
      </c>
      <c r="D674" s="554" t="s">
        <v>700</v>
      </c>
      <c r="E674" s="555" t="s">
        <v>503</v>
      </c>
      <c r="F674" s="292" t="s">
        <v>709</v>
      </c>
      <c r="G674" s="292"/>
      <c r="H674" s="293"/>
      <c r="I674" s="323" t="s">
        <v>349</v>
      </c>
    </row>
    <row r="675" spans="1:9" ht="33" customHeight="1" x14ac:dyDescent="0.45">
      <c r="A675" s="342" t="s">
        <v>501</v>
      </c>
      <c r="B675" s="330">
        <v>0.58333333333333337</v>
      </c>
      <c r="C675" s="343" t="s">
        <v>384</v>
      </c>
      <c r="D675" s="554" t="s">
        <v>701</v>
      </c>
      <c r="E675" s="555" t="s">
        <v>504</v>
      </c>
      <c r="F675" s="292" t="s">
        <v>709</v>
      </c>
      <c r="G675" s="292"/>
      <c r="H675" s="293"/>
      <c r="I675" s="323"/>
    </row>
    <row r="676" spans="1:9" ht="33" customHeight="1" x14ac:dyDescent="0.45">
      <c r="A676" s="342" t="s">
        <v>376</v>
      </c>
      <c r="B676" s="330">
        <v>0.61458333333333337</v>
      </c>
      <c r="C676" s="343" t="s">
        <v>378</v>
      </c>
      <c r="D676" s="554" t="s">
        <v>700</v>
      </c>
      <c r="E676" s="555" t="s">
        <v>503</v>
      </c>
      <c r="F676" s="292" t="s">
        <v>709</v>
      </c>
      <c r="G676" s="292"/>
      <c r="H676" s="293"/>
      <c r="I676" s="323"/>
    </row>
    <row r="677" spans="1:9" ht="33" customHeight="1" x14ac:dyDescent="0.45">
      <c r="A677" s="342" t="s">
        <v>376</v>
      </c>
      <c r="B677" s="330">
        <v>0.61805555555555558</v>
      </c>
      <c r="C677" s="343" t="s">
        <v>384</v>
      </c>
      <c r="D677" s="554" t="s">
        <v>701</v>
      </c>
      <c r="E677" s="555" t="s">
        <v>503</v>
      </c>
      <c r="F677" s="292" t="s">
        <v>709</v>
      </c>
      <c r="G677" s="292"/>
      <c r="H677" s="293"/>
      <c r="I677" s="323"/>
    </row>
    <row r="678" spans="1:9" ht="33" customHeight="1" x14ac:dyDescent="0.45">
      <c r="A678" s="342" t="s">
        <v>501</v>
      </c>
      <c r="B678" s="330">
        <v>0.625</v>
      </c>
      <c r="C678" s="343" t="s">
        <v>414</v>
      </c>
      <c r="D678" s="554" t="s">
        <v>702</v>
      </c>
      <c r="E678" s="555" t="s">
        <v>504</v>
      </c>
      <c r="F678" s="292" t="s">
        <v>709</v>
      </c>
      <c r="G678" s="292"/>
      <c r="H678" s="293"/>
      <c r="I678" s="216"/>
    </row>
    <row r="679" spans="1:9" ht="33" customHeight="1" x14ac:dyDescent="0.45">
      <c r="A679" s="342" t="s">
        <v>376</v>
      </c>
      <c r="B679" s="330">
        <v>0.63888888888888884</v>
      </c>
      <c r="C679" s="343" t="s">
        <v>378</v>
      </c>
      <c r="D679" s="554" t="s">
        <v>700</v>
      </c>
      <c r="E679" s="555" t="s">
        <v>503</v>
      </c>
      <c r="F679" s="292" t="s">
        <v>709</v>
      </c>
      <c r="G679" s="292"/>
      <c r="H679" s="293"/>
      <c r="I679" s="216"/>
    </row>
    <row r="680" spans="1:9" ht="33" customHeight="1" x14ac:dyDescent="0.45">
      <c r="A680" s="342" t="s">
        <v>376</v>
      </c>
      <c r="B680" s="330">
        <v>0.65972222222222221</v>
      </c>
      <c r="C680" s="343" t="s">
        <v>414</v>
      </c>
      <c r="D680" s="554" t="s">
        <v>702</v>
      </c>
      <c r="E680" s="555" t="s">
        <v>503</v>
      </c>
      <c r="F680" s="292" t="s">
        <v>709</v>
      </c>
      <c r="G680" s="292"/>
      <c r="H680" s="293"/>
      <c r="I680" s="216"/>
    </row>
    <row r="681" spans="1:9" ht="33" customHeight="1" x14ac:dyDescent="0.45">
      <c r="A681" s="342" t="s">
        <v>376</v>
      </c>
      <c r="B681" s="330">
        <v>0.6875</v>
      </c>
      <c r="C681" s="343" t="s">
        <v>414</v>
      </c>
      <c r="D681" s="554" t="s">
        <v>702</v>
      </c>
      <c r="E681" s="555" t="s">
        <v>503</v>
      </c>
      <c r="F681" s="292" t="s">
        <v>709</v>
      </c>
      <c r="G681" s="292"/>
      <c r="H681" s="293"/>
      <c r="I681" s="216"/>
    </row>
    <row r="682" spans="1:9" ht="33" customHeight="1" x14ac:dyDescent="0.45">
      <c r="A682" s="342" t="s">
        <v>376</v>
      </c>
      <c r="B682" s="330">
        <v>0.71180555555555558</v>
      </c>
      <c r="C682" s="343" t="s">
        <v>414</v>
      </c>
      <c r="D682" s="554" t="s">
        <v>702</v>
      </c>
      <c r="E682" s="555" t="s">
        <v>503</v>
      </c>
      <c r="F682" s="292" t="s">
        <v>709</v>
      </c>
      <c r="G682" s="292"/>
      <c r="H682" s="293"/>
      <c r="I682" s="216"/>
    </row>
    <row r="683" spans="1:9" ht="33" customHeight="1" x14ac:dyDescent="0.45">
      <c r="A683" s="342" t="s">
        <v>376</v>
      </c>
      <c r="B683" s="330">
        <v>0.76041666666666663</v>
      </c>
      <c r="C683" s="343" t="s">
        <v>384</v>
      </c>
      <c r="D683" s="554" t="s">
        <v>701</v>
      </c>
      <c r="E683" s="555" t="s">
        <v>504</v>
      </c>
      <c r="F683" s="292" t="s">
        <v>709</v>
      </c>
      <c r="G683" s="292"/>
      <c r="H683" s="293"/>
      <c r="I683" s="216"/>
    </row>
    <row r="684" spans="1:9" ht="33" customHeight="1" x14ac:dyDescent="0.45">
      <c r="A684" s="342" t="s">
        <v>501</v>
      </c>
      <c r="B684" s="330">
        <v>0.76041666666666663</v>
      </c>
      <c r="C684" s="343" t="s">
        <v>378</v>
      </c>
      <c r="D684" s="554" t="s">
        <v>700</v>
      </c>
      <c r="E684" s="555" t="s">
        <v>504</v>
      </c>
      <c r="F684" s="292" t="s">
        <v>709</v>
      </c>
      <c r="G684" s="292"/>
      <c r="H684" s="293"/>
      <c r="I684" s="216"/>
    </row>
    <row r="685" spans="1:9" ht="33" customHeight="1" x14ac:dyDescent="0.45">
      <c r="A685" s="342" t="s">
        <v>376</v>
      </c>
      <c r="B685" s="330">
        <v>0.78125</v>
      </c>
      <c r="C685" s="343" t="s">
        <v>378</v>
      </c>
      <c r="D685" s="554" t="s">
        <v>700</v>
      </c>
      <c r="E685" s="555" t="s">
        <v>503</v>
      </c>
      <c r="F685" s="292" t="s">
        <v>709</v>
      </c>
      <c r="G685" s="292"/>
      <c r="H685" s="293"/>
      <c r="I685" s="216"/>
    </row>
    <row r="686" spans="1:9" ht="33" customHeight="1" x14ac:dyDescent="0.45">
      <c r="A686" s="342" t="s">
        <v>501</v>
      </c>
      <c r="B686" s="330">
        <v>0.78125</v>
      </c>
      <c r="C686" s="343" t="s">
        <v>384</v>
      </c>
      <c r="D686" s="554" t="s">
        <v>701</v>
      </c>
      <c r="E686" s="555" t="s">
        <v>504</v>
      </c>
      <c r="F686" s="292" t="s">
        <v>709</v>
      </c>
      <c r="G686" s="292"/>
      <c r="H686" s="293"/>
      <c r="I686" s="216"/>
    </row>
    <row r="687" spans="1:9" ht="33" customHeight="1" x14ac:dyDescent="0.45">
      <c r="A687" s="342" t="s">
        <v>376</v>
      </c>
      <c r="B687" s="330">
        <v>0.80208333333333337</v>
      </c>
      <c r="C687" s="343" t="s">
        <v>384</v>
      </c>
      <c r="D687" s="554" t="s">
        <v>701</v>
      </c>
      <c r="E687" s="555" t="s">
        <v>503</v>
      </c>
      <c r="F687" s="292" t="s">
        <v>709</v>
      </c>
      <c r="G687" s="292"/>
      <c r="H687" s="293"/>
      <c r="I687" s="216"/>
    </row>
    <row r="688" spans="1:9" ht="33" customHeight="1" x14ac:dyDescent="0.45">
      <c r="A688" s="342" t="s">
        <v>663</v>
      </c>
      <c r="B688" s="330">
        <v>0.80902777777777779</v>
      </c>
      <c r="C688" s="343" t="s">
        <v>378</v>
      </c>
      <c r="D688" s="554" t="s">
        <v>700</v>
      </c>
      <c r="E688" s="555" t="s">
        <v>688</v>
      </c>
      <c r="F688" s="292" t="s">
        <v>709</v>
      </c>
      <c r="G688" s="292"/>
      <c r="H688" s="293"/>
      <c r="I688" s="216"/>
    </row>
    <row r="689" spans="1:9" ht="33" customHeight="1" x14ac:dyDescent="0.45">
      <c r="A689" s="342" t="s">
        <v>376</v>
      </c>
      <c r="B689" s="330">
        <v>0.82291666666666663</v>
      </c>
      <c r="C689" s="343" t="s">
        <v>384</v>
      </c>
      <c r="D689" s="554" t="s">
        <v>701</v>
      </c>
      <c r="E689" s="555" t="s">
        <v>503</v>
      </c>
      <c r="F689" s="292" t="s">
        <v>709</v>
      </c>
      <c r="G689" s="292"/>
      <c r="H689" s="293"/>
      <c r="I689" s="216"/>
    </row>
    <row r="690" spans="1:9" ht="33" customHeight="1" x14ac:dyDescent="0.45">
      <c r="C690" s="190"/>
    </row>
    <row r="692" spans="1:9" ht="23.25" x14ac:dyDescent="0.45">
      <c r="B692" s="260"/>
      <c r="C692" s="241"/>
      <c r="D692" s="241"/>
      <c r="E692" s="241"/>
    </row>
    <row r="693" spans="1:9" ht="29.25" x14ac:dyDescent="0.45">
      <c r="A693" s="662" t="s">
        <v>659</v>
      </c>
      <c r="B693" s="320"/>
      <c r="C693" s="254"/>
      <c r="D693" s="254"/>
      <c r="E693" s="598"/>
      <c r="I693" s="600">
        <f>I659+1</f>
        <v>46165</v>
      </c>
    </row>
    <row r="695" spans="1:9" ht="90" x14ac:dyDescent="0.45">
      <c r="A695" s="322" t="s">
        <v>324</v>
      </c>
      <c r="B695" s="325" t="s">
        <v>0</v>
      </c>
      <c r="C695" s="332" t="s">
        <v>25</v>
      </c>
      <c r="D695" s="291" t="s">
        <v>26</v>
      </c>
      <c r="E695" s="291" t="s">
        <v>662</v>
      </c>
      <c r="F695" s="291" t="s">
        <v>708</v>
      </c>
      <c r="G695" s="291" t="s">
        <v>1</v>
      </c>
      <c r="H695" s="291" t="s">
        <v>328</v>
      </c>
      <c r="I695" s="291"/>
    </row>
    <row r="696" spans="1:9" ht="34.15" x14ac:dyDescent="0.45">
      <c r="A696" s="342" t="s">
        <v>501</v>
      </c>
      <c r="B696" s="330">
        <v>0.2326388888888889</v>
      </c>
      <c r="C696" s="343" t="s">
        <v>378</v>
      </c>
      <c r="D696" s="554" t="s">
        <v>700</v>
      </c>
      <c r="E696" s="555" t="s">
        <v>503</v>
      </c>
      <c r="F696" s="291"/>
      <c r="G696" s="291"/>
      <c r="H696" s="291"/>
      <c r="I696" s="341"/>
    </row>
    <row r="697" spans="1:9" ht="33.4" customHeight="1" x14ac:dyDescent="0.45">
      <c r="A697" s="342" t="s">
        <v>376</v>
      </c>
      <c r="B697" s="330">
        <v>0.23958333333333334</v>
      </c>
      <c r="C697" s="343" t="s">
        <v>414</v>
      </c>
      <c r="D697" s="554" t="s">
        <v>702</v>
      </c>
      <c r="E697" s="555" t="s">
        <v>503</v>
      </c>
      <c r="F697" s="291"/>
      <c r="G697" s="291"/>
      <c r="H697" s="291"/>
      <c r="I697" s="341"/>
    </row>
    <row r="698" spans="1:9" ht="33.4" customHeight="1" x14ac:dyDescent="0.45">
      <c r="A698" s="342" t="s">
        <v>501</v>
      </c>
      <c r="B698" s="330">
        <v>0.25</v>
      </c>
      <c r="C698" s="343" t="s">
        <v>384</v>
      </c>
      <c r="D698" s="554" t="s">
        <v>701</v>
      </c>
      <c r="E698" s="555" t="s">
        <v>503</v>
      </c>
      <c r="F698" s="291"/>
      <c r="G698" s="291"/>
      <c r="H698" s="291"/>
      <c r="I698" s="341"/>
    </row>
    <row r="699" spans="1:9" ht="33.4" customHeight="1" x14ac:dyDescent="0.45">
      <c r="A699" s="342" t="s">
        <v>501</v>
      </c>
      <c r="B699" s="330">
        <v>0.27083333333333331</v>
      </c>
      <c r="C699" s="343" t="s">
        <v>378</v>
      </c>
      <c r="D699" s="554" t="s">
        <v>700</v>
      </c>
      <c r="E699" s="555" t="s">
        <v>503</v>
      </c>
      <c r="F699" s="291"/>
      <c r="G699" s="291"/>
      <c r="H699" s="291"/>
      <c r="I699" s="323" t="s">
        <v>347</v>
      </c>
    </row>
    <row r="700" spans="1:9" ht="33.4" customHeight="1" x14ac:dyDescent="0.45">
      <c r="A700" s="342" t="s">
        <v>376</v>
      </c>
      <c r="B700" s="330">
        <v>0.27083333333333331</v>
      </c>
      <c r="C700" s="343" t="s">
        <v>384</v>
      </c>
      <c r="D700" s="554" t="s">
        <v>701</v>
      </c>
      <c r="E700" s="555" t="s">
        <v>504</v>
      </c>
      <c r="F700" s="292" t="s">
        <v>709</v>
      </c>
      <c r="G700" s="292"/>
      <c r="H700" s="293"/>
      <c r="I700" s="216"/>
    </row>
    <row r="701" spans="1:9" ht="33.4" customHeight="1" x14ac:dyDescent="0.45">
      <c r="A701" s="342" t="s">
        <v>376</v>
      </c>
      <c r="B701" s="330">
        <v>0.27083333333333331</v>
      </c>
      <c r="C701" s="343" t="s">
        <v>414</v>
      </c>
      <c r="D701" s="554" t="s">
        <v>702</v>
      </c>
      <c r="E701" s="555" t="s">
        <v>688</v>
      </c>
      <c r="F701" s="292" t="s">
        <v>709</v>
      </c>
      <c r="G701" s="292"/>
      <c r="H701" s="293"/>
      <c r="I701" s="216"/>
    </row>
    <row r="702" spans="1:9" ht="33.4" customHeight="1" x14ac:dyDescent="0.45">
      <c r="A702" s="342" t="s">
        <v>501</v>
      </c>
      <c r="B702" s="330">
        <v>0.28819444444444442</v>
      </c>
      <c r="C702" s="343" t="s">
        <v>378</v>
      </c>
      <c r="D702" s="554" t="s">
        <v>700</v>
      </c>
      <c r="E702" s="555" t="s">
        <v>504</v>
      </c>
      <c r="F702" s="321" t="s">
        <v>709</v>
      </c>
      <c r="G702" s="292"/>
      <c r="H702" s="293"/>
      <c r="I702" s="323"/>
    </row>
    <row r="703" spans="1:9" ht="33.4" customHeight="1" x14ac:dyDescent="0.45">
      <c r="A703" s="342" t="s">
        <v>533</v>
      </c>
      <c r="B703" s="330">
        <v>0.28472222222222221</v>
      </c>
      <c r="C703" s="343" t="s">
        <v>414</v>
      </c>
      <c r="D703" s="554" t="s">
        <v>702</v>
      </c>
      <c r="E703" s="555" t="s">
        <v>504</v>
      </c>
      <c r="F703" s="292" t="s">
        <v>709</v>
      </c>
      <c r="G703" s="292"/>
      <c r="H703" s="293"/>
      <c r="I703" s="323" t="s">
        <v>348</v>
      </c>
    </row>
    <row r="704" spans="1:9" ht="33.4" customHeight="1" x14ac:dyDescent="0.45">
      <c r="A704" s="342" t="s">
        <v>376</v>
      </c>
      <c r="B704" s="330">
        <v>0.2951388888888889</v>
      </c>
      <c r="C704" s="343" t="s">
        <v>384</v>
      </c>
      <c r="D704" s="554" t="s">
        <v>701</v>
      </c>
      <c r="E704" s="555" t="s">
        <v>688</v>
      </c>
      <c r="F704" s="292" t="s">
        <v>709</v>
      </c>
      <c r="G704" s="292"/>
      <c r="H704" s="293"/>
      <c r="I704" s="216"/>
    </row>
    <row r="705" spans="1:9" ht="33.4" customHeight="1" x14ac:dyDescent="0.45">
      <c r="A705" s="342" t="s">
        <v>376</v>
      </c>
      <c r="B705" s="330">
        <v>0.3125</v>
      </c>
      <c r="C705" s="343" t="s">
        <v>414</v>
      </c>
      <c r="D705" s="554" t="s">
        <v>702</v>
      </c>
      <c r="E705" s="555" t="s">
        <v>504</v>
      </c>
      <c r="F705" s="292" t="s">
        <v>709</v>
      </c>
      <c r="G705" s="292"/>
      <c r="H705" s="293"/>
      <c r="I705" s="323" t="s">
        <v>350</v>
      </c>
    </row>
    <row r="706" spans="1:9" ht="33.4" customHeight="1" x14ac:dyDescent="0.45">
      <c r="A706" s="342" t="s">
        <v>501</v>
      </c>
      <c r="B706" s="330">
        <v>0.3263888888888889</v>
      </c>
      <c r="C706" s="343" t="s">
        <v>414</v>
      </c>
      <c r="D706" s="554" t="s">
        <v>702</v>
      </c>
      <c r="E706" s="555" t="s">
        <v>504</v>
      </c>
      <c r="F706" s="292"/>
      <c r="G706" s="292"/>
      <c r="H706" s="293"/>
      <c r="I706" s="323"/>
    </row>
    <row r="707" spans="1:9" ht="33.4" customHeight="1" x14ac:dyDescent="0.45">
      <c r="A707" s="342" t="s">
        <v>376</v>
      </c>
      <c r="B707" s="330">
        <v>0.3263888888888889</v>
      </c>
      <c r="C707" s="343" t="s">
        <v>378</v>
      </c>
      <c r="D707" s="554" t="s">
        <v>700</v>
      </c>
      <c r="E707" s="555" t="s">
        <v>504</v>
      </c>
      <c r="F707" s="292" t="s">
        <v>709</v>
      </c>
      <c r="G707" s="292"/>
      <c r="H707" s="293"/>
      <c r="I707" s="323"/>
    </row>
    <row r="708" spans="1:9" ht="33.4" customHeight="1" x14ac:dyDescent="0.45">
      <c r="A708" s="342" t="s">
        <v>376</v>
      </c>
      <c r="B708" s="330">
        <v>0.58333333333333337</v>
      </c>
      <c r="C708" s="343" t="s">
        <v>378</v>
      </c>
      <c r="D708" s="554" t="s">
        <v>700</v>
      </c>
      <c r="E708" s="555" t="s">
        <v>503</v>
      </c>
      <c r="F708" s="292" t="s">
        <v>709</v>
      </c>
      <c r="G708" s="292"/>
      <c r="H708" s="293"/>
      <c r="I708" s="323" t="s">
        <v>349</v>
      </c>
    </row>
    <row r="709" spans="1:9" ht="33.4" customHeight="1" x14ac:dyDescent="0.45">
      <c r="A709" s="342" t="s">
        <v>501</v>
      </c>
      <c r="B709" s="330">
        <v>0.58333333333333337</v>
      </c>
      <c r="C709" s="343" t="s">
        <v>384</v>
      </c>
      <c r="D709" s="554" t="s">
        <v>701</v>
      </c>
      <c r="E709" s="555" t="s">
        <v>504</v>
      </c>
      <c r="F709" s="292" t="s">
        <v>709</v>
      </c>
      <c r="G709" s="292"/>
      <c r="H709" s="293"/>
      <c r="I709" s="323"/>
    </row>
    <row r="710" spans="1:9" ht="33.4" customHeight="1" x14ac:dyDescent="0.45">
      <c r="A710" s="342" t="s">
        <v>376</v>
      </c>
      <c r="B710" s="330">
        <v>0.61458333333333337</v>
      </c>
      <c r="C710" s="343" t="s">
        <v>378</v>
      </c>
      <c r="D710" s="554" t="s">
        <v>700</v>
      </c>
      <c r="E710" s="555" t="s">
        <v>503</v>
      </c>
      <c r="F710" s="292" t="s">
        <v>709</v>
      </c>
      <c r="G710" s="292"/>
      <c r="H710" s="293"/>
      <c r="I710" s="323"/>
    </row>
    <row r="711" spans="1:9" ht="33.4" customHeight="1" x14ac:dyDescent="0.45">
      <c r="A711" s="342" t="s">
        <v>376</v>
      </c>
      <c r="B711" s="330">
        <v>0.61805555555555558</v>
      </c>
      <c r="C711" s="343" t="s">
        <v>384</v>
      </c>
      <c r="D711" s="554" t="s">
        <v>701</v>
      </c>
      <c r="E711" s="555" t="s">
        <v>503</v>
      </c>
      <c r="F711" s="292" t="s">
        <v>709</v>
      </c>
      <c r="G711" s="292"/>
      <c r="H711" s="293"/>
      <c r="I711" s="323"/>
    </row>
    <row r="712" spans="1:9" ht="33.4" customHeight="1" x14ac:dyDescent="0.45">
      <c r="A712" s="342" t="s">
        <v>501</v>
      </c>
      <c r="B712" s="330">
        <v>0.625</v>
      </c>
      <c r="C712" s="343" t="s">
        <v>414</v>
      </c>
      <c r="D712" s="554" t="s">
        <v>702</v>
      </c>
      <c r="E712" s="555" t="s">
        <v>504</v>
      </c>
      <c r="F712" s="292" t="s">
        <v>709</v>
      </c>
      <c r="G712" s="292"/>
      <c r="H712" s="293"/>
      <c r="I712" s="216"/>
    </row>
    <row r="713" spans="1:9" ht="33.4" customHeight="1" x14ac:dyDescent="0.45">
      <c r="A713" s="342" t="s">
        <v>376</v>
      </c>
      <c r="B713" s="330">
        <v>0.63888888888888884</v>
      </c>
      <c r="C713" s="343" t="s">
        <v>378</v>
      </c>
      <c r="D713" s="554" t="s">
        <v>700</v>
      </c>
      <c r="E713" s="555" t="s">
        <v>503</v>
      </c>
      <c r="F713" s="292" t="s">
        <v>709</v>
      </c>
      <c r="G713" s="292"/>
      <c r="H713" s="293"/>
      <c r="I713" s="216"/>
    </row>
    <row r="714" spans="1:9" ht="33.4" customHeight="1" x14ac:dyDescent="0.45">
      <c r="A714" s="342" t="s">
        <v>376</v>
      </c>
      <c r="B714" s="330">
        <v>0.65972222222222221</v>
      </c>
      <c r="C714" s="343" t="s">
        <v>414</v>
      </c>
      <c r="D714" s="554" t="s">
        <v>702</v>
      </c>
      <c r="E714" s="555" t="s">
        <v>503</v>
      </c>
      <c r="F714" s="292" t="s">
        <v>709</v>
      </c>
      <c r="G714" s="292"/>
      <c r="H714" s="293"/>
      <c r="I714" s="216"/>
    </row>
    <row r="715" spans="1:9" ht="33.4" customHeight="1" x14ac:dyDescent="0.45">
      <c r="A715" s="342" t="s">
        <v>376</v>
      </c>
      <c r="B715" s="330">
        <v>0.6875</v>
      </c>
      <c r="C715" s="343" t="s">
        <v>414</v>
      </c>
      <c r="D715" s="554" t="s">
        <v>702</v>
      </c>
      <c r="E715" s="555" t="s">
        <v>503</v>
      </c>
      <c r="F715" s="292" t="s">
        <v>709</v>
      </c>
      <c r="G715" s="292"/>
      <c r="H715" s="293"/>
      <c r="I715" s="216"/>
    </row>
    <row r="716" spans="1:9" ht="33.4" customHeight="1" x14ac:dyDescent="0.45">
      <c r="A716" s="342" t="s">
        <v>376</v>
      </c>
      <c r="B716" s="330">
        <v>0.71180555555555558</v>
      </c>
      <c r="C716" s="343" t="s">
        <v>414</v>
      </c>
      <c r="D716" s="554" t="s">
        <v>702</v>
      </c>
      <c r="E716" s="555" t="s">
        <v>503</v>
      </c>
      <c r="F716" s="292" t="s">
        <v>709</v>
      </c>
      <c r="G716" s="292"/>
      <c r="H716" s="293"/>
      <c r="I716" s="216"/>
    </row>
    <row r="717" spans="1:9" ht="33.4" customHeight="1" x14ac:dyDescent="0.45">
      <c r="A717" s="342" t="s">
        <v>376</v>
      </c>
      <c r="B717" s="330">
        <v>0.76041666666666663</v>
      </c>
      <c r="C717" s="343" t="s">
        <v>384</v>
      </c>
      <c r="D717" s="554" t="s">
        <v>701</v>
      </c>
      <c r="E717" s="555" t="s">
        <v>504</v>
      </c>
      <c r="F717" s="292" t="s">
        <v>709</v>
      </c>
      <c r="G717" s="292"/>
      <c r="H717" s="293"/>
      <c r="I717" s="216"/>
    </row>
    <row r="718" spans="1:9" ht="33.4" customHeight="1" x14ac:dyDescent="0.45">
      <c r="A718" s="342" t="s">
        <v>501</v>
      </c>
      <c r="B718" s="330">
        <v>0.76041666666666663</v>
      </c>
      <c r="C718" s="343" t="s">
        <v>378</v>
      </c>
      <c r="D718" s="554" t="s">
        <v>700</v>
      </c>
      <c r="E718" s="555" t="s">
        <v>504</v>
      </c>
      <c r="F718" s="292" t="s">
        <v>709</v>
      </c>
      <c r="G718" s="292"/>
      <c r="H718" s="293"/>
      <c r="I718" s="216"/>
    </row>
    <row r="719" spans="1:9" ht="33.4" customHeight="1" x14ac:dyDescent="0.45">
      <c r="A719" s="342" t="s">
        <v>376</v>
      </c>
      <c r="B719" s="330">
        <v>0.78125</v>
      </c>
      <c r="C719" s="343" t="s">
        <v>378</v>
      </c>
      <c r="D719" s="554" t="s">
        <v>700</v>
      </c>
      <c r="E719" s="555" t="s">
        <v>503</v>
      </c>
      <c r="F719" s="292" t="s">
        <v>709</v>
      </c>
      <c r="G719" s="292"/>
      <c r="H719" s="293"/>
      <c r="I719" s="216"/>
    </row>
    <row r="720" spans="1:9" ht="33.4" customHeight="1" x14ac:dyDescent="0.45">
      <c r="A720" s="342" t="s">
        <v>501</v>
      </c>
      <c r="B720" s="330">
        <v>0.78125</v>
      </c>
      <c r="C720" s="343" t="s">
        <v>384</v>
      </c>
      <c r="D720" s="554" t="s">
        <v>701</v>
      </c>
      <c r="E720" s="555" t="s">
        <v>504</v>
      </c>
      <c r="F720" s="292" t="s">
        <v>709</v>
      </c>
      <c r="G720" s="292"/>
      <c r="H720" s="293"/>
      <c r="I720" s="216"/>
    </row>
    <row r="721" spans="1:9" ht="33.4" customHeight="1" x14ac:dyDescent="0.45">
      <c r="A721" s="342" t="s">
        <v>376</v>
      </c>
      <c r="B721" s="330">
        <v>0.80208333333333337</v>
      </c>
      <c r="C721" s="343" t="s">
        <v>384</v>
      </c>
      <c r="D721" s="554" t="s">
        <v>701</v>
      </c>
      <c r="E721" s="555" t="s">
        <v>503</v>
      </c>
      <c r="F721" s="292" t="s">
        <v>709</v>
      </c>
      <c r="G721" s="292"/>
      <c r="H721" s="293"/>
      <c r="I721" s="216"/>
    </row>
    <row r="722" spans="1:9" ht="33.4" customHeight="1" x14ac:dyDescent="0.45">
      <c r="A722" s="342" t="s">
        <v>663</v>
      </c>
      <c r="B722" s="330">
        <v>0.80902777777777779</v>
      </c>
      <c r="C722" s="343" t="s">
        <v>378</v>
      </c>
      <c r="D722" s="554" t="s">
        <v>700</v>
      </c>
      <c r="E722" s="555" t="s">
        <v>688</v>
      </c>
      <c r="F722" s="292" t="s">
        <v>709</v>
      </c>
      <c r="G722" s="292"/>
      <c r="H722" s="293"/>
      <c r="I722" s="216"/>
    </row>
    <row r="723" spans="1:9" ht="33.4" customHeight="1" x14ac:dyDescent="0.45">
      <c r="A723" s="342" t="s">
        <v>376</v>
      </c>
      <c r="B723" s="330">
        <v>0.82291666666666663</v>
      </c>
      <c r="C723" s="343" t="s">
        <v>384</v>
      </c>
      <c r="D723" s="554" t="s">
        <v>701</v>
      </c>
      <c r="E723" s="555" t="s">
        <v>503</v>
      </c>
      <c r="F723" s="292" t="s">
        <v>709</v>
      </c>
      <c r="G723" s="292"/>
      <c r="H723" s="293"/>
      <c r="I723" s="216"/>
    </row>
    <row r="724" spans="1:9" ht="33.4" customHeight="1" x14ac:dyDescent="0.45">
      <c r="C724" s="190"/>
    </row>
    <row r="726" spans="1:9" ht="23.25" x14ac:dyDescent="0.45">
      <c r="B726" s="260"/>
      <c r="C726" s="241"/>
      <c r="D726" s="241"/>
      <c r="E726" s="241"/>
    </row>
    <row r="727" spans="1:9" ht="29.25" x14ac:dyDescent="0.45">
      <c r="A727" s="662" t="s">
        <v>659</v>
      </c>
      <c r="B727" s="320"/>
      <c r="C727" s="254"/>
      <c r="D727" s="254"/>
      <c r="E727" s="598"/>
      <c r="I727" s="607">
        <f>I693+1</f>
        <v>46166</v>
      </c>
    </row>
    <row r="729" spans="1:9" ht="90" x14ac:dyDescent="0.45">
      <c r="A729" s="322" t="s">
        <v>324</v>
      </c>
      <c r="B729" s="325" t="s">
        <v>0</v>
      </c>
      <c r="C729" s="332" t="s">
        <v>25</v>
      </c>
      <c r="D729" s="291" t="s">
        <v>26</v>
      </c>
      <c r="E729" s="291" t="s">
        <v>661</v>
      </c>
      <c r="F729" s="291" t="s">
        <v>708</v>
      </c>
      <c r="G729" s="291" t="s">
        <v>1</v>
      </c>
      <c r="H729" s="291" t="s">
        <v>328</v>
      </c>
      <c r="I729" s="291"/>
    </row>
    <row r="730" spans="1:9" ht="34.15" x14ac:dyDescent="0.45">
      <c r="A730" s="342" t="s">
        <v>376</v>
      </c>
      <c r="B730" s="330">
        <v>0.2951388888888889</v>
      </c>
      <c r="C730" s="343" t="s">
        <v>384</v>
      </c>
      <c r="D730" s="554" t="s">
        <v>701</v>
      </c>
      <c r="E730" s="555" t="s">
        <v>504</v>
      </c>
      <c r="F730" s="291"/>
      <c r="G730" s="291"/>
      <c r="H730" s="291"/>
      <c r="I730" s="323" t="s">
        <v>347</v>
      </c>
    </row>
    <row r="731" spans="1:9" ht="33" customHeight="1" x14ac:dyDescent="0.45">
      <c r="A731" s="342" t="s">
        <v>376</v>
      </c>
      <c r="B731" s="330">
        <v>0.3125</v>
      </c>
      <c r="C731" s="343" t="s">
        <v>414</v>
      </c>
      <c r="D731" s="554" t="s">
        <v>702</v>
      </c>
      <c r="E731" s="555" t="s">
        <v>504</v>
      </c>
      <c r="F731" s="291"/>
      <c r="G731" s="291"/>
      <c r="H731" s="291"/>
      <c r="I731" s="341"/>
    </row>
    <row r="732" spans="1:9" ht="33" customHeight="1" x14ac:dyDescent="0.45">
      <c r="A732" s="342" t="s">
        <v>376</v>
      </c>
      <c r="B732" s="330">
        <v>0.3263888888888889</v>
      </c>
      <c r="C732" s="343" t="s">
        <v>414</v>
      </c>
      <c r="D732" s="554" t="s">
        <v>702</v>
      </c>
      <c r="E732" s="555" t="s">
        <v>504</v>
      </c>
      <c r="F732" s="291"/>
      <c r="G732" s="291"/>
      <c r="H732" s="291"/>
      <c r="I732" s="323" t="s">
        <v>348</v>
      </c>
    </row>
    <row r="733" spans="1:9" ht="33" customHeight="1" x14ac:dyDescent="0.45">
      <c r="A733" s="342" t="s">
        <v>376</v>
      </c>
      <c r="B733" s="330">
        <v>0.58333333333333337</v>
      </c>
      <c r="C733" s="343" t="s">
        <v>378</v>
      </c>
      <c r="D733" s="554" t="s">
        <v>700</v>
      </c>
      <c r="E733" s="555" t="s">
        <v>503</v>
      </c>
      <c r="F733" s="292" t="s">
        <v>709</v>
      </c>
      <c r="G733" s="292"/>
      <c r="H733" s="293"/>
      <c r="I733" s="216"/>
    </row>
    <row r="734" spans="1:9" ht="33" customHeight="1" x14ac:dyDescent="0.45">
      <c r="A734" s="342" t="s">
        <v>501</v>
      </c>
      <c r="B734" s="330">
        <v>0.58333333333333337</v>
      </c>
      <c r="C734" s="343" t="s">
        <v>384</v>
      </c>
      <c r="D734" s="554" t="s">
        <v>701</v>
      </c>
      <c r="E734" s="555" t="s">
        <v>504</v>
      </c>
      <c r="F734" s="292" t="s">
        <v>709</v>
      </c>
      <c r="G734" s="292"/>
      <c r="H734" s="293"/>
      <c r="I734" s="216"/>
    </row>
    <row r="735" spans="1:9" ht="33" customHeight="1" x14ac:dyDescent="0.45">
      <c r="A735" s="342" t="s">
        <v>376</v>
      </c>
      <c r="B735" s="330">
        <v>0.61458333333333337</v>
      </c>
      <c r="C735" s="343" t="s">
        <v>378</v>
      </c>
      <c r="D735" s="554" t="s">
        <v>700</v>
      </c>
      <c r="E735" s="555" t="s">
        <v>503</v>
      </c>
      <c r="F735" s="321" t="s">
        <v>709</v>
      </c>
      <c r="G735" s="292"/>
      <c r="H735" s="293"/>
      <c r="I735" s="323" t="s">
        <v>350</v>
      </c>
    </row>
    <row r="736" spans="1:9" ht="33" customHeight="1" x14ac:dyDescent="0.45">
      <c r="A736" s="342" t="s">
        <v>501</v>
      </c>
      <c r="B736" s="330">
        <v>0.625</v>
      </c>
      <c r="C736" s="343" t="s">
        <v>384</v>
      </c>
      <c r="D736" s="554" t="s">
        <v>701</v>
      </c>
      <c r="E736" s="555" t="s">
        <v>504</v>
      </c>
      <c r="F736" s="292" t="s">
        <v>709</v>
      </c>
      <c r="G736" s="292"/>
      <c r="H736" s="293"/>
      <c r="I736" s="216"/>
    </row>
    <row r="737" spans="1:9" ht="33" customHeight="1" x14ac:dyDescent="0.45">
      <c r="A737" s="342" t="s">
        <v>376</v>
      </c>
      <c r="B737" s="330">
        <v>0.63888888888888884</v>
      </c>
      <c r="C737" s="343" t="s">
        <v>378</v>
      </c>
      <c r="D737" s="554" t="s">
        <v>700</v>
      </c>
      <c r="E737" s="555" t="s">
        <v>503</v>
      </c>
      <c r="F737" s="292" t="s">
        <v>709</v>
      </c>
      <c r="G737" s="292"/>
      <c r="H737" s="293"/>
      <c r="I737" s="323" t="s">
        <v>349</v>
      </c>
    </row>
    <row r="738" spans="1:9" ht="33" customHeight="1" x14ac:dyDescent="0.45">
      <c r="A738" s="342" t="s">
        <v>376</v>
      </c>
      <c r="B738" s="330">
        <v>0.65972222222222221</v>
      </c>
      <c r="C738" s="343" t="s">
        <v>414</v>
      </c>
      <c r="D738" s="554" t="s">
        <v>702</v>
      </c>
      <c r="E738" s="555" t="s">
        <v>503</v>
      </c>
      <c r="F738" s="292" t="s">
        <v>709</v>
      </c>
      <c r="G738" s="292"/>
      <c r="H738" s="293"/>
      <c r="I738" s="216"/>
    </row>
    <row r="739" spans="1:9" ht="33" customHeight="1" x14ac:dyDescent="0.45">
      <c r="A739" s="342" t="s">
        <v>376</v>
      </c>
      <c r="B739" s="330">
        <v>0.6875</v>
      </c>
      <c r="C739" s="343" t="s">
        <v>414</v>
      </c>
      <c r="D739" s="554" t="s">
        <v>702</v>
      </c>
      <c r="E739" s="555" t="s">
        <v>503</v>
      </c>
      <c r="F739" s="292"/>
      <c r="G739" s="292"/>
      <c r="H739" s="293"/>
      <c r="I739" s="323"/>
    </row>
    <row r="740" spans="1:9" ht="33" customHeight="1" x14ac:dyDescent="0.45">
      <c r="A740" s="342" t="s">
        <v>501</v>
      </c>
      <c r="B740" s="330">
        <v>0.76041666666666663</v>
      </c>
      <c r="C740" s="343" t="s">
        <v>384</v>
      </c>
      <c r="D740" s="554" t="s">
        <v>701</v>
      </c>
      <c r="E740" s="555" t="s">
        <v>504</v>
      </c>
      <c r="F740" s="292" t="s">
        <v>709</v>
      </c>
      <c r="G740" s="292"/>
      <c r="H740" s="293"/>
      <c r="I740" s="323"/>
    </row>
    <row r="741" spans="1:9" ht="33" customHeight="1" x14ac:dyDescent="0.45">
      <c r="A741" s="342" t="s">
        <v>376</v>
      </c>
      <c r="B741" s="330">
        <v>0.76041666666666663</v>
      </c>
      <c r="C741" s="343" t="s">
        <v>414</v>
      </c>
      <c r="D741" s="554" t="s">
        <v>702</v>
      </c>
      <c r="E741" s="555" t="s">
        <v>503</v>
      </c>
      <c r="F741" s="292" t="s">
        <v>709</v>
      </c>
      <c r="G741" s="292"/>
      <c r="H741" s="293"/>
      <c r="I741" s="216"/>
    </row>
    <row r="742" spans="1:9" ht="33" customHeight="1" x14ac:dyDescent="0.45">
      <c r="A742" s="342" t="s">
        <v>501</v>
      </c>
      <c r="B742" s="330">
        <v>0.78125</v>
      </c>
      <c r="C742" s="343" t="s">
        <v>414</v>
      </c>
      <c r="D742" s="554" t="s">
        <v>702</v>
      </c>
      <c r="E742" s="555" t="s">
        <v>504</v>
      </c>
      <c r="F742" s="292" t="s">
        <v>709</v>
      </c>
      <c r="G742" s="292"/>
      <c r="H742" s="293"/>
      <c r="I742" s="323"/>
    </row>
    <row r="743" spans="1:9" ht="33" customHeight="1" x14ac:dyDescent="0.45">
      <c r="A743" s="342" t="s">
        <v>376</v>
      </c>
      <c r="B743" s="330">
        <v>0.78125</v>
      </c>
      <c r="C743" s="343" t="s">
        <v>384</v>
      </c>
      <c r="D743" s="554" t="s">
        <v>701</v>
      </c>
      <c r="E743" s="555" t="s">
        <v>503</v>
      </c>
      <c r="F743" s="292" t="s">
        <v>709</v>
      </c>
      <c r="G743" s="292"/>
      <c r="H743" s="293"/>
      <c r="I743" s="323"/>
    </row>
    <row r="744" spans="1:9" ht="33" customHeight="1" x14ac:dyDescent="0.45">
      <c r="A744" s="342" t="s">
        <v>663</v>
      </c>
      <c r="B744" s="330">
        <v>0.80902777777777779</v>
      </c>
      <c r="C744" s="343" t="s">
        <v>414</v>
      </c>
      <c r="D744" s="554" t="s">
        <v>702</v>
      </c>
      <c r="E744" s="555" t="s">
        <v>504</v>
      </c>
      <c r="F744" s="292" t="s">
        <v>709</v>
      </c>
      <c r="G744" s="292"/>
      <c r="H744" s="293"/>
      <c r="I744" s="323"/>
    </row>
    <row r="745" spans="1:9" ht="33" customHeight="1" x14ac:dyDescent="0.45">
      <c r="A745" s="342" t="s">
        <v>376</v>
      </c>
      <c r="B745" s="330">
        <v>0.82291666666666663</v>
      </c>
      <c r="C745" s="343" t="s">
        <v>414</v>
      </c>
      <c r="D745" s="554" t="s">
        <v>702</v>
      </c>
      <c r="E745" s="555" t="s">
        <v>503</v>
      </c>
      <c r="F745" s="292" t="s">
        <v>709</v>
      </c>
      <c r="G745" s="292"/>
      <c r="H745" s="293"/>
      <c r="I745" s="216"/>
    </row>
    <row r="746" spans="1:9" ht="33" customHeight="1" x14ac:dyDescent="0.45">
      <c r="C746" s="190"/>
    </row>
    <row r="748" spans="1:9" ht="23.25" x14ac:dyDescent="0.45">
      <c r="B748" s="260"/>
      <c r="C748" s="241"/>
      <c r="D748" s="241"/>
      <c r="E748" s="241"/>
    </row>
    <row r="749" spans="1:9" ht="29.25" x14ac:dyDescent="0.45">
      <c r="A749" s="662" t="s">
        <v>659</v>
      </c>
      <c r="B749" s="320"/>
      <c r="C749" s="254"/>
      <c r="D749" s="254"/>
      <c r="E749" s="598"/>
      <c r="I749" s="607">
        <f>I727+1</f>
        <v>46167</v>
      </c>
    </row>
    <row r="751" spans="1:9" ht="90" x14ac:dyDescent="0.45">
      <c r="A751" s="322" t="s">
        <v>324</v>
      </c>
      <c r="B751" s="325" t="s">
        <v>0</v>
      </c>
      <c r="C751" s="332" t="s">
        <v>25</v>
      </c>
      <c r="D751" s="291" t="s">
        <v>26</v>
      </c>
      <c r="E751" s="291" t="s">
        <v>661</v>
      </c>
      <c r="F751" s="291" t="s">
        <v>708</v>
      </c>
      <c r="G751" s="291" t="s">
        <v>1</v>
      </c>
      <c r="H751" s="291" t="s">
        <v>328</v>
      </c>
      <c r="I751" s="291"/>
    </row>
    <row r="752" spans="1:9" ht="34.15" x14ac:dyDescent="0.45">
      <c r="A752" s="342" t="s">
        <v>376</v>
      </c>
      <c r="B752" s="330">
        <v>0.2951388888888889</v>
      </c>
      <c r="C752" s="343" t="s">
        <v>384</v>
      </c>
      <c r="D752" s="554" t="s">
        <v>701</v>
      </c>
      <c r="E752" s="555" t="s">
        <v>504</v>
      </c>
      <c r="F752" s="291"/>
      <c r="G752" s="291"/>
      <c r="H752" s="291"/>
      <c r="I752" s="323" t="s">
        <v>347</v>
      </c>
    </row>
    <row r="753" spans="1:9" ht="33" customHeight="1" x14ac:dyDescent="0.45">
      <c r="A753" s="342" t="s">
        <v>376</v>
      </c>
      <c r="B753" s="330">
        <v>0.3125</v>
      </c>
      <c r="C753" s="343" t="s">
        <v>414</v>
      </c>
      <c r="D753" s="554" t="s">
        <v>702</v>
      </c>
      <c r="E753" s="555" t="s">
        <v>504</v>
      </c>
      <c r="F753" s="291"/>
      <c r="G753" s="291"/>
      <c r="H753" s="291"/>
      <c r="I753" s="341"/>
    </row>
    <row r="754" spans="1:9" ht="33" customHeight="1" x14ac:dyDescent="0.45">
      <c r="A754" s="342" t="s">
        <v>376</v>
      </c>
      <c r="B754" s="330">
        <v>0.3263888888888889</v>
      </c>
      <c r="C754" s="343" t="s">
        <v>414</v>
      </c>
      <c r="D754" s="554" t="s">
        <v>702</v>
      </c>
      <c r="E754" s="555" t="s">
        <v>504</v>
      </c>
      <c r="F754" s="291"/>
      <c r="G754" s="291"/>
      <c r="H754" s="291"/>
      <c r="I754" s="323" t="s">
        <v>348</v>
      </c>
    </row>
    <row r="755" spans="1:9" ht="33" customHeight="1" x14ac:dyDescent="0.45">
      <c r="A755" s="342" t="s">
        <v>376</v>
      </c>
      <c r="B755" s="330">
        <v>0.58333333333333337</v>
      </c>
      <c r="C755" s="343" t="s">
        <v>378</v>
      </c>
      <c r="D755" s="554" t="s">
        <v>700</v>
      </c>
      <c r="E755" s="555" t="s">
        <v>503</v>
      </c>
      <c r="F755" s="292" t="s">
        <v>709</v>
      </c>
      <c r="G755" s="292"/>
      <c r="H755" s="293"/>
      <c r="I755" s="216"/>
    </row>
    <row r="756" spans="1:9" ht="33" customHeight="1" x14ac:dyDescent="0.45">
      <c r="A756" s="342" t="s">
        <v>501</v>
      </c>
      <c r="B756" s="330">
        <v>0.58333333333333337</v>
      </c>
      <c r="C756" s="343" t="s">
        <v>384</v>
      </c>
      <c r="D756" s="554" t="s">
        <v>701</v>
      </c>
      <c r="E756" s="555" t="s">
        <v>504</v>
      </c>
      <c r="F756" s="292" t="s">
        <v>709</v>
      </c>
      <c r="G756" s="292"/>
      <c r="H756" s="293"/>
      <c r="I756" s="216"/>
    </row>
    <row r="757" spans="1:9" ht="33" customHeight="1" x14ac:dyDescent="0.45">
      <c r="A757" s="342" t="s">
        <v>376</v>
      </c>
      <c r="B757" s="330">
        <v>0.61458333333333337</v>
      </c>
      <c r="C757" s="343" t="s">
        <v>378</v>
      </c>
      <c r="D757" s="554" t="s">
        <v>700</v>
      </c>
      <c r="E757" s="555" t="s">
        <v>503</v>
      </c>
      <c r="F757" s="321" t="s">
        <v>709</v>
      </c>
      <c r="G757" s="292"/>
      <c r="H757" s="293"/>
      <c r="I757" s="323" t="s">
        <v>350</v>
      </c>
    </row>
    <row r="758" spans="1:9" ht="33" customHeight="1" x14ac:dyDescent="0.45">
      <c r="A758" s="342" t="s">
        <v>501</v>
      </c>
      <c r="B758" s="330">
        <v>0.625</v>
      </c>
      <c r="C758" s="343" t="s">
        <v>384</v>
      </c>
      <c r="D758" s="554" t="s">
        <v>701</v>
      </c>
      <c r="E758" s="555" t="s">
        <v>504</v>
      </c>
      <c r="F758" s="292" t="s">
        <v>709</v>
      </c>
      <c r="G758" s="292"/>
      <c r="H758" s="293"/>
      <c r="I758" s="216"/>
    </row>
    <row r="759" spans="1:9" ht="33" customHeight="1" x14ac:dyDescent="0.45">
      <c r="A759" s="342" t="s">
        <v>376</v>
      </c>
      <c r="B759" s="330">
        <v>0.63888888888888884</v>
      </c>
      <c r="C759" s="343" t="s">
        <v>378</v>
      </c>
      <c r="D759" s="554" t="s">
        <v>700</v>
      </c>
      <c r="E759" s="555" t="s">
        <v>503</v>
      </c>
      <c r="F759" s="292" t="s">
        <v>709</v>
      </c>
      <c r="G759" s="292"/>
      <c r="H759" s="293"/>
      <c r="I759" s="323" t="s">
        <v>349</v>
      </c>
    </row>
    <row r="760" spans="1:9" ht="33" customHeight="1" x14ac:dyDescent="0.45">
      <c r="A760" s="342" t="s">
        <v>376</v>
      </c>
      <c r="B760" s="330">
        <v>0.65972222222222221</v>
      </c>
      <c r="C760" s="343" t="s">
        <v>414</v>
      </c>
      <c r="D760" s="554" t="s">
        <v>702</v>
      </c>
      <c r="E760" s="555" t="s">
        <v>503</v>
      </c>
      <c r="F760" s="292" t="s">
        <v>709</v>
      </c>
      <c r="G760" s="292"/>
      <c r="H760" s="293"/>
      <c r="I760" s="216"/>
    </row>
    <row r="761" spans="1:9" ht="33" customHeight="1" x14ac:dyDescent="0.45">
      <c r="A761" s="342" t="s">
        <v>376</v>
      </c>
      <c r="B761" s="330">
        <v>0.6875</v>
      </c>
      <c r="C761" s="343" t="s">
        <v>414</v>
      </c>
      <c r="D761" s="554" t="s">
        <v>702</v>
      </c>
      <c r="E761" s="555" t="s">
        <v>503</v>
      </c>
      <c r="F761" s="292"/>
      <c r="G761" s="292"/>
      <c r="H761" s="293"/>
      <c r="I761" s="323"/>
    </row>
    <row r="762" spans="1:9" ht="33" customHeight="1" x14ac:dyDescent="0.45">
      <c r="A762" s="342" t="s">
        <v>501</v>
      </c>
      <c r="B762" s="330">
        <v>0.76041666666666663</v>
      </c>
      <c r="C762" s="343" t="s">
        <v>384</v>
      </c>
      <c r="D762" s="554" t="s">
        <v>701</v>
      </c>
      <c r="E762" s="555" t="s">
        <v>504</v>
      </c>
      <c r="F762" s="292" t="s">
        <v>709</v>
      </c>
      <c r="G762" s="292"/>
      <c r="H762" s="293"/>
      <c r="I762" s="323"/>
    </row>
    <row r="763" spans="1:9" ht="33" customHeight="1" x14ac:dyDescent="0.45">
      <c r="A763" s="342" t="s">
        <v>376</v>
      </c>
      <c r="B763" s="330">
        <v>0.76041666666666663</v>
      </c>
      <c r="C763" s="343" t="s">
        <v>414</v>
      </c>
      <c r="D763" s="554" t="s">
        <v>702</v>
      </c>
      <c r="E763" s="555" t="s">
        <v>503</v>
      </c>
      <c r="F763" s="292" t="s">
        <v>709</v>
      </c>
      <c r="G763" s="292"/>
      <c r="H763" s="293"/>
      <c r="I763" s="216"/>
    </row>
    <row r="764" spans="1:9" ht="33" customHeight="1" x14ac:dyDescent="0.45">
      <c r="A764" s="342" t="s">
        <v>501</v>
      </c>
      <c r="B764" s="330">
        <v>0.78125</v>
      </c>
      <c r="C764" s="343" t="s">
        <v>414</v>
      </c>
      <c r="D764" s="554" t="s">
        <v>702</v>
      </c>
      <c r="E764" s="555" t="s">
        <v>504</v>
      </c>
      <c r="F764" s="292" t="s">
        <v>709</v>
      </c>
      <c r="G764" s="292"/>
      <c r="H764" s="293"/>
      <c r="I764" s="323"/>
    </row>
    <row r="765" spans="1:9" ht="33" customHeight="1" x14ac:dyDescent="0.45">
      <c r="A765" s="342" t="s">
        <v>376</v>
      </c>
      <c r="B765" s="330">
        <v>0.78125</v>
      </c>
      <c r="C765" s="343" t="s">
        <v>384</v>
      </c>
      <c r="D765" s="554" t="s">
        <v>701</v>
      </c>
      <c r="E765" s="555" t="s">
        <v>503</v>
      </c>
      <c r="F765" s="292" t="s">
        <v>709</v>
      </c>
      <c r="G765" s="292"/>
      <c r="H765" s="293"/>
      <c r="I765" s="323"/>
    </row>
    <row r="766" spans="1:9" ht="33" customHeight="1" x14ac:dyDescent="0.45">
      <c r="A766" s="342" t="s">
        <v>663</v>
      </c>
      <c r="B766" s="330">
        <v>0.80902777777777779</v>
      </c>
      <c r="C766" s="343" t="s">
        <v>414</v>
      </c>
      <c r="D766" s="554" t="s">
        <v>702</v>
      </c>
      <c r="E766" s="555" t="s">
        <v>504</v>
      </c>
      <c r="F766" s="292" t="s">
        <v>709</v>
      </c>
      <c r="G766" s="292"/>
      <c r="H766" s="293"/>
      <c r="I766" s="323"/>
    </row>
    <row r="767" spans="1:9" ht="33" customHeight="1" x14ac:dyDescent="0.45">
      <c r="A767" s="342" t="s">
        <v>376</v>
      </c>
      <c r="B767" s="330">
        <v>0.82291666666666663</v>
      </c>
      <c r="C767" s="343" t="s">
        <v>414</v>
      </c>
      <c r="D767" s="554" t="s">
        <v>702</v>
      </c>
      <c r="E767" s="555" t="s">
        <v>503</v>
      </c>
      <c r="F767" s="292" t="s">
        <v>709</v>
      </c>
      <c r="G767" s="292"/>
      <c r="H767" s="293"/>
      <c r="I767" s="216"/>
    </row>
    <row r="768" spans="1:9" ht="33" customHeight="1" x14ac:dyDescent="0.45">
      <c r="C768" s="190"/>
    </row>
    <row r="770" spans="1:9" ht="23.25" x14ac:dyDescent="0.45">
      <c r="B770" s="260"/>
      <c r="C770" s="241"/>
      <c r="D770" s="241"/>
      <c r="E770" s="241"/>
      <c r="I770" s="602">
        <f>I749+1</f>
        <v>46168</v>
      </c>
    </row>
    <row r="771" spans="1:9" ht="29.25" x14ac:dyDescent="0.45">
      <c r="A771" s="662" t="s">
        <v>659</v>
      </c>
      <c r="B771" s="320"/>
      <c r="C771" s="254"/>
      <c r="D771" s="254"/>
      <c r="E771" s="598"/>
    </row>
    <row r="773" spans="1:9" ht="90" x14ac:dyDescent="0.45">
      <c r="A773" s="322" t="s">
        <v>324</v>
      </c>
      <c r="B773" s="325" t="s">
        <v>0</v>
      </c>
      <c r="C773" s="332" t="s">
        <v>25</v>
      </c>
      <c r="D773" s="291" t="s">
        <v>26</v>
      </c>
      <c r="E773" s="291" t="s">
        <v>662</v>
      </c>
      <c r="F773" s="291" t="s">
        <v>708</v>
      </c>
      <c r="G773" s="291" t="s">
        <v>1</v>
      </c>
      <c r="H773" s="291" t="s">
        <v>328</v>
      </c>
      <c r="I773" s="291"/>
    </row>
    <row r="774" spans="1:9" ht="34.15" x14ac:dyDescent="0.45">
      <c r="A774" s="342" t="s">
        <v>501</v>
      </c>
      <c r="B774" s="330">
        <v>0.2326388888888889</v>
      </c>
      <c r="C774" s="343" t="s">
        <v>378</v>
      </c>
      <c r="D774" s="554" t="s">
        <v>700</v>
      </c>
      <c r="E774" s="555" t="s">
        <v>503</v>
      </c>
      <c r="F774" s="291"/>
      <c r="G774" s="291"/>
      <c r="H774" s="291"/>
      <c r="I774" s="341"/>
    </row>
    <row r="775" spans="1:9" ht="33" customHeight="1" x14ac:dyDescent="0.45">
      <c r="A775" s="342" t="s">
        <v>376</v>
      </c>
      <c r="B775" s="330">
        <v>0.23958333333333334</v>
      </c>
      <c r="C775" s="343" t="s">
        <v>414</v>
      </c>
      <c r="D775" s="554" t="s">
        <v>702</v>
      </c>
      <c r="E775" s="555" t="s">
        <v>503</v>
      </c>
      <c r="F775" s="291"/>
      <c r="G775" s="291"/>
      <c r="H775" s="291"/>
      <c r="I775" s="341"/>
    </row>
    <row r="776" spans="1:9" ht="33" customHeight="1" x14ac:dyDescent="0.45">
      <c r="A776" s="342" t="s">
        <v>501</v>
      </c>
      <c r="B776" s="330">
        <v>0.25</v>
      </c>
      <c r="C776" s="343" t="s">
        <v>384</v>
      </c>
      <c r="D776" s="554" t="s">
        <v>701</v>
      </c>
      <c r="E776" s="555" t="s">
        <v>503</v>
      </c>
      <c r="F776" s="291"/>
      <c r="G776" s="291"/>
      <c r="H776" s="291"/>
      <c r="I776" s="341"/>
    </row>
    <row r="777" spans="1:9" ht="33" customHeight="1" x14ac:dyDescent="0.45">
      <c r="A777" s="342" t="s">
        <v>501</v>
      </c>
      <c r="B777" s="330">
        <v>0.27083333333333331</v>
      </c>
      <c r="C777" s="343" t="s">
        <v>378</v>
      </c>
      <c r="D777" s="554" t="s">
        <v>700</v>
      </c>
      <c r="E777" s="555" t="s">
        <v>503</v>
      </c>
      <c r="F777" s="291"/>
      <c r="G777" s="291"/>
      <c r="H777" s="291"/>
      <c r="I777" s="323" t="s">
        <v>347</v>
      </c>
    </row>
    <row r="778" spans="1:9" ht="33" customHeight="1" x14ac:dyDescent="0.45">
      <c r="A778" s="342" t="s">
        <v>376</v>
      </c>
      <c r="B778" s="330">
        <v>0.27083333333333331</v>
      </c>
      <c r="C778" s="343" t="s">
        <v>384</v>
      </c>
      <c r="D778" s="554" t="s">
        <v>701</v>
      </c>
      <c r="E778" s="555" t="s">
        <v>504</v>
      </c>
      <c r="F778" s="292" t="s">
        <v>709</v>
      </c>
      <c r="G778" s="292"/>
      <c r="H778" s="293"/>
      <c r="I778" s="216"/>
    </row>
    <row r="779" spans="1:9" ht="33" customHeight="1" x14ac:dyDescent="0.45">
      <c r="A779" s="342" t="s">
        <v>376</v>
      </c>
      <c r="B779" s="330">
        <v>0.27083333333333331</v>
      </c>
      <c r="C779" s="343" t="s">
        <v>414</v>
      </c>
      <c r="D779" s="554" t="s">
        <v>702</v>
      </c>
      <c r="E779" s="555" t="s">
        <v>688</v>
      </c>
      <c r="F779" s="292" t="s">
        <v>709</v>
      </c>
      <c r="G779" s="292"/>
      <c r="H779" s="293"/>
      <c r="I779" s="216"/>
    </row>
    <row r="780" spans="1:9" ht="33" customHeight="1" x14ac:dyDescent="0.45">
      <c r="A780" s="342" t="s">
        <v>501</v>
      </c>
      <c r="B780" s="330">
        <v>0.28819444444444442</v>
      </c>
      <c r="C780" s="343" t="s">
        <v>378</v>
      </c>
      <c r="D780" s="554" t="s">
        <v>700</v>
      </c>
      <c r="E780" s="555" t="s">
        <v>504</v>
      </c>
      <c r="F780" s="321" t="s">
        <v>709</v>
      </c>
      <c r="G780" s="292"/>
      <c r="H780" s="293"/>
      <c r="I780" s="323"/>
    </row>
    <row r="781" spans="1:9" ht="33" customHeight="1" x14ac:dyDescent="0.45">
      <c r="A781" s="342" t="s">
        <v>533</v>
      </c>
      <c r="B781" s="330">
        <v>0.28472222222222221</v>
      </c>
      <c r="C781" s="343" t="s">
        <v>414</v>
      </c>
      <c r="D781" s="554" t="s">
        <v>702</v>
      </c>
      <c r="E781" s="555" t="s">
        <v>504</v>
      </c>
      <c r="F781" s="292" t="s">
        <v>709</v>
      </c>
      <c r="G781" s="292"/>
      <c r="H781" s="293"/>
      <c r="I781" s="323" t="s">
        <v>348</v>
      </c>
    </row>
    <row r="782" spans="1:9" ht="33" customHeight="1" x14ac:dyDescent="0.45">
      <c r="A782" s="342" t="s">
        <v>376</v>
      </c>
      <c r="B782" s="330">
        <v>0.2951388888888889</v>
      </c>
      <c r="C782" s="343" t="s">
        <v>384</v>
      </c>
      <c r="D782" s="554" t="s">
        <v>701</v>
      </c>
      <c r="E782" s="555" t="s">
        <v>688</v>
      </c>
      <c r="F782" s="292" t="s">
        <v>709</v>
      </c>
      <c r="G782" s="292"/>
      <c r="H782" s="293"/>
      <c r="I782" s="216"/>
    </row>
    <row r="783" spans="1:9" ht="33" customHeight="1" x14ac:dyDescent="0.45">
      <c r="A783" s="342" t="s">
        <v>376</v>
      </c>
      <c r="B783" s="330">
        <v>0.3125</v>
      </c>
      <c r="C783" s="343" t="s">
        <v>414</v>
      </c>
      <c r="D783" s="554" t="s">
        <v>702</v>
      </c>
      <c r="E783" s="555" t="s">
        <v>504</v>
      </c>
      <c r="F783" s="292" t="s">
        <v>709</v>
      </c>
      <c r="G783" s="292"/>
      <c r="H783" s="293"/>
      <c r="I783" s="323" t="s">
        <v>350</v>
      </c>
    </row>
    <row r="784" spans="1:9" ht="33" customHeight="1" x14ac:dyDescent="0.45">
      <c r="A784" s="342" t="s">
        <v>501</v>
      </c>
      <c r="B784" s="330">
        <v>0.3263888888888889</v>
      </c>
      <c r="C784" s="343" t="s">
        <v>414</v>
      </c>
      <c r="D784" s="554" t="s">
        <v>702</v>
      </c>
      <c r="E784" s="555" t="s">
        <v>504</v>
      </c>
      <c r="F784" s="292"/>
      <c r="G784" s="292"/>
      <c r="H784" s="293"/>
      <c r="I784" s="323"/>
    </row>
    <row r="785" spans="1:9" ht="33" customHeight="1" x14ac:dyDescent="0.45">
      <c r="A785" s="342" t="s">
        <v>376</v>
      </c>
      <c r="B785" s="330">
        <v>0.3263888888888889</v>
      </c>
      <c r="C785" s="343" t="s">
        <v>378</v>
      </c>
      <c r="D785" s="554" t="s">
        <v>700</v>
      </c>
      <c r="E785" s="555" t="s">
        <v>504</v>
      </c>
      <c r="F785" s="292" t="s">
        <v>709</v>
      </c>
      <c r="G785" s="292"/>
      <c r="H785" s="293"/>
      <c r="I785" s="323"/>
    </row>
    <row r="786" spans="1:9" ht="33" customHeight="1" x14ac:dyDescent="0.45">
      <c r="A786" s="342" t="s">
        <v>376</v>
      </c>
      <c r="B786" s="330">
        <v>0.58333333333333337</v>
      </c>
      <c r="C786" s="343" t="s">
        <v>378</v>
      </c>
      <c r="D786" s="554" t="s">
        <v>700</v>
      </c>
      <c r="E786" s="555" t="s">
        <v>503</v>
      </c>
      <c r="F786" s="292" t="s">
        <v>709</v>
      </c>
      <c r="G786" s="292"/>
      <c r="H786" s="293"/>
      <c r="I786" s="323" t="s">
        <v>349</v>
      </c>
    </row>
    <row r="787" spans="1:9" ht="34.15" x14ac:dyDescent="0.45">
      <c r="A787" s="342" t="s">
        <v>501</v>
      </c>
      <c r="B787" s="330">
        <v>0.58333333333333337</v>
      </c>
      <c r="C787" s="343" t="s">
        <v>384</v>
      </c>
      <c r="D787" s="554" t="s">
        <v>701</v>
      </c>
      <c r="E787" s="555" t="s">
        <v>504</v>
      </c>
      <c r="F787" s="292" t="s">
        <v>709</v>
      </c>
      <c r="G787" s="292"/>
      <c r="H787" s="293"/>
      <c r="I787" s="323"/>
    </row>
    <row r="788" spans="1:9" ht="34.15" x14ac:dyDescent="0.45">
      <c r="A788" s="342" t="s">
        <v>376</v>
      </c>
      <c r="B788" s="330">
        <v>0.61458333333333337</v>
      </c>
      <c r="C788" s="343" t="s">
        <v>378</v>
      </c>
      <c r="D788" s="554" t="s">
        <v>700</v>
      </c>
      <c r="E788" s="555" t="s">
        <v>503</v>
      </c>
      <c r="F788" s="292" t="s">
        <v>709</v>
      </c>
      <c r="G788" s="292"/>
      <c r="H788" s="293"/>
      <c r="I788" s="323"/>
    </row>
    <row r="789" spans="1:9" ht="34.15" x14ac:dyDescent="0.45">
      <c r="A789" s="342" t="s">
        <v>376</v>
      </c>
      <c r="B789" s="330">
        <v>0.61805555555555558</v>
      </c>
      <c r="C789" s="343" t="s">
        <v>384</v>
      </c>
      <c r="D789" s="554" t="s">
        <v>701</v>
      </c>
      <c r="E789" s="555" t="s">
        <v>503</v>
      </c>
      <c r="F789" s="292" t="s">
        <v>709</v>
      </c>
      <c r="G789" s="292"/>
      <c r="H789" s="293"/>
      <c r="I789" s="323"/>
    </row>
    <row r="790" spans="1:9" ht="34.15" x14ac:dyDescent="0.45">
      <c r="A790" s="342" t="s">
        <v>501</v>
      </c>
      <c r="B790" s="330">
        <v>0.625</v>
      </c>
      <c r="C790" s="343" t="s">
        <v>414</v>
      </c>
      <c r="D790" s="554" t="s">
        <v>702</v>
      </c>
      <c r="E790" s="555" t="s">
        <v>504</v>
      </c>
      <c r="F790" s="292" t="s">
        <v>709</v>
      </c>
      <c r="G790" s="292"/>
      <c r="H790" s="293"/>
      <c r="I790" s="216"/>
    </row>
    <row r="791" spans="1:9" ht="34.15" x14ac:dyDescent="0.45">
      <c r="A791" s="342" t="s">
        <v>376</v>
      </c>
      <c r="B791" s="330">
        <v>0.63888888888888884</v>
      </c>
      <c r="C791" s="343" t="s">
        <v>378</v>
      </c>
      <c r="D791" s="554" t="s">
        <v>700</v>
      </c>
      <c r="E791" s="555" t="s">
        <v>503</v>
      </c>
      <c r="F791" s="292" t="s">
        <v>709</v>
      </c>
      <c r="G791" s="292"/>
      <c r="H791" s="293"/>
      <c r="I791" s="216"/>
    </row>
    <row r="792" spans="1:9" ht="34.15" x14ac:dyDescent="0.45">
      <c r="A792" s="342" t="s">
        <v>376</v>
      </c>
      <c r="B792" s="330">
        <v>0.65972222222222221</v>
      </c>
      <c r="C792" s="343" t="s">
        <v>414</v>
      </c>
      <c r="D792" s="554" t="s">
        <v>702</v>
      </c>
      <c r="E792" s="555" t="s">
        <v>503</v>
      </c>
      <c r="F792" s="292" t="s">
        <v>709</v>
      </c>
      <c r="G792" s="292"/>
      <c r="H792" s="293"/>
      <c r="I792" s="216"/>
    </row>
    <row r="793" spans="1:9" ht="34.15" x14ac:dyDescent="0.45">
      <c r="A793" s="342" t="s">
        <v>376</v>
      </c>
      <c r="B793" s="330">
        <v>0.6875</v>
      </c>
      <c r="C793" s="343" t="s">
        <v>414</v>
      </c>
      <c r="D793" s="554" t="s">
        <v>702</v>
      </c>
      <c r="E793" s="555" t="s">
        <v>503</v>
      </c>
      <c r="F793" s="292" t="s">
        <v>709</v>
      </c>
      <c r="G793" s="292"/>
      <c r="H793" s="293"/>
      <c r="I793" s="216"/>
    </row>
    <row r="794" spans="1:9" ht="34.15" x14ac:dyDescent="0.45">
      <c r="A794" s="342" t="s">
        <v>376</v>
      </c>
      <c r="B794" s="330">
        <v>0.71180555555555558</v>
      </c>
      <c r="C794" s="343" t="s">
        <v>414</v>
      </c>
      <c r="D794" s="554" t="s">
        <v>702</v>
      </c>
      <c r="E794" s="555" t="s">
        <v>503</v>
      </c>
      <c r="F794" s="292" t="s">
        <v>709</v>
      </c>
      <c r="G794" s="292"/>
      <c r="H794" s="293"/>
      <c r="I794" s="216"/>
    </row>
    <row r="795" spans="1:9" ht="34.15" x14ac:dyDescent="0.45">
      <c r="A795" s="342" t="s">
        <v>376</v>
      </c>
      <c r="B795" s="330">
        <v>0.76041666666666663</v>
      </c>
      <c r="C795" s="343" t="s">
        <v>384</v>
      </c>
      <c r="D795" s="554" t="s">
        <v>701</v>
      </c>
      <c r="E795" s="555" t="s">
        <v>504</v>
      </c>
      <c r="F795" s="292" t="s">
        <v>709</v>
      </c>
      <c r="G795" s="292"/>
      <c r="H795" s="293"/>
      <c r="I795" s="216"/>
    </row>
    <row r="796" spans="1:9" ht="34.15" x14ac:dyDescent="0.45">
      <c r="A796" s="342" t="s">
        <v>501</v>
      </c>
      <c r="B796" s="330">
        <v>0.76041666666666663</v>
      </c>
      <c r="C796" s="343" t="s">
        <v>378</v>
      </c>
      <c r="D796" s="554" t="s">
        <v>700</v>
      </c>
      <c r="E796" s="555" t="s">
        <v>504</v>
      </c>
      <c r="F796" s="292" t="s">
        <v>709</v>
      </c>
      <c r="G796" s="292"/>
      <c r="H796" s="293"/>
      <c r="I796" s="216"/>
    </row>
    <row r="797" spans="1:9" ht="34.15" x14ac:dyDescent="0.45">
      <c r="A797" s="342" t="s">
        <v>376</v>
      </c>
      <c r="B797" s="330">
        <v>0.78125</v>
      </c>
      <c r="C797" s="343" t="s">
        <v>378</v>
      </c>
      <c r="D797" s="554" t="s">
        <v>700</v>
      </c>
      <c r="E797" s="555" t="s">
        <v>503</v>
      </c>
      <c r="F797" s="292" t="s">
        <v>709</v>
      </c>
      <c r="G797" s="292"/>
      <c r="H797" s="293"/>
      <c r="I797" s="216"/>
    </row>
    <row r="798" spans="1:9" ht="34.15" x14ac:dyDescent="0.45">
      <c r="A798" s="342" t="s">
        <v>501</v>
      </c>
      <c r="B798" s="330">
        <v>0.78125</v>
      </c>
      <c r="C798" s="343" t="s">
        <v>384</v>
      </c>
      <c r="D798" s="554" t="s">
        <v>701</v>
      </c>
      <c r="E798" s="555" t="s">
        <v>504</v>
      </c>
      <c r="F798" s="292" t="s">
        <v>709</v>
      </c>
      <c r="G798" s="292"/>
      <c r="H798" s="293"/>
      <c r="I798" s="216"/>
    </row>
    <row r="799" spans="1:9" ht="34.15" x14ac:dyDescent="0.45">
      <c r="A799" s="342" t="s">
        <v>376</v>
      </c>
      <c r="B799" s="330">
        <v>0.80208333333333337</v>
      </c>
      <c r="C799" s="343" t="s">
        <v>384</v>
      </c>
      <c r="D799" s="554" t="s">
        <v>701</v>
      </c>
      <c r="E799" s="555" t="s">
        <v>503</v>
      </c>
      <c r="F799" s="292" t="s">
        <v>709</v>
      </c>
      <c r="G799" s="292"/>
      <c r="H799" s="293"/>
      <c r="I799" s="216"/>
    </row>
    <row r="800" spans="1:9" ht="34.15" x14ac:dyDescent="0.45">
      <c r="A800" s="342" t="s">
        <v>663</v>
      </c>
      <c r="B800" s="330">
        <v>0.80902777777777779</v>
      </c>
      <c r="C800" s="343" t="s">
        <v>378</v>
      </c>
      <c r="D800" s="554" t="s">
        <v>700</v>
      </c>
      <c r="E800" s="555" t="s">
        <v>688</v>
      </c>
      <c r="F800" s="292" t="s">
        <v>709</v>
      </c>
      <c r="G800" s="292"/>
      <c r="H800" s="293"/>
      <c r="I800" s="216"/>
    </row>
    <row r="801" spans="1:9" ht="34.15" x14ac:dyDescent="0.45">
      <c r="A801" s="342" t="s">
        <v>376</v>
      </c>
      <c r="B801" s="330">
        <v>0.82291666666666663</v>
      </c>
      <c r="C801" s="343" t="s">
        <v>384</v>
      </c>
      <c r="D801" s="554" t="s">
        <v>701</v>
      </c>
      <c r="E801" s="555" t="s">
        <v>503</v>
      </c>
      <c r="F801" s="292" t="s">
        <v>709</v>
      </c>
      <c r="G801" s="292"/>
      <c r="H801" s="293"/>
      <c r="I801" s="216"/>
    </row>
    <row r="802" spans="1:9" x14ac:dyDescent="0.45">
      <c r="C802" s="190"/>
    </row>
    <row r="805" spans="1:9" ht="23.25" x14ac:dyDescent="0.45">
      <c r="B805" s="260"/>
      <c r="C805" s="241"/>
      <c r="D805" s="241"/>
      <c r="E805" s="241"/>
    </row>
    <row r="806" spans="1:9" ht="29.25" x14ac:dyDescent="0.45">
      <c r="A806" s="662" t="s">
        <v>659</v>
      </c>
      <c r="B806" s="320"/>
      <c r="C806" s="254"/>
      <c r="D806" s="254"/>
      <c r="E806" s="598"/>
      <c r="I806" s="607">
        <f>I770+1</f>
        <v>46169</v>
      </c>
    </row>
    <row r="808" spans="1:9" ht="90" x14ac:dyDescent="0.45">
      <c r="A808" s="322" t="s">
        <v>324</v>
      </c>
      <c r="B808" s="325" t="s">
        <v>0</v>
      </c>
      <c r="C808" s="332" t="s">
        <v>25</v>
      </c>
      <c r="D808" s="291" t="s">
        <v>26</v>
      </c>
      <c r="E808" s="291" t="s">
        <v>661</v>
      </c>
      <c r="F808" s="291" t="s">
        <v>708</v>
      </c>
      <c r="G808" s="291" t="s">
        <v>1</v>
      </c>
      <c r="H808" s="291" t="s">
        <v>328</v>
      </c>
      <c r="I808" s="291"/>
    </row>
    <row r="809" spans="1:9" ht="34.15" x14ac:dyDescent="0.45">
      <c r="A809" s="342" t="s">
        <v>376</v>
      </c>
      <c r="B809" s="330">
        <v>0.2951388888888889</v>
      </c>
      <c r="C809" s="343" t="s">
        <v>384</v>
      </c>
      <c r="D809" s="554" t="s">
        <v>701</v>
      </c>
      <c r="E809" s="555" t="s">
        <v>504</v>
      </c>
      <c r="F809" s="291"/>
      <c r="G809" s="291"/>
      <c r="H809" s="291"/>
      <c r="I809" s="323" t="s">
        <v>347</v>
      </c>
    </row>
    <row r="810" spans="1:9" ht="33" customHeight="1" x14ac:dyDescent="0.45">
      <c r="A810" s="342" t="s">
        <v>376</v>
      </c>
      <c r="B810" s="330">
        <v>0.3125</v>
      </c>
      <c r="C810" s="343" t="s">
        <v>414</v>
      </c>
      <c r="D810" s="554" t="s">
        <v>702</v>
      </c>
      <c r="E810" s="555" t="s">
        <v>504</v>
      </c>
      <c r="F810" s="291"/>
      <c r="G810" s="291"/>
      <c r="H810" s="291"/>
      <c r="I810" s="341"/>
    </row>
    <row r="811" spans="1:9" ht="33" customHeight="1" x14ac:dyDescent="0.45">
      <c r="A811" s="342" t="s">
        <v>376</v>
      </c>
      <c r="B811" s="330">
        <v>0.3263888888888889</v>
      </c>
      <c r="C811" s="343" t="s">
        <v>414</v>
      </c>
      <c r="D811" s="554" t="s">
        <v>702</v>
      </c>
      <c r="E811" s="555" t="s">
        <v>504</v>
      </c>
      <c r="F811" s="291"/>
      <c r="G811" s="291"/>
      <c r="H811" s="291"/>
      <c r="I811" s="323" t="s">
        <v>348</v>
      </c>
    </row>
    <row r="812" spans="1:9" ht="33" customHeight="1" x14ac:dyDescent="0.45">
      <c r="A812" s="342" t="s">
        <v>376</v>
      </c>
      <c r="B812" s="330">
        <v>0.58333333333333337</v>
      </c>
      <c r="C812" s="343" t="s">
        <v>378</v>
      </c>
      <c r="D812" s="554" t="s">
        <v>700</v>
      </c>
      <c r="E812" s="555" t="s">
        <v>503</v>
      </c>
      <c r="F812" s="292" t="s">
        <v>709</v>
      </c>
      <c r="G812" s="292"/>
      <c r="H812" s="293"/>
      <c r="I812" s="216"/>
    </row>
    <row r="813" spans="1:9" ht="33" customHeight="1" x14ac:dyDescent="0.45">
      <c r="A813" s="342" t="s">
        <v>501</v>
      </c>
      <c r="B813" s="330">
        <v>0.58333333333333337</v>
      </c>
      <c r="C813" s="343" t="s">
        <v>384</v>
      </c>
      <c r="D813" s="554" t="s">
        <v>701</v>
      </c>
      <c r="E813" s="555" t="s">
        <v>504</v>
      </c>
      <c r="F813" s="292" t="s">
        <v>709</v>
      </c>
      <c r="G813" s="292"/>
      <c r="H813" s="293"/>
      <c r="I813" s="216"/>
    </row>
    <row r="814" spans="1:9" ht="33" customHeight="1" x14ac:dyDescent="0.45">
      <c r="A814" s="342" t="s">
        <v>376</v>
      </c>
      <c r="B814" s="330">
        <v>0.61458333333333337</v>
      </c>
      <c r="C814" s="343" t="s">
        <v>378</v>
      </c>
      <c r="D814" s="554" t="s">
        <v>700</v>
      </c>
      <c r="E814" s="555" t="s">
        <v>503</v>
      </c>
      <c r="F814" s="321" t="s">
        <v>709</v>
      </c>
      <c r="G814" s="292"/>
      <c r="H814" s="293"/>
      <c r="I814" s="323" t="s">
        <v>350</v>
      </c>
    </row>
    <row r="815" spans="1:9" ht="33" customHeight="1" x14ac:dyDescent="0.45">
      <c r="A815" s="342" t="s">
        <v>501</v>
      </c>
      <c r="B815" s="330">
        <v>0.625</v>
      </c>
      <c r="C815" s="343" t="s">
        <v>384</v>
      </c>
      <c r="D815" s="554" t="s">
        <v>701</v>
      </c>
      <c r="E815" s="555" t="s">
        <v>504</v>
      </c>
      <c r="F815" s="292" t="s">
        <v>709</v>
      </c>
      <c r="G815" s="292"/>
      <c r="H815" s="293"/>
      <c r="I815" s="216"/>
    </row>
    <row r="816" spans="1:9" ht="33" customHeight="1" x14ac:dyDescent="0.45">
      <c r="A816" s="342" t="s">
        <v>376</v>
      </c>
      <c r="B816" s="330">
        <v>0.63888888888888884</v>
      </c>
      <c r="C816" s="343" t="s">
        <v>378</v>
      </c>
      <c r="D816" s="554" t="s">
        <v>700</v>
      </c>
      <c r="E816" s="555" t="s">
        <v>503</v>
      </c>
      <c r="F816" s="292" t="s">
        <v>709</v>
      </c>
      <c r="G816" s="292"/>
      <c r="H816" s="293"/>
      <c r="I816" s="323" t="s">
        <v>349</v>
      </c>
    </row>
    <row r="817" spans="1:9" ht="33" customHeight="1" x14ac:dyDescent="0.45">
      <c r="A817" s="342" t="s">
        <v>376</v>
      </c>
      <c r="B817" s="330">
        <v>0.65972222222222221</v>
      </c>
      <c r="C817" s="343" t="s">
        <v>414</v>
      </c>
      <c r="D817" s="554" t="s">
        <v>702</v>
      </c>
      <c r="E817" s="555" t="s">
        <v>503</v>
      </c>
      <c r="F817" s="292" t="s">
        <v>709</v>
      </c>
      <c r="G817" s="292"/>
      <c r="H817" s="293"/>
      <c r="I817" s="216"/>
    </row>
    <row r="818" spans="1:9" ht="33" customHeight="1" x14ac:dyDescent="0.45">
      <c r="A818" s="342" t="s">
        <v>376</v>
      </c>
      <c r="B818" s="330">
        <v>0.6875</v>
      </c>
      <c r="C818" s="343" t="s">
        <v>414</v>
      </c>
      <c r="D818" s="554" t="s">
        <v>702</v>
      </c>
      <c r="E818" s="555" t="s">
        <v>503</v>
      </c>
      <c r="F818" s="292"/>
      <c r="G818" s="292"/>
      <c r="H818" s="293"/>
      <c r="I818" s="323"/>
    </row>
    <row r="819" spans="1:9" ht="33" customHeight="1" x14ac:dyDescent="0.45">
      <c r="A819" s="342" t="s">
        <v>501</v>
      </c>
      <c r="B819" s="330">
        <v>0.76041666666666663</v>
      </c>
      <c r="C819" s="343" t="s">
        <v>384</v>
      </c>
      <c r="D819" s="554" t="s">
        <v>701</v>
      </c>
      <c r="E819" s="555" t="s">
        <v>504</v>
      </c>
      <c r="F819" s="292" t="s">
        <v>709</v>
      </c>
      <c r="G819" s="292"/>
      <c r="H819" s="293"/>
      <c r="I819" s="323"/>
    </row>
    <row r="820" spans="1:9" ht="33" customHeight="1" x14ac:dyDescent="0.45">
      <c r="A820" s="342" t="s">
        <v>376</v>
      </c>
      <c r="B820" s="330">
        <v>0.76041666666666663</v>
      </c>
      <c r="C820" s="343" t="s">
        <v>414</v>
      </c>
      <c r="D820" s="554" t="s">
        <v>702</v>
      </c>
      <c r="E820" s="555" t="s">
        <v>503</v>
      </c>
      <c r="F820" s="292" t="s">
        <v>709</v>
      </c>
      <c r="G820" s="292"/>
      <c r="H820" s="293"/>
      <c r="I820" s="216"/>
    </row>
    <row r="821" spans="1:9" ht="33" customHeight="1" x14ac:dyDescent="0.45">
      <c r="A821" s="342" t="s">
        <v>501</v>
      </c>
      <c r="B821" s="330">
        <v>0.78125</v>
      </c>
      <c r="C821" s="343" t="s">
        <v>414</v>
      </c>
      <c r="D821" s="554" t="s">
        <v>702</v>
      </c>
      <c r="E821" s="555" t="s">
        <v>504</v>
      </c>
      <c r="F821" s="292" t="s">
        <v>709</v>
      </c>
      <c r="G821" s="292"/>
      <c r="H821" s="293"/>
      <c r="I821" s="323"/>
    </row>
    <row r="822" spans="1:9" ht="33" customHeight="1" x14ac:dyDescent="0.45">
      <c r="A822" s="342" t="s">
        <v>376</v>
      </c>
      <c r="B822" s="330">
        <v>0.78125</v>
      </c>
      <c r="C822" s="343" t="s">
        <v>384</v>
      </c>
      <c r="D822" s="554" t="s">
        <v>701</v>
      </c>
      <c r="E822" s="555" t="s">
        <v>503</v>
      </c>
      <c r="F822" s="292" t="s">
        <v>709</v>
      </c>
      <c r="G822" s="292"/>
      <c r="H822" s="293"/>
      <c r="I822" s="323"/>
    </row>
    <row r="823" spans="1:9" ht="33" customHeight="1" x14ac:dyDescent="0.45">
      <c r="A823" s="342" t="s">
        <v>663</v>
      </c>
      <c r="B823" s="330">
        <v>0.80902777777777779</v>
      </c>
      <c r="C823" s="343" t="s">
        <v>414</v>
      </c>
      <c r="D823" s="554" t="s">
        <v>702</v>
      </c>
      <c r="E823" s="555" t="s">
        <v>504</v>
      </c>
      <c r="F823" s="292" t="s">
        <v>709</v>
      </c>
      <c r="G823" s="292"/>
      <c r="H823" s="293"/>
      <c r="I823" s="323"/>
    </row>
    <row r="824" spans="1:9" ht="33" customHeight="1" x14ac:dyDescent="0.45">
      <c r="A824" s="342" t="s">
        <v>376</v>
      </c>
      <c r="B824" s="330">
        <v>0.82291666666666663</v>
      </c>
      <c r="C824" s="343" t="s">
        <v>414</v>
      </c>
      <c r="D824" s="554" t="s">
        <v>702</v>
      </c>
      <c r="E824" s="555" t="s">
        <v>503</v>
      </c>
      <c r="F824" s="292" t="s">
        <v>709</v>
      </c>
      <c r="G824" s="292"/>
      <c r="H824" s="293"/>
      <c r="I824" s="216"/>
    </row>
    <row r="825" spans="1:9" ht="33" customHeight="1" x14ac:dyDescent="0.45">
      <c r="C825" s="190"/>
    </row>
    <row r="827" spans="1:9" ht="23.25" x14ac:dyDescent="0.45">
      <c r="B827" s="260"/>
      <c r="C827" s="241"/>
      <c r="D827" s="241"/>
      <c r="E827" s="241"/>
    </row>
    <row r="828" spans="1:9" ht="29.25" x14ac:dyDescent="0.45">
      <c r="A828" s="662" t="s">
        <v>659</v>
      </c>
      <c r="B828" s="320"/>
      <c r="C828" s="254"/>
      <c r="D828" s="254"/>
      <c r="E828" s="598"/>
      <c r="I828" s="600">
        <f>I806+1</f>
        <v>46170</v>
      </c>
    </row>
    <row r="830" spans="1:9" ht="90" x14ac:dyDescent="0.45">
      <c r="A830" s="322" t="s">
        <v>324</v>
      </c>
      <c r="B830" s="325" t="s">
        <v>0</v>
      </c>
      <c r="C830" s="332" t="s">
        <v>25</v>
      </c>
      <c r="D830" s="291" t="s">
        <v>26</v>
      </c>
      <c r="E830" s="291" t="s">
        <v>662</v>
      </c>
      <c r="F830" s="291" t="s">
        <v>708</v>
      </c>
      <c r="G830" s="291" t="s">
        <v>1</v>
      </c>
      <c r="H830" s="291" t="s">
        <v>328</v>
      </c>
      <c r="I830" s="291"/>
    </row>
    <row r="831" spans="1:9" ht="34.15" x14ac:dyDescent="0.45">
      <c r="A831" s="342" t="s">
        <v>501</v>
      </c>
      <c r="B831" s="330">
        <v>0.2326388888888889</v>
      </c>
      <c r="C831" s="343" t="s">
        <v>378</v>
      </c>
      <c r="D831" s="554" t="s">
        <v>700</v>
      </c>
      <c r="E831" s="555" t="s">
        <v>503</v>
      </c>
      <c r="F831" s="291"/>
      <c r="G831" s="291"/>
      <c r="H831" s="291"/>
      <c r="I831" s="341"/>
    </row>
    <row r="832" spans="1:9" ht="33.4" customHeight="1" x14ac:dyDescent="0.45">
      <c r="A832" s="342" t="s">
        <v>376</v>
      </c>
      <c r="B832" s="330">
        <v>0.23958333333333334</v>
      </c>
      <c r="C832" s="343" t="s">
        <v>414</v>
      </c>
      <c r="D832" s="554" t="s">
        <v>702</v>
      </c>
      <c r="E832" s="555" t="s">
        <v>503</v>
      </c>
      <c r="F832" s="291"/>
      <c r="G832" s="291"/>
      <c r="H832" s="291"/>
      <c r="I832" s="341"/>
    </row>
    <row r="833" spans="1:9" ht="33.4" customHeight="1" x14ac:dyDescent="0.45">
      <c r="A833" s="342" t="s">
        <v>501</v>
      </c>
      <c r="B833" s="330">
        <v>0.25</v>
      </c>
      <c r="C833" s="343" t="s">
        <v>384</v>
      </c>
      <c r="D833" s="554" t="s">
        <v>701</v>
      </c>
      <c r="E833" s="555" t="s">
        <v>503</v>
      </c>
      <c r="F833" s="291"/>
      <c r="G833" s="291"/>
      <c r="H833" s="291"/>
      <c r="I833" s="341"/>
    </row>
    <row r="834" spans="1:9" ht="33.4" customHeight="1" x14ac:dyDescent="0.45">
      <c r="A834" s="342" t="s">
        <v>501</v>
      </c>
      <c r="B834" s="330">
        <v>0.27083333333333331</v>
      </c>
      <c r="C834" s="343" t="s">
        <v>378</v>
      </c>
      <c r="D834" s="554" t="s">
        <v>700</v>
      </c>
      <c r="E834" s="555" t="s">
        <v>503</v>
      </c>
      <c r="F834" s="291"/>
      <c r="G834" s="291"/>
      <c r="H834" s="291"/>
      <c r="I834" s="323" t="s">
        <v>347</v>
      </c>
    </row>
    <row r="835" spans="1:9" ht="33.4" customHeight="1" x14ac:dyDescent="0.45">
      <c r="A835" s="342" t="s">
        <v>376</v>
      </c>
      <c r="B835" s="330">
        <v>0.27083333333333331</v>
      </c>
      <c r="C835" s="343" t="s">
        <v>384</v>
      </c>
      <c r="D835" s="554" t="s">
        <v>701</v>
      </c>
      <c r="E835" s="555" t="s">
        <v>504</v>
      </c>
      <c r="F835" s="292" t="s">
        <v>709</v>
      </c>
      <c r="G835" s="292"/>
      <c r="H835" s="293"/>
      <c r="I835" s="216"/>
    </row>
    <row r="836" spans="1:9" ht="33.4" customHeight="1" x14ac:dyDescent="0.45">
      <c r="A836" s="342" t="s">
        <v>376</v>
      </c>
      <c r="B836" s="330">
        <v>0.27083333333333331</v>
      </c>
      <c r="C836" s="343" t="s">
        <v>414</v>
      </c>
      <c r="D836" s="554" t="s">
        <v>702</v>
      </c>
      <c r="E836" s="555" t="s">
        <v>688</v>
      </c>
      <c r="F836" s="292" t="s">
        <v>709</v>
      </c>
      <c r="G836" s="292"/>
      <c r="H836" s="293"/>
      <c r="I836" s="216"/>
    </row>
    <row r="837" spans="1:9" ht="33.4" customHeight="1" x14ac:dyDescent="0.45">
      <c r="A837" s="342" t="s">
        <v>501</v>
      </c>
      <c r="B837" s="330">
        <v>0.28819444444444442</v>
      </c>
      <c r="C837" s="343" t="s">
        <v>378</v>
      </c>
      <c r="D837" s="554" t="s">
        <v>700</v>
      </c>
      <c r="E837" s="555" t="s">
        <v>504</v>
      </c>
      <c r="F837" s="321" t="s">
        <v>709</v>
      </c>
      <c r="G837" s="292"/>
      <c r="H837" s="293"/>
      <c r="I837" s="323"/>
    </row>
    <row r="838" spans="1:9" ht="33.4" customHeight="1" x14ac:dyDescent="0.45">
      <c r="A838" s="342" t="s">
        <v>533</v>
      </c>
      <c r="B838" s="330">
        <v>0.28472222222222221</v>
      </c>
      <c r="C838" s="343" t="s">
        <v>414</v>
      </c>
      <c r="D838" s="554" t="s">
        <v>702</v>
      </c>
      <c r="E838" s="555" t="s">
        <v>504</v>
      </c>
      <c r="F838" s="292" t="s">
        <v>709</v>
      </c>
      <c r="G838" s="292"/>
      <c r="H838" s="293"/>
      <c r="I838" s="323" t="s">
        <v>348</v>
      </c>
    </row>
    <row r="839" spans="1:9" ht="33.4" customHeight="1" x14ac:dyDescent="0.45">
      <c r="A839" s="342" t="s">
        <v>376</v>
      </c>
      <c r="B839" s="330">
        <v>0.2951388888888889</v>
      </c>
      <c r="C839" s="343" t="s">
        <v>384</v>
      </c>
      <c r="D839" s="554" t="s">
        <v>701</v>
      </c>
      <c r="E839" s="555" t="s">
        <v>688</v>
      </c>
      <c r="F839" s="292" t="s">
        <v>709</v>
      </c>
      <c r="G839" s="292"/>
      <c r="H839" s="293"/>
      <c r="I839" s="216"/>
    </row>
    <row r="840" spans="1:9" ht="33.4" customHeight="1" x14ac:dyDescent="0.45">
      <c r="A840" s="342" t="s">
        <v>376</v>
      </c>
      <c r="B840" s="330">
        <v>0.3125</v>
      </c>
      <c r="C840" s="343" t="s">
        <v>414</v>
      </c>
      <c r="D840" s="554" t="s">
        <v>702</v>
      </c>
      <c r="E840" s="555" t="s">
        <v>504</v>
      </c>
      <c r="F840" s="292" t="s">
        <v>709</v>
      </c>
      <c r="G840" s="292"/>
      <c r="H840" s="293"/>
      <c r="I840" s="323" t="s">
        <v>350</v>
      </c>
    </row>
    <row r="841" spans="1:9" ht="33.4" customHeight="1" x14ac:dyDescent="0.45">
      <c r="A841" s="342" t="s">
        <v>501</v>
      </c>
      <c r="B841" s="330">
        <v>0.3263888888888889</v>
      </c>
      <c r="C841" s="343" t="s">
        <v>414</v>
      </c>
      <c r="D841" s="554" t="s">
        <v>702</v>
      </c>
      <c r="E841" s="555" t="s">
        <v>504</v>
      </c>
      <c r="F841" s="292"/>
      <c r="G841" s="292"/>
      <c r="H841" s="293"/>
      <c r="I841" s="323"/>
    </row>
    <row r="842" spans="1:9" ht="33.4" customHeight="1" x14ac:dyDescent="0.45">
      <c r="A842" s="342" t="s">
        <v>376</v>
      </c>
      <c r="B842" s="330">
        <v>0.3263888888888889</v>
      </c>
      <c r="C842" s="343" t="s">
        <v>378</v>
      </c>
      <c r="D842" s="554" t="s">
        <v>700</v>
      </c>
      <c r="E842" s="555" t="s">
        <v>504</v>
      </c>
      <c r="F842" s="292" t="s">
        <v>709</v>
      </c>
      <c r="G842" s="292"/>
      <c r="H842" s="293"/>
      <c r="I842" s="323"/>
    </row>
    <row r="843" spans="1:9" ht="33.4" customHeight="1" x14ac:dyDescent="0.45">
      <c r="A843" s="342" t="s">
        <v>376</v>
      </c>
      <c r="B843" s="330">
        <v>0.58333333333333337</v>
      </c>
      <c r="C843" s="343" t="s">
        <v>378</v>
      </c>
      <c r="D843" s="554" t="s">
        <v>700</v>
      </c>
      <c r="E843" s="555" t="s">
        <v>503</v>
      </c>
      <c r="F843" s="292" t="s">
        <v>709</v>
      </c>
      <c r="G843" s="292"/>
      <c r="H843" s="293"/>
      <c r="I843" s="323" t="s">
        <v>349</v>
      </c>
    </row>
    <row r="844" spans="1:9" ht="33.4" customHeight="1" x14ac:dyDescent="0.45">
      <c r="A844" s="342" t="s">
        <v>501</v>
      </c>
      <c r="B844" s="330">
        <v>0.58333333333333337</v>
      </c>
      <c r="C844" s="343" t="s">
        <v>384</v>
      </c>
      <c r="D844" s="554" t="s">
        <v>701</v>
      </c>
      <c r="E844" s="555" t="s">
        <v>504</v>
      </c>
      <c r="F844" s="292" t="s">
        <v>709</v>
      </c>
      <c r="G844" s="292"/>
      <c r="H844" s="293"/>
      <c r="I844" s="323"/>
    </row>
    <row r="845" spans="1:9" ht="33.4" customHeight="1" x14ac:dyDescent="0.45">
      <c r="A845" s="342" t="s">
        <v>376</v>
      </c>
      <c r="B845" s="330">
        <v>0.61458333333333337</v>
      </c>
      <c r="C845" s="343" t="s">
        <v>378</v>
      </c>
      <c r="D845" s="554" t="s">
        <v>700</v>
      </c>
      <c r="E845" s="555" t="s">
        <v>503</v>
      </c>
      <c r="F845" s="292" t="s">
        <v>709</v>
      </c>
      <c r="G845" s="292"/>
      <c r="H845" s="293"/>
      <c r="I845" s="323"/>
    </row>
    <row r="846" spans="1:9" ht="33.4" customHeight="1" x14ac:dyDescent="0.45">
      <c r="A846" s="342" t="s">
        <v>376</v>
      </c>
      <c r="B846" s="330">
        <v>0.61805555555555558</v>
      </c>
      <c r="C846" s="343" t="s">
        <v>384</v>
      </c>
      <c r="D846" s="554" t="s">
        <v>701</v>
      </c>
      <c r="E846" s="555" t="s">
        <v>503</v>
      </c>
      <c r="F846" s="292" t="s">
        <v>709</v>
      </c>
      <c r="G846" s="292"/>
      <c r="H846" s="293"/>
      <c r="I846" s="323"/>
    </row>
    <row r="847" spans="1:9" ht="33.4" customHeight="1" x14ac:dyDescent="0.45">
      <c r="A847" s="342" t="s">
        <v>501</v>
      </c>
      <c r="B847" s="330">
        <v>0.625</v>
      </c>
      <c r="C847" s="343" t="s">
        <v>414</v>
      </c>
      <c r="D847" s="554" t="s">
        <v>702</v>
      </c>
      <c r="E847" s="555" t="s">
        <v>504</v>
      </c>
      <c r="F847" s="292" t="s">
        <v>709</v>
      </c>
      <c r="G847" s="292"/>
      <c r="H847" s="293"/>
      <c r="I847" s="216"/>
    </row>
    <row r="848" spans="1:9" ht="33.4" customHeight="1" x14ac:dyDescent="0.45">
      <c r="A848" s="342" t="s">
        <v>376</v>
      </c>
      <c r="B848" s="330">
        <v>0.63888888888888884</v>
      </c>
      <c r="C848" s="343" t="s">
        <v>378</v>
      </c>
      <c r="D848" s="554" t="s">
        <v>700</v>
      </c>
      <c r="E848" s="555" t="s">
        <v>503</v>
      </c>
      <c r="F848" s="292" t="s">
        <v>709</v>
      </c>
      <c r="G848" s="292"/>
      <c r="H848" s="293"/>
      <c r="I848" s="216"/>
    </row>
    <row r="849" spans="1:9" ht="33.4" customHeight="1" x14ac:dyDescent="0.45">
      <c r="A849" s="342" t="s">
        <v>376</v>
      </c>
      <c r="B849" s="330">
        <v>0.65972222222222221</v>
      </c>
      <c r="C849" s="343" t="s">
        <v>414</v>
      </c>
      <c r="D849" s="554" t="s">
        <v>702</v>
      </c>
      <c r="E849" s="555" t="s">
        <v>503</v>
      </c>
      <c r="F849" s="292" t="s">
        <v>709</v>
      </c>
      <c r="G849" s="292"/>
      <c r="H849" s="293"/>
      <c r="I849" s="216"/>
    </row>
    <row r="850" spans="1:9" ht="33.4" customHeight="1" x14ac:dyDescent="0.45">
      <c r="A850" s="342" t="s">
        <v>376</v>
      </c>
      <c r="B850" s="330">
        <v>0.6875</v>
      </c>
      <c r="C850" s="343" t="s">
        <v>414</v>
      </c>
      <c r="D850" s="554" t="s">
        <v>702</v>
      </c>
      <c r="E850" s="555" t="s">
        <v>503</v>
      </c>
      <c r="F850" s="292" t="s">
        <v>709</v>
      </c>
      <c r="G850" s="292"/>
      <c r="H850" s="293"/>
      <c r="I850" s="216"/>
    </row>
    <row r="851" spans="1:9" ht="33.4" customHeight="1" x14ac:dyDescent="0.45">
      <c r="A851" s="342" t="s">
        <v>376</v>
      </c>
      <c r="B851" s="330">
        <v>0.71180555555555558</v>
      </c>
      <c r="C851" s="343" t="s">
        <v>414</v>
      </c>
      <c r="D851" s="554" t="s">
        <v>702</v>
      </c>
      <c r="E851" s="555" t="s">
        <v>503</v>
      </c>
      <c r="F851" s="292" t="s">
        <v>709</v>
      </c>
      <c r="G851" s="292"/>
      <c r="H851" s="293"/>
      <c r="I851" s="216"/>
    </row>
    <row r="852" spans="1:9" ht="33.4" customHeight="1" x14ac:dyDescent="0.45">
      <c r="A852" s="342" t="s">
        <v>376</v>
      </c>
      <c r="B852" s="330">
        <v>0.76041666666666663</v>
      </c>
      <c r="C852" s="343" t="s">
        <v>384</v>
      </c>
      <c r="D852" s="554" t="s">
        <v>701</v>
      </c>
      <c r="E852" s="555" t="s">
        <v>504</v>
      </c>
      <c r="F852" s="292" t="s">
        <v>709</v>
      </c>
      <c r="G852" s="292"/>
      <c r="H852" s="293"/>
      <c r="I852" s="216"/>
    </row>
    <row r="853" spans="1:9" ht="33.4" customHeight="1" x14ac:dyDescent="0.45">
      <c r="A853" s="342" t="s">
        <v>501</v>
      </c>
      <c r="B853" s="330">
        <v>0.76041666666666663</v>
      </c>
      <c r="C853" s="343" t="s">
        <v>378</v>
      </c>
      <c r="D853" s="554" t="s">
        <v>700</v>
      </c>
      <c r="E853" s="555" t="s">
        <v>504</v>
      </c>
      <c r="F853" s="292" t="s">
        <v>709</v>
      </c>
      <c r="G853" s="292"/>
      <c r="H853" s="293"/>
      <c r="I853" s="216"/>
    </row>
    <row r="854" spans="1:9" ht="33.4" customHeight="1" x14ac:dyDescent="0.45">
      <c r="A854" s="342" t="s">
        <v>376</v>
      </c>
      <c r="B854" s="330">
        <v>0.78125</v>
      </c>
      <c r="C854" s="343" t="s">
        <v>378</v>
      </c>
      <c r="D854" s="554" t="s">
        <v>700</v>
      </c>
      <c r="E854" s="555" t="s">
        <v>503</v>
      </c>
      <c r="F854" s="292" t="s">
        <v>709</v>
      </c>
      <c r="G854" s="292"/>
      <c r="H854" s="293"/>
      <c r="I854" s="216"/>
    </row>
    <row r="855" spans="1:9" ht="33.4" customHeight="1" x14ac:dyDescent="0.45">
      <c r="A855" s="342" t="s">
        <v>501</v>
      </c>
      <c r="B855" s="330">
        <v>0.78125</v>
      </c>
      <c r="C855" s="343" t="s">
        <v>384</v>
      </c>
      <c r="D855" s="554" t="s">
        <v>701</v>
      </c>
      <c r="E855" s="555" t="s">
        <v>504</v>
      </c>
      <c r="F855" s="292" t="s">
        <v>709</v>
      </c>
      <c r="G855" s="292"/>
      <c r="H855" s="293"/>
      <c r="I855" s="216"/>
    </row>
    <row r="856" spans="1:9" ht="33.4" customHeight="1" x14ac:dyDescent="0.45">
      <c r="A856" s="342" t="s">
        <v>376</v>
      </c>
      <c r="B856" s="330">
        <v>0.80208333333333337</v>
      </c>
      <c r="C856" s="343" t="s">
        <v>384</v>
      </c>
      <c r="D856" s="554" t="s">
        <v>701</v>
      </c>
      <c r="E856" s="555" t="s">
        <v>503</v>
      </c>
      <c r="F856" s="292" t="s">
        <v>709</v>
      </c>
      <c r="G856" s="292"/>
      <c r="H856" s="293"/>
      <c r="I856" s="216"/>
    </row>
    <row r="857" spans="1:9" ht="33.4" customHeight="1" x14ac:dyDescent="0.45">
      <c r="A857" s="342" t="s">
        <v>663</v>
      </c>
      <c r="B857" s="330">
        <v>0.80902777777777779</v>
      </c>
      <c r="C857" s="343" t="s">
        <v>378</v>
      </c>
      <c r="D857" s="554" t="s">
        <v>700</v>
      </c>
      <c r="E857" s="555" t="s">
        <v>688</v>
      </c>
      <c r="F857" s="292" t="s">
        <v>709</v>
      </c>
      <c r="G857" s="292"/>
      <c r="H857" s="293"/>
      <c r="I857" s="216"/>
    </row>
    <row r="858" spans="1:9" ht="33.4" customHeight="1" x14ac:dyDescent="0.45">
      <c r="A858" s="342" t="s">
        <v>376</v>
      </c>
      <c r="B858" s="330">
        <v>0.82291666666666663</v>
      </c>
      <c r="C858" s="343" t="s">
        <v>384</v>
      </c>
      <c r="D858" s="554" t="s">
        <v>701</v>
      </c>
      <c r="E858" s="555" t="s">
        <v>503</v>
      </c>
      <c r="F858" s="292" t="s">
        <v>709</v>
      </c>
      <c r="G858" s="292"/>
      <c r="H858" s="293"/>
      <c r="I858" s="216"/>
    </row>
    <row r="859" spans="1:9" ht="33.4" customHeight="1" x14ac:dyDescent="0.45">
      <c r="C859" s="190"/>
    </row>
    <row r="861" spans="1:9" ht="23.25" x14ac:dyDescent="0.45">
      <c r="B861" s="260"/>
      <c r="C861" s="241"/>
      <c r="D861" s="241"/>
      <c r="E861" s="241"/>
    </row>
    <row r="862" spans="1:9" ht="29.25" x14ac:dyDescent="0.45">
      <c r="A862" s="662" t="s">
        <v>659</v>
      </c>
      <c r="B862" s="320"/>
      <c r="C862" s="254"/>
      <c r="D862" s="254"/>
      <c r="E862" s="598"/>
      <c r="I862" s="600">
        <f>I828+1</f>
        <v>46171</v>
      </c>
    </row>
    <row r="864" spans="1:9" ht="90" x14ac:dyDescent="0.45">
      <c r="A864" s="322" t="s">
        <v>324</v>
      </c>
      <c r="B864" s="325" t="s">
        <v>0</v>
      </c>
      <c r="C864" s="332" t="s">
        <v>25</v>
      </c>
      <c r="D864" s="291" t="s">
        <v>26</v>
      </c>
      <c r="E864" s="291" t="s">
        <v>662</v>
      </c>
      <c r="F864" s="291" t="s">
        <v>708</v>
      </c>
      <c r="G864" s="291" t="s">
        <v>1</v>
      </c>
      <c r="H864" s="291" t="s">
        <v>328</v>
      </c>
      <c r="I864" s="291"/>
    </row>
    <row r="865" spans="1:9" ht="34.15" x14ac:dyDescent="0.45">
      <c r="A865" s="342" t="s">
        <v>501</v>
      </c>
      <c r="B865" s="330">
        <v>0.2326388888888889</v>
      </c>
      <c r="C865" s="343" t="s">
        <v>378</v>
      </c>
      <c r="D865" s="554" t="s">
        <v>700</v>
      </c>
      <c r="E865" s="555" t="s">
        <v>503</v>
      </c>
      <c r="F865" s="291"/>
      <c r="G865" s="291"/>
      <c r="H865" s="291"/>
      <c r="I865" s="341"/>
    </row>
    <row r="866" spans="1:9" ht="33.4" customHeight="1" x14ac:dyDescent="0.45">
      <c r="A866" s="342" t="s">
        <v>376</v>
      </c>
      <c r="B866" s="330">
        <v>0.23958333333333334</v>
      </c>
      <c r="C866" s="343" t="s">
        <v>414</v>
      </c>
      <c r="D866" s="554" t="s">
        <v>702</v>
      </c>
      <c r="E866" s="555" t="s">
        <v>503</v>
      </c>
      <c r="F866" s="291"/>
      <c r="G866" s="291"/>
      <c r="H866" s="291"/>
      <c r="I866" s="341"/>
    </row>
    <row r="867" spans="1:9" ht="33.4" customHeight="1" x14ac:dyDescent="0.45">
      <c r="A867" s="342" t="s">
        <v>501</v>
      </c>
      <c r="B867" s="330">
        <v>0.25</v>
      </c>
      <c r="C867" s="343" t="s">
        <v>384</v>
      </c>
      <c r="D867" s="554" t="s">
        <v>701</v>
      </c>
      <c r="E867" s="555" t="s">
        <v>503</v>
      </c>
      <c r="F867" s="291"/>
      <c r="G867" s="291"/>
      <c r="H867" s="291"/>
      <c r="I867" s="341"/>
    </row>
    <row r="868" spans="1:9" ht="33.4" customHeight="1" x14ac:dyDescent="0.45">
      <c r="A868" s="342" t="s">
        <v>501</v>
      </c>
      <c r="B868" s="330">
        <v>0.27083333333333331</v>
      </c>
      <c r="C868" s="343" t="s">
        <v>378</v>
      </c>
      <c r="D868" s="554" t="s">
        <v>700</v>
      </c>
      <c r="E868" s="555" t="s">
        <v>503</v>
      </c>
      <c r="F868" s="291"/>
      <c r="G868" s="291"/>
      <c r="H868" s="291"/>
      <c r="I868" s="323" t="s">
        <v>347</v>
      </c>
    </row>
    <row r="869" spans="1:9" ht="33.4" customHeight="1" x14ac:dyDescent="0.45">
      <c r="A869" s="342" t="s">
        <v>376</v>
      </c>
      <c r="B869" s="330">
        <v>0.27083333333333331</v>
      </c>
      <c r="C869" s="343" t="s">
        <v>384</v>
      </c>
      <c r="D869" s="554" t="s">
        <v>701</v>
      </c>
      <c r="E869" s="555" t="s">
        <v>504</v>
      </c>
      <c r="F869" s="292" t="s">
        <v>709</v>
      </c>
      <c r="G869" s="292"/>
      <c r="H869" s="293"/>
      <c r="I869" s="216"/>
    </row>
    <row r="870" spans="1:9" ht="33.4" customHeight="1" x14ac:dyDescent="0.45">
      <c r="A870" s="342" t="s">
        <v>376</v>
      </c>
      <c r="B870" s="330">
        <v>0.27083333333333331</v>
      </c>
      <c r="C870" s="343" t="s">
        <v>414</v>
      </c>
      <c r="D870" s="554" t="s">
        <v>702</v>
      </c>
      <c r="E870" s="555" t="s">
        <v>688</v>
      </c>
      <c r="F870" s="292" t="s">
        <v>709</v>
      </c>
      <c r="G870" s="292"/>
      <c r="H870" s="293"/>
      <c r="I870" s="216"/>
    </row>
    <row r="871" spans="1:9" ht="33.4" customHeight="1" x14ac:dyDescent="0.45">
      <c r="A871" s="342" t="s">
        <v>501</v>
      </c>
      <c r="B871" s="330">
        <v>0.28819444444444442</v>
      </c>
      <c r="C871" s="343" t="s">
        <v>378</v>
      </c>
      <c r="D871" s="554" t="s">
        <v>700</v>
      </c>
      <c r="E871" s="555" t="s">
        <v>504</v>
      </c>
      <c r="F871" s="321" t="s">
        <v>709</v>
      </c>
      <c r="G871" s="292"/>
      <c r="H871" s="293"/>
      <c r="I871" s="323"/>
    </row>
    <row r="872" spans="1:9" ht="33.4" customHeight="1" x14ac:dyDescent="0.45">
      <c r="A872" s="342" t="s">
        <v>533</v>
      </c>
      <c r="B872" s="330">
        <v>0.28472222222222221</v>
      </c>
      <c r="C872" s="343" t="s">
        <v>414</v>
      </c>
      <c r="D872" s="554" t="s">
        <v>702</v>
      </c>
      <c r="E872" s="555" t="s">
        <v>504</v>
      </c>
      <c r="F872" s="292" t="s">
        <v>709</v>
      </c>
      <c r="G872" s="292"/>
      <c r="H872" s="293"/>
      <c r="I872" s="323" t="s">
        <v>348</v>
      </c>
    </row>
    <row r="873" spans="1:9" ht="33.4" customHeight="1" x14ac:dyDescent="0.45">
      <c r="A873" s="342" t="s">
        <v>376</v>
      </c>
      <c r="B873" s="330">
        <v>0.2951388888888889</v>
      </c>
      <c r="C873" s="343" t="s">
        <v>384</v>
      </c>
      <c r="D873" s="554" t="s">
        <v>701</v>
      </c>
      <c r="E873" s="555" t="s">
        <v>688</v>
      </c>
      <c r="F873" s="292" t="s">
        <v>709</v>
      </c>
      <c r="G873" s="292"/>
      <c r="H873" s="293"/>
      <c r="I873" s="216"/>
    </row>
    <row r="874" spans="1:9" ht="33.4" customHeight="1" x14ac:dyDescent="0.45">
      <c r="A874" s="342" t="s">
        <v>376</v>
      </c>
      <c r="B874" s="330">
        <v>0.3125</v>
      </c>
      <c r="C874" s="343" t="s">
        <v>414</v>
      </c>
      <c r="D874" s="554" t="s">
        <v>702</v>
      </c>
      <c r="E874" s="555" t="s">
        <v>504</v>
      </c>
      <c r="F874" s="292" t="s">
        <v>709</v>
      </c>
      <c r="G874" s="292"/>
      <c r="H874" s="293"/>
      <c r="I874" s="323" t="s">
        <v>350</v>
      </c>
    </row>
    <row r="875" spans="1:9" ht="33.4" customHeight="1" x14ac:dyDescent="0.45">
      <c r="A875" s="342" t="s">
        <v>501</v>
      </c>
      <c r="B875" s="330">
        <v>0.3263888888888889</v>
      </c>
      <c r="C875" s="343" t="s">
        <v>414</v>
      </c>
      <c r="D875" s="554" t="s">
        <v>702</v>
      </c>
      <c r="E875" s="555" t="s">
        <v>504</v>
      </c>
      <c r="F875" s="292"/>
      <c r="G875" s="292"/>
      <c r="H875" s="293"/>
      <c r="I875" s="323"/>
    </row>
    <row r="876" spans="1:9" ht="33.4" customHeight="1" x14ac:dyDescent="0.45">
      <c r="A876" s="342" t="s">
        <v>376</v>
      </c>
      <c r="B876" s="330">
        <v>0.3263888888888889</v>
      </c>
      <c r="C876" s="343" t="s">
        <v>378</v>
      </c>
      <c r="D876" s="554" t="s">
        <v>700</v>
      </c>
      <c r="E876" s="555" t="s">
        <v>504</v>
      </c>
      <c r="F876" s="292" t="s">
        <v>709</v>
      </c>
      <c r="G876" s="292"/>
      <c r="H876" s="293"/>
      <c r="I876" s="323"/>
    </row>
    <row r="877" spans="1:9" ht="33.4" customHeight="1" x14ac:dyDescent="0.45">
      <c r="A877" s="342" t="s">
        <v>376</v>
      </c>
      <c r="B877" s="330">
        <v>0.58333333333333337</v>
      </c>
      <c r="C877" s="343" t="s">
        <v>378</v>
      </c>
      <c r="D877" s="554" t="s">
        <v>700</v>
      </c>
      <c r="E877" s="555" t="s">
        <v>503</v>
      </c>
      <c r="F877" s="292" t="s">
        <v>709</v>
      </c>
      <c r="G877" s="292"/>
      <c r="H877" s="293"/>
      <c r="I877" s="323" t="s">
        <v>349</v>
      </c>
    </row>
    <row r="878" spans="1:9" ht="33.4" customHeight="1" x14ac:dyDescent="0.45">
      <c r="A878" s="342" t="s">
        <v>501</v>
      </c>
      <c r="B878" s="330">
        <v>0.58333333333333337</v>
      </c>
      <c r="C878" s="343" t="s">
        <v>384</v>
      </c>
      <c r="D878" s="554" t="s">
        <v>701</v>
      </c>
      <c r="E878" s="555" t="s">
        <v>504</v>
      </c>
      <c r="F878" s="292" t="s">
        <v>709</v>
      </c>
      <c r="G878" s="292"/>
      <c r="H878" s="293"/>
      <c r="I878" s="323"/>
    </row>
    <row r="879" spans="1:9" ht="33.4" customHeight="1" x14ac:dyDescent="0.45">
      <c r="A879" s="342" t="s">
        <v>376</v>
      </c>
      <c r="B879" s="330">
        <v>0.61458333333333337</v>
      </c>
      <c r="C879" s="343" t="s">
        <v>378</v>
      </c>
      <c r="D879" s="554" t="s">
        <v>700</v>
      </c>
      <c r="E879" s="555" t="s">
        <v>503</v>
      </c>
      <c r="F879" s="292" t="s">
        <v>709</v>
      </c>
      <c r="G879" s="292"/>
      <c r="H879" s="293"/>
      <c r="I879" s="323"/>
    </row>
    <row r="880" spans="1:9" ht="33.4" customHeight="1" x14ac:dyDescent="0.45">
      <c r="A880" s="342" t="s">
        <v>376</v>
      </c>
      <c r="B880" s="330">
        <v>0.61805555555555558</v>
      </c>
      <c r="C880" s="343" t="s">
        <v>384</v>
      </c>
      <c r="D880" s="554" t="s">
        <v>701</v>
      </c>
      <c r="E880" s="555" t="s">
        <v>503</v>
      </c>
      <c r="F880" s="292" t="s">
        <v>709</v>
      </c>
      <c r="G880" s="292"/>
      <c r="H880" s="293"/>
      <c r="I880" s="323"/>
    </row>
    <row r="881" spans="1:9" ht="33.4" customHeight="1" x14ac:dyDescent="0.45">
      <c r="A881" s="342" t="s">
        <v>501</v>
      </c>
      <c r="B881" s="330">
        <v>0.625</v>
      </c>
      <c r="C881" s="343" t="s">
        <v>414</v>
      </c>
      <c r="D881" s="554" t="s">
        <v>702</v>
      </c>
      <c r="E881" s="555" t="s">
        <v>504</v>
      </c>
      <c r="F881" s="292" t="s">
        <v>709</v>
      </c>
      <c r="G881" s="292"/>
      <c r="H881" s="293"/>
      <c r="I881" s="216"/>
    </row>
    <row r="882" spans="1:9" ht="33.4" customHeight="1" x14ac:dyDescent="0.45">
      <c r="A882" s="342" t="s">
        <v>376</v>
      </c>
      <c r="B882" s="330">
        <v>0.63888888888888884</v>
      </c>
      <c r="C882" s="343" t="s">
        <v>378</v>
      </c>
      <c r="D882" s="554" t="s">
        <v>700</v>
      </c>
      <c r="E882" s="555" t="s">
        <v>503</v>
      </c>
      <c r="F882" s="292" t="s">
        <v>709</v>
      </c>
      <c r="G882" s="292"/>
      <c r="H882" s="293"/>
      <c r="I882" s="216"/>
    </row>
    <row r="883" spans="1:9" ht="33.4" customHeight="1" x14ac:dyDescent="0.45">
      <c r="A883" s="342" t="s">
        <v>376</v>
      </c>
      <c r="B883" s="330">
        <v>0.65972222222222221</v>
      </c>
      <c r="C883" s="343" t="s">
        <v>414</v>
      </c>
      <c r="D883" s="554" t="s">
        <v>702</v>
      </c>
      <c r="E883" s="555" t="s">
        <v>503</v>
      </c>
      <c r="F883" s="292" t="s">
        <v>709</v>
      </c>
      <c r="G883" s="292"/>
      <c r="H883" s="293"/>
      <c r="I883" s="216"/>
    </row>
    <row r="884" spans="1:9" ht="33.4" customHeight="1" x14ac:dyDescent="0.45">
      <c r="A884" s="342" t="s">
        <v>376</v>
      </c>
      <c r="B884" s="330">
        <v>0.6875</v>
      </c>
      <c r="C884" s="343" t="s">
        <v>414</v>
      </c>
      <c r="D884" s="554" t="s">
        <v>702</v>
      </c>
      <c r="E884" s="555" t="s">
        <v>503</v>
      </c>
      <c r="F884" s="292" t="s">
        <v>709</v>
      </c>
      <c r="G884" s="292"/>
      <c r="H884" s="293"/>
      <c r="I884" s="216"/>
    </row>
    <row r="885" spans="1:9" ht="33.4" customHeight="1" x14ac:dyDescent="0.45">
      <c r="A885" s="342" t="s">
        <v>376</v>
      </c>
      <c r="B885" s="330">
        <v>0.71180555555555558</v>
      </c>
      <c r="C885" s="343" t="s">
        <v>414</v>
      </c>
      <c r="D885" s="554" t="s">
        <v>702</v>
      </c>
      <c r="E885" s="555" t="s">
        <v>503</v>
      </c>
      <c r="F885" s="292" t="s">
        <v>709</v>
      </c>
      <c r="G885" s="292"/>
      <c r="H885" s="293"/>
      <c r="I885" s="216"/>
    </row>
    <row r="886" spans="1:9" ht="33.4" customHeight="1" x14ac:dyDescent="0.45">
      <c r="A886" s="342" t="s">
        <v>376</v>
      </c>
      <c r="B886" s="330">
        <v>0.76041666666666663</v>
      </c>
      <c r="C886" s="343" t="s">
        <v>384</v>
      </c>
      <c r="D886" s="554" t="s">
        <v>701</v>
      </c>
      <c r="E886" s="555" t="s">
        <v>504</v>
      </c>
      <c r="F886" s="292" t="s">
        <v>709</v>
      </c>
      <c r="G886" s="292"/>
      <c r="H886" s="293"/>
      <c r="I886" s="216"/>
    </row>
    <row r="887" spans="1:9" ht="33.4" customHeight="1" x14ac:dyDescent="0.45">
      <c r="A887" s="342" t="s">
        <v>501</v>
      </c>
      <c r="B887" s="330">
        <v>0.76041666666666663</v>
      </c>
      <c r="C887" s="343" t="s">
        <v>378</v>
      </c>
      <c r="D887" s="554" t="s">
        <v>700</v>
      </c>
      <c r="E887" s="555" t="s">
        <v>504</v>
      </c>
      <c r="F887" s="292" t="s">
        <v>709</v>
      </c>
      <c r="G887" s="292"/>
      <c r="H887" s="293"/>
      <c r="I887" s="216"/>
    </row>
    <row r="888" spans="1:9" ht="33.4" customHeight="1" x14ac:dyDescent="0.45">
      <c r="A888" s="342" t="s">
        <v>376</v>
      </c>
      <c r="B888" s="330">
        <v>0.78125</v>
      </c>
      <c r="C888" s="343" t="s">
        <v>378</v>
      </c>
      <c r="D888" s="554" t="s">
        <v>700</v>
      </c>
      <c r="E888" s="555" t="s">
        <v>503</v>
      </c>
      <c r="F888" s="292" t="s">
        <v>709</v>
      </c>
      <c r="G888" s="292"/>
      <c r="H888" s="293"/>
      <c r="I888" s="216"/>
    </row>
    <row r="889" spans="1:9" ht="33.4" customHeight="1" x14ac:dyDescent="0.45">
      <c r="A889" s="342" t="s">
        <v>501</v>
      </c>
      <c r="B889" s="330">
        <v>0.78125</v>
      </c>
      <c r="C889" s="343" t="s">
        <v>384</v>
      </c>
      <c r="D889" s="554" t="s">
        <v>701</v>
      </c>
      <c r="E889" s="555" t="s">
        <v>504</v>
      </c>
      <c r="F889" s="292" t="s">
        <v>709</v>
      </c>
      <c r="G889" s="292"/>
      <c r="H889" s="293"/>
      <c r="I889" s="216"/>
    </row>
    <row r="890" spans="1:9" ht="33.4" customHeight="1" x14ac:dyDescent="0.45">
      <c r="A890" s="342" t="s">
        <v>376</v>
      </c>
      <c r="B890" s="330">
        <v>0.80208333333333337</v>
      </c>
      <c r="C890" s="343" t="s">
        <v>384</v>
      </c>
      <c r="D890" s="554" t="s">
        <v>701</v>
      </c>
      <c r="E890" s="555" t="s">
        <v>503</v>
      </c>
      <c r="F890" s="292" t="s">
        <v>709</v>
      </c>
      <c r="G890" s="292"/>
      <c r="H890" s="293"/>
      <c r="I890" s="216"/>
    </row>
    <row r="891" spans="1:9" ht="33.4" customHeight="1" x14ac:dyDescent="0.45">
      <c r="A891" s="342" t="s">
        <v>663</v>
      </c>
      <c r="B891" s="330">
        <v>0.80902777777777779</v>
      </c>
      <c r="C891" s="343" t="s">
        <v>378</v>
      </c>
      <c r="D891" s="554" t="s">
        <v>700</v>
      </c>
      <c r="E891" s="555" t="s">
        <v>688</v>
      </c>
      <c r="F891" s="292" t="s">
        <v>709</v>
      </c>
      <c r="G891" s="292"/>
      <c r="H891" s="293"/>
      <c r="I891" s="216"/>
    </row>
    <row r="892" spans="1:9" ht="34.15" x14ac:dyDescent="0.45">
      <c r="A892" s="342" t="s">
        <v>376</v>
      </c>
      <c r="B892" s="330">
        <v>0.82291666666666663</v>
      </c>
      <c r="C892" s="343" t="s">
        <v>384</v>
      </c>
      <c r="D892" s="554" t="s">
        <v>701</v>
      </c>
      <c r="E892" s="555" t="s">
        <v>503</v>
      </c>
      <c r="F892" s="292" t="s">
        <v>709</v>
      </c>
      <c r="G892" s="292"/>
      <c r="H892" s="293"/>
      <c r="I892" s="216"/>
    </row>
    <row r="893" spans="1:9" x14ac:dyDescent="0.45">
      <c r="C893" s="190"/>
    </row>
    <row r="897" spans="1:9" ht="23.25" x14ac:dyDescent="0.45">
      <c r="B897" s="260"/>
      <c r="C897" s="241"/>
      <c r="D897" s="241"/>
      <c r="E897" s="241"/>
    </row>
    <row r="898" spans="1:9" ht="29.25" x14ac:dyDescent="0.45">
      <c r="A898" s="662" t="s">
        <v>659</v>
      </c>
      <c r="B898" s="320"/>
      <c r="C898" s="254"/>
      <c r="D898" s="254"/>
      <c r="E898" s="598"/>
      <c r="I898" s="600">
        <f>I862+1</f>
        <v>46172</v>
      </c>
    </row>
    <row r="900" spans="1:9" ht="90" x14ac:dyDescent="0.45">
      <c r="A900" s="322" t="s">
        <v>324</v>
      </c>
      <c r="B900" s="325" t="s">
        <v>0</v>
      </c>
      <c r="C900" s="332" t="s">
        <v>25</v>
      </c>
      <c r="D900" s="291" t="s">
        <v>26</v>
      </c>
      <c r="E900" s="291" t="s">
        <v>662</v>
      </c>
      <c r="F900" s="291" t="s">
        <v>708</v>
      </c>
      <c r="G900" s="291" t="s">
        <v>1</v>
      </c>
      <c r="H900" s="291" t="s">
        <v>328</v>
      </c>
      <c r="I900" s="291"/>
    </row>
    <row r="901" spans="1:9" ht="34.15" x14ac:dyDescent="0.45">
      <c r="A901" s="342" t="s">
        <v>501</v>
      </c>
      <c r="B901" s="330">
        <v>0.2326388888888889</v>
      </c>
      <c r="C901" s="343" t="s">
        <v>378</v>
      </c>
      <c r="D901" s="554" t="s">
        <v>700</v>
      </c>
      <c r="E901" s="555" t="s">
        <v>503</v>
      </c>
      <c r="F901" s="291"/>
      <c r="G901" s="291"/>
      <c r="H901" s="291"/>
      <c r="I901" s="341"/>
    </row>
    <row r="902" spans="1:9" ht="33" customHeight="1" x14ac:dyDescent="0.45">
      <c r="A902" s="342" t="s">
        <v>376</v>
      </c>
      <c r="B902" s="330">
        <v>0.23958333333333334</v>
      </c>
      <c r="C902" s="343" t="s">
        <v>414</v>
      </c>
      <c r="D902" s="554" t="s">
        <v>702</v>
      </c>
      <c r="E902" s="555" t="s">
        <v>503</v>
      </c>
      <c r="F902" s="291"/>
      <c r="G902" s="291"/>
      <c r="H902" s="291"/>
      <c r="I902" s="341"/>
    </row>
    <row r="903" spans="1:9" ht="33" customHeight="1" x14ac:dyDescent="0.45">
      <c r="A903" s="342" t="s">
        <v>501</v>
      </c>
      <c r="B903" s="330">
        <v>0.25</v>
      </c>
      <c r="C903" s="343" t="s">
        <v>384</v>
      </c>
      <c r="D903" s="554" t="s">
        <v>701</v>
      </c>
      <c r="E903" s="555" t="s">
        <v>503</v>
      </c>
      <c r="F903" s="291"/>
      <c r="G903" s="291"/>
      <c r="H903" s="291"/>
      <c r="I903" s="341"/>
    </row>
    <row r="904" spans="1:9" ht="33" customHeight="1" x14ac:dyDescent="0.45">
      <c r="A904" s="342" t="s">
        <v>501</v>
      </c>
      <c r="B904" s="330">
        <v>0.27083333333333331</v>
      </c>
      <c r="C904" s="343" t="s">
        <v>378</v>
      </c>
      <c r="D904" s="554" t="s">
        <v>700</v>
      </c>
      <c r="E904" s="555" t="s">
        <v>503</v>
      </c>
      <c r="F904" s="291"/>
      <c r="G904" s="291"/>
      <c r="H904" s="291"/>
      <c r="I904" s="323" t="s">
        <v>347</v>
      </c>
    </row>
    <row r="905" spans="1:9" ht="33" customHeight="1" x14ac:dyDescent="0.45">
      <c r="A905" s="342" t="s">
        <v>376</v>
      </c>
      <c r="B905" s="330">
        <v>0.27083333333333331</v>
      </c>
      <c r="C905" s="343" t="s">
        <v>384</v>
      </c>
      <c r="D905" s="554" t="s">
        <v>701</v>
      </c>
      <c r="E905" s="555" t="s">
        <v>504</v>
      </c>
      <c r="F905" s="292" t="s">
        <v>709</v>
      </c>
      <c r="G905" s="292"/>
      <c r="H905" s="293"/>
      <c r="I905" s="216"/>
    </row>
    <row r="906" spans="1:9" ht="33" customHeight="1" x14ac:dyDescent="0.45">
      <c r="A906" s="342" t="s">
        <v>376</v>
      </c>
      <c r="B906" s="330">
        <v>0.27083333333333331</v>
      </c>
      <c r="C906" s="343" t="s">
        <v>414</v>
      </c>
      <c r="D906" s="554" t="s">
        <v>702</v>
      </c>
      <c r="E906" s="555" t="s">
        <v>688</v>
      </c>
      <c r="F906" s="292" t="s">
        <v>709</v>
      </c>
      <c r="G906" s="292"/>
      <c r="H906" s="293"/>
      <c r="I906" s="216"/>
    </row>
    <row r="907" spans="1:9" ht="33" customHeight="1" x14ac:dyDescent="0.45">
      <c r="A907" s="342" t="s">
        <v>501</v>
      </c>
      <c r="B907" s="330">
        <v>0.28819444444444442</v>
      </c>
      <c r="C907" s="343" t="s">
        <v>378</v>
      </c>
      <c r="D907" s="554" t="s">
        <v>700</v>
      </c>
      <c r="E907" s="555" t="s">
        <v>504</v>
      </c>
      <c r="F907" s="321" t="s">
        <v>709</v>
      </c>
      <c r="G907" s="292"/>
      <c r="H907" s="293"/>
      <c r="I907" s="323"/>
    </row>
    <row r="908" spans="1:9" ht="33" customHeight="1" x14ac:dyDescent="0.45">
      <c r="A908" s="342" t="s">
        <v>533</v>
      </c>
      <c r="B908" s="330">
        <v>0.28472222222222221</v>
      </c>
      <c r="C908" s="343" t="s">
        <v>414</v>
      </c>
      <c r="D908" s="554" t="s">
        <v>702</v>
      </c>
      <c r="E908" s="555" t="s">
        <v>504</v>
      </c>
      <c r="F908" s="292" t="s">
        <v>709</v>
      </c>
      <c r="G908" s="292"/>
      <c r="H908" s="293"/>
      <c r="I908" s="323" t="s">
        <v>348</v>
      </c>
    </row>
    <row r="909" spans="1:9" ht="33" customHeight="1" x14ac:dyDescent="0.45">
      <c r="A909" s="342" t="s">
        <v>376</v>
      </c>
      <c r="B909" s="330">
        <v>0.2951388888888889</v>
      </c>
      <c r="C909" s="343" t="s">
        <v>384</v>
      </c>
      <c r="D909" s="554" t="s">
        <v>701</v>
      </c>
      <c r="E909" s="555" t="s">
        <v>688</v>
      </c>
      <c r="F909" s="292" t="s">
        <v>709</v>
      </c>
      <c r="G909" s="292"/>
      <c r="H909" s="293"/>
      <c r="I909" s="216"/>
    </row>
    <row r="910" spans="1:9" ht="33" customHeight="1" x14ac:dyDescent="0.45">
      <c r="A910" s="342" t="s">
        <v>376</v>
      </c>
      <c r="B910" s="330">
        <v>0.3125</v>
      </c>
      <c r="C910" s="343" t="s">
        <v>414</v>
      </c>
      <c r="D910" s="554" t="s">
        <v>702</v>
      </c>
      <c r="E910" s="555" t="s">
        <v>504</v>
      </c>
      <c r="F910" s="292" t="s">
        <v>709</v>
      </c>
      <c r="G910" s="292"/>
      <c r="H910" s="293"/>
      <c r="I910" s="323" t="s">
        <v>350</v>
      </c>
    </row>
    <row r="911" spans="1:9" ht="33" customHeight="1" x14ac:dyDescent="0.45">
      <c r="A911" s="342" t="s">
        <v>501</v>
      </c>
      <c r="B911" s="330">
        <v>0.3263888888888889</v>
      </c>
      <c r="C911" s="343" t="s">
        <v>414</v>
      </c>
      <c r="D911" s="554" t="s">
        <v>702</v>
      </c>
      <c r="E911" s="555" t="s">
        <v>504</v>
      </c>
      <c r="F911" s="292"/>
      <c r="G911" s="292"/>
      <c r="H911" s="293"/>
      <c r="I911" s="323"/>
    </row>
    <row r="912" spans="1:9" ht="33" customHeight="1" x14ac:dyDescent="0.45">
      <c r="A912" s="342" t="s">
        <v>376</v>
      </c>
      <c r="B912" s="330">
        <v>0.3263888888888889</v>
      </c>
      <c r="C912" s="343" t="s">
        <v>378</v>
      </c>
      <c r="D912" s="554" t="s">
        <v>700</v>
      </c>
      <c r="E912" s="555" t="s">
        <v>504</v>
      </c>
      <c r="F912" s="292" t="s">
        <v>709</v>
      </c>
      <c r="G912" s="292"/>
      <c r="H912" s="293"/>
      <c r="I912" s="323"/>
    </row>
    <row r="913" spans="1:9" ht="33" customHeight="1" x14ac:dyDescent="0.45">
      <c r="A913" s="342" t="s">
        <v>376</v>
      </c>
      <c r="B913" s="330">
        <v>0.58333333333333337</v>
      </c>
      <c r="C913" s="343" t="s">
        <v>378</v>
      </c>
      <c r="D913" s="554" t="s">
        <v>700</v>
      </c>
      <c r="E913" s="555" t="s">
        <v>503</v>
      </c>
      <c r="F913" s="292" t="s">
        <v>709</v>
      </c>
      <c r="G913" s="292"/>
      <c r="H913" s="293"/>
      <c r="I913" s="323" t="s">
        <v>349</v>
      </c>
    </row>
    <row r="914" spans="1:9" ht="33" customHeight="1" x14ac:dyDescent="0.45">
      <c r="A914" s="342" t="s">
        <v>501</v>
      </c>
      <c r="B914" s="330">
        <v>0.58333333333333337</v>
      </c>
      <c r="C914" s="343" t="s">
        <v>384</v>
      </c>
      <c r="D914" s="554" t="s">
        <v>701</v>
      </c>
      <c r="E914" s="555" t="s">
        <v>504</v>
      </c>
      <c r="F914" s="292" t="s">
        <v>709</v>
      </c>
      <c r="G914" s="292"/>
      <c r="H914" s="293"/>
      <c r="I914" s="323"/>
    </row>
    <row r="915" spans="1:9" ht="33" customHeight="1" x14ac:dyDescent="0.45">
      <c r="A915" s="342" t="s">
        <v>376</v>
      </c>
      <c r="B915" s="330">
        <v>0.61458333333333337</v>
      </c>
      <c r="C915" s="343" t="s">
        <v>378</v>
      </c>
      <c r="D915" s="554" t="s">
        <v>700</v>
      </c>
      <c r="E915" s="555" t="s">
        <v>503</v>
      </c>
      <c r="F915" s="292" t="s">
        <v>709</v>
      </c>
      <c r="G915" s="292"/>
      <c r="H915" s="293"/>
      <c r="I915" s="323"/>
    </row>
    <row r="916" spans="1:9" ht="33" customHeight="1" x14ac:dyDescent="0.45">
      <c r="A916" s="342" t="s">
        <v>376</v>
      </c>
      <c r="B916" s="330">
        <v>0.61805555555555558</v>
      </c>
      <c r="C916" s="343" t="s">
        <v>384</v>
      </c>
      <c r="D916" s="554" t="s">
        <v>701</v>
      </c>
      <c r="E916" s="555" t="s">
        <v>503</v>
      </c>
      <c r="F916" s="292" t="s">
        <v>709</v>
      </c>
      <c r="G916" s="292"/>
      <c r="H916" s="293"/>
      <c r="I916" s="323"/>
    </row>
    <row r="917" spans="1:9" ht="33" customHeight="1" x14ac:dyDescent="0.45">
      <c r="A917" s="342" t="s">
        <v>501</v>
      </c>
      <c r="B917" s="330">
        <v>0.625</v>
      </c>
      <c r="C917" s="343" t="s">
        <v>414</v>
      </c>
      <c r="D917" s="554" t="s">
        <v>702</v>
      </c>
      <c r="E917" s="555" t="s">
        <v>504</v>
      </c>
      <c r="F917" s="292" t="s">
        <v>709</v>
      </c>
      <c r="G917" s="292"/>
      <c r="H917" s="293"/>
      <c r="I917" s="216"/>
    </row>
    <row r="918" spans="1:9" ht="33" customHeight="1" x14ac:dyDescent="0.45">
      <c r="A918" s="342" t="s">
        <v>376</v>
      </c>
      <c r="B918" s="330">
        <v>0.63888888888888884</v>
      </c>
      <c r="C918" s="343" t="s">
        <v>378</v>
      </c>
      <c r="D918" s="554" t="s">
        <v>700</v>
      </c>
      <c r="E918" s="555" t="s">
        <v>503</v>
      </c>
      <c r="F918" s="292" t="s">
        <v>709</v>
      </c>
      <c r="G918" s="292"/>
      <c r="H918" s="293"/>
      <c r="I918" s="216"/>
    </row>
    <row r="919" spans="1:9" ht="33" customHeight="1" x14ac:dyDescent="0.45">
      <c r="A919" s="342" t="s">
        <v>376</v>
      </c>
      <c r="B919" s="330">
        <v>0.65972222222222221</v>
      </c>
      <c r="C919" s="343" t="s">
        <v>414</v>
      </c>
      <c r="D919" s="554" t="s">
        <v>702</v>
      </c>
      <c r="E919" s="555" t="s">
        <v>503</v>
      </c>
      <c r="F919" s="292" t="s">
        <v>709</v>
      </c>
      <c r="G919" s="292"/>
      <c r="H919" s="293"/>
      <c r="I919" s="216"/>
    </row>
    <row r="920" spans="1:9" ht="33" customHeight="1" x14ac:dyDescent="0.45">
      <c r="A920" s="342" t="s">
        <v>376</v>
      </c>
      <c r="B920" s="330">
        <v>0.6875</v>
      </c>
      <c r="C920" s="343" t="s">
        <v>414</v>
      </c>
      <c r="D920" s="554" t="s">
        <v>702</v>
      </c>
      <c r="E920" s="555" t="s">
        <v>503</v>
      </c>
      <c r="F920" s="292" t="s">
        <v>709</v>
      </c>
      <c r="G920" s="292"/>
      <c r="H920" s="293"/>
      <c r="I920" s="216"/>
    </row>
    <row r="921" spans="1:9" ht="33" customHeight="1" x14ac:dyDescent="0.45">
      <c r="A921" s="342" t="s">
        <v>376</v>
      </c>
      <c r="B921" s="330">
        <v>0.71180555555555558</v>
      </c>
      <c r="C921" s="343" t="s">
        <v>414</v>
      </c>
      <c r="D921" s="554" t="s">
        <v>702</v>
      </c>
      <c r="E921" s="555" t="s">
        <v>503</v>
      </c>
      <c r="F921" s="292" t="s">
        <v>709</v>
      </c>
      <c r="G921" s="292"/>
      <c r="H921" s="293"/>
      <c r="I921" s="216"/>
    </row>
    <row r="922" spans="1:9" ht="33" customHeight="1" x14ac:dyDescent="0.45">
      <c r="A922" s="342" t="s">
        <v>376</v>
      </c>
      <c r="B922" s="330">
        <v>0.76041666666666663</v>
      </c>
      <c r="C922" s="343" t="s">
        <v>384</v>
      </c>
      <c r="D922" s="554" t="s">
        <v>701</v>
      </c>
      <c r="E922" s="555" t="s">
        <v>504</v>
      </c>
      <c r="F922" s="292" t="s">
        <v>709</v>
      </c>
      <c r="G922" s="292"/>
      <c r="H922" s="293"/>
      <c r="I922" s="216"/>
    </row>
    <row r="923" spans="1:9" ht="33" customHeight="1" x14ac:dyDescent="0.45">
      <c r="A923" s="342" t="s">
        <v>501</v>
      </c>
      <c r="B923" s="330">
        <v>0.76041666666666663</v>
      </c>
      <c r="C923" s="343" t="s">
        <v>378</v>
      </c>
      <c r="D923" s="554" t="s">
        <v>700</v>
      </c>
      <c r="E923" s="555" t="s">
        <v>504</v>
      </c>
      <c r="F923" s="292" t="s">
        <v>709</v>
      </c>
      <c r="G923" s="292"/>
      <c r="H923" s="293"/>
      <c r="I923" s="216"/>
    </row>
    <row r="924" spans="1:9" ht="33" customHeight="1" x14ac:dyDescent="0.45">
      <c r="A924" s="342" t="s">
        <v>376</v>
      </c>
      <c r="B924" s="330">
        <v>0.78125</v>
      </c>
      <c r="C924" s="343" t="s">
        <v>378</v>
      </c>
      <c r="D924" s="554" t="s">
        <v>700</v>
      </c>
      <c r="E924" s="555" t="s">
        <v>503</v>
      </c>
      <c r="F924" s="292" t="s">
        <v>709</v>
      </c>
      <c r="G924" s="292"/>
      <c r="H924" s="293"/>
      <c r="I924" s="216"/>
    </row>
    <row r="925" spans="1:9" ht="33" customHeight="1" x14ac:dyDescent="0.45">
      <c r="A925" s="342" t="s">
        <v>501</v>
      </c>
      <c r="B925" s="330">
        <v>0.78125</v>
      </c>
      <c r="C925" s="343" t="s">
        <v>384</v>
      </c>
      <c r="D925" s="554" t="s">
        <v>701</v>
      </c>
      <c r="E925" s="555" t="s">
        <v>504</v>
      </c>
      <c r="F925" s="292" t="s">
        <v>709</v>
      </c>
      <c r="G925" s="292"/>
      <c r="H925" s="293"/>
      <c r="I925" s="216"/>
    </row>
    <row r="926" spans="1:9" ht="33" customHeight="1" x14ac:dyDescent="0.45">
      <c r="A926" s="342" t="s">
        <v>376</v>
      </c>
      <c r="B926" s="330">
        <v>0.80208333333333337</v>
      </c>
      <c r="C926" s="343" t="s">
        <v>384</v>
      </c>
      <c r="D926" s="554" t="s">
        <v>701</v>
      </c>
      <c r="E926" s="555" t="s">
        <v>503</v>
      </c>
      <c r="F926" s="292" t="s">
        <v>709</v>
      </c>
      <c r="G926" s="292"/>
      <c r="H926" s="293"/>
      <c r="I926" s="216"/>
    </row>
    <row r="927" spans="1:9" ht="33" customHeight="1" x14ac:dyDescent="0.45">
      <c r="A927" s="342" t="s">
        <v>663</v>
      </c>
      <c r="B927" s="330">
        <v>0.80902777777777779</v>
      </c>
      <c r="C927" s="343" t="s">
        <v>378</v>
      </c>
      <c r="D927" s="554" t="s">
        <v>700</v>
      </c>
      <c r="E927" s="555" t="s">
        <v>688</v>
      </c>
      <c r="F927" s="292" t="s">
        <v>709</v>
      </c>
      <c r="G927" s="292"/>
      <c r="H927" s="293"/>
      <c r="I927" s="216"/>
    </row>
    <row r="928" spans="1:9" ht="33" customHeight="1" x14ac:dyDescent="0.45">
      <c r="A928" s="342" t="s">
        <v>376</v>
      </c>
      <c r="B928" s="330">
        <v>0.82291666666666663</v>
      </c>
      <c r="C928" s="343" t="s">
        <v>384</v>
      </c>
      <c r="D928" s="554" t="s">
        <v>701</v>
      </c>
      <c r="E928" s="555" t="s">
        <v>503</v>
      </c>
      <c r="F928" s="292" t="s">
        <v>709</v>
      </c>
      <c r="G928" s="292"/>
      <c r="H928" s="293"/>
      <c r="I928" s="216"/>
    </row>
    <row r="929" spans="1:9" ht="33" customHeight="1" x14ac:dyDescent="0.45">
      <c r="C929" s="190"/>
    </row>
    <row r="931" spans="1:9" ht="23.25" x14ac:dyDescent="0.45">
      <c r="B931" s="260"/>
      <c r="C931" s="241"/>
      <c r="D931" s="241"/>
      <c r="E931" s="241"/>
    </row>
    <row r="932" spans="1:9" ht="29.25" x14ac:dyDescent="0.45">
      <c r="A932" s="662" t="s">
        <v>659</v>
      </c>
      <c r="B932" s="320"/>
      <c r="C932" s="254"/>
      <c r="D932" s="254"/>
      <c r="E932" s="598"/>
      <c r="I932" s="607">
        <f>I898+1</f>
        <v>46173</v>
      </c>
    </row>
    <row r="934" spans="1:9" ht="90" x14ac:dyDescent="0.45">
      <c r="A934" s="322" t="s">
        <v>324</v>
      </c>
      <c r="B934" s="325" t="s">
        <v>0</v>
      </c>
      <c r="C934" s="332" t="s">
        <v>25</v>
      </c>
      <c r="D934" s="291" t="s">
        <v>26</v>
      </c>
      <c r="E934" s="291" t="s">
        <v>661</v>
      </c>
      <c r="F934" s="291" t="s">
        <v>708</v>
      </c>
      <c r="G934" s="291" t="s">
        <v>1</v>
      </c>
      <c r="H934" s="291" t="s">
        <v>328</v>
      </c>
      <c r="I934" s="291"/>
    </row>
    <row r="935" spans="1:9" ht="34.15" x14ac:dyDescent="0.45">
      <c r="A935" s="342" t="s">
        <v>376</v>
      </c>
      <c r="B935" s="330">
        <v>0.2951388888888889</v>
      </c>
      <c r="C935" s="343" t="s">
        <v>384</v>
      </c>
      <c r="D935" s="554" t="s">
        <v>701</v>
      </c>
      <c r="E935" s="555" t="s">
        <v>504</v>
      </c>
      <c r="F935" s="291"/>
      <c r="G935" s="291"/>
      <c r="H935" s="291"/>
      <c r="I935" s="323" t="s">
        <v>347</v>
      </c>
    </row>
    <row r="936" spans="1:9" ht="25.9" customHeight="1" x14ac:dyDescent="0.45">
      <c r="A936" s="342" t="s">
        <v>376</v>
      </c>
      <c r="B936" s="330">
        <v>0.3125</v>
      </c>
      <c r="C936" s="343" t="s">
        <v>414</v>
      </c>
      <c r="D936" s="554" t="s">
        <v>702</v>
      </c>
      <c r="E936" s="555" t="s">
        <v>504</v>
      </c>
      <c r="F936" s="291"/>
      <c r="G936" s="291"/>
      <c r="H936" s="291"/>
      <c r="I936" s="341"/>
    </row>
    <row r="937" spans="1:9" ht="25.9" customHeight="1" x14ac:dyDescent="0.45">
      <c r="A937" s="342" t="s">
        <v>376</v>
      </c>
      <c r="B937" s="330">
        <v>0.3263888888888889</v>
      </c>
      <c r="C937" s="343" t="s">
        <v>414</v>
      </c>
      <c r="D937" s="554" t="s">
        <v>702</v>
      </c>
      <c r="E937" s="555" t="s">
        <v>504</v>
      </c>
      <c r="F937" s="291"/>
      <c r="G937" s="291"/>
      <c r="H937" s="291"/>
      <c r="I937" s="323" t="s">
        <v>348</v>
      </c>
    </row>
    <row r="938" spans="1:9" ht="25.9" customHeight="1" x14ac:dyDescent="0.45">
      <c r="A938" s="342" t="s">
        <v>376</v>
      </c>
      <c r="B938" s="330">
        <v>0.58333333333333337</v>
      </c>
      <c r="C938" s="343" t="s">
        <v>378</v>
      </c>
      <c r="D938" s="554" t="s">
        <v>700</v>
      </c>
      <c r="E938" s="555" t="s">
        <v>503</v>
      </c>
      <c r="F938" s="292" t="s">
        <v>709</v>
      </c>
      <c r="G938" s="292"/>
      <c r="H938" s="293"/>
      <c r="I938" s="216"/>
    </row>
    <row r="939" spans="1:9" ht="25.9" customHeight="1" x14ac:dyDescent="0.45">
      <c r="A939" s="342" t="s">
        <v>501</v>
      </c>
      <c r="B939" s="330">
        <v>0.58333333333333337</v>
      </c>
      <c r="C939" s="343" t="s">
        <v>384</v>
      </c>
      <c r="D939" s="554" t="s">
        <v>701</v>
      </c>
      <c r="E939" s="555" t="s">
        <v>504</v>
      </c>
      <c r="F939" s="292" t="s">
        <v>709</v>
      </c>
      <c r="G939" s="292"/>
      <c r="H939" s="293"/>
      <c r="I939" s="216"/>
    </row>
    <row r="940" spans="1:9" ht="25.9" customHeight="1" x14ac:dyDescent="0.45">
      <c r="A940" s="342" t="s">
        <v>376</v>
      </c>
      <c r="B940" s="330">
        <v>0.61458333333333337</v>
      </c>
      <c r="C940" s="343" t="s">
        <v>378</v>
      </c>
      <c r="D940" s="554" t="s">
        <v>700</v>
      </c>
      <c r="E940" s="555" t="s">
        <v>503</v>
      </c>
      <c r="F940" s="321" t="s">
        <v>709</v>
      </c>
      <c r="G940" s="292"/>
      <c r="H940" s="293"/>
      <c r="I940" s="323" t="s">
        <v>350</v>
      </c>
    </row>
    <row r="941" spans="1:9" ht="25.9" customHeight="1" x14ac:dyDescent="0.45">
      <c r="A941" s="342" t="s">
        <v>501</v>
      </c>
      <c r="B941" s="330">
        <v>0.625</v>
      </c>
      <c r="C941" s="343" t="s">
        <v>384</v>
      </c>
      <c r="D941" s="554" t="s">
        <v>701</v>
      </c>
      <c r="E941" s="555" t="s">
        <v>504</v>
      </c>
      <c r="F941" s="292" t="s">
        <v>709</v>
      </c>
      <c r="G941" s="292"/>
      <c r="H941" s="293"/>
      <c r="I941" s="216"/>
    </row>
    <row r="942" spans="1:9" ht="30" customHeight="1" x14ac:dyDescent="0.45">
      <c r="A942" s="342" t="s">
        <v>376</v>
      </c>
      <c r="B942" s="330">
        <v>0.63888888888888884</v>
      </c>
      <c r="C942" s="343" t="s">
        <v>378</v>
      </c>
      <c r="D942" s="554" t="s">
        <v>700</v>
      </c>
      <c r="E942" s="555" t="s">
        <v>503</v>
      </c>
      <c r="F942" s="292" t="s">
        <v>709</v>
      </c>
      <c r="G942" s="292"/>
      <c r="H942" s="293"/>
      <c r="I942" s="323" t="s">
        <v>349</v>
      </c>
    </row>
    <row r="943" spans="1:9" ht="30" customHeight="1" x14ac:dyDescent="0.45">
      <c r="A943" s="342" t="s">
        <v>376</v>
      </c>
      <c r="B943" s="330">
        <v>0.65972222222222221</v>
      </c>
      <c r="C943" s="343" t="s">
        <v>414</v>
      </c>
      <c r="D943" s="554" t="s">
        <v>702</v>
      </c>
      <c r="E943" s="555" t="s">
        <v>503</v>
      </c>
      <c r="F943" s="292" t="s">
        <v>709</v>
      </c>
      <c r="G943" s="292"/>
      <c r="H943" s="293"/>
      <c r="I943" s="216"/>
    </row>
    <row r="944" spans="1:9" ht="30" customHeight="1" x14ac:dyDescent="0.45">
      <c r="A944" s="342" t="s">
        <v>376</v>
      </c>
      <c r="B944" s="330">
        <v>0.6875</v>
      </c>
      <c r="C944" s="343" t="s">
        <v>414</v>
      </c>
      <c r="D944" s="554" t="s">
        <v>702</v>
      </c>
      <c r="E944" s="555" t="s">
        <v>503</v>
      </c>
      <c r="F944" s="292"/>
      <c r="G944" s="292"/>
      <c r="H944" s="293"/>
      <c r="I944" s="323"/>
    </row>
    <row r="945" spans="1:9" ht="30" customHeight="1" x14ac:dyDescent="0.45">
      <c r="A945" s="342" t="s">
        <v>501</v>
      </c>
      <c r="B945" s="330">
        <v>0.76041666666666663</v>
      </c>
      <c r="C945" s="343" t="s">
        <v>384</v>
      </c>
      <c r="D945" s="554" t="s">
        <v>701</v>
      </c>
      <c r="E945" s="555" t="s">
        <v>504</v>
      </c>
      <c r="F945" s="292" t="s">
        <v>709</v>
      </c>
      <c r="G945" s="292"/>
      <c r="H945" s="293"/>
      <c r="I945" s="323"/>
    </row>
    <row r="946" spans="1:9" ht="30" customHeight="1" x14ac:dyDescent="0.45">
      <c r="A946" s="342" t="s">
        <v>376</v>
      </c>
      <c r="B946" s="330">
        <v>0.76041666666666663</v>
      </c>
      <c r="C946" s="343" t="s">
        <v>414</v>
      </c>
      <c r="D946" s="554" t="s">
        <v>702</v>
      </c>
      <c r="E946" s="555" t="s">
        <v>503</v>
      </c>
      <c r="F946" s="292" t="s">
        <v>709</v>
      </c>
      <c r="G946" s="292"/>
      <c r="H946" s="293"/>
      <c r="I946" s="216"/>
    </row>
    <row r="947" spans="1:9" ht="34.15" x14ac:dyDescent="0.45">
      <c r="A947" s="342" t="s">
        <v>501</v>
      </c>
      <c r="B947" s="330">
        <v>0.78125</v>
      </c>
      <c r="C947" s="343" t="s">
        <v>414</v>
      </c>
      <c r="D947" s="554" t="s">
        <v>702</v>
      </c>
      <c r="E947" s="555" t="s">
        <v>504</v>
      </c>
      <c r="F947" s="292" t="s">
        <v>709</v>
      </c>
      <c r="G947" s="292"/>
      <c r="H947" s="293"/>
      <c r="I947" s="323"/>
    </row>
    <row r="948" spans="1:9" ht="34.15" x14ac:dyDescent="0.45">
      <c r="A948" s="342" t="s">
        <v>376</v>
      </c>
      <c r="B948" s="330">
        <v>0.78125</v>
      </c>
      <c r="C948" s="343" t="s">
        <v>384</v>
      </c>
      <c r="D948" s="554" t="s">
        <v>701</v>
      </c>
      <c r="E948" s="555" t="s">
        <v>503</v>
      </c>
      <c r="F948" s="292" t="s">
        <v>709</v>
      </c>
      <c r="G948" s="292"/>
      <c r="H948" s="293"/>
      <c r="I948" s="323"/>
    </row>
    <row r="949" spans="1:9" ht="34.15" x14ac:dyDescent="0.45">
      <c r="A949" s="342" t="s">
        <v>663</v>
      </c>
      <c r="B949" s="330">
        <v>0.80902777777777779</v>
      </c>
      <c r="C949" s="343" t="s">
        <v>414</v>
      </c>
      <c r="D949" s="554" t="s">
        <v>702</v>
      </c>
      <c r="E949" s="555" t="s">
        <v>504</v>
      </c>
      <c r="F949" s="292" t="s">
        <v>709</v>
      </c>
      <c r="G949" s="292"/>
      <c r="H949" s="293"/>
      <c r="I949" s="323"/>
    </row>
    <row r="950" spans="1:9" ht="34.15" x14ac:dyDescent="0.45">
      <c r="A950" s="342" t="s">
        <v>376</v>
      </c>
      <c r="B950" s="330">
        <v>0.82291666666666663</v>
      </c>
      <c r="C950" s="343" t="s">
        <v>414</v>
      </c>
      <c r="D950" s="554" t="s">
        <v>702</v>
      </c>
      <c r="E950" s="555" t="s">
        <v>503</v>
      </c>
      <c r="F950" s="292" t="s">
        <v>709</v>
      </c>
      <c r="G950" s="292"/>
      <c r="H950" s="293"/>
      <c r="I950" s="216"/>
    </row>
    <row r="951" spans="1:9" x14ac:dyDescent="0.45">
      <c r="C951" s="190"/>
    </row>
  </sheetData>
  <sheetProtection formatCells="0" formatColumns="0" formatRows="0" autoFilter="0"/>
  <autoFilter ref="A6:M18" xr:uid="{5B5BBBDE-33E3-4462-B288-63EC9F5FA152}"/>
  <mergeCells count="1">
    <mergeCell ref="B3:D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8" fitToHeight="0" orientation="portrait" copies="10" r:id="rId1"/>
  <rowBreaks count="30" manualBreakCount="30">
    <brk id="24" max="8" man="1"/>
    <brk id="59" max="8" man="1"/>
    <brk id="82" max="16383" man="1"/>
    <brk id="116" max="8" man="1"/>
    <brk id="153" max="8" man="1"/>
    <brk id="188" max="8" man="1"/>
    <brk id="223" max="8" man="1"/>
    <brk id="246" max="8" man="1"/>
    <brk id="280" max="8" man="1"/>
    <brk id="301" max="16383" man="1"/>
    <brk id="335" max="8" man="1"/>
    <brk id="369" max="16383" man="1"/>
    <brk id="404" max="8" man="1"/>
    <brk id="427" max="16383" man="1"/>
    <brk id="462" max="16383" man="1"/>
    <brk id="496" max="16383" man="1"/>
    <brk id="518" max="16383" man="1"/>
    <brk id="552" max="16383" man="1"/>
    <brk id="586" max="8" man="1"/>
    <brk id="619" max="16383" man="1"/>
    <brk id="654" max="8" man="1"/>
    <brk id="690" max="16383" man="1"/>
    <brk id="724" max="16383" man="1"/>
    <brk id="746" max="16383" man="1"/>
    <brk id="768" max="16383" man="1"/>
    <brk id="803" max="8" man="1"/>
    <brk id="825" max="16383" man="1"/>
    <brk id="859" max="16383" man="1"/>
    <brk id="894" max="8" man="1"/>
    <brk id="92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E119-2645-4680-ABA4-211EDBAC8958}">
  <sheetPr>
    <pageSetUpPr fitToPage="1"/>
  </sheetPr>
  <dimension ref="A1:I35"/>
  <sheetViews>
    <sheetView workbookViewId="0">
      <selection activeCell="A2" sqref="A2:I30"/>
    </sheetView>
  </sheetViews>
  <sheetFormatPr baseColWidth="10" defaultColWidth="10.796875" defaultRowHeight="14.25" x14ac:dyDescent="0.45"/>
  <cols>
    <col min="1" max="1" width="11.1328125" style="137" customWidth="1"/>
    <col min="2" max="2" width="13" style="324" bestFit="1" customWidth="1"/>
    <col min="3" max="3" width="11.46484375" style="331" customWidth="1"/>
    <col min="4" max="4" width="41.33203125" style="137" customWidth="1"/>
    <col min="5" max="5" width="18.19921875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6" customWidth="1"/>
    <col min="10" max="16384" width="10.796875" style="137"/>
  </cols>
  <sheetData>
    <row r="1" spans="1:9" ht="49.05" customHeight="1" x14ac:dyDescent="0.45">
      <c r="A1" s="326" t="s">
        <v>659</v>
      </c>
      <c r="I1" s="327"/>
    </row>
    <row r="2" spans="1:9" s="190" customFormat="1" ht="54" x14ac:dyDescent="0.45">
      <c r="A2" s="322" t="s">
        <v>324</v>
      </c>
      <c r="B2" s="325" t="s">
        <v>0</v>
      </c>
      <c r="C2" s="332" t="s">
        <v>25</v>
      </c>
      <c r="D2" s="291" t="s">
        <v>26</v>
      </c>
      <c r="E2" s="291" t="s">
        <v>662</v>
      </c>
      <c r="F2" s="291" t="s">
        <v>351</v>
      </c>
      <c r="G2" s="291" t="s">
        <v>1</v>
      </c>
      <c r="H2" s="291" t="s">
        <v>328</v>
      </c>
      <c r="I2" s="291"/>
    </row>
    <row r="3" spans="1:9" s="190" customFormat="1" ht="34.15" x14ac:dyDescent="0.45">
      <c r="A3" s="342" t="str">
        <f>Horaire!A8</f>
        <v>CHM</v>
      </c>
      <c r="B3" s="330">
        <f>Horaire!E8</f>
        <v>0.2326388888888889</v>
      </c>
      <c r="C3" s="343" t="str">
        <f>Horaire!H8</f>
        <v>H1</v>
      </c>
      <c r="D3" s="554" t="str">
        <f>VLOOKUP(C3,'Liste chauffeur'!$B$5:$L$19,2,TRUE)&amp;" "&amp;VLOOKUP(C3,'Liste chauffeur'!$B$5:$L$19,3,TRUE)</f>
        <v>CHADHOULI Houmadi</v>
      </c>
      <c r="E3" s="555" t="str">
        <f>Horaire!C8</f>
        <v>13 ARRETS</v>
      </c>
      <c r="F3" s="291"/>
      <c r="G3" s="291"/>
      <c r="H3" s="291"/>
      <c r="I3" s="341"/>
    </row>
    <row r="4" spans="1:9" s="190" customFormat="1" ht="34.15" x14ac:dyDescent="0.45">
      <c r="A4" s="342" t="str">
        <f>Horaire!A9</f>
        <v>LA BARGE</v>
      </c>
      <c r="B4" s="330">
        <f>Horaire!E9</f>
        <v>0.23958333333333334</v>
      </c>
      <c r="C4" s="343" t="str">
        <f>Horaire!H9</f>
        <v>H5</v>
      </c>
      <c r="D4" s="554" t="str">
        <f>VLOOKUP(C4,'Liste chauffeur'!$B$5:$L$19,2,TRUE)&amp;" "&amp;VLOOKUP(C4,'Liste chauffeur'!$B$5:$L$19,3,TRUE)</f>
        <v>ATTOUMANI Kamaldine</v>
      </c>
      <c r="E4" s="555" t="str">
        <f>Horaire!C9</f>
        <v>13 ARRETS</v>
      </c>
      <c r="F4" s="291"/>
      <c r="G4" s="291"/>
      <c r="H4" s="291"/>
      <c r="I4" s="341"/>
    </row>
    <row r="5" spans="1:9" s="190" customFormat="1" ht="34.15" x14ac:dyDescent="0.45">
      <c r="A5" s="342" t="str">
        <f>Horaire!A10</f>
        <v>CHM</v>
      </c>
      <c r="B5" s="330">
        <f>Horaire!E10</f>
        <v>0.25</v>
      </c>
      <c r="C5" s="343" t="str">
        <f>Horaire!H10</f>
        <v>H3</v>
      </c>
      <c r="D5" s="554" t="str">
        <f>VLOOKUP(C5,'Liste chauffeur'!$B$5:$L$19,2,TRUE)&amp;" "&amp;VLOOKUP(C5,'Liste chauffeur'!$B$5:$L$19,3,TRUE)</f>
        <v>SAID ALI Kamile</v>
      </c>
      <c r="E5" s="555" t="str">
        <f>Horaire!C10</f>
        <v>13 ARRETS</v>
      </c>
      <c r="F5" s="291"/>
      <c r="G5" s="291"/>
      <c r="H5" s="291"/>
      <c r="I5" s="341"/>
    </row>
    <row r="6" spans="1:9" s="190" customFormat="1" ht="34.15" x14ac:dyDescent="0.45">
      <c r="A6" s="342" t="str">
        <f>Horaire!A11</f>
        <v>CHM</v>
      </c>
      <c r="B6" s="330">
        <f>Horaire!E11</f>
        <v>0.27083333333333331</v>
      </c>
      <c r="C6" s="343" t="str">
        <f>Horaire!H11</f>
        <v>H1</v>
      </c>
      <c r="D6" s="554" t="str">
        <f>VLOOKUP(C6,'Liste chauffeur'!$B$5:$L$19,2,TRUE)&amp;" "&amp;VLOOKUP(C6,'Liste chauffeur'!$B$5:$L$19,3,TRUE)</f>
        <v>CHADHOULI Houmadi</v>
      </c>
      <c r="E6" s="555" t="str">
        <f>Horaire!C11</f>
        <v>13 ARRETS</v>
      </c>
      <c r="F6" s="291"/>
      <c r="G6" s="291"/>
      <c r="H6" s="291"/>
      <c r="I6" s="323" t="s">
        <v>347</v>
      </c>
    </row>
    <row r="7" spans="1:9" ht="26.55" customHeight="1" x14ac:dyDescent="0.45">
      <c r="A7" s="342" t="str">
        <f>Horaire!A12</f>
        <v>LA BARGE</v>
      </c>
      <c r="B7" s="330">
        <f>Horaire!E12</f>
        <v>0.27083333333333331</v>
      </c>
      <c r="C7" s="343" t="str">
        <f>Horaire!H12</f>
        <v>H3</v>
      </c>
      <c r="D7" s="554" t="str">
        <f>VLOOKUP(C7,'Liste chauffeur'!$B$5:$L$19,2,TRUE)&amp;" "&amp;VLOOKUP(C7,'Liste chauffeur'!$B$5:$L$19,3,TRUE)</f>
        <v>SAID ALI Kamile</v>
      </c>
      <c r="E7" s="555" t="str">
        <f>Horaire!C12</f>
        <v>DIRECT</v>
      </c>
      <c r="F7" s="292" t="str">
        <f>IF(ISBLANK('Feuille saisie'!L12)=TRUE,"",'Feuille saisie'!L12)</f>
        <v/>
      </c>
      <c r="G7" s="292"/>
      <c r="H7" s="293"/>
    </row>
    <row r="8" spans="1:9" ht="26.55" customHeight="1" x14ac:dyDescent="0.45">
      <c r="A8" s="342" t="str">
        <f>Horaire!A13</f>
        <v>LA BARGE</v>
      </c>
      <c r="B8" s="330">
        <f>Horaire!E13</f>
        <v>0.27083333333333331</v>
      </c>
      <c r="C8" s="343" t="str">
        <f>Horaire!H13</f>
        <v>H5</v>
      </c>
      <c r="D8" s="554" t="str">
        <f>VLOOKUP(C8,'Liste chauffeur'!$B$5:$L$19,2,TRUE)&amp;" "&amp;VLOOKUP(C8,'Liste chauffeur'!$B$5:$L$19,3,TRUE)</f>
        <v>ATTOUMANI Kamaldine</v>
      </c>
      <c r="E8" s="555" t="str">
        <f>Horaire!C13</f>
        <v>DIRECT+CRA</v>
      </c>
      <c r="F8" s="292" t="str">
        <f>IF(ISBLANK('Feuille saisie'!L13)=TRUE,"",'Feuille saisie'!L13)</f>
        <v/>
      </c>
      <c r="G8" s="292"/>
      <c r="H8" s="293"/>
    </row>
    <row r="9" spans="1:9" ht="26.55" customHeight="1" x14ac:dyDescent="0.45">
      <c r="A9" s="342" t="str">
        <f>Horaire!A14</f>
        <v>CHM</v>
      </c>
      <c r="B9" s="330">
        <f>Horaire!E14</f>
        <v>0.28819444444444442</v>
      </c>
      <c r="C9" s="343" t="str">
        <f>Horaire!H14</f>
        <v>H1</v>
      </c>
      <c r="D9" s="554" t="str">
        <f>VLOOKUP(C9,'Liste chauffeur'!$B$5:$L$19,2,TRUE)&amp;" "&amp;VLOOKUP(C9,'Liste chauffeur'!$B$5:$L$19,3,TRUE)</f>
        <v>CHADHOULI Houmadi</v>
      </c>
      <c r="E9" s="555" t="str">
        <f>Horaire!C14</f>
        <v>DIRECT</v>
      </c>
      <c r="F9" s="321" t="str">
        <f>IF(ISBLANK('Feuille saisie'!L14)=TRUE,"",'Feuille saisie'!L14)</f>
        <v/>
      </c>
      <c r="G9" s="292"/>
      <c r="H9" s="293"/>
      <c r="I9" s="323"/>
    </row>
    <row r="10" spans="1:9" ht="26.55" customHeight="1" x14ac:dyDescent="0.45">
      <c r="A10" s="342" t="str">
        <f>Horaire!A15</f>
        <v xml:space="preserve">CHM </v>
      </c>
      <c r="B10" s="330">
        <f>Horaire!E15</f>
        <v>0.28472222222222221</v>
      </c>
      <c r="C10" s="343" t="str">
        <f>Horaire!H15</f>
        <v>H5</v>
      </c>
      <c r="D10" s="554" t="str">
        <f>VLOOKUP(C10,'Liste chauffeur'!$B$5:$L$19,2,TRUE)&amp;" "&amp;VLOOKUP(C10,'Liste chauffeur'!$B$5:$L$19,3,TRUE)</f>
        <v>ATTOUMANI Kamaldine</v>
      </c>
      <c r="E10" s="555" t="str">
        <f>Horaire!C15</f>
        <v>DIRECT</v>
      </c>
      <c r="F10" s="292" t="str">
        <f>IF(ISBLANK('Feuille saisie'!L15)=TRUE,"",'Feuille saisie'!L15)</f>
        <v/>
      </c>
      <c r="G10" s="292"/>
      <c r="H10" s="293"/>
      <c r="I10" s="323" t="s">
        <v>348</v>
      </c>
    </row>
    <row r="11" spans="1:9" ht="26.55" customHeight="1" x14ac:dyDescent="0.45">
      <c r="A11" s="342" t="str">
        <f>Horaire!A16</f>
        <v>LA BARGE</v>
      </c>
      <c r="B11" s="330">
        <f>Horaire!E16</f>
        <v>0.2951388888888889</v>
      </c>
      <c r="C11" s="343" t="str">
        <f>Horaire!H16</f>
        <v>H3</v>
      </c>
      <c r="D11" s="554" t="str">
        <f>VLOOKUP(C11,'Liste chauffeur'!$B$5:$L$19,2,TRUE)&amp;" "&amp;VLOOKUP(C11,'Liste chauffeur'!$B$5:$L$19,3,TRUE)</f>
        <v>SAID ALI Kamile</v>
      </c>
      <c r="E11" s="555" t="str">
        <f>Horaire!C16</f>
        <v>DIRECT+CRA</v>
      </c>
      <c r="F11" s="292" t="str">
        <f>IF(ISBLANK('Feuille saisie'!L16)=TRUE,"",'Feuille saisie'!L16)</f>
        <v/>
      </c>
      <c r="G11" s="292"/>
      <c r="H11" s="293"/>
    </row>
    <row r="12" spans="1:9" ht="26.55" customHeight="1" x14ac:dyDescent="0.45">
      <c r="A12" s="342" t="str">
        <f>Horaire!A17</f>
        <v>LA BARGE</v>
      </c>
      <c r="B12" s="330">
        <f>Horaire!E17</f>
        <v>0.3125</v>
      </c>
      <c r="C12" s="343" t="str">
        <f>Horaire!H17</f>
        <v>H5</v>
      </c>
      <c r="D12" s="554" t="str">
        <f>VLOOKUP(C12,'Liste chauffeur'!$B$5:$L$19,2,TRUE)&amp;" "&amp;VLOOKUP(C12,'Liste chauffeur'!$B$5:$L$19,3,TRUE)</f>
        <v>ATTOUMANI Kamaldine</v>
      </c>
      <c r="E12" s="555" t="str">
        <f>Horaire!C17</f>
        <v>DIRECT</v>
      </c>
      <c r="F12" s="292" t="str">
        <f>IF(ISBLANK('Feuille saisie'!L17)=TRUE,"",'Feuille saisie'!L17)</f>
        <v/>
      </c>
      <c r="G12" s="292"/>
      <c r="H12" s="293"/>
      <c r="I12" s="323" t="s">
        <v>350</v>
      </c>
    </row>
    <row r="13" spans="1:9" ht="26.55" customHeight="1" x14ac:dyDescent="0.45">
      <c r="A13" s="342" t="str">
        <f>Horaire!A18</f>
        <v>CHM</v>
      </c>
      <c r="B13" s="330">
        <f>Horaire!E18</f>
        <v>0.3263888888888889</v>
      </c>
      <c r="C13" s="343" t="str">
        <f>Horaire!H18</f>
        <v>H5</v>
      </c>
      <c r="D13" s="554" t="str">
        <f>VLOOKUP(C13,'Liste chauffeur'!$B$5:$L$19,2,TRUE)&amp;" "&amp;VLOOKUP(C13,'Liste chauffeur'!$B$5:$L$19,3,TRUE)</f>
        <v>ATTOUMANI Kamaldine</v>
      </c>
      <c r="E13" s="555" t="str">
        <f>Horaire!C18</f>
        <v>DIRECT</v>
      </c>
      <c r="F13" s="292"/>
      <c r="G13" s="292"/>
      <c r="H13" s="293"/>
      <c r="I13" s="323"/>
    </row>
    <row r="14" spans="1:9" ht="26.55" customHeight="1" x14ac:dyDescent="0.45">
      <c r="A14" s="342" t="str">
        <f>Horaire!A19</f>
        <v>LA BARGE</v>
      </c>
      <c r="B14" s="330">
        <f>Horaire!E19</f>
        <v>0.3263888888888889</v>
      </c>
      <c r="C14" s="343" t="str">
        <f>Horaire!H19</f>
        <v>H1</v>
      </c>
      <c r="D14" s="554" t="str">
        <f>VLOOKUP(C14,'Liste chauffeur'!$B$5:$L$19,2,TRUE)&amp;" "&amp;VLOOKUP(C14,'Liste chauffeur'!$B$5:$L$19,3,TRUE)</f>
        <v>CHADHOULI Houmadi</v>
      </c>
      <c r="E14" s="555" t="str">
        <f>Horaire!C19</f>
        <v>DIRECT</v>
      </c>
      <c r="F14" s="292" t="str">
        <f>IF(ISBLANK('Feuille saisie'!L24)=TRUE,"",'Feuille saisie'!L24)</f>
        <v/>
      </c>
      <c r="G14" s="292"/>
      <c r="H14" s="293"/>
      <c r="I14" s="323"/>
    </row>
    <row r="15" spans="1:9" ht="26.55" customHeight="1" x14ac:dyDescent="0.45">
      <c r="A15" s="342" t="str">
        <f>Horaire!A20</f>
        <v>LA BARGE</v>
      </c>
      <c r="B15" s="330">
        <f>Horaire!E20</f>
        <v>0.58333333333333337</v>
      </c>
      <c r="C15" s="343" t="str">
        <f>Horaire!H20</f>
        <v>H1</v>
      </c>
      <c r="D15" s="554" t="str">
        <f>VLOOKUP(C15,'Liste chauffeur'!$B$5:$L$19,2,TRUE)&amp;" "&amp;VLOOKUP(C15,'Liste chauffeur'!$B$5:$L$19,3,TRUE)</f>
        <v>CHADHOULI Houmadi</v>
      </c>
      <c r="E15" s="555" t="str">
        <f>Horaire!C20</f>
        <v>13 ARRETS</v>
      </c>
      <c r="F15" s="292" t="str">
        <f>IF(ISBLANK('Feuille saisie'!L25)=TRUE,"",'Feuille saisie'!L25)</f>
        <v/>
      </c>
      <c r="G15" s="292"/>
      <c r="H15" s="293"/>
      <c r="I15" s="323" t="s">
        <v>349</v>
      </c>
    </row>
    <row r="16" spans="1:9" ht="26.55" customHeight="1" x14ac:dyDescent="0.45">
      <c r="A16" s="342" t="str">
        <f>Horaire!A21</f>
        <v>CHM</v>
      </c>
      <c r="B16" s="330">
        <f>Horaire!E21</f>
        <v>0.58333333333333337</v>
      </c>
      <c r="C16" s="343" t="str">
        <f>Horaire!H21</f>
        <v>H3</v>
      </c>
      <c r="D16" s="554" t="str">
        <f>VLOOKUP(C16,'Liste chauffeur'!$B$5:$L$19,2,TRUE)&amp;" "&amp;VLOOKUP(C16,'Liste chauffeur'!$B$5:$L$19,3,TRUE)</f>
        <v>SAID ALI Kamile</v>
      </c>
      <c r="E16" s="555" t="str">
        <f>Horaire!C21</f>
        <v>DIRECT</v>
      </c>
      <c r="F16" s="292" t="str">
        <f>IF(ISBLANK('Feuille saisie'!L26)=TRUE,"",'Feuille saisie'!L26)</f>
        <v/>
      </c>
      <c r="G16" s="292"/>
      <c r="H16" s="293"/>
      <c r="I16" s="323"/>
    </row>
    <row r="17" spans="1:9" ht="26.55" customHeight="1" x14ac:dyDescent="0.45">
      <c r="A17" s="342" t="str">
        <f>Horaire!A22</f>
        <v>LA BARGE</v>
      </c>
      <c r="B17" s="330">
        <f>Horaire!E22</f>
        <v>0.61458333333333337</v>
      </c>
      <c r="C17" s="343" t="str">
        <f>Horaire!H22</f>
        <v>H1</v>
      </c>
      <c r="D17" s="554" t="str">
        <f>VLOOKUP(C17,'Liste chauffeur'!$B$5:$L$19,2,TRUE)&amp;" "&amp;VLOOKUP(C17,'Liste chauffeur'!$B$5:$L$19,3,TRUE)</f>
        <v>CHADHOULI Houmadi</v>
      </c>
      <c r="E17" s="555" t="str">
        <f>Horaire!C22</f>
        <v>13 ARRETS</v>
      </c>
      <c r="F17" s="292" t="str">
        <f>IF(ISBLANK('Feuille saisie'!L27)=TRUE,"",'Feuille saisie'!L27)</f>
        <v/>
      </c>
      <c r="G17" s="292"/>
      <c r="H17" s="293"/>
      <c r="I17" s="323"/>
    </row>
    <row r="18" spans="1:9" ht="26.55" customHeight="1" x14ac:dyDescent="0.45">
      <c r="A18" s="342" t="str">
        <f>Horaire!A23</f>
        <v>LA BARGE</v>
      </c>
      <c r="B18" s="330">
        <f>Horaire!E23</f>
        <v>0.61805555555555558</v>
      </c>
      <c r="C18" s="343" t="str">
        <f>Horaire!H23</f>
        <v>H3</v>
      </c>
      <c r="D18" s="554" t="str">
        <f>VLOOKUP(C18,'Liste chauffeur'!$B$5:$L$19,2,TRUE)&amp;" "&amp;VLOOKUP(C18,'Liste chauffeur'!$B$5:$L$19,3,TRUE)</f>
        <v>SAID ALI Kamile</v>
      </c>
      <c r="E18" s="555" t="str">
        <f>Horaire!C23</f>
        <v>13 ARRETS</v>
      </c>
      <c r="F18" s="292" t="str">
        <f>IF(ISBLANK('Feuille saisie'!L29)=TRUE,"",'Feuille saisie'!L29)</f>
        <v/>
      </c>
      <c r="G18" s="292"/>
      <c r="H18" s="293"/>
      <c r="I18" s="323"/>
    </row>
    <row r="19" spans="1:9" ht="26.55" customHeight="1" x14ac:dyDescent="0.45">
      <c r="A19" s="342" t="str">
        <f>Horaire!A24</f>
        <v>CHM</v>
      </c>
      <c r="B19" s="330">
        <f>Horaire!E24</f>
        <v>0.625</v>
      </c>
      <c r="C19" s="343" t="str">
        <f>Horaire!H24</f>
        <v>H5</v>
      </c>
      <c r="D19" s="554" t="str">
        <f>VLOOKUP(C19,'Liste chauffeur'!$B$5:$L$19,2,TRUE)&amp;" "&amp;VLOOKUP(C19,'Liste chauffeur'!$B$5:$L$19,3,TRUE)</f>
        <v>ATTOUMANI Kamaldine</v>
      </c>
      <c r="E19" s="555" t="str">
        <f>Horaire!C24</f>
        <v>DIRECT</v>
      </c>
      <c r="F19" s="292" t="str">
        <f>IF(ISBLANK('Feuille saisie'!L43)=TRUE,"",'Feuille saisie'!L43)</f>
        <v/>
      </c>
      <c r="G19" s="292"/>
      <c r="H19" s="293"/>
    </row>
    <row r="20" spans="1:9" ht="34.15" x14ac:dyDescent="0.45">
      <c r="A20" s="342" t="str">
        <f>Horaire!A25</f>
        <v>LA BARGE</v>
      </c>
      <c r="B20" s="330">
        <f>Horaire!E25</f>
        <v>0.63888888888888884</v>
      </c>
      <c r="C20" s="343" t="str">
        <f>Horaire!H25</f>
        <v>H1</v>
      </c>
      <c r="D20" s="554" t="str">
        <f>VLOOKUP(C20,'Liste chauffeur'!$B$5:$L$19,2,TRUE)&amp;" "&amp;VLOOKUP(C20,'Liste chauffeur'!$B$5:$L$19,3,TRUE)</f>
        <v>CHADHOULI Houmadi</v>
      </c>
      <c r="E20" s="555" t="str">
        <f>Horaire!C25</f>
        <v>13 ARRETS</v>
      </c>
      <c r="F20" s="292" t="str">
        <f>IF(ISBLANK('Feuille saisie'!L44)=TRUE,"",'Feuille saisie'!L44)</f>
        <v/>
      </c>
      <c r="G20" s="292"/>
      <c r="H20" s="293"/>
    </row>
    <row r="21" spans="1:9" ht="34.15" x14ac:dyDescent="0.45">
      <c r="A21" s="342" t="str">
        <f>Horaire!A26</f>
        <v>LA BARGE</v>
      </c>
      <c r="B21" s="330">
        <f>Horaire!E26</f>
        <v>0.65972222222222221</v>
      </c>
      <c r="C21" s="343" t="str">
        <f>Horaire!H26</f>
        <v>H5</v>
      </c>
      <c r="D21" s="554" t="str">
        <f>VLOOKUP(C21,'Liste chauffeur'!$B$5:$L$19,2,TRUE)&amp;" "&amp;VLOOKUP(C21,'Liste chauffeur'!$B$5:$L$19,3,TRUE)</f>
        <v>ATTOUMANI Kamaldine</v>
      </c>
      <c r="E21" s="555" t="str">
        <f>Horaire!C26</f>
        <v>13 ARRETS</v>
      </c>
      <c r="F21" s="292" t="str">
        <f>IF(ISBLANK('Feuille saisie'!L45)=TRUE,"",'Feuille saisie'!L45)</f>
        <v/>
      </c>
      <c r="G21" s="292"/>
      <c r="H21" s="293"/>
    </row>
    <row r="22" spans="1:9" ht="34.15" x14ac:dyDescent="0.45">
      <c r="A22" s="342" t="str">
        <f>Horaire!A27</f>
        <v>LA BARGE</v>
      </c>
      <c r="B22" s="330">
        <f>Horaire!E27</f>
        <v>0.6875</v>
      </c>
      <c r="C22" s="343" t="str">
        <f>Horaire!H27</f>
        <v>H5</v>
      </c>
      <c r="D22" s="554" t="str">
        <f>VLOOKUP(C22,'Liste chauffeur'!$B$5:$L$19,2,TRUE)&amp;" "&amp;VLOOKUP(C22,'Liste chauffeur'!$B$5:$L$19,3,TRUE)</f>
        <v>ATTOUMANI Kamaldine</v>
      </c>
      <c r="E22" s="555" t="str">
        <f>Horaire!C27</f>
        <v>13 ARRETS</v>
      </c>
      <c r="F22" s="292" t="str">
        <f>IF(ISBLANK('Feuille saisie'!L46)=TRUE,"",'Feuille saisie'!L46)</f>
        <v/>
      </c>
      <c r="G22" s="292"/>
      <c r="H22" s="293"/>
    </row>
    <row r="23" spans="1:9" ht="34.15" x14ac:dyDescent="0.45">
      <c r="A23" s="342" t="str">
        <f>Horaire!A28</f>
        <v>LA BARGE</v>
      </c>
      <c r="B23" s="330">
        <f>Horaire!E28</f>
        <v>0.71180555555555558</v>
      </c>
      <c r="C23" s="343" t="str">
        <f>Horaire!H28</f>
        <v>H5</v>
      </c>
      <c r="D23" s="554" t="str">
        <f>VLOOKUP(C23,'Liste chauffeur'!$B$5:$L$19,2,TRUE)&amp;" "&amp;VLOOKUP(C23,'Liste chauffeur'!$B$5:$L$19,3,TRUE)</f>
        <v>ATTOUMANI Kamaldine</v>
      </c>
      <c r="E23" s="555" t="str">
        <f>Horaire!C28</f>
        <v>13 ARRETS</v>
      </c>
      <c r="F23" s="292" t="str">
        <f>IF(ISBLANK('Feuille saisie'!L47)=TRUE,"",'Feuille saisie'!L47)</f>
        <v/>
      </c>
      <c r="G23" s="292"/>
      <c r="H23" s="293"/>
    </row>
    <row r="24" spans="1:9" ht="34.15" x14ac:dyDescent="0.45">
      <c r="A24" s="342" t="str">
        <f>Horaire!A29</f>
        <v>LA BARGE</v>
      </c>
      <c r="B24" s="330">
        <f>Horaire!E29</f>
        <v>0.76041666666666663</v>
      </c>
      <c r="C24" s="343" t="str">
        <f>Horaire!H29</f>
        <v>H3</v>
      </c>
      <c r="D24" s="554" t="str">
        <f>VLOOKUP(C24,'Liste chauffeur'!$B$5:$L$19,2,TRUE)&amp;" "&amp;VLOOKUP(C24,'Liste chauffeur'!$B$5:$L$19,3,TRUE)</f>
        <v>SAID ALI Kamile</v>
      </c>
      <c r="E24" s="555" t="str">
        <f>Horaire!C29</f>
        <v>DIRECT</v>
      </c>
      <c r="F24" s="292" t="str">
        <f>IF(ISBLANK('Feuille saisie'!L48)=TRUE,"",'Feuille saisie'!L48)</f>
        <v/>
      </c>
      <c r="G24" s="292"/>
      <c r="H24" s="293"/>
    </row>
    <row r="25" spans="1:9" ht="34.15" x14ac:dyDescent="0.45">
      <c r="A25" s="342" t="str">
        <f>Horaire!A30</f>
        <v>CHM</v>
      </c>
      <c r="B25" s="330">
        <f>Horaire!E30</f>
        <v>0.76041666666666663</v>
      </c>
      <c r="C25" s="343" t="str">
        <f>Horaire!H30</f>
        <v>H1</v>
      </c>
      <c r="D25" s="554" t="str">
        <f>VLOOKUP(C25,'Liste chauffeur'!$B$5:$L$19,2,TRUE)&amp;" "&amp;VLOOKUP(C25,'Liste chauffeur'!$B$5:$L$19,3,TRUE)</f>
        <v>CHADHOULI Houmadi</v>
      </c>
      <c r="E25" s="555" t="str">
        <f>Horaire!C30</f>
        <v>DIRECT</v>
      </c>
      <c r="F25" s="292" t="str">
        <f>IF(ISBLANK('Feuille saisie'!L49)=TRUE,"",'Feuille saisie'!L49)</f>
        <v/>
      </c>
      <c r="G25" s="292"/>
      <c r="H25" s="293"/>
    </row>
    <row r="26" spans="1:9" ht="34.15" x14ac:dyDescent="0.45">
      <c r="A26" s="342" t="str">
        <f>Horaire!A31</f>
        <v>LA BARGE</v>
      </c>
      <c r="B26" s="330">
        <f>Horaire!E31</f>
        <v>0.78125</v>
      </c>
      <c r="C26" s="343" t="str">
        <f>Horaire!H31</f>
        <v>H1</v>
      </c>
      <c r="D26" s="554" t="str">
        <f>VLOOKUP(C26,'Liste chauffeur'!$B$5:$L$19,2,TRUE)&amp;" "&amp;VLOOKUP(C26,'Liste chauffeur'!$B$5:$L$19,3,TRUE)</f>
        <v>CHADHOULI Houmadi</v>
      </c>
      <c r="E26" s="555" t="str">
        <f>Horaire!C31</f>
        <v>13 ARRETS</v>
      </c>
      <c r="F26" s="292" t="str">
        <f>IF(ISBLANK('Feuille saisie'!L50)=TRUE,"",'Feuille saisie'!L50)</f>
        <v/>
      </c>
      <c r="G26" s="292"/>
      <c r="H26" s="293"/>
    </row>
    <row r="27" spans="1:9" ht="34.15" x14ac:dyDescent="0.45">
      <c r="A27" s="342" t="str">
        <f>Horaire!A32</f>
        <v>CHM</v>
      </c>
      <c r="B27" s="330">
        <f>Horaire!E32</f>
        <v>0.78125</v>
      </c>
      <c r="C27" s="343" t="str">
        <f>Horaire!H32</f>
        <v>H3</v>
      </c>
      <c r="D27" s="554" t="str">
        <f>VLOOKUP(C27,'Liste chauffeur'!$B$5:$L$19,2,TRUE)&amp;" "&amp;VLOOKUP(C27,'Liste chauffeur'!$B$5:$L$19,3,TRUE)</f>
        <v>SAID ALI Kamile</v>
      </c>
      <c r="E27" s="555" t="str">
        <f>Horaire!C32</f>
        <v>DIRECT</v>
      </c>
      <c r="F27" s="292" t="str">
        <f>IF(ISBLANK('Feuille saisie'!L51)=TRUE,"",'Feuille saisie'!L51)</f>
        <v/>
      </c>
      <c r="G27" s="292"/>
      <c r="H27" s="293"/>
    </row>
    <row r="28" spans="1:9" ht="34.15" x14ac:dyDescent="0.45">
      <c r="A28" s="342" t="str">
        <f>Horaire!A33</f>
        <v>LA BARGE</v>
      </c>
      <c r="B28" s="330">
        <f>Horaire!E33</f>
        <v>0.80208333333333337</v>
      </c>
      <c r="C28" s="343" t="str">
        <f>Horaire!H33</f>
        <v>H3</v>
      </c>
      <c r="D28" s="554" t="str">
        <f>VLOOKUP(C28,'Liste chauffeur'!$B$5:$L$19,2,TRUE)&amp;" "&amp;VLOOKUP(C28,'Liste chauffeur'!$B$5:$L$19,3,TRUE)</f>
        <v>SAID ALI Kamile</v>
      </c>
      <c r="E28" s="555" t="str">
        <f>Horaire!C33</f>
        <v>13 ARRETS</v>
      </c>
      <c r="F28" s="292" t="str">
        <f>IF(ISBLANK('Feuille saisie'!L52)=TRUE,"",'Feuille saisie'!L52)</f>
        <v/>
      </c>
      <c r="G28" s="292"/>
      <c r="H28" s="293"/>
    </row>
    <row r="29" spans="1:9" ht="34.15" x14ac:dyDescent="0.45">
      <c r="A29" s="342" t="str">
        <f>Horaire!A34</f>
        <v>CRA+CHM</v>
      </c>
      <c r="B29" s="330">
        <f>Horaire!E34</f>
        <v>0.80902777777777779</v>
      </c>
      <c r="C29" s="343" t="str">
        <f>Horaire!H34</f>
        <v>H1</v>
      </c>
      <c r="D29" s="554" t="str">
        <f>VLOOKUP(C29,'Liste chauffeur'!$B$5:$L$19,2,TRUE)&amp;" "&amp;VLOOKUP(C29,'Liste chauffeur'!$B$5:$L$19,3,TRUE)</f>
        <v>CHADHOULI Houmadi</v>
      </c>
      <c r="E29" s="555" t="str">
        <f>Horaire!C34</f>
        <v>DIRECT+CRA</v>
      </c>
      <c r="F29" s="292" t="str">
        <f>IF(ISBLANK('Feuille saisie'!L53)=TRUE,"",'Feuille saisie'!L53)</f>
        <v/>
      </c>
      <c r="G29" s="292"/>
      <c r="H29" s="293"/>
    </row>
    <row r="30" spans="1:9" ht="34.15" x14ac:dyDescent="0.45">
      <c r="A30" s="342" t="str">
        <f>Horaire!A35</f>
        <v>LA BARGE</v>
      </c>
      <c r="B30" s="330">
        <f>Horaire!E35</f>
        <v>0.82291666666666663</v>
      </c>
      <c r="C30" s="343" t="str">
        <f>Horaire!H35</f>
        <v>H3</v>
      </c>
      <c r="D30" s="554" t="str">
        <f>VLOOKUP(C30,'Liste chauffeur'!$B$5:$L$19,2,TRUE)&amp;" "&amp;VLOOKUP(C30,'Liste chauffeur'!$B$5:$L$19,3,TRUE)</f>
        <v>SAID ALI Kamile</v>
      </c>
      <c r="E30" s="555" t="str">
        <f>Horaire!C35</f>
        <v>13 ARRETS</v>
      </c>
      <c r="F30" s="292" t="str">
        <f>IF(ISBLANK('Feuille saisie'!L54)=TRUE,"",'Feuille saisie'!L54)</f>
        <v/>
      </c>
      <c r="G30" s="292"/>
      <c r="H30" s="293"/>
    </row>
    <row r="31" spans="1:9" ht="23.25" x14ac:dyDescent="0.45">
      <c r="D31" s="250"/>
      <c r="E31" s="250"/>
    </row>
    <row r="32" spans="1:9" ht="23.25" x14ac:dyDescent="0.45">
      <c r="D32" s="250"/>
      <c r="E32" s="250"/>
    </row>
    <row r="33" spans="4:5" ht="23.25" x14ac:dyDescent="0.45">
      <c r="D33" s="250"/>
      <c r="E33" s="250"/>
    </row>
    <row r="34" spans="4:5" ht="23.25" x14ac:dyDescent="0.45">
      <c r="D34" s="250"/>
      <c r="E34" s="250"/>
    </row>
    <row r="35" spans="4:5" ht="23.25" x14ac:dyDescent="0.45">
      <c r="D35" s="250"/>
      <c r="E35" s="250"/>
    </row>
  </sheetData>
  <printOptions horizontalCentered="1"/>
  <pageMargins left="0.23622047244094499" right="0.23622047244094499" top="0.74803149606299202" bottom="0.74803149606299202" header="0.31496062992126" footer="0.31496062992126"/>
  <pageSetup paperSize="9"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D3BE-FA6A-45E6-92F3-D3DDE102B16C}">
  <sheetPr>
    <pageSetUpPr fitToPage="1"/>
  </sheetPr>
  <dimension ref="A1:I33"/>
  <sheetViews>
    <sheetView workbookViewId="0">
      <selection activeCell="A2" sqref="A2:I23"/>
    </sheetView>
  </sheetViews>
  <sheetFormatPr baseColWidth="10" defaultColWidth="10.796875" defaultRowHeight="14.25" x14ac:dyDescent="0.45"/>
  <cols>
    <col min="1" max="1" width="11.1328125" style="137" customWidth="1"/>
    <col min="2" max="2" width="13" style="324" bestFit="1" customWidth="1"/>
    <col min="3" max="3" width="11.46484375" style="331" customWidth="1"/>
    <col min="4" max="4" width="41.33203125" style="137" customWidth="1"/>
    <col min="5" max="5" width="12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6" customWidth="1"/>
    <col min="10" max="16384" width="10.796875" style="137"/>
  </cols>
  <sheetData>
    <row r="1" spans="1:9" ht="49.05" customHeight="1" x14ac:dyDescent="0.45">
      <c r="A1" s="326" t="s">
        <v>659</v>
      </c>
      <c r="I1" s="327"/>
    </row>
    <row r="2" spans="1:9" s="190" customFormat="1" ht="54" x14ac:dyDescent="0.45">
      <c r="A2" s="322" t="s">
        <v>324</v>
      </c>
      <c r="B2" s="325" t="s">
        <v>0</v>
      </c>
      <c r="C2" s="332" t="s">
        <v>25</v>
      </c>
      <c r="D2" s="291" t="s">
        <v>26</v>
      </c>
      <c r="E2" s="291" t="s">
        <v>661</v>
      </c>
      <c r="F2" s="291" t="s">
        <v>351</v>
      </c>
      <c r="G2" s="291" t="s">
        <v>1</v>
      </c>
      <c r="H2" s="291" t="s">
        <v>328</v>
      </c>
      <c r="I2" s="291"/>
    </row>
    <row r="3" spans="1:9" s="190" customFormat="1" ht="34.15" x14ac:dyDescent="0.45">
      <c r="A3" s="342" t="str">
        <f>'Horaire dimanche2'!A8</f>
        <v>CHM</v>
      </c>
      <c r="B3" s="330">
        <f>'Horaire dimanche2'!E8</f>
        <v>0.2326388888888889</v>
      </c>
      <c r="C3" s="343" t="str">
        <f>'Horaire dimanche2'!H8</f>
        <v>H1</v>
      </c>
      <c r="D3" s="554" t="str">
        <f>VLOOKUP(C3,'Liste chauffeur'!$B$5:$L$19,2,TRUE)&amp;" "&amp;VLOOKUP(C3,'Liste chauffeur'!$B$5:$L$19,3,TRUE)</f>
        <v>CHADHOULI Houmadi</v>
      </c>
      <c r="E3" s="555" t="str">
        <f>'Horaire dimanche2'!C8</f>
        <v>13 ARRETS</v>
      </c>
      <c r="F3" s="291"/>
      <c r="G3" s="291"/>
      <c r="H3" s="291"/>
      <c r="I3" s="323" t="s">
        <v>347</v>
      </c>
    </row>
    <row r="4" spans="1:9" s="190" customFormat="1" ht="34.15" x14ac:dyDescent="0.45">
      <c r="A4" s="342" t="str">
        <f>'Horaire dimanche2'!A9</f>
        <v>CHM</v>
      </c>
      <c r="B4" s="330">
        <f>'Horaire dimanche2'!E9</f>
        <v>0.25</v>
      </c>
      <c r="C4" s="343" t="str">
        <f>'Horaire dimanche2'!H9</f>
        <v>H3</v>
      </c>
      <c r="D4" s="554" t="str">
        <f>VLOOKUP(C4,'Liste chauffeur'!$B$5:$L$19,2,TRUE)&amp;" "&amp;VLOOKUP(C4,'Liste chauffeur'!$B$5:$L$19,3,TRUE)</f>
        <v>SAID ALI Kamile</v>
      </c>
      <c r="E4" s="555" t="str">
        <f>'Horaire dimanche2'!C9</f>
        <v>13 ARRETS</v>
      </c>
      <c r="F4" s="291"/>
      <c r="G4" s="291"/>
      <c r="H4" s="291"/>
      <c r="I4" s="341"/>
    </row>
    <row r="5" spans="1:9" s="190" customFormat="1" ht="34.15" x14ac:dyDescent="0.45">
      <c r="A5" s="342" t="str">
        <f>'Horaire dimanche2'!A10</f>
        <v>CHM</v>
      </c>
      <c r="B5" s="330">
        <f>'Horaire dimanche2'!E10</f>
        <v>0.27083333333333331</v>
      </c>
      <c r="C5" s="343" t="str">
        <f>'Horaire dimanche2'!H10</f>
        <v>H1</v>
      </c>
      <c r="D5" s="554" t="str">
        <f>VLOOKUP(C5,'Liste chauffeur'!$B$5:$L$19,2,TRUE)&amp;" "&amp;VLOOKUP(C5,'Liste chauffeur'!$B$5:$L$19,3,TRUE)</f>
        <v>CHADHOULI Houmadi</v>
      </c>
      <c r="E5" s="555" t="str">
        <f>'Horaire dimanche2'!C10</f>
        <v>13 ARRETS</v>
      </c>
      <c r="F5" s="291"/>
      <c r="G5" s="291"/>
      <c r="H5" s="291"/>
      <c r="I5" s="323" t="s">
        <v>348</v>
      </c>
    </row>
    <row r="6" spans="1:9" ht="26.55" customHeight="1" x14ac:dyDescent="0.45">
      <c r="A6" s="342" t="str">
        <f>'Horaire dimanche2'!A11</f>
        <v>LA BARGE</v>
      </c>
      <c r="B6" s="330">
        <f>'Horaire dimanche2'!E11</f>
        <v>0.27083333333333331</v>
      </c>
      <c r="C6" s="343" t="str">
        <f>'Horaire dimanche2'!H11</f>
        <v>H3</v>
      </c>
      <c r="D6" s="554" t="str">
        <f>VLOOKUP(C6,'Liste chauffeur'!$B$5:$L$19,2,TRUE)&amp;" "&amp;VLOOKUP(C6,'Liste chauffeur'!$B$5:$L$19,3,TRUE)</f>
        <v>SAID ALI Kamile</v>
      </c>
      <c r="E6" s="555" t="str">
        <f>'Horaire dimanche2'!C11</f>
        <v>DIRECT</v>
      </c>
      <c r="F6" s="292" t="str">
        <f>IF(ISBLANK('Feuille saisie'!L12)=TRUE,"",'Feuille saisie'!L12)</f>
        <v/>
      </c>
      <c r="G6" s="292"/>
      <c r="H6" s="293"/>
    </row>
    <row r="7" spans="1:9" ht="26.55" customHeight="1" x14ac:dyDescent="0.45">
      <c r="A7" s="342" t="str">
        <f>'Horaire dimanche2'!A12</f>
        <v>CHM</v>
      </c>
      <c r="B7" s="330">
        <f>'Horaire dimanche2'!E12</f>
        <v>0.28819444444444442</v>
      </c>
      <c r="C7" s="343" t="str">
        <f>'Horaire dimanche2'!H12</f>
        <v>H1</v>
      </c>
      <c r="D7" s="554" t="str">
        <f>VLOOKUP(C7,'Liste chauffeur'!$B$5:$L$19,2,TRUE)&amp;" "&amp;VLOOKUP(C7,'Liste chauffeur'!$B$5:$L$19,3,TRUE)</f>
        <v>CHADHOULI Houmadi</v>
      </c>
      <c r="E7" s="555" t="str">
        <f>'Horaire dimanche2'!C12</f>
        <v>DIRECT</v>
      </c>
      <c r="F7" s="292" t="str">
        <f>IF(ISBLANK('Feuille saisie'!L13)=TRUE,"",'Feuille saisie'!L13)</f>
        <v/>
      </c>
      <c r="G7" s="292"/>
      <c r="H7" s="293"/>
    </row>
    <row r="8" spans="1:9" ht="26.55" customHeight="1" x14ac:dyDescent="0.45">
      <c r="A8" s="342" t="str">
        <f>'Horaire dimanche2'!A13</f>
        <v>LA BARGE</v>
      </c>
      <c r="B8" s="330">
        <f>'Horaire dimanche2'!E13</f>
        <v>0.2951388888888889</v>
      </c>
      <c r="C8" s="343" t="str">
        <f>'Horaire dimanche2'!H13</f>
        <v>H3</v>
      </c>
      <c r="D8" s="554" t="str">
        <f>VLOOKUP(C8,'Liste chauffeur'!$B$5:$L$19,2,TRUE)&amp;" "&amp;VLOOKUP(C8,'Liste chauffeur'!$B$5:$L$19,3,TRUE)</f>
        <v>SAID ALI Kamile</v>
      </c>
      <c r="E8" s="555" t="str">
        <f>'Horaire dimanche2'!C13</f>
        <v>DIRECT</v>
      </c>
      <c r="F8" s="321" t="str">
        <f>IF(ISBLANK('Feuille saisie'!L14)=TRUE,"",'Feuille saisie'!L14)</f>
        <v/>
      </c>
      <c r="G8" s="292"/>
      <c r="H8" s="293"/>
      <c r="I8" s="323" t="s">
        <v>350</v>
      </c>
    </row>
    <row r="9" spans="1:9" ht="26.55" customHeight="1" x14ac:dyDescent="0.45">
      <c r="A9" s="342" t="str">
        <f>'Horaire dimanche2'!A14</f>
        <v>LA BARGE</v>
      </c>
      <c r="B9" s="330">
        <f>'Horaire dimanche2'!E14</f>
        <v>0.3125</v>
      </c>
      <c r="C9" s="343" t="str">
        <f>'Horaire dimanche2'!H14</f>
        <v>H5</v>
      </c>
      <c r="D9" s="554" t="str">
        <f>VLOOKUP(C9,'Liste chauffeur'!$B$5:$L$19,2,TRUE)&amp;" "&amp;VLOOKUP(C9,'Liste chauffeur'!$B$5:$L$19,3,TRUE)</f>
        <v>ATTOUMANI Kamaldine</v>
      </c>
      <c r="E9" s="555" t="str">
        <f>'Horaire dimanche2'!C14</f>
        <v>DIRECT</v>
      </c>
      <c r="F9" s="292" t="str">
        <f>IF(ISBLANK('Feuille saisie'!L15)=TRUE,"",'Feuille saisie'!L15)</f>
        <v/>
      </c>
      <c r="G9" s="292"/>
      <c r="H9" s="293"/>
    </row>
    <row r="10" spans="1:9" ht="26.55" customHeight="1" x14ac:dyDescent="0.45">
      <c r="A10" s="342" t="str">
        <f>'Horaire dimanche2'!A15</f>
        <v>LA BARGE</v>
      </c>
      <c r="B10" s="330">
        <f>'Horaire dimanche2'!E15</f>
        <v>0.3263888888888889</v>
      </c>
      <c r="C10" s="343" t="str">
        <f>'Horaire dimanche2'!H15</f>
        <v>H5</v>
      </c>
      <c r="D10" s="554" t="str">
        <f>VLOOKUP(C10,'Liste chauffeur'!$B$5:$L$19,2,TRUE)&amp;" "&amp;VLOOKUP(C10,'Liste chauffeur'!$B$5:$L$19,3,TRUE)</f>
        <v>ATTOUMANI Kamaldine</v>
      </c>
      <c r="E10" s="555" t="str">
        <f>'Horaire dimanche2'!C15</f>
        <v>DIRECT</v>
      </c>
      <c r="F10" s="292" t="str">
        <f>IF(ISBLANK('Feuille saisie'!L16)=TRUE,"",'Feuille saisie'!L16)</f>
        <v/>
      </c>
      <c r="G10" s="292"/>
      <c r="H10" s="293"/>
      <c r="I10" s="323" t="s">
        <v>349</v>
      </c>
    </row>
    <row r="11" spans="1:9" ht="26.55" customHeight="1" x14ac:dyDescent="0.45">
      <c r="A11" s="342" t="str">
        <f>'Horaire dimanche2'!A16</f>
        <v>LA BARGE</v>
      </c>
      <c r="B11" s="330">
        <f>'Horaire dimanche2'!E16</f>
        <v>0.58333333333333337</v>
      </c>
      <c r="C11" s="343" t="str">
        <f>'Horaire dimanche2'!H16</f>
        <v>H1</v>
      </c>
      <c r="D11" s="554" t="str">
        <f>VLOOKUP(C11,'Liste chauffeur'!$B$5:$L$19,2,TRUE)&amp;" "&amp;VLOOKUP(C11,'Liste chauffeur'!$B$5:$L$19,3,TRUE)</f>
        <v>CHADHOULI Houmadi</v>
      </c>
      <c r="E11" s="555" t="str">
        <f>'Horaire dimanche2'!C16</f>
        <v>13 ARRETS</v>
      </c>
      <c r="F11" s="292" t="str">
        <f>IF(ISBLANK('Feuille saisie'!L17)=TRUE,"",'Feuille saisie'!L17)</f>
        <v/>
      </c>
      <c r="G11" s="292"/>
      <c r="H11" s="293"/>
    </row>
    <row r="12" spans="1:9" ht="26.55" customHeight="1" x14ac:dyDescent="0.45">
      <c r="A12" s="342" t="str">
        <f>'Horaire dimanche2'!A17</f>
        <v>CHM</v>
      </c>
      <c r="B12" s="330">
        <f>'Horaire dimanche2'!E17</f>
        <v>0.58333333333333337</v>
      </c>
      <c r="C12" s="343" t="str">
        <f>'Horaire dimanche2'!H17</f>
        <v>H3</v>
      </c>
      <c r="D12" s="554" t="str">
        <f>VLOOKUP(C12,'Liste chauffeur'!$B$5:$L$19,2,TRUE)&amp;" "&amp;VLOOKUP(C12,'Liste chauffeur'!$B$5:$L$19,3,TRUE)</f>
        <v>SAID ALI Kamile</v>
      </c>
      <c r="E12" s="555" t="str">
        <f>'Horaire dimanche2'!C17</f>
        <v>DIRECT</v>
      </c>
      <c r="F12" s="292"/>
      <c r="G12" s="292"/>
      <c r="H12" s="293"/>
      <c r="I12" s="323"/>
    </row>
    <row r="13" spans="1:9" ht="26.55" customHeight="1" x14ac:dyDescent="0.45">
      <c r="A13" s="342" t="str">
        <f>'Horaire dimanche2'!A18</f>
        <v>LA BARGE</v>
      </c>
      <c r="B13" s="330">
        <f>'Horaire dimanche2'!E18</f>
        <v>0.61458333333333337</v>
      </c>
      <c r="C13" s="343" t="str">
        <f>'Horaire dimanche2'!H18</f>
        <v>H1</v>
      </c>
      <c r="D13" s="554" t="str">
        <f>VLOOKUP(C13,'Liste chauffeur'!$B$5:$L$19,2,TRUE)&amp;" "&amp;VLOOKUP(C13,'Liste chauffeur'!$B$5:$L$19,3,TRUE)</f>
        <v>CHADHOULI Houmadi</v>
      </c>
      <c r="E13" s="555" t="str">
        <f>'Horaire dimanche2'!C18</f>
        <v>13 ARRETS</v>
      </c>
      <c r="F13" s="292" t="str">
        <f>IF(ISBLANK('Feuille saisie'!L24)=TRUE,"",'Feuille saisie'!L24)</f>
        <v/>
      </c>
      <c r="G13" s="292"/>
      <c r="H13" s="293"/>
      <c r="I13" s="323"/>
    </row>
    <row r="14" spans="1:9" ht="26.55" customHeight="1" x14ac:dyDescent="0.45">
      <c r="A14" s="342" t="str">
        <f>'Horaire dimanche2'!A19</f>
        <v>CHM</v>
      </c>
      <c r="B14" s="330">
        <f>'Horaire dimanche2'!E19</f>
        <v>0.625</v>
      </c>
      <c r="C14" s="343" t="str">
        <f>'Horaire dimanche2'!H19</f>
        <v>H3</v>
      </c>
      <c r="D14" s="554" t="str">
        <f>VLOOKUP(C14,'Liste chauffeur'!$B$5:$L$19,2,TRUE)&amp;" "&amp;VLOOKUP(C14,'Liste chauffeur'!$B$5:$L$19,3,TRUE)</f>
        <v>SAID ALI Kamile</v>
      </c>
      <c r="E14" s="555" t="str">
        <f>'Horaire dimanche2'!C19</f>
        <v>DIRECT</v>
      </c>
      <c r="F14" s="292" t="str">
        <f>IF(ISBLANK('Feuille saisie'!L25)=TRUE,"",'Feuille saisie'!L25)</f>
        <v/>
      </c>
      <c r="G14" s="292"/>
      <c r="H14" s="293"/>
    </row>
    <row r="15" spans="1:9" ht="26.55" customHeight="1" x14ac:dyDescent="0.45">
      <c r="A15" s="342" t="str">
        <f>'Horaire dimanche2'!A20</f>
        <v>LA BARGE</v>
      </c>
      <c r="B15" s="330">
        <f>'Horaire dimanche2'!E20</f>
        <v>0.63888888888888884</v>
      </c>
      <c r="C15" s="343" t="str">
        <f>'Horaire dimanche2'!H20</f>
        <v>H1</v>
      </c>
      <c r="D15" s="554" t="str">
        <f>VLOOKUP(C15,'Liste chauffeur'!$B$5:$L$19,2,TRUE)&amp;" "&amp;VLOOKUP(C15,'Liste chauffeur'!$B$5:$L$19,3,TRUE)</f>
        <v>CHADHOULI Houmadi</v>
      </c>
      <c r="E15" s="555" t="str">
        <f>'Horaire dimanche2'!C20</f>
        <v>13 ARRETS</v>
      </c>
      <c r="F15" s="292" t="str">
        <f>IF(ISBLANK('Feuille saisie'!L26)=TRUE,"",'Feuille saisie'!L26)</f>
        <v/>
      </c>
      <c r="G15" s="292"/>
      <c r="H15" s="293"/>
      <c r="I15" s="323"/>
    </row>
    <row r="16" spans="1:9" ht="26.55" customHeight="1" x14ac:dyDescent="0.45">
      <c r="A16" s="342" t="str">
        <f>'Horaire dimanche2'!A21</f>
        <v>LA BARGE</v>
      </c>
      <c r="B16" s="330">
        <f>'Horaire dimanche2'!E21</f>
        <v>0.65972222222222221</v>
      </c>
      <c r="C16" s="343" t="str">
        <f>'Horaire dimanche2'!H21</f>
        <v>H5</v>
      </c>
      <c r="D16" s="554" t="str">
        <f>VLOOKUP(C16,'Liste chauffeur'!$B$5:$L$19,2,TRUE)&amp;" "&amp;VLOOKUP(C16,'Liste chauffeur'!$B$5:$L$19,3,TRUE)</f>
        <v>ATTOUMANI Kamaldine</v>
      </c>
      <c r="E16" s="555" t="str">
        <f>'Horaire dimanche2'!C21</f>
        <v>13 ARRETS</v>
      </c>
      <c r="F16" s="292" t="str">
        <f>IF(ISBLANK('Feuille saisie'!L27)=TRUE,"",'Feuille saisie'!L27)</f>
        <v/>
      </c>
      <c r="G16" s="292"/>
      <c r="H16" s="293"/>
      <c r="I16" s="323"/>
    </row>
    <row r="17" spans="1:9" ht="26.55" customHeight="1" x14ac:dyDescent="0.45">
      <c r="A17" s="342" t="str">
        <f>'Horaire dimanche2'!A22</f>
        <v>LA BARGE</v>
      </c>
      <c r="B17" s="330">
        <f>'Horaire dimanche2'!E22</f>
        <v>0.6875</v>
      </c>
      <c r="C17" s="343" t="str">
        <f>'Horaire dimanche2'!H22</f>
        <v>H5</v>
      </c>
      <c r="D17" s="554" t="str">
        <f>VLOOKUP(C17,'Liste chauffeur'!$B$5:$L$19,2,TRUE)&amp;" "&amp;VLOOKUP(C17,'Liste chauffeur'!$B$5:$L$19,3,TRUE)</f>
        <v>ATTOUMANI Kamaldine</v>
      </c>
      <c r="E17" s="555" t="str">
        <f>'Horaire dimanche2'!C22</f>
        <v>13 ARRETS</v>
      </c>
      <c r="F17" s="292" t="str">
        <f>IF(ISBLANK('Feuille saisie'!L29)=TRUE,"",'Feuille saisie'!L29)</f>
        <v/>
      </c>
      <c r="G17" s="292"/>
      <c r="H17" s="293"/>
      <c r="I17" s="323"/>
    </row>
    <row r="18" spans="1:9" ht="26.55" customHeight="1" x14ac:dyDescent="0.45">
      <c r="A18" s="342" t="str">
        <f>'Horaire dimanche2'!A23</f>
        <v>CHM</v>
      </c>
      <c r="B18" s="330">
        <f>'Horaire dimanche2'!E23</f>
        <v>0.76041666666666663</v>
      </c>
      <c r="C18" s="343" t="str">
        <f>'Horaire dimanche2'!H23</f>
        <v>H3</v>
      </c>
      <c r="D18" s="554" t="str">
        <f>VLOOKUP(C18,'Liste chauffeur'!$B$5:$L$19,2,TRUE)&amp;" "&amp;VLOOKUP(C18,'Liste chauffeur'!$B$5:$L$19,3,TRUE)</f>
        <v>SAID ALI Kamile</v>
      </c>
      <c r="E18" s="555" t="str">
        <f>'Horaire dimanche2'!C23</f>
        <v>DIRECT</v>
      </c>
      <c r="F18" s="292" t="str">
        <f>IF(ISBLANK('Feuille saisie'!L43)=TRUE,"",'Feuille saisie'!L43)</f>
        <v/>
      </c>
      <c r="G18" s="292"/>
      <c r="H18" s="293"/>
    </row>
    <row r="19" spans="1:9" ht="34.15" x14ac:dyDescent="0.45">
      <c r="A19" s="342" t="str">
        <f>'Horaire dimanche2'!A24</f>
        <v>LA BARGE</v>
      </c>
      <c r="B19" s="330">
        <f>'Horaire dimanche2'!E24</f>
        <v>0.76041666666666663</v>
      </c>
      <c r="C19" s="343" t="str">
        <f>'Horaire dimanche2'!H24</f>
        <v>H5</v>
      </c>
      <c r="D19" s="554" t="str">
        <f>VLOOKUP(C19,'Liste chauffeur'!$B$5:$L$19,2,TRUE)&amp;" "&amp;VLOOKUP(C19,'Liste chauffeur'!$B$5:$L$19,3,TRUE)</f>
        <v>ATTOUMANI Kamaldine</v>
      </c>
      <c r="E19" s="555" t="str">
        <f>'Horaire dimanche2'!C24</f>
        <v>13 ARRETS</v>
      </c>
      <c r="F19" s="292" t="str">
        <f>IF(ISBLANK('Feuille saisie'!L44)=TRUE,"",'Feuille saisie'!L44)</f>
        <v/>
      </c>
      <c r="G19" s="292"/>
      <c r="H19" s="293"/>
    </row>
    <row r="20" spans="1:9" ht="34.15" x14ac:dyDescent="0.45">
      <c r="A20" s="342" t="str">
        <f>'Horaire dimanche2'!A25</f>
        <v>CHM</v>
      </c>
      <c r="B20" s="330">
        <f>'Horaire dimanche2'!E25</f>
        <v>0.78125</v>
      </c>
      <c r="C20" s="343" t="str">
        <f>'Horaire dimanche2'!H25</f>
        <v>H5</v>
      </c>
      <c r="D20" s="554" t="str">
        <f>VLOOKUP(C20,'Liste chauffeur'!$B$5:$L$19,2,TRUE)&amp;" "&amp;VLOOKUP(C20,'Liste chauffeur'!$B$5:$L$19,3,TRUE)</f>
        <v>ATTOUMANI Kamaldine</v>
      </c>
      <c r="E20" s="555" t="str">
        <f>'Horaire dimanche2'!C25</f>
        <v>DIRECT</v>
      </c>
      <c r="F20" s="292" t="str">
        <f>IF(ISBLANK('Feuille saisie'!L45)=TRUE,"",'Feuille saisie'!L45)</f>
        <v/>
      </c>
      <c r="G20" s="292"/>
      <c r="H20" s="293"/>
    </row>
    <row r="21" spans="1:9" ht="34.15" x14ac:dyDescent="0.45">
      <c r="A21" s="342" t="str">
        <f>'Horaire dimanche2'!A26</f>
        <v>LA BARGE</v>
      </c>
      <c r="B21" s="330">
        <f>'Horaire dimanche2'!E26</f>
        <v>0.78125</v>
      </c>
      <c r="C21" s="343" t="str">
        <f>'Horaire dimanche2'!H26</f>
        <v>H3</v>
      </c>
      <c r="D21" s="554" t="str">
        <f>VLOOKUP(C21,'Liste chauffeur'!$B$5:$L$19,2,TRUE)&amp;" "&amp;VLOOKUP(C21,'Liste chauffeur'!$B$5:$L$19,3,TRUE)</f>
        <v>SAID ALI Kamile</v>
      </c>
      <c r="E21" s="555" t="str">
        <f>'Horaire dimanche2'!C26</f>
        <v>13 ARRETS</v>
      </c>
      <c r="F21" s="292"/>
      <c r="G21" s="292"/>
      <c r="H21" s="293"/>
    </row>
    <row r="22" spans="1:9" ht="34.15" x14ac:dyDescent="0.45">
      <c r="A22" s="342" t="str">
        <f>'Horaire dimanche2'!A27</f>
        <v>CRA+CHM</v>
      </c>
      <c r="B22" s="330">
        <f>'Horaire dimanche2'!E27</f>
        <v>0.80902777777777779</v>
      </c>
      <c r="C22" s="343" t="str">
        <f>'Horaire dimanche2'!H27</f>
        <v>H5</v>
      </c>
      <c r="D22" s="554" t="str">
        <f>VLOOKUP(C22,'Liste chauffeur'!$B$5:$L$19,2,TRUE)&amp;" "&amp;VLOOKUP(C22,'Liste chauffeur'!$B$5:$L$19,3,TRUE)</f>
        <v>ATTOUMANI Kamaldine</v>
      </c>
      <c r="E22" s="555" t="str">
        <f>'Horaire dimanche2'!C27</f>
        <v>DIRECT</v>
      </c>
      <c r="F22" s="292"/>
      <c r="G22" s="292"/>
      <c r="H22" s="293"/>
    </row>
    <row r="23" spans="1:9" ht="34.15" x14ac:dyDescent="0.45">
      <c r="A23" s="342" t="str">
        <f>'Horaire dimanche2'!A28</f>
        <v>LA BARGE</v>
      </c>
      <c r="B23" s="330">
        <f>'Horaire dimanche2'!E28</f>
        <v>0.82291666666666663</v>
      </c>
      <c r="C23" s="343" t="str">
        <f>'Horaire dimanche2'!H28</f>
        <v>H5</v>
      </c>
      <c r="D23" s="554" t="str">
        <f>VLOOKUP(C23,'Liste chauffeur'!$B$5:$L$19,2,TRUE)&amp;" "&amp;VLOOKUP(C23,'Liste chauffeur'!$B$5:$L$19,3,TRUE)</f>
        <v>ATTOUMANI Kamaldine</v>
      </c>
      <c r="E23" s="555" t="str">
        <f>'Horaire dimanche2'!C28</f>
        <v>13 ARRETS</v>
      </c>
      <c r="F23" s="292"/>
      <c r="G23" s="292"/>
      <c r="H23" s="293"/>
    </row>
    <row r="24" spans="1:9" ht="23.25" x14ac:dyDescent="0.45">
      <c r="D24" s="250"/>
      <c r="E24" s="250"/>
    </row>
    <row r="25" spans="1:9" ht="23.25" x14ac:dyDescent="0.45">
      <c r="D25" s="250"/>
      <c r="E25" s="250"/>
    </row>
    <row r="26" spans="1:9" ht="23.25" x14ac:dyDescent="0.45">
      <c r="D26" s="250"/>
      <c r="E26" s="250"/>
    </row>
    <row r="27" spans="1:9" ht="23.25" x14ac:dyDescent="0.45">
      <c r="D27" s="250"/>
      <c r="E27" s="250"/>
    </row>
    <row r="28" spans="1:9" ht="23.25" x14ac:dyDescent="0.45">
      <c r="D28" s="250"/>
      <c r="E28" s="250"/>
    </row>
    <row r="29" spans="1:9" ht="23.25" x14ac:dyDescent="0.45">
      <c r="D29" s="250"/>
      <c r="E29" s="250"/>
    </row>
    <row r="30" spans="1:9" ht="23.25" x14ac:dyDescent="0.45">
      <c r="D30" s="250"/>
      <c r="E30" s="250"/>
    </row>
    <row r="31" spans="1:9" ht="23.25" x14ac:dyDescent="0.45">
      <c r="D31" s="250"/>
      <c r="E31" s="250"/>
    </row>
    <row r="32" spans="1:9" ht="23.25" x14ac:dyDescent="0.45">
      <c r="D32" s="250"/>
      <c r="E32" s="250"/>
    </row>
    <row r="33" spans="4:5" ht="23.25" x14ac:dyDescent="0.45">
      <c r="D33" s="250"/>
      <c r="E33" s="250"/>
    </row>
  </sheetData>
  <printOptions horizontalCentered="1"/>
  <pageMargins left="0.23622047244094499" right="0.23622047244094499" top="0.74803149606299202" bottom="0.74803149606299202" header="0.31496062992126" footer="0.31496062992126"/>
  <pageSetup paperSize="9"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1027-2AFE-4532-AFC2-6A60FC487E87}">
  <sheetPr>
    <pageSetUpPr fitToPage="1"/>
  </sheetPr>
  <dimension ref="B4:L24"/>
  <sheetViews>
    <sheetView topLeftCell="A6" workbookViewId="0">
      <selection activeCell="L13" sqref="L13"/>
    </sheetView>
  </sheetViews>
  <sheetFormatPr baseColWidth="10" defaultRowHeight="14.25" x14ac:dyDescent="0.45"/>
  <cols>
    <col min="2" max="2" width="18.73046875" customWidth="1"/>
    <col min="5" max="5" width="20.33203125" customWidth="1"/>
    <col min="6" max="8" width="0" hidden="1" customWidth="1"/>
    <col min="11" max="11" width="25.53125" customWidth="1"/>
    <col min="12" max="12" width="29.53125" customWidth="1"/>
  </cols>
  <sheetData>
    <row r="4" spans="2:12" ht="14.65" thickBot="1" x14ac:dyDescent="0.5"/>
    <row r="5" spans="2:12" ht="28.9" thickBot="1" x14ac:dyDescent="0.5">
      <c r="B5" s="485" t="s">
        <v>34</v>
      </c>
      <c r="C5" s="485" t="s">
        <v>35</v>
      </c>
      <c r="D5" s="485" t="s">
        <v>385</v>
      </c>
      <c r="E5" s="485" t="s">
        <v>65</v>
      </c>
      <c r="F5" s="486" t="s">
        <v>88</v>
      </c>
      <c r="G5" s="486" t="s">
        <v>319</v>
      </c>
      <c r="H5" s="486" t="s">
        <v>314</v>
      </c>
      <c r="I5" s="485" t="s">
        <v>315</v>
      </c>
      <c r="J5" s="485" t="s">
        <v>692</v>
      </c>
      <c r="K5" s="531" t="s">
        <v>649</v>
      </c>
      <c r="L5" s="531" t="s">
        <v>694</v>
      </c>
    </row>
    <row r="6" spans="2:12" ht="63" x14ac:dyDescent="0.45">
      <c r="B6" s="70" t="s">
        <v>484</v>
      </c>
      <c r="C6" s="70" t="s">
        <v>646</v>
      </c>
      <c r="D6" s="72">
        <v>59</v>
      </c>
      <c r="E6" s="400">
        <v>639647468</v>
      </c>
      <c r="F6" s="371" t="s">
        <v>485</v>
      </c>
      <c r="G6" s="256" t="s">
        <v>486</v>
      </c>
      <c r="H6" s="72" t="s">
        <v>391</v>
      </c>
      <c r="I6" s="373" t="s">
        <v>487</v>
      </c>
      <c r="J6" s="373"/>
      <c r="K6" s="20"/>
      <c r="L6" s="20"/>
    </row>
    <row r="7" spans="2:12" ht="63" x14ac:dyDescent="0.45">
      <c r="B7" s="70" t="s">
        <v>446</v>
      </c>
      <c r="C7" s="70" t="s">
        <v>447</v>
      </c>
      <c r="D7" s="72">
        <v>17</v>
      </c>
      <c r="E7" s="400" t="s">
        <v>448</v>
      </c>
      <c r="F7" s="494" t="s">
        <v>449</v>
      </c>
      <c r="G7" s="372" t="s">
        <v>450</v>
      </c>
      <c r="H7" s="72" t="s">
        <v>391</v>
      </c>
      <c r="I7" s="373" t="s">
        <v>451</v>
      </c>
      <c r="J7" s="373"/>
      <c r="K7" s="20"/>
      <c r="L7" s="20"/>
    </row>
    <row r="8" spans="2:12" ht="47.25" x14ac:dyDescent="0.45">
      <c r="B8" s="70" t="s">
        <v>415</v>
      </c>
      <c r="C8" s="70" t="s">
        <v>416</v>
      </c>
      <c r="D8" s="72">
        <v>45</v>
      </c>
      <c r="E8" s="400">
        <v>639666921</v>
      </c>
      <c r="F8" s="371" t="s">
        <v>417</v>
      </c>
      <c r="G8" s="256" t="s">
        <v>418</v>
      </c>
      <c r="H8" s="72" t="s">
        <v>391</v>
      </c>
      <c r="I8" s="373" t="s">
        <v>419</v>
      </c>
      <c r="J8" s="595" t="s">
        <v>414</v>
      </c>
      <c r="K8" s="20"/>
      <c r="L8" s="20"/>
    </row>
    <row r="9" spans="2:12" ht="47.25" x14ac:dyDescent="0.45">
      <c r="B9" s="596" t="s">
        <v>422</v>
      </c>
      <c r="C9" s="596" t="s">
        <v>344</v>
      </c>
      <c r="D9" s="72">
        <v>48</v>
      </c>
      <c r="E9" s="400">
        <v>783827652</v>
      </c>
      <c r="F9" s="374" t="s">
        <v>410</v>
      </c>
      <c r="G9" s="256" t="s">
        <v>423</v>
      </c>
      <c r="H9" s="536" t="s">
        <v>391</v>
      </c>
      <c r="I9" s="373" t="s">
        <v>424</v>
      </c>
      <c r="J9" s="595" t="s">
        <v>407</v>
      </c>
      <c r="K9" s="20"/>
      <c r="L9" s="20" t="s">
        <v>695</v>
      </c>
    </row>
    <row r="10" spans="2:12" ht="47.25" x14ac:dyDescent="0.45">
      <c r="B10" s="70" t="s">
        <v>401</v>
      </c>
      <c r="C10" s="70" t="s">
        <v>186</v>
      </c>
      <c r="D10" s="72">
        <v>54</v>
      </c>
      <c r="E10" s="400">
        <v>639022970</v>
      </c>
      <c r="F10" s="371" t="s">
        <v>402</v>
      </c>
      <c r="G10" s="256" t="s">
        <v>403</v>
      </c>
      <c r="H10" s="72" t="s">
        <v>391</v>
      </c>
      <c r="I10" s="373" t="s">
        <v>404</v>
      </c>
      <c r="J10" s="595" t="s">
        <v>378</v>
      </c>
      <c r="K10" s="20"/>
      <c r="L10" s="20"/>
    </row>
    <row r="11" spans="2:12" ht="47.25" x14ac:dyDescent="0.45">
      <c r="B11" s="255" t="s">
        <v>427</v>
      </c>
      <c r="C11" s="255" t="s">
        <v>428</v>
      </c>
      <c r="D11" s="258">
        <v>56</v>
      </c>
      <c r="E11" s="400">
        <v>639953545</v>
      </c>
      <c r="F11" s="371" t="s">
        <v>429</v>
      </c>
      <c r="G11" s="256" t="s">
        <v>430</v>
      </c>
      <c r="H11" s="258" t="s">
        <v>391</v>
      </c>
      <c r="I11" s="373" t="s">
        <v>431</v>
      </c>
      <c r="J11" s="595" t="s">
        <v>382</v>
      </c>
      <c r="K11" s="20"/>
      <c r="L11" s="20"/>
    </row>
    <row r="12" spans="2:12" ht="47.25" x14ac:dyDescent="0.45">
      <c r="B12" s="490" t="s">
        <v>605</v>
      </c>
      <c r="C12" s="490" t="s">
        <v>606</v>
      </c>
      <c r="D12" s="258">
        <v>58</v>
      </c>
      <c r="E12" s="400" t="s">
        <v>607</v>
      </c>
      <c r="F12" s="371" t="s">
        <v>608</v>
      </c>
      <c r="G12" s="256" t="s">
        <v>609</v>
      </c>
      <c r="H12" s="372" t="s">
        <v>391</v>
      </c>
      <c r="I12" s="373" t="s">
        <v>648</v>
      </c>
      <c r="J12" s="373"/>
      <c r="K12" s="20"/>
      <c r="L12" s="597" t="s">
        <v>698</v>
      </c>
    </row>
    <row r="13" spans="2:12" ht="47.25" x14ac:dyDescent="0.45">
      <c r="B13" s="468" t="s">
        <v>477</v>
      </c>
      <c r="C13" s="468" t="s">
        <v>478</v>
      </c>
      <c r="D13" s="469">
        <v>63</v>
      </c>
      <c r="E13" s="400" t="s">
        <v>479</v>
      </c>
      <c r="F13" s="371" t="s">
        <v>480</v>
      </c>
      <c r="G13" s="256" t="s">
        <v>481</v>
      </c>
      <c r="H13" s="72" t="s">
        <v>391</v>
      </c>
      <c r="I13" s="373" t="s">
        <v>482</v>
      </c>
      <c r="J13" s="373"/>
      <c r="K13" s="20"/>
      <c r="L13" s="20"/>
    </row>
    <row r="14" spans="2:12" ht="63" x14ac:dyDescent="0.45">
      <c r="B14" s="468" t="s">
        <v>434</v>
      </c>
      <c r="C14" s="468" t="s">
        <v>435</v>
      </c>
      <c r="D14" s="72">
        <v>78</v>
      </c>
      <c r="E14" s="400">
        <v>639613552</v>
      </c>
      <c r="F14" s="371" t="s">
        <v>436</v>
      </c>
      <c r="G14" s="256" t="s">
        <v>437</v>
      </c>
      <c r="H14" s="72" t="s">
        <v>391</v>
      </c>
      <c r="I14" s="373" t="s">
        <v>438</v>
      </c>
      <c r="J14" s="373"/>
      <c r="K14" s="20"/>
      <c r="L14" s="20" t="s">
        <v>696</v>
      </c>
    </row>
    <row r="15" spans="2:12" ht="43.5" customHeight="1" x14ac:dyDescent="0.45">
      <c r="B15" s="468" t="s">
        <v>693</v>
      </c>
      <c r="C15" s="468" t="s">
        <v>447</v>
      </c>
      <c r="D15" s="72"/>
      <c r="E15" s="400"/>
      <c r="F15" s="371"/>
      <c r="G15" s="256"/>
      <c r="H15" s="72"/>
      <c r="I15" s="373"/>
      <c r="J15" s="373"/>
      <c r="K15" s="20"/>
      <c r="L15" s="20"/>
    </row>
    <row r="16" spans="2:12" ht="47.25" x14ac:dyDescent="0.45">
      <c r="B16" s="255" t="s">
        <v>440</v>
      </c>
      <c r="C16" s="255" t="s">
        <v>441</v>
      </c>
      <c r="D16" s="258">
        <v>95</v>
      </c>
      <c r="E16" s="400">
        <v>639213701</v>
      </c>
      <c r="F16" s="371" t="s">
        <v>442</v>
      </c>
      <c r="G16" s="277" t="s">
        <v>443</v>
      </c>
      <c r="H16" s="278" t="s">
        <v>391</v>
      </c>
      <c r="I16" s="373" t="s">
        <v>444</v>
      </c>
      <c r="J16" s="373"/>
      <c r="K16" s="20"/>
      <c r="L16" s="20"/>
    </row>
    <row r="17" spans="2:12" ht="47.25" x14ac:dyDescent="0.45">
      <c r="B17" s="255" t="s">
        <v>387</v>
      </c>
      <c r="C17" s="255" t="s">
        <v>453</v>
      </c>
      <c r="D17" s="258">
        <v>22</v>
      </c>
      <c r="E17" s="400">
        <v>639223900</v>
      </c>
      <c r="F17" s="371" t="s">
        <v>454</v>
      </c>
      <c r="G17" s="256" t="s">
        <v>455</v>
      </c>
      <c r="H17" s="258" t="s">
        <v>391</v>
      </c>
      <c r="I17" s="373" t="s">
        <v>456</v>
      </c>
      <c r="J17" s="373"/>
      <c r="K17" s="20"/>
      <c r="L17" s="20"/>
    </row>
    <row r="18" spans="2:12" ht="42.75" x14ac:dyDescent="0.45">
      <c r="B18" s="70" t="s">
        <v>395</v>
      </c>
      <c r="C18" s="70" t="s">
        <v>396</v>
      </c>
      <c r="D18" s="72">
        <v>29</v>
      </c>
      <c r="E18" s="400">
        <v>639298042</v>
      </c>
      <c r="F18" s="535" t="s">
        <v>397</v>
      </c>
      <c r="G18" s="256" t="s">
        <v>398</v>
      </c>
      <c r="H18" s="72" t="s">
        <v>391</v>
      </c>
      <c r="I18" s="373" t="s">
        <v>399</v>
      </c>
      <c r="J18" s="373"/>
      <c r="K18" s="20"/>
      <c r="L18" s="20" t="s">
        <v>697</v>
      </c>
    </row>
    <row r="19" spans="2:12" ht="31.5" x14ac:dyDescent="0.45">
      <c r="B19" s="532" t="s">
        <v>627</v>
      </c>
      <c r="C19" s="533" t="s">
        <v>628</v>
      </c>
      <c r="D19" s="398">
        <v>28</v>
      </c>
      <c r="E19" s="400">
        <v>639729302</v>
      </c>
      <c r="F19" s="371"/>
      <c r="G19" s="495">
        <v>75295719100014</v>
      </c>
      <c r="H19" s="537" t="s">
        <v>391</v>
      </c>
      <c r="I19" s="373" t="s">
        <v>640</v>
      </c>
      <c r="J19" s="373"/>
      <c r="K19" s="20"/>
      <c r="L19" s="20"/>
    </row>
    <row r="20" spans="2:12" ht="47.25" x14ac:dyDescent="0.45">
      <c r="B20" s="70" t="s">
        <v>408</v>
      </c>
      <c r="C20" s="70" t="s">
        <v>409</v>
      </c>
      <c r="D20" s="72">
        <v>70</v>
      </c>
      <c r="E20" s="400">
        <v>639396534</v>
      </c>
      <c r="F20" s="371" t="s">
        <v>612</v>
      </c>
      <c r="G20" s="256" t="s">
        <v>411</v>
      </c>
      <c r="H20" s="72" t="s">
        <v>391</v>
      </c>
      <c r="I20" s="373" t="s">
        <v>412</v>
      </c>
      <c r="J20" s="373"/>
      <c r="K20" s="20"/>
      <c r="L20" s="20"/>
    </row>
    <row r="21" spans="2:12" ht="47.25" x14ac:dyDescent="0.45">
      <c r="B21" s="70" t="s">
        <v>387</v>
      </c>
      <c r="C21" s="70" t="s">
        <v>388</v>
      </c>
      <c r="D21" s="72">
        <v>24</v>
      </c>
      <c r="E21" s="399">
        <v>639666022</v>
      </c>
      <c r="F21" s="371" t="s">
        <v>389</v>
      </c>
      <c r="G21" s="372" t="s">
        <v>390</v>
      </c>
      <c r="H21" s="72" t="s">
        <v>391</v>
      </c>
      <c r="I21" s="373" t="s">
        <v>392</v>
      </c>
      <c r="J21" s="373"/>
      <c r="K21" s="20"/>
      <c r="L21" s="20"/>
    </row>
    <row r="22" spans="2:12" ht="47.25" x14ac:dyDescent="0.45">
      <c r="B22" s="255" t="s">
        <v>629</v>
      </c>
      <c r="C22" s="255" t="s">
        <v>630</v>
      </c>
      <c r="D22" s="398">
        <v>101</v>
      </c>
      <c r="E22" s="400">
        <v>639403811</v>
      </c>
      <c r="F22" s="494" t="s">
        <v>631</v>
      </c>
      <c r="G22" s="372" t="s">
        <v>632</v>
      </c>
      <c r="H22" s="72" t="s">
        <v>391</v>
      </c>
      <c r="I22" s="373" t="s">
        <v>647</v>
      </c>
      <c r="J22" s="373"/>
      <c r="K22" s="20"/>
      <c r="L22" s="20"/>
    </row>
    <row r="23" spans="2:12" ht="47.25" x14ac:dyDescent="0.45">
      <c r="B23" s="70" t="s">
        <v>458</v>
      </c>
      <c r="C23" s="70" t="s">
        <v>459</v>
      </c>
      <c r="D23" s="398">
        <v>103</v>
      </c>
      <c r="E23" s="400" t="s">
        <v>460</v>
      </c>
      <c r="F23" s="494" t="s">
        <v>461</v>
      </c>
      <c r="G23" s="256" t="s">
        <v>462</v>
      </c>
      <c r="H23" s="72" t="s">
        <v>391</v>
      </c>
      <c r="I23" s="373" t="s">
        <v>463</v>
      </c>
      <c r="J23" s="373"/>
      <c r="K23" s="20"/>
      <c r="L23" s="20"/>
    </row>
    <row r="24" spans="2:12" ht="47.25" x14ac:dyDescent="0.45">
      <c r="B24" s="255" t="s">
        <v>465</v>
      </c>
      <c r="C24" s="255" t="s">
        <v>466</v>
      </c>
      <c r="D24" s="534">
        <v>106</v>
      </c>
      <c r="E24" s="400">
        <v>639023024</v>
      </c>
      <c r="F24" s="494" t="s">
        <v>467</v>
      </c>
      <c r="G24" s="256" t="s">
        <v>468</v>
      </c>
      <c r="H24" s="72" t="s">
        <v>391</v>
      </c>
      <c r="I24" s="373" t="s">
        <v>469</v>
      </c>
      <c r="J24" s="373"/>
      <c r="K24" s="20"/>
      <c r="L24" s="20"/>
    </row>
  </sheetData>
  <autoFilter ref="B5:K24" xr:uid="{E1CA1027-2AFE-4532-AFC2-6A60FC487E87}">
    <sortState xmlns:xlrd2="http://schemas.microsoft.com/office/spreadsheetml/2017/richdata2" ref="B6:K24">
      <sortCondition ref="B5:B24"/>
    </sortState>
  </autoFilter>
  <hyperlinks>
    <hyperlink ref="F21" r:id="rId1" xr:uid="{DDF52F6D-3528-48E1-9CB2-09FA6789AB94}"/>
    <hyperlink ref="F10" r:id="rId2" xr:uid="{7C98F8CA-9023-4F07-91FA-72A9F969B91F}"/>
    <hyperlink ref="F8" r:id="rId3" xr:uid="{3CB8F3D6-D9F5-47A6-8C29-4A4B594A8648}"/>
    <hyperlink ref="F9" r:id="rId4" xr:uid="{CC1B8983-65F6-4F5E-BA5A-2CF4BCCE6652}"/>
    <hyperlink ref="F11" r:id="rId5" xr:uid="{3DA751A6-013E-44C1-86A6-691DE375BA26}"/>
    <hyperlink ref="F14" r:id="rId6" xr:uid="{B2F56A5F-C8D2-4C19-9532-83FFDB06C8BE}"/>
    <hyperlink ref="F7" r:id="rId7" xr:uid="{76BF00C0-1B9F-4547-97D3-B6ACA2BF9B3C}"/>
    <hyperlink ref="F17" r:id="rId8" xr:uid="{B2C4FF3D-1244-4754-BDCC-D12D039CD0E0}"/>
    <hyperlink ref="F23" r:id="rId9" xr:uid="{FAC34243-7E3C-4DB3-AB2B-470DB0829B60}"/>
    <hyperlink ref="F24" r:id="rId10" xr:uid="{7A0E59D3-7FB3-4E6A-BB18-3FF90071CEDA}"/>
    <hyperlink ref="F13" r:id="rId11" xr:uid="{FA59DBE4-0DDF-4231-BA14-74B4E7D8D4AD}"/>
    <hyperlink ref="F6" r:id="rId12" xr:uid="{EEA8D116-B4BF-4373-877E-533B12233CC7}"/>
    <hyperlink ref="F12" r:id="rId13" xr:uid="{264F0E69-7C2B-4C38-ACD5-8CCE3463D139}"/>
    <hyperlink ref="F20" r:id="rId14" xr:uid="{AA5A47E7-5C20-48DE-9AB9-A440E6BC7ABB}"/>
  </hyperlinks>
  <pageMargins left="0.7" right="0.7" top="0.75" bottom="0.75" header="0.3" footer="0.3"/>
  <pageSetup paperSize="9" scale="63" orientation="portrait" r:id="rId1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D459-E995-4EC2-A094-88946885B70D}">
  <sheetPr>
    <pageSetUpPr fitToPage="1"/>
  </sheetPr>
  <dimension ref="A3:T29"/>
  <sheetViews>
    <sheetView topLeftCell="A4" workbookViewId="0">
      <selection activeCell="C7" sqref="C7"/>
    </sheetView>
  </sheetViews>
  <sheetFormatPr baseColWidth="10" defaultRowHeight="14.25" x14ac:dyDescent="0.45"/>
  <cols>
    <col min="3" max="3" width="18.46484375" customWidth="1"/>
    <col min="4" max="4" width="16.33203125" customWidth="1"/>
    <col min="5" max="5" width="14.6640625" hidden="1" customWidth="1"/>
    <col min="6" max="6" width="16.46484375" customWidth="1"/>
    <col min="8" max="8" width="15.1328125" customWidth="1"/>
    <col min="9" max="9" width="0" hidden="1" customWidth="1"/>
    <col min="19" max="19" width="0" hidden="1" customWidth="1"/>
  </cols>
  <sheetData>
    <row r="3" spans="1:20" ht="14.65" thickBot="1" x14ac:dyDescent="0.5"/>
    <row r="4" spans="1:20" ht="57.4" thickBot="1" x14ac:dyDescent="0.5">
      <c r="B4" s="485" t="s">
        <v>33</v>
      </c>
      <c r="C4" s="485" t="s">
        <v>34</v>
      </c>
      <c r="D4" s="485" t="s">
        <v>35</v>
      </c>
      <c r="E4" s="485" t="s">
        <v>385</v>
      </c>
      <c r="F4" s="485" t="s">
        <v>65</v>
      </c>
      <c r="G4" s="486" t="s">
        <v>88</v>
      </c>
      <c r="H4" s="486" t="s">
        <v>319</v>
      </c>
      <c r="I4" s="486" t="s">
        <v>314</v>
      </c>
      <c r="J4" s="485" t="s">
        <v>315</v>
      </c>
      <c r="K4" s="485" t="s">
        <v>320</v>
      </c>
      <c r="L4" s="485" t="s">
        <v>321</v>
      </c>
      <c r="M4" s="485" t="s">
        <v>316</v>
      </c>
      <c r="N4" s="485" t="s">
        <v>317</v>
      </c>
      <c r="O4" s="485" t="s">
        <v>613</v>
      </c>
      <c r="P4" s="485" t="s">
        <v>619</v>
      </c>
      <c r="Q4" s="485" t="s">
        <v>386</v>
      </c>
      <c r="R4" s="485" t="s">
        <v>318</v>
      </c>
      <c r="S4" s="485" t="s">
        <v>56</v>
      </c>
      <c r="T4" s="487" t="s">
        <v>12</v>
      </c>
    </row>
    <row r="5" spans="1:20" ht="47.25" x14ac:dyDescent="0.45">
      <c r="A5" t="s">
        <v>644</v>
      </c>
      <c r="B5" s="190" t="s">
        <v>378</v>
      </c>
      <c r="C5" s="70" t="s">
        <v>401</v>
      </c>
      <c r="D5" s="70" t="s">
        <v>186</v>
      </c>
      <c r="E5" s="72">
        <v>54</v>
      </c>
      <c r="F5" s="400">
        <v>639022970</v>
      </c>
      <c r="G5" s="371" t="s">
        <v>402</v>
      </c>
      <c r="H5" s="256" t="s">
        <v>403</v>
      </c>
      <c r="I5" s="72" t="s">
        <v>391</v>
      </c>
      <c r="J5" s="373" t="s">
        <v>404</v>
      </c>
      <c r="K5" s="256">
        <v>127</v>
      </c>
      <c r="L5" s="492">
        <v>46021</v>
      </c>
      <c r="M5" s="258" t="s">
        <v>405</v>
      </c>
      <c r="N5" s="502">
        <v>45278</v>
      </c>
      <c r="O5" s="509" t="s">
        <v>616</v>
      </c>
      <c r="P5" s="509" t="s">
        <v>136</v>
      </c>
      <c r="Q5" s="512" t="s">
        <v>136</v>
      </c>
      <c r="R5" s="513" t="s">
        <v>406</v>
      </c>
      <c r="S5" s="403" t="s">
        <v>57</v>
      </c>
      <c r="T5" s="404" t="s">
        <v>643</v>
      </c>
    </row>
    <row r="6" spans="1:20" ht="57" x14ac:dyDescent="0.45">
      <c r="A6" t="s">
        <v>644</v>
      </c>
      <c r="B6" s="190" t="s">
        <v>382</v>
      </c>
      <c r="C6" s="376" t="s">
        <v>427</v>
      </c>
      <c r="D6" s="376" t="s">
        <v>428</v>
      </c>
      <c r="E6" s="258">
        <v>56</v>
      </c>
      <c r="F6" s="400">
        <v>639953545</v>
      </c>
      <c r="G6" s="371" t="s">
        <v>429</v>
      </c>
      <c r="H6" s="256" t="s">
        <v>430</v>
      </c>
      <c r="I6" s="258" t="s">
        <v>391</v>
      </c>
      <c r="J6" s="373" t="s">
        <v>431</v>
      </c>
      <c r="K6" s="256">
        <v>444</v>
      </c>
      <c r="L6" s="257">
        <v>46824</v>
      </c>
      <c r="M6" s="375" t="s">
        <v>432</v>
      </c>
      <c r="N6" s="503">
        <v>42236</v>
      </c>
      <c r="O6" s="509" t="s">
        <v>620</v>
      </c>
      <c r="P6" s="516" t="s">
        <v>136</v>
      </c>
      <c r="Q6" s="517" t="s">
        <v>126</v>
      </c>
      <c r="R6" s="518">
        <v>9</v>
      </c>
      <c r="S6" s="519" t="s">
        <v>57</v>
      </c>
      <c r="T6" s="539" t="s">
        <v>651</v>
      </c>
    </row>
    <row r="7" spans="1:20" ht="47.25" x14ac:dyDescent="0.45">
      <c r="A7" t="s">
        <v>644</v>
      </c>
      <c r="B7" s="190" t="s">
        <v>384</v>
      </c>
      <c r="C7" s="70" t="s">
        <v>458</v>
      </c>
      <c r="D7" s="70" t="s">
        <v>459</v>
      </c>
      <c r="E7" s="72">
        <v>59</v>
      </c>
      <c r="F7" s="400" t="s">
        <v>460</v>
      </c>
      <c r="G7" s="371" t="s">
        <v>461</v>
      </c>
      <c r="H7" s="256" t="s">
        <v>462</v>
      </c>
      <c r="I7" s="72" t="s">
        <v>391</v>
      </c>
      <c r="J7" s="373" t="s">
        <v>463</v>
      </c>
      <c r="K7" s="256">
        <v>501</v>
      </c>
      <c r="L7" s="492">
        <v>45395</v>
      </c>
      <c r="M7" s="258" t="s">
        <v>699</v>
      </c>
      <c r="N7" s="501">
        <v>42643</v>
      </c>
      <c r="O7" s="509" t="s">
        <v>615</v>
      </c>
      <c r="P7" s="509" t="s">
        <v>136</v>
      </c>
      <c r="Q7" s="514" t="s">
        <v>126</v>
      </c>
      <c r="R7" s="289">
        <v>8</v>
      </c>
      <c r="S7" s="403" t="s">
        <v>57</v>
      </c>
      <c r="T7" s="403"/>
    </row>
    <row r="8" spans="1:20" ht="47.25" x14ac:dyDescent="0.45">
      <c r="A8" t="s">
        <v>644</v>
      </c>
      <c r="B8" s="190" t="s">
        <v>407</v>
      </c>
      <c r="C8" s="538" t="s">
        <v>422</v>
      </c>
      <c r="D8" s="541" t="s">
        <v>344</v>
      </c>
      <c r="E8" s="397">
        <v>48</v>
      </c>
      <c r="F8" s="400">
        <v>783827652</v>
      </c>
      <c r="G8" s="374" t="s">
        <v>410</v>
      </c>
      <c r="H8" s="256" t="s">
        <v>423</v>
      </c>
      <c r="I8" t="s">
        <v>391</v>
      </c>
      <c r="J8" s="373" t="s">
        <v>424</v>
      </c>
      <c r="K8" s="256">
        <v>523</v>
      </c>
      <c r="L8" s="257">
        <v>46257</v>
      </c>
      <c r="M8" s="375" t="s">
        <v>425</v>
      </c>
      <c r="N8" s="503">
        <v>42576</v>
      </c>
      <c r="O8" s="509" t="s">
        <v>616</v>
      </c>
      <c r="P8" s="516" t="s">
        <v>136</v>
      </c>
      <c r="Q8" s="542" t="s">
        <v>126</v>
      </c>
      <c r="R8" s="289">
        <v>9</v>
      </c>
      <c r="S8" s="403" t="s">
        <v>57</v>
      </c>
      <c r="T8" s="403" t="s">
        <v>650</v>
      </c>
    </row>
    <row r="9" spans="1:20" ht="47.25" x14ac:dyDescent="0.45">
      <c r="A9" t="s">
        <v>644</v>
      </c>
      <c r="B9" s="190" t="s">
        <v>414</v>
      </c>
      <c r="C9" s="70" t="s">
        <v>415</v>
      </c>
      <c r="D9" s="70" t="s">
        <v>416</v>
      </c>
      <c r="E9" s="72">
        <v>45</v>
      </c>
      <c r="F9" s="400">
        <v>639666921</v>
      </c>
      <c r="G9" s="371" t="s">
        <v>417</v>
      </c>
      <c r="H9" s="256" t="s">
        <v>418</v>
      </c>
      <c r="I9" s="72" t="s">
        <v>391</v>
      </c>
      <c r="J9" s="373" t="s">
        <v>419</v>
      </c>
      <c r="K9" s="256">
        <v>902</v>
      </c>
      <c r="L9" s="492">
        <v>45485</v>
      </c>
      <c r="M9" s="258" t="s">
        <v>420</v>
      </c>
      <c r="N9" s="502">
        <v>39968</v>
      </c>
      <c r="O9" s="509" t="s">
        <v>618</v>
      </c>
      <c r="P9" s="509" t="s">
        <v>136</v>
      </c>
      <c r="Q9" s="515" t="s">
        <v>126</v>
      </c>
      <c r="R9" s="289">
        <v>9</v>
      </c>
      <c r="S9" s="403" t="s">
        <v>57</v>
      </c>
      <c r="T9" s="403"/>
    </row>
    <row r="10" spans="1:20" ht="63" x14ac:dyDescent="0.45">
      <c r="A10" t="s">
        <v>644</v>
      </c>
      <c r="B10" s="190" t="s">
        <v>421</v>
      </c>
      <c r="C10" s="468" t="s">
        <v>434</v>
      </c>
      <c r="D10" s="468" t="s">
        <v>435</v>
      </c>
      <c r="E10" s="72">
        <v>78</v>
      </c>
      <c r="F10" s="400">
        <v>639613552</v>
      </c>
      <c r="G10" s="371" t="s">
        <v>436</v>
      </c>
      <c r="H10" s="256" t="s">
        <v>437</v>
      </c>
      <c r="I10" s="72" t="s">
        <v>391</v>
      </c>
      <c r="J10" s="373" t="s">
        <v>438</v>
      </c>
      <c r="K10" s="256">
        <v>181</v>
      </c>
      <c r="L10" s="492">
        <v>45272</v>
      </c>
      <c r="M10" s="258" t="s">
        <v>439</v>
      </c>
      <c r="N10" s="501">
        <v>39619</v>
      </c>
      <c r="O10" s="509" t="s">
        <v>616</v>
      </c>
      <c r="P10" s="521" t="s">
        <v>655</v>
      </c>
      <c r="Q10" s="514" t="s">
        <v>126</v>
      </c>
      <c r="R10" s="289">
        <v>9</v>
      </c>
      <c r="S10" s="403" t="s">
        <v>57</v>
      </c>
      <c r="T10" s="540" t="s">
        <v>653</v>
      </c>
    </row>
    <row r="11" spans="1:20" ht="47.25" x14ac:dyDescent="0.45">
      <c r="A11" t="s">
        <v>644</v>
      </c>
      <c r="B11" s="190" t="s">
        <v>426</v>
      </c>
      <c r="C11" s="255" t="s">
        <v>440</v>
      </c>
      <c r="D11" s="255" t="s">
        <v>441</v>
      </c>
      <c r="E11" s="258">
        <v>95</v>
      </c>
      <c r="F11" s="400">
        <v>639213701</v>
      </c>
      <c r="G11" s="371" t="s">
        <v>442</v>
      </c>
      <c r="H11" s="255" t="s">
        <v>443</v>
      </c>
      <c r="I11" s="258" t="s">
        <v>391</v>
      </c>
      <c r="J11" s="373" t="s">
        <v>444</v>
      </c>
      <c r="K11" s="256">
        <v>170</v>
      </c>
      <c r="L11" s="492">
        <v>45744</v>
      </c>
      <c r="M11" s="258" t="s">
        <v>445</v>
      </c>
      <c r="N11" s="502">
        <v>42173</v>
      </c>
      <c r="O11" s="509" t="s">
        <v>616</v>
      </c>
      <c r="P11" s="509" t="s">
        <v>136</v>
      </c>
      <c r="Q11" s="517" t="s">
        <v>126</v>
      </c>
      <c r="R11" s="522">
        <v>9</v>
      </c>
      <c r="S11" s="403" t="s">
        <v>57</v>
      </c>
      <c r="T11" s="539" t="s">
        <v>652</v>
      </c>
    </row>
    <row r="12" spans="1:20" ht="47.25" x14ac:dyDescent="0.45">
      <c r="A12" t="s">
        <v>644</v>
      </c>
      <c r="B12" s="190" t="s">
        <v>433</v>
      </c>
      <c r="C12" s="255" t="s">
        <v>387</v>
      </c>
      <c r="D12" s="255" t="s">
        <v>453</v>
      </c>
      <c r="E12" s="258">
        <v>22</v>
      </c>
      <c r="F12" s="400">
        <v>639223900</v>
      </c>
      <c r="G12" s="371" t="s">
        <v>454</v>
      </c>
      <c r="H12" s="256" t="s">
        <v>455</v>
      </c>
      <c r="I12" s="258" t="s">
        <v>391</v>
      </c>
      <c r="J12" s="373" t="s">
        <v>456</v>
      </c>
      <c r="K12" s="256">
        <v>194</v>
      </c>
      <c r="L12" s="492">
        <v>44947</v>
      </c>
      <c r="M12" s="258" t="s">
        <v>457</v>
      </c>
      <c r="N12" s="501">
        <v>37251</v>
      </c>
      <c r="O12" s="509" t="s">
        <v>614</v>
      </c>
      <c r="P12" s="509"/>
      <c r="Q12" s="523" t="s">
        <v>126</v>
      </c>
      <c r="R12" s="289">
        <v>9</v>
      </c>
      <c r="S12" s="403" t="s">
        <v>57</v>
      </c>
      <c r="T12" s="539" t="s">
        <v>654</v>
      </c>
    </row>
    <row r="13" spans="1:20" ht="47.25" x14ac:dyDescent="0.45">
      <c r="A13" t="s">
        <v>645</v>
      </c>
      <c r="C13" s="70" t="s">
        <v>408</v>
      </c>
      <c r="D13" s="70" t="s">
        <v>409</v>
      </c>
      <c r="E13" s="72">
        <v>70</v>
      </c>
      <c r="F13" s="488">
        <v>639396534</v>
      </c>
      <c r="G13" s="371" t="s">
        <v>612</v>
      </c>
      <c r="H13" s="256" t="s">
        <v>411</v>
      </c>
      <c r="I13" s="72" t="s">
        <v>391</v>
      </c>
      <c r="J13" s="373" t="s">
        <v>412</v>
      </c>
      <c r="K13" s="256">
        <v>952</v>
      </c>
      <c r="L13" s="492">
        <v>45395</v>
      </c>
      <c r="M13" s="258" t="s">
        <v>413</v>
      </c>
      <c r="N13" s="502">
        <v>39499</v>
      </c>
      <c r="O13" s="509" t="s">
        <v>617</v>
      </c>
      <c r="P13" s="509"/>
      <c r="Q13" s="514" t="s">
        <v>126</v>
      </c>
      <c r="R13" s="511" t="s">
        <v>400</v>
      </c>
      <c r="S13" s="403" t="s">
        <v>57</v>
      </c>
      <c r="T13" s="403"/>
    </row>
    <row r="14" spans="1:20" ht="47.25" x14ac:dyDescent="0.45">
      <c r="A14" t="s">
        <v>645</v>
      </c>
      <c r="C14" s="490" t="s">
        <v>605</v>
      </c>
      <c r="D14" s="490" t="s">
        <v>606</v>
      </c>
      <c r="E14" s="258">
        <v>58</v>
      </c>
      <c r="F14" s="400" t="s">
        <v>607</v>
      </c>
      <c r="G14" s="371" t="s">
        <v>608</v>
      </c>
      <c r="H14" s="256" t="s">
        <v>609</v>
      </c>
      <c r="I14" s="372" t="s">
        <v>391</v>
      </c>
      <c r="J14" s="373" t="s">
        <v>610</v>
      </c>
      <c r="K14" s="256">
        <v>391</v>
      </c>
      <c r="L14" s="257">
        <v>46219</v>
      </c>
      <c r="M14" s="258" t="s">
        <v>611</v>
      </c>
      <c r="N14" s="502">
        <v>41115</v>
      </c>
      <c r="O14" s="509" t="s">
        <v>621</v>
      </c>
      <c r="P14" s="509" t="s">
        <v>136</v>
      </c>
      <c r="Q14" s="517" t="s">
        <v>126</v>
      </c>
      <c r="R14" s="520">
        <v>5</v>
      </c>
      <c r="S14" s="519"/>
      <c r="T14" s="403" t="s">
        <v>623</v>
      </c>
    </row>
    <row r="15" spans="1:20" ht="63" x14ac:dyDescent="0.45">
      <c r="A15" t="s">
        <v>645</v>
      </c>
      <c r="C15" s="70" t="s">
        <v>446</v>
      </c>
      <c r="D15" s="70" t="s">
        <v>447</v>
      </c>
      <c r="E15" s="72">
        <v>17</v>
      </c>
      <c r="F15" s="400" t="s">
        <v>448</v>
      </c>
      <c r="G15" s="371" t="s">
        <v>449</v>
      </c>
      <c r="H15" s="372" t="s">
        <v>450</v>
      </c>
      <c r="I15" s="72" t="s">
        <v>391</v>
      </c>
      <c r="J15" s="373" t="s">
        <v>451</v>
      </c>
      <c r="K15" s="256">
        <v>774</v>
      </c>
      <c r="L15" s="492">
        <v>45753</v>
      </c>
      <c r="M15" s="258" t="s">
        <v>452</v>
      </c>
      <c r="N15" s="502">
        <v>45023</v>
      </c>
      <c r="O15" s="509" t="s">
        <v>614</v>
      </c>
      <c r="P15" s="509"/>
      <c r="Q15" s="514" t="s">
        <v>136</v>
      </c>
      <c r="R15" s="520">
        <v>5</v>
      </c>
      <c r="S15" s="403" t="s">
        <v>57</v>
      </c>
      <c r="T15" s="403"/>
    </row>
    <row r="16" spans="1:20" ht="47.25" x14ac:dyDescent="0.45">
      <c r="A16" t="s">
        <v>645</v>
      </c>
      <c r="C16" s="70" t="s">
        <v>458</v>
      </c>
      <c r="D16" s="70" t="s">
        <v>459</v>
      </c>
      <c r="E16" s="72">
        <v>103</v>
      </c>
      <c r="F16" s="400" t="s">
        <v>460</v>
      </c>
      <c r="G16" s="371" t="s">
        <v>461</v>
      </c>
      <c r="H16" s="256" t="s">
        <v>462</v>
      </c>
      <c r="I16" s="72" t="s">
        <v>391</v>
      </c>
      <c r="J16" s="373" t="s">
        <v>463</v>
      </c>
      <c r="K16" s="256">
        <v>501</v>
      </c>
      <c r="L16" s="492">
        <v>45395</v>
      </c>
      <c r="M16" s="258" t="s">
        <v>464</v>
      </c>
      <c r="N16" s="501">
        <v>35919</v>
      </c>
      <c r="O16" s="509" t="s">
        <v>614</v>
      </c>
      <c r="P16" s="509"/>
      <c r="Q16" s="514" t="s">
        <v>126</v>
      </c>
      <c r="R16" s="289">
        <v>8</v>
      </c>
      <c r="S16" s="403" t="s">
        <v>57</v>
      </c>
      <c r="T16" s="403"/>
    </row>
    <row r="17" spans="1:20" ht="47.25" x14ac:dyDescent="0.45">
      <c r="A17" t="s">
        <v>645</v>
      </c>
      <c r="C17" s="255" t="s">
        <v>465</v>
      </c>
      <c r="D17" s="255" t="s">
        <v>466</v>
      </c>
      <c r="E17" s="258">
        <v>106</v>
      </c>
      <c r="F17" s="400">
        <v>639023024</v>
      </c>
      <c r="G17" s="371" t="s">
        <v>467</v>
      </c>
      <c r="H17" s="256" t="s">
        <v>468</v>
      </c>
      <c r="I17" s="72" t="s">
        <v>391</v>
      </c>
      <c r="J17" s="373" t="s">
        <v>469</v>
      </c>
      <c r="K17" s="493">
        <v>213</v>
      </c>
      <c r="L17" s="257">
        <v>44699</v>
      </c>
      <c r="M17" s="258" t="s">
        <v>470</v>
      </c>
      <c r="N17" s="501">
        <v>37064</v>
      </c>
      <c r="O17" s="509" t="s">
        <v>622</v>
      </c>
      <c r="P17" s="509"/>
      <c r="Q17" s="517" t="s">
        <v>126</v>
      </c>
      <c r="R17" s="289">
        <v>8</v>
      </c>
      <c r="S17" s="403" t="s">
        <v>57</v>
      </c>
      <c r="T17" s="403"/>
    </row>
    <row r="18" spans="1:20" ht="47.25" x14ac:dyDescent="0.45">
      <c r="C18" s="460" t="s">
        <v>471</v>
      </c>
      <c r="D18" s="460" t="s">
        <v>472</v>
      </c>
      <c r="E18" s="461">
        <v>43</v>
      </c>
      <c r="F18" s="462">
        <v>639392814</v>
      </c>
      <c r="G18" s="463" t="s">
        <v>473</v>
      </c>
      <c r="H18" s="464" t="s">
        <v>474</v>
      </c>
      <c r="I18" s="461" t="s">
        <v>391</v>
      </c>
      <c r="J18" s="465" t="s">
        <v>475</v>
      </c>
      <c r="K18" s="464">
        <v>901</v>
      </c>
      <c r="L18" s="466">
        <v>45620</v>
      </c>
      <c r="M18" s="467" t="s">
        <v>476</v>
      </c>
      <c r="N18" s="504">
        <v>36376</v>
      </c>
      <c r="O18" s="524"/>
      <c r="P18" s="524"/>
      <c r="Q18" s="525" t="s">
        <v>126</v>
      </c>
      <c r="R18" s="526">
        <v>8</v>
      </c>
      <c r="S18" s="403" t="s">
        <v>57</v>
      </c>
      <c r="T18" s="289" t="s">
        <v>602</v>
      </c>
    </row>
    <row r="19" spans="1:20" ht="47.25" x14ac:dyDescent="0.45">
      <c r="A19" t="s">
        <v>645</v>
      </c>
      <c r="C19" s="468" t="s">
        <v>477</v>
      </c>
      <c r="D19" s="468" t="s">
        <v>478</v>
      </c>
      <c r="E19" s="469">
        <v>63</v>
      </c>
      <c r="F19" s="400" t="s">
        <v>479</v>
      </c>
      <c r="G19" s="371" t="s">
        <v>480</v>
      </c>
      <c r="H19" s="256" t="s">
        <v>481</v>
      </c>
      <c r="I19" s="72" t="s">
        <v>391</v>
      </c>
      <c r="J19" s="373" t="s">
        <v>482</v>
      </c>
      <c r="K19" s="256">
        <v>663</v>
      </c>
      <c r="L19" s="257">
        <v>46770</v>
      </c>
      <c r="M19" s="258" t="s">
        <v>483</v>
      </c>
      <c r="N19" s="501">
        <v>37244</v>
      </c>
      <c r="O19" s="509" t="s">
        <v>614</v>
      </c>
      <c r="P19" s="509"/>
      <c r="Q19" s="512" t="s">
        <v>126</v>
      </c>
      <c r="R19" s="520">
        <v>7</v>
      </c>
      <c r="S19" s="403" t="s">
        <v>57</v>
      </c>
      <c r="T19" s="403" t="s">
        <v>604</v>
      </c>
    </row>
    <row r="20" spans="1:20" ht="63" x14ac:dyDescent="0.45">
      <c r="C20" s="255" t="s">
        <v>624</v>
      </c>
      <c r="D20" s="255" t="s">
        <v>344</v>
      </c>
      <c r="E20" s="398">
        <v>11</v>
      </c>
      <c r="F20" s="488">
        <v>639194023</v>
      </c>
      <c r="G20" s="494" t="s">
        <v>625</v>
      </c>
      <c r="H20" s="256" t="s">
        <v>626</v>
      </c>
      <c r="I20" s="72" t="s">
        <v>391</v>
      </c>
      <c r="J20" s="496"/>
      <c r="K20" s="497"/>
      <c r="L20" s="498"/>
      <c r="M20" s="258"/>
      <c r="N20" s="501"/>
      <c r="O20" s="509"/>
      <c r="P20" s="509"/>
      <c r="Q20" s="512"/>
      <c r="R20" s="289"/>
      <c r="S20" s="403"/>
      <c r="T20" s="403"/>
    </row>
    <row r="21" spans="1:20" ht="31.5" x14ac:dyDescent="0.45">
      <c r="A21" t="s">
        <v>645</v>
      </c>
      <c r="C21" s="255" t="s">
        <v>627</v>
      </c>
      <c r="D21" s="255" t="s">
        <v>628</v>
      </c>
      <c r="E21" s="398">
        <v>28</v>
      </c>
      <c r="F21" s="488">
        <v>639729302</v>
      </c>
      <c r="G21" s="494"/>
      <c r="H21" s="495">
        <v>75295719100014</v>
      </c>
      <c r="I21" s="72" t="s">
        <v>391</v>
      </c>
      <c r="J21" s="373" t="s">
        <v>640</v>
      </c>
      <c r="K21" s="256">
        <v>784</v>
      </c>
      <c r="L21" s="257">
        <v>46835</v>
      </c>
      <c r="M21" s="258" t="s">
        <v>641</v>
      </c>
      <c r="N21" s="502">
        <v>42668</v>
      </c>
      <c r="O21" s="509" t="s">
        <v>616</v>
      </c>
      <c r="P21" s="509"/>
      <c r="Q21" s="512" t="s">
        <v>126</v>
      </c>
      <c r="R21" s="289">
        <v>9</v>
      </c>
      <c r="S21" s="403"/>
      <c r="T21" s="403"/>
    </row>
    <row r="22" spans="1:20" ht="47.65" thickBot="1" x14ac:dyDescent="0.5">
      <c r="A22" t="s">
        <v>645</v>
      </c>
      <c r="C22" s="255" t="s">
        <v>629</v>
      </c>
      <c r="D22" s="255" t="s">
        <v>630</v>
      </c>
      <c r="E22" s="398">
        <v>101</v>
      </c>
      <c r="F22" s="488">
        <v>639403811</v>
      </c>
      <c r="G22" s="494" t="s">
        <v>631</v>
      </c>
      <c r="H22" s="372" t="s">
        <v>632</v>
      </c>
      <c r="I22" s="72" t="s">
        <v>391</v>
      </c>
      <c r="J22" s="373" t="s">
        <v>633</v>
      </c>
      <c r="K22" s="256">
        <v>472</v>
      </c>
      <c r="L22" s="257">
        <v>46909</v>
      </c>
      <c r="M22" s="258" t="s">
        <v>634</v>
      </c>
      <c r="N22" s="502">
        <v>45076</v>
      </c>
      <c r="O22" s="527" t="s">
        <v>635</v>
      </c>
      <c r="P22" s="527" t="s">
        <v>136</v>
      </c>
      <c r="Q22" s="528" t="s">
        <v>136</v>
      </c>
      <c r="R22" s="529">
        <v>5</v>
      </c>
      <c r="S22" s="530"/>
      <c r="T22" s="530"/>
    </row>
    <row r="23" spans="1:20" ht="15.75" hidden="1" x14ac:dyDescent="0.45">
      <c r="B23" s="470" t="s">
        <v>488</v>
      </c>
      <c r="C23" s="471" t="s">
        <v>446</v>
      </c>
      <c r="D23" s="471" t="s">
        <v>489</v>
      </c>
      <c r="E23" s="472">
        <v>16</v>
      </c>
      <c r="F23" s="470"/>
      <c r="G23" s="470"/>
      <c r="H23" s="470"/>
      <c r="I23" s="473" t="s">
        <v>391</v>
      </c>
      <c r="J23" s="474" t="s">
        <v>592</v>
      </c>
      <c r="K23" s="470"/>
      <c r="L23" s="470"/>
      <c r="M23" s="474" t="s">
        <v>597</v>
      </c>
      <c r="N23" s="475">
        <v>37950</v>
      </c>
      <c r="O23" s="489"/>
      <c r="P23" s="489"/>
      <c r="Q23" s="470"/>
      <c r="R23" s="476">
        <v>9</v>
      </c>
      <c r="T23" t="s">
        <v>603</v>
      </c>
    </row>
    <row r="24" spans="1:20" ht="15.75" hidden="1" x14ac:dyDescent="0.45">
      <c r="B24" s="470" t="s">
        <v>491</v>
      </c>
      <c r="C24" s="471" t="s">
        <v>490</v>
      </c>
      <c r="D24" s="471" t="s">
        <v>453</v>
      </c>
      <c r="E24" s="472">
        <v>65</v>
      </c>
      <c r="F24" s="470"/>
      <c r="G24" s="470"/>
      <c r="H24" s="470"/>
      <c r="I24" s="473" t="s">
        <v>391</v>
      </c>
      <c r="J24" s="474" t="s">
        <v>593</v>
      </c>
      <c r="K24" s="470"/>
      <c r="L24" s="470"/>
      <c r="M24" s="474" t="s">
        <v>598</v>
      </c>
      <c r="N24" s="475">
        <v>38126</v>
      </c>
      <c r="O24" s="489"/>
      <c r="P24" s="489"/>
      <c r="Q24" s="470"/>
      <c r="R24" s="476">
        <v>9</v>
      </c>
      <c r="T24" t="s">
        <v>603</v>
      </c>
    </row>
    <row r="25" spans="1:20" ht="15.75" hidden="1" x14ac:dyDescent="0.45">
      <c r="B25" s="470" t="s">
        <v>492</v>
      </c>
      <c r="C25" s="471" t="s">
        <v>493</v>
      </c>
      <c r="D25" s="471" t="s">
        <v>494</v>
      </c>
      <c r="E25" s="472">
        <v>68</v>
      </c>
      <c r="F25" s="470"/>
      <c r="G25" s="470"/>
      <c r="H25" s="470"/>
      <c r="I25" s="473" t="s">
        <v>391</v>
      </c>
      <c r="J25" s="474" t="s">
        <v>594</v>
      </c>
      <c r="K25" s="470"/>
      <c r="L25" s="470"/>
      <c r="M25" s="474" t="s">
        <v>599</v>
      </c>
      <c r="N25" s="475">
        <v>42550</v>
      </c>
      <c r="O25" s="489"/>
      <c r="P25" s="489"/>
      <c r="Q25" s="470"/>
      <c r="R25" s="476">
        <v>9</v>
      </c>
      <c r="T25" t="s">
        <v>603</v>
      </c>
    </row>
    <row r="26" spans="1:20" ht="15.75" hidden="1" x14ac:dyDescent="0.45">
      <c r="B26" s="470" t="s">
        <v>495</v>
      </c>
      <c r="C26" s="471" t="s">
        <v>496</v>
      </c>
      <c r="D26" s="471" t="s">
        <v>497</v>
      </c>
      <c r="E26" s="472">
        <v>83</v>
      </c>
      <c r="F26" s="470"/>
      <c r="G26" s="470"/>
      <c r="H26" s="470"/>
      <c r="I26" s="473" t="s">
        <v>391</v>
      </c>
      <c r="J26" s="474" t="s">
        <v>595</v>
      </c>
      <c r="K26" s="470"/>
      <c r="L26" s="470"/>
      <c r="M26" s="474" t="s">
        <v>600</v>
      </c>
      <c r="N26" s="475">
        <v>44519</v>
      </c>
      <c r="O26" s="489"/>
      <c r="P26" s="489"/>
      <c r="Q26" s="470"/>
      <c r="R26" s="476">
        <v>9</v>
      </c>
      <c r="T26" t="s">
        <v>603</v>
      </c>
    </row>
    <row r="27" spans="1:20" ht="15.75" hidden="1" x14ac:dyDescent="0.45">
      <c r="B27" s="470" t="s">
        <v>500</v>
      </c>
      <c r="C27" s="471" t="s">
        <v>498</v>
      </c>
      <c r="D27" s="471" t="s">
        <v>499</v>
      </c>
      <c r="E27" s="472">
        <v>108</v>
      </c>
      <c r="F27" s="470"/>
      <c r="G27" s="470"/>
      <c r="H27" s="470"/>
      <c r="I27" s="473" t="s">
        <v>391</v>
      </c>
      <c r="J27" s="474" t="s">
        <v>596</v>
      </c>
      <c r="K27" s="470"/>
      <c r="L27" s="470"/>
      <c r="M27" s="474" t="s">
        <v>601</v>
      </c>
      <c r="N27" s="475">
        <v>36210</v>
      </c>
      <c r="O27" s="489"/>
      <c r="P27" s="489"/>
      <c r="Q27" s="470"/>
      <c r="R27" s="476">
        <v>9</v>
      </c>
      <c r="T27" t="s">
        <v>603</v>
      </c>
    </row>
    <row r="28" spans="1:20" ht="47.25" x14ac:dyDescent="0.45">
      <c r="A28" t="s">
        <v>126</v>
      </c>
      <c r="C28" s="477" t="s">
        <v>387</v>
      </c>
      <c r="D28" s="477" t="s">
        <v>388</v>
      </c>
      <c r="E28" s="478">
        <v>24</v>
      </c>
      <c r="F28" s="479">
        <v>639666022</v>
      </c>
      <c r="G28" s="480" t="s">
        <v>389</v>
      </c>
      <c r="H28" s="481" t="s">
        <v>390</v>
      </c>
      <c r="I28" s="478" t="s">
        <v>391</v>
      </c>
      <c r="J28" s="482" t="s">
        <v>392</v>
      </c>
      <c r="K28" s="483">
        <v>1261</v>
      </c>
      <c r="L28" s="491">
        <v>45600</v>
      </c>
      <c r="M28" s="484" t="s">
        <v>393</v>
      </c>
      <c r="N28" s="500">
        <v>44533</v>
      </c>
      <c r="O28" s="505" t="s">
        <v>614</v>
      </c>
      <c r="P28" s="505"/>
      <c r="Q28" s="506" t="s">
        <v>136</v>
      </c>
      <c r="R28" s="507" t="s">
        <v>394</v>
      </c>
      <c r="S28" s="508" t="s">
        <v>57</v>
      </c>
      <c r="T28" s="508"/>
    </row>
    <row r="29" spans="1:20" ht="42.75" x14ac:dyDescent="0.45">
      <c r="A29" t="s">
        <v>642</v>
      </c>
      <c r="C29" s="70" t="s">
        <v>395</v>
      </c>
      <c r="D29" s="70" t="s">
        <v>396</v>
      </c>
      <c r="E29" s="72">
        <v>29</v>
      </c>
      <c r="F29" s="400">
        <v>639298042</v>
      </c>
      <c r="G29" s="51" t="s">
        <v>397</v>
      </c>
      <c r="H29" s="256" t="s">
        <v>398</v>
      </c>
      <c r="I29" s="72" t="s">
        <v>391</v>
      </c>
      <c r="J29" s="373" t="s">
        <v>399</v>
      </c>
      <c r="K29" s="256">
        <v>182</v>
      </c>
      <c r="L29" s="257">
        <v>46387</v>
      </c>
      <c r="M29" s="499" t="s">
        <v>636</v>
      </c>
      <c r="N29" s="501" t="s">
        <v>637</v>
      </c>
      <c r="O29" s="509" t="s">
        <v>615</v>
      </c>
      <c r="P29" s="509"/>
      <c r="Q29" s="510" t="s">
        <v>126</v>
      </c>
      <c r="R29" s="511" t="s">
        <v>639</v>
      </c>
      <c r="S29" s="403" t="s">
        <v>57</v>
      </c>
      <c r="T29" s="403" t="s">
        <v>638</v>
      </c>
    </row>
  </sheetData>
  <autoFilter ref="A4:T22" xr:uid="{565CD459-E995-4EC2-A094-88946885B70D}"/>
  <phoneticPr fontId="5" type="noConversion"/>
  <hyperlinks>
    <hyperlink ref="G28" r:id="rId1" xr:uid="{62493DB2-B492-4B8D-A65F-06700E1E4793}"/>
    <hyperlink ref="G5" r:id="rId2" xr:uid="{C1475BC3-22DC-489F-BB60-898DE06F48C2}"/>
    <hyperlink ref="G9" r:id="rId3" xr:uid="{65D1F884-950B-4154-981A-0A7019286E03}"/>
    <hyperlink ref="G8" r:id="rId4" xr:uid="{E54EC502-0B7E-44C6-BEA5-941F657E88DF}"/>
    <hyperlink ref="G6" r:id="rId5" xr:uid="{F4FE9F68-8FB8-4BAD-B082-3CD7700B2801}"/>
    <hyperlink ref="G10" r:id="rId6" xr:uid="{6A564C8D-5B77-4221-B68D-94B15754CB65}"/>
    <hyperlink ref="G15" r:id="rId7" xr:uid="{667AA3AC-0284-429C-83D7-F4100604C84C}"/>
    <hyperlink ref="G12" r:id="rId8" xr:uid="{84B8276C-25E5-4CD3-809E-516B4FB044D6}"/>
    <hyperlink ref="G16" r:id="rId9" xr:uid="{B1C7A19C-FFB4-4670-BE23-A2F71422C871}"/>
    <hyperlink ref="G17" r:id="rId10" xr:uid="{21741ACC-2D29-4627-A50E-2AA23CB66DB6}"/>
    <hyperlink ref="G19" r:id="rId11" xr:uid="{852D3F28-968E-4295-8BCD-9125389CFB92}"/>
    <hyperlink ref="G14" r:id="rId12" xr:uid="{A0063702-409A-4D4F-B738-529E702E6A5A}"/>
    <hyperlink ref="G13" r:id="rId13" xr:uid="{8CB6897F-C637-4444-9F1B-F2BE0D33720E}"/>
    <hyperlink ref="G7" r:id="rId14" xr:uid="{C50EA95A-B351-4DFF-82BC-EE575C23BBB9}"/>
  </hyperlinks>
  <pageMargins left="0.70866141732283472" right="0.70866141732283472" top="0.74803149606299213" bottom="0.74803149606299213" header="0.31496062992125984" footer="0.31496062992125984"/>
  <pageSetup paperSize="9" scale="63" fitToHeight="0" orientation="landscape" r:id="rId1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2C88-E0A3-451F-AC2A-CED4ECF783F8}">
  <dimension ref="A2:N102"/>
  <sheetViews>
    <sheetView view="pageBreakPreview" zoomScale="88" zoomScaleNormal="100" zoomScaleSheetLayoutView="88" workbookViewId="0">
      <selection activeCell="A2" sqref="A2:G81"/>
    </sheetView>
  </sheetViews>
  <sheetFormatPr baseColWidth="10" defaultColWidth="10.796875" defaultRowHeight="14.25" x14ac:dyDescent="0.45"/>
  <cols>
    <col min="1" max="1" width="20.33203125" style="137" customWidth="1"/>
    <col min="2" max="2" width="31.33203125" style="137" customWidth="1"/>
    <col min="3" max="3" width="5.6640625" style="137" customWidth="1"/>
    <col min="4" max="4" width="10.796875" style="137"/>
    <col min="5" max="5" width="22.33203125" style="137" customWidth="1"/>
    <col min="6" max="6" width="32.46484375" style="137" customWidth="1"/>
    <col min="7" max="7" width="6" style="137" customWidth="1"/>
    <col min="8" max="8" width="32.46484375" style="137" customWidth="1"/>
    <col min="9" max="9" width="16.46484375" style="137" customWidth="1"/>
    <col min="10" max="10" width="13" style="137" customWidth="1"/>
    <col min="11" max="11" width="8.1328125" style="137" customWidth="1"/>
    <col min="12" max="12" width="7.33203125" style="137" customWidth="1"/>
    <col min="13" max="16384" width="10.796875" style="137"/>
  </cols>
  <sheetData>
    <row r="2" spans="1:14" ht="23.25" x14ac:dyDescent="0.45">
      <c r="B2" s="260" t="s">
        <v>374</v>
      </c>
      <c r="C2" s="260"/>
      <c r="G2" s="154"/>
    </row>
    <row r="3" spans="1:14" ht="34.049999999999997" customHeight="1" x14ac:dyDescent="0.45">
      <c r="A3" s="356" t="s">
        <v>362</v>
      </c>
    </row>
    <row r="4" spans="1:14" ht="42" customHeight="1" x14ac:dyDescent="0.45">
      <c r="A4" s="353" t="s">
        <v>24</v>
      </c>
      <c r="B4" s="354" t="e">
        <f>VLOOKUP(A4,'Liste chauffeur'!$B$5:$L$19,2,TRUE)&amp;" "&amp;VLOOKUP(A4,'Liste chauffeur'!$B$5:$L$19,3,TRUE)</f>
        <v>#N/A</v>
      </c>
      <c r="C4" s="357"/>
      <c r="D4" s="358"/>
      <c r="E4" s="353" t="s">
        <v>36</v>
      </c>
      <c r="F4" s="359" t="e">
        <f>VLOOKUP(E4,'Liste chauffeur'!$B$5:$L$19,2,TRUE)&amp;" "&amp;VLOOKUP(E4,'Liste chauffeur'!$B$5:$L$19,3,TRUE)</f>
        <v>#N/A</v>
      </c>
      <c r="G4" s="268"/>
      <c r="H4" s="268"/>
      <c r="I4" s="228" t="s">
        <v>1</v>
      </c>
      <c r="J4" s="229" t="s">
        <v>328</v>
      </c>
      <c r="K4" s="233" t="s">
        <v>12</v>
      </c>
      <c r="M4" s="261" t="s">
        <v>52</v>
      </c>
      <c r="N4" s="261" t="s">
        <v>54</v>
      </c>
    </row>
    <row r="5" spans="1:14" ht="17" customHeight="1" x14ac:dyDescent="0.45">
      <c r="A5" s="336" t="s">
        <v>8</v>
      </c>
      <c r="B5" s="337">
        <v>0.1875</v>
      </c>
      <c r="C5" s="155"/>
      <c r="D5" s="154"/>
      <c r="E5" s="360" t="s">
        <v>8</v>
      </c>
      <c r="F5" s="328">
        <v>0.22222222222222221</v>
      </c>
      <c r="G5" s="259"/>
      <c r="H5" s="259"/>
      <c r="I5" s="156"/>
      <c r="J5" s="157"/>
      <c r="K5" s="158"/>
      <c r="M5" s="264"/>
      <c r="N5" s="264"/>
    </row>
    <row r="6" spans="1:14" ht="17" customHeight="1" x14ac:dyDescent="0.45">
      <c r="A6" s="261" t="s">
        <v>8</v>
      </c>
      <c r="B6" s="266">
        <v>0.22222222222222221</v>
      </c>
      <c r="C6" s="269"/>
      <c r="D6" s="154"/>
      <c r="E6" s="360" t="s">
        <v>8</v>
      </c>
      <c r="F6" s="328">
        <v>0.2638888888888889</v>
      </c>
      <c r="G6" s="259" t="s">
        <v>371</v>
      </c>
      <c r="H6" s="259"/>
      <c r="I6" s="156"/>
      <c r="J6" s="157"/>
      <c r="K6" s="158"/>
      <c r="M6" s="264"/>
      <c r="N6" s="264"/>
    </row>
    <row r="7" spans="1:14" ht="17" customHeight="1" x14ac:dyDescent="0.45">
      <c r="A7" s="263" t="s">
        <v>8</v>
      </c>
      <c r="B7" s="266">
        <v>0.2638888888888889</v>
      </c>
      <c r="C7" s="269" t="s">
        <v>346</v>
      </c>
      <c r="D7" s="154"/>
      <c r="E7" s="144" t="s">
        <v>8</v>
      </c>
      <c r="F7" s="328">
        <v>0.31944444444444442</v>
      </c>
      <c r="G7" s="346" t="e">
        <f>F7+#REF!-F5+#REF!+#REF!-F9</f>
        <v>#REF!</v>
      </c>
      <c r="H7" s="269"/>
      <c r="I7" s="156"/>
      <c r="J7" s="157"/>
      <c r="K7" s="158"/>
      <c r="M7" s="264" t="s">
        <v>47</v>
      </c>
      <c r="N7" s="264" t="s">
        <v>43</v>
      </c>
    </row>
    <row r="8" spans="1:14" ht="17" customHeight="1" x14ac:dyDescent="0.45">
      <c r="A8" s="263" t="s">
        <v>8</v>
      </c>
      <c r="B8" s="266">
        <v>0.31944444444444442</v>
      </c>
      <c r="C8" s="282"/>
      <c r="D8" s="154"/>
      <c r="E8" s="261" t="s">
        <v>11</v>
      </c>
      <c r="F8" s="328">
        <v>0.58333333333333337</v>
      </c>
      <c r="G8" s="346"/>
      <c r="H8" s="269"/>
      <c r="I8" s="156"/>
      <c r="J8" s="157"/>
      <c r="K8" s="158"/>
      <c r="M8" s="264" t="s">
        <v>47</v>
      </c>
      <c r="N8" s="264" t="s">
        <v>43</v>
      </c>
    </row>
    <row r="9" spans="1:14" ht="17" customHeight="1" x14ac:dyDescent="0.45">
      <c r="A9" s="263" t="s">
        <v>11</v>
      </c>
      <c r="B9" s="266">
        <v>0.77083333333333337</v>
      </c>
      <c r="C9" s="269"/>
      <c r="D9" s="154"/>
      <c r="E9" s="261" t="s">
        <v>11</v>
      </c>
      <c r="F9" s="329">
        <v>0.61805555555555558</v>
      </c>
      <c r="G9" s="259"/>
      <c r="H9" s="269"/>
      <c r="I9" s="156"/>
      <c r="J9" s="157"/>
      <c r="K9" s="158"/>
      <c r="M9" s="264" t="s">
        <v>47</v>
      </c>
      <c r="N9" s="264" t="s">
        <v>43</v>
      </c>
    </row>
    <row r="10" spans="1:14" ht="17" customHeight="1" x14ac:dyDescent="0.45">
      <c r="A10" s="361"/>
      <c r="B10" s="269"/>
      <c r="C10" s="269"/>
      <c r="D10" s="154"/>
      <c r="F10" s="269"/>
      <c r="G10" s="259"/>
      <c r="H10" s="269"/>
      <c r="I10" s="156"/>
      <c r="J10" s="157"/>
      <c r="K10" s="158"/>
      <c r="M10" s="264"/>
      <c r="N10" s="264"/>
    </row>
    <row r="11" spans="1:14" ht="16.05" customHeight="1" x14ac:dyDescent="0.45">
      <c r="D11" s="154"/>
      <c r="E11" s="356" t="s">
        <v>372</v>
      </c>
      <c r="G11" s="259"/>
      <c r="H11" s="269"/>
      <c r="I11" s="156"/>
      <c r="J11" s="157"/>
      <c r="K11" s="158"/>
      <c r="M11" s="264" t="s">
        <v>47</v>
      </c>
      <c r="N11" s="264" t="s">
        <v>43</v>
      </c>
    </row>
    <row r="12" spans="1:14" ht="35" customHeight="1" x14ac:dyDescent="0.45">
      <c r="A12" s="355" t="s">
        <v>48</v>
      </c>
      <c r="B12" s="354" t="e">
        <f>VLOOKUP(A12,'Liste chauffeur'!$B$5:$L$19,2,TRUE)&amp;" "&amp;VLOOKUP(A12,'Liste chauffeur'!$B$5:$L$19,3,TRUE)</f>
        <v>#N/A</v>
      </c>
      <c r="C12" s="154"/>
      <c r="D12" s="154"/>
      <c r="E12" s="355" t="s">
        <v>49</v>
      </c>
      <c r="F12" s="354" t="e">
        <f>VLOOKUP(E12,'Liste chauffeur'!$B$5:$L$19,2,TRUE)&amp;" "&amp;VLOOKUP(E12,'Liste chauffeur'!$B$5:$L$19,3,TRUE)</f>
        <v>#N/A</v>
      </c>
      <c r="H12" s="269"/>
      <c r="I12" s="156"/>
      <c r="J12" s="157"/>
      <c r="K12" s="158"/>
      <c r="M12" s="264" t="s">
        <v>47</v>
      </c>
      <c r="N12" s="264" t="s">
        <v>43</v>
      </c>
    </row>
    <row r="13" spans="1:14" ht="17" customHeight="1" x14ac:dyDescent="0.45">
      <c r="A13" s="284" t="s">
        <v>357</v>
      </c>
      <c r="B13" s="266">
        <v>0.25</v>
      </c>
      <c r="C13" s="155"/>
      <c r="D13" s="154"/>
      <c r="E13" s="263" t="s">
        <v>8</v>
      </c>
      <c r="F13" s="266">
        <v>0.25694444444444398</v>
      </c>
      <c r="G13" s="269"/>
      <c r="H13" s="269"/>
      <c r="I13" s="156"/>
      <c r="J13" s="157"/>
      <c r="K13" s="158"/>
      <c r="M13" s="264" t="s">
        <v>47</v>
      </c>
      <c r="N13" s="264" t="s">
        <v>43</v>
      </c>
    </row>
    <row r="14" spans="1:14" ht="17" customHeight="1" x14ac:dyDescent="0.45">
      <c r="A14" s="263" t="s">
        <v>8</v>
      </c>
      <c r="B14" s="266">
        <v>0.2986111111111111</v>
      </c>
      <c r="C14" s="269" t="s">
        <v>346</v>
      </c>
      <c r="D14" s="154"/>
      <c r="E14" s="338" t="s">
        <v>8</v>
      </c>
      <c r="F14" s="266">
        <v>0.3125</v>
      </c>
      <c r="G14" s="269"/>
      <c r="H14" s="270"/>
      <c r="I14" s="156"/>
      <c r="J14" s="157"/>
      <c r="K14" s="158"/>
      <c r="M14" s="264"/>
      <c r="N14" s="264"/>
    </row>
    <row r="15" spans="1:14" ht="17" customHeight="1" x14ac:dyDescent="0.45">
      <c r="A15" s="263" t="s">
        <v>8</v>
      </c>
      <c r="B15" s="266">
        <v>0.36805555555555558</v>
      </c>
      <c r="C15" s="287" t="e">
        <f>B15-B13+#REF!+B17+#REF!-B16</f>
        <v>#REF!</v>
      </c>
      <c r="D15" s="154"/>
      <c r="E15" s="263" t="s">
        <v>11</v>
      </c>
      <c r="F15" s="266">
        <v>0.6875</v>
      </c>
      <c r="G15" s="154" t="s">
        <v>346</v>
      </c>
      <c r="H15" s="155"/>
      <c r="I15" s="156"/>
      <c r="J15" s="157"/>
      <c r="K15" s="158"/>
      <c r="M15" s="264"/>
      <c r="N15" s="264"/>
    </row>
    <row r="16" spans="1:14" ht="17" customHeight="1" x14ac:dyDescent="0.45">
      <c r="A16" s="263" t="s">
        <v>11</v>
      </c>
      <c r="B16" s="266">
        <v>0.625</v>
      </c>
      <c r="C16" s="269"/>
      <c r="D16" s="154"/>
      <c r="E16" s="263" t="s">
        <v>11</v>
      </c>
      <c r="F16" s="266">
        <v>0.72222222222222221</v>
      </c>
      <c r="G16" s="288"/>
      <c r="H16" s="269"/>
      <c r="I16" s="156"/>
      <c r="J16" s="157"/>
      <c r="K16" s="158"/>
      <c r="M16" s="264"/>
      <c r="N16" s="264"/>
    </row>
    <row r="17" spans="1:14" ht="17" customHeight="1" x14ac:dyDescent="0.45">
      <c r="A17" s="263" t="s">
        <v>11</v>
      </c>
      <c r="B17" s="266">
        <v>0.65972222222222221</v>
      </c>
      <c r="C17" s="269"/>
      <c r="D17" s="154"/>
      <c r="E17" s="263" t="s">
        <v>11</v>
      </c>
      <c r="F17" s="266">
        <v>0.75</v>
      </c>
      <c r="H17" s="269"/>
      <c r="I17" s="156"/>
      <c r="J17" s="157"/>
      <c r="K17" s="158"/>
      <c r="M17" s="264"/>
      <c r="N17" s="264"/>
    </row>
    <row r="18" spans="1:14" ht="17" customHeight="1" x14ac:dyDescent="0.45">
      <c r="B18" s="155"/>
      <c r="C18" s="270"/>
      <c r="D18" s="154"/>
      <c r="G18" s="155"/>
      <c r="H18" s="269"/>
      <c r="I18" s="156"/>
      <c r="J18" s="157"/>
      <c r="K18" s="158"/>
      <c r="M18" s="264"/>
      <c r="N18" s="264"/>
    </row>
    <row r="19" spans="1:14" ht="17" customHeight="1" x14ac:dyDescent="0.45">
      <c r="D19" s="154"/>
      <c r="E19" s="356" t="s">
        <v>363</v>
      </c>
      <c r="F19" s="155"/>
      <c r="H19" s="154"/>
      <c r="I19" s="156"/>
      <c r="J19" s="157"/>
      <c r="K19" s="158"/>
      <c r="M19" s="264"/>
      <c r="N19" s="264"/>
    </row>
    <row r="20" spans="1:14" ht="32" customHeight="1" x14ac:dyDescent="0.45">
      <c r="A20" s="355" t="s">
        <v>341</v>
      </c>
      <c r="B20" s="354" t="e">
        <f>VLOOKUP(A20,'Liste chauffeur'!$B$5:$L$19,2,TRUE)&amp;" "&amp;VLOOKUP(A20,'Liste chauffeur'!$B$5:$L$19,3,TRUE)</f>
        <v>#N/A</v>
      </c>
      <c r="C20" s="269"/>
      <c r="D20" s="154"/>
      <c r="E20" s="355" t="s">
        <v>37</v>
      </c>
      <c r="F20" s="354" t="e">
        <f>VLOOKUP(E20,'Liste chauffeur'!$B$5:$L$19,2,TRUE)&amp;" "&amp;VLOOKUP(E20,'Liste chauffeur'!$B$5:$L$19,3,TRUE)</f>
        <v>#N/A</v>
      </c>
      <c r="G20" s="155"/>
      <c r="H20" s="270"/>
      <c r="I20" s="156"/>
      <c r="J20" s="157"/>
      <c r="K20" s="158"/>
      <c r="M20" s="264"/>
      <c r="N20" s="264"/>
    </row>
    <row r="21" spans="1:14" ht="17" customHeight="1" x14ac:dyDescent="0.45">
      <c r="A21" s="349" t="s">
        <v>357</v>
      </c>
      <c r="B21" s="351">
        <v>0.20833333333333334</v>
      </c>
      <c r="C21" s="269" t="s">
        <v>346</v>
      </c>
      <c r="D21" s="154"/>
      <c r="E21" s="284" t="s">
        <v>357</v>
      </c>
      <c r="F21" s="266">
        <v>0.22916666666666666</v>
      </c>
      <c r="H21" s="269"/>
      <c r="I21" s="156"/>
      <c r="J21" s="157"/>
      <c r="K21" s="158"/>
      <c r="M21" s="264"/>
      <c r="N21" s="264"/>
    </row>
    <row r="22" spans="1:14" ht="17" customHeight="1" x14ac:dyDescent="0.45">
      <c r="A22" s="290" t="s">
        <v>8</v>
      </c>
      <c r="B22" s="351">
        <v>0.24305555555555555</v>
      </c>
      <c r="C22" s="287" t="e">
        <f>B23+#REF!-B21+B25+#REF!-B24</f>
        <v>#REF!</v>
      </c>
      <c r="D22" s="154"/>
      <c r="E22" s="284" t="s">
        <v>357</v>
      </c>
      <c r="F22" s="266">
        <v>0.27083333333333331</v>
      </c>
      <c r="G22" s="286" t="e">
        <f>F22+G2-F21+F24+#REF!-F23</f>
        <v>#REF!</v>
      </c>
      <c r="H22" s="269"/>
      <c r="I22" s="156"/>
      <c r="J22" s="157"/>
      <c r="K22" s="158"/>
      <c r="M22" s="264"/>
      <c r="N22" s="264"/>
    </row>
    <row r="23" spans="1:14" ht="17" customHeight="1" x14ac:dyDescent="0.45">
      <c r="A23" s="290" t="s">
        <v>8</v>
      </c>
      <c r="B23" s="266">
        <v>0.29166666666666669</v>
      </c>
      <c r="C23" s="269"/>
      <c r="D23" s="154"/>
      <c r="E23" s="263" t="s">
        <v>8</v>
      </c>
      <c r="F23" s="266">
        <v>0.3263888888888889</v>
      </c>
      <c r="G23" s="269"/>
      <c r="H23" s="269"/>
      <c r="I23" s="156"/>
      <c r="J23" s="157"/>
      <c r="K23" s="158"/>
      <c r="M23" s="264"/>
      <c r="N23" s="262"/>
    </row>
    <row r="24" spans="1:14" ht="17" customHeight="1" x14ac:dyDescent="0.45">
      <c r="A24" s="263" t="s">
        <v>11</v>
      </c>
      <c r="B24" s="328">
        <v>0.61111111111111116</v>
      </c>
      <c r="C24" s="269"/>
      <c r="D24" s="154"/>
      <c r="E24" s="263" t="s">
        <v>11</v>
      </c>
      <c r="F24" s="266">
        <v>0.67361111111111116</v>
      </c>
      <c r="G24" s="269" t="s">
        <v>346</v>
      </c>
      <c r="H24" s="269"/>
      <c r="I24" s="156"/>
      <c r="J24" s="157"/>
      <c r="K24" s="158"/>
      <c r="M24" s="264"/>
      <c r="N24" s="262"/>
    </row>
    <row r="25" spans="1:14" ht="17" customHeight="1" x14ac:dyDescent="0.45">
      <c r="A25" s="263" t="s">
        <v>11</v>
      </c>
      <c r="B25" s="328">
        <v>0.65277777777777779</v>
      </c>
      <c r="C25" s="269"/>
      <c r="D25" s="154"/>
      <c r="E25" s="263" t="s">
        <v>11</v>
      </c>
      <c r="F25" s="266">
        <v>0.70138888888888884</v>
      </c>
      <c r="G25" s="288" t="e">
        <f>F23+#REF!-F21+F25+#REF!-#REF!</f>
        <v>#REF!</v>
      </c>
      <c r="H25" s="269"/>
      <c r="I25" s="156"/>
      <c r="J25" s="157"/>
      <c r="K25" s="158"/>
      <c r="M25" s="264"/>
      <c r="N25" s="262"/>
    </row>
    <row r="26" spans="1:14" ht="17" customHeight="1" x14ac:dyDescent="0.45">
      <c r="A26" s="284"/>
      <c r="B26" s="266"/>
      <c r="D26" s="154"/>
      <c r="G26" s="269"/>
      <c r="H26" s="269"/>
      <c r="I26" s="156"/>
      <c r="J26" s="157"/>
      <c r="K26" s="158"/>
      <c r="M26" s="264"/>
      <c r="N26" s="262"/>
    </row>
    <row r="27" spans="1:14" ht="17" customHeight="1" x14ac:dyDescent="0.45">
      <c r="D27" s="154"/>
      <c r="E27" s="355" t="s">
        <v>45</v>
      </c>
      <c r="F27" s="354" t="e">
        <f>VLOOKUP(E27,'Liste chauffeur'!$B$5:$L$19,2,TRUE)&amp;" "&amp;VLOOKUP(E27,'Liste chauffeur'!$B$5:$L$19,3,TRUE)</f>
        <v>#N/A</v>
      </c>
      <c r="G27" s="269"/>
      <c r="H27" s="154"/>
      <c r="I27" s="156"/>
      <c r="J27" s="157"/>
      <c r="K27" s="158"/>
      <c r="M27" s="264"/>
      <c r="N27" s="262"/>
    </row>
    <row r="28" spans="1:14" ht="33" customHeight="1" x14ac:dyDescent="0.45">
      <c r="A28" s="355" t="s">
        <v>41</v>
      </c>
      <c r="B28" s="354" t="e">
        <f>VLOOKUP(A28,'Liste chauffeur'!$B$5:$L$19,2,TRUE)&amp;" "&amp;VLOOKUP(A28,'Liste chauffeur'!$B$5:$L$19,3,TRUE)</f>
        <v>#N/A</v>
      </c>
      <c r="C28" s="285" t="e">
        <f>#REF!+G2-B30+B33+#REF!-B31</f>
        <v>#REF!</v>
      </c>
      <c r="D28" s="154"/>
      <c r="E28" s="261"/>
      <c r="F28" s="267" t="s">
        <v>0</v>
      </c>
      <c r="G28" s="269"/>
      <c r="H28" s="270"/>
      <c r="I28" s="156"/>
      <c r="J28" s="157"/>
      <c r="K28" s="158"/>
      <c r="M28" s="264"/>
      <c r="N28" s="262"/>
    </row>
    <row r="29" spans="1:14" ht="17" customHeight="1" x14ac:dyDescent="0.45">
      <c r="A29" s="261" t="s">
        <v>8</v>
      </c>
      <c r="B29" s="267">
        <v>0.21527777777777779</v>
      </c>
      <c r="C29" s="269"/>
      <c r="D29" s="154"/>
      <c r="E29" s="339" t="s">
        <v>8</v>
      </c>
      <c r="F29" s="340">
        <v>0.2013888888888889</v>
      </c>
      <c r="H29" s="269"/>
      <c r="I29" s="156"/>
      <c r="J29" s="157"/>
      <c r="K29" s="158"/>
      <c r="M29" s="264"/>
      <c r="N29" s="262"/>
    </row>
    <row r="30" spans="1:14" ht="17" customHeight="1" x14ac:dyDescent="0.45">
      <c r="A30" s="263" t="s">
        <v>8</v>
      </c>
      <c r="B30" s="266">
        <v>0.28472222222222221</v>
      </c>
      <c r="C30" s="269" t="s">
        <v>346</v>
      </c>
      <c r="D30" s="154"/>
      <c r="E30" s="338" t="s">
        <v>8</v>
      </c>
      <c r="F30" s="267">
        <v>0.22916666666666699</v>
      </c>
      <c r="G30" s="269" t="s">
        <v>346</v>
      </c>
      <c r="H30" s="269"/>
      <c r="I30" s="156"/>
      <c r="J30" s="157"/>
      <c r="K30" s="158"/>
      <c r="M30" s="264"/>
      <c r="N30" s="262"/>
    </row>
    <row r="31" spans="1:14" ht="17" customHeight="1" x14ac:dyDescent="0.45">
      <c r="A31" s="263" t="s">
        <v>11</v>
      </c>
      <c r="B31" s="266">
        <v>0.60416666666666663</v>
      </c>
      <c r="C31" s="269"/>
      <c r="D31" s="154"/>
      <c r="E31" s="338" t="s">
        <v>8</v>
      </c>
      <c r="F31" s="267">
        <v>0.27777777777777779</v>
      </c>
      <c r="G31" s="287" t="e">
        <f>F31+#REF!-F29+F33+#REF!-F32</f>
        <v>#REF!</v>
      </c>
      <c r="H31" s="269"/>
      <c r="I31" s="156"/>
      <c r="J31" s="157"/>
      <c r="K31" s="158"/>
      <c r="M31" s="264"/>
      <c r="N31" s="262"/>
    </row>
    <row r="32" spans="1:14" ht="17" customHeight="1" x14ac:dyDescent="0.45">
      <c r="A32" s="263" t="s">
        <v>11</v>
      </c>
      <c r="B32" s="266">
        <v>0.63194444444444442</v>
      </c>
      <c r="C32" s="269"/>
      <c r="D32" s="154"/>
      <c r="E32" s="261" t="s">
        <v>11</v>
      </c>
      <c r="F32" s="267">
        <v>0.65972222222222221</v>
      </c>
      <c r="G32" s="272"/>
      <c r="H32" s="269"/>
      <c r="I32" s="156"/>
      <c r="J32" s="157"/>
      <c r="K32" s="158"/>
      <c r="M32" s="264"/>
      <c r="N32" s="262"/>
    </row>
    <row r="33" spans="1:14" ht="17" customHeight="1" x14ac:dyDescent="0.45">
      <c r="A33" s="263" t="s">
        <v>11</v>
      </c>
      <c r="B33" s="266">
        <v>0.68055555555555558</v>
      </c>
      <c r="C33" s="269"/>
      <c r="D33" s="154"/>
      <c r="E33" s="261" t="s">
        <v>11</v>
      </c>
      <c r="F33" s="267">
        <v>0.6875</v>
      </c>
      <c r="G33" s="155"/>
      <c r="H33" s="269"/>
      <c r="I33" s="156"/>
      <c r="J33" s="157"/>
      <c r="K33" s="158"/>
      <c r="M33" s="264"/>
      <c r="N33" s="262"/>
    </row>
    <row r="34" spans="1:14" ht="17" customHeight="1" x14ac:dyDescent="0.45">
      <c r="A34" s="361"/>
      <c r="B34" s="269"/>
      <c r="C34" s="269"/>
      <c r="D34" s="154"/>
      <c r="F34" s="155"/>
      <c r="G34" s="155"/>
      <c r="H34" s="269"/>
      <c r="I34" s="156"/>
      <c r="J34" s="157"/>
      <c r="K34" s="158"/>
      <c r="M34" s="264"/>
      <c r="N34" s="262"/>
    </row>
    <row r="35" spans="1:14" ht="17" customHeight="1" x14ac:dyDescent="0.45">
      <c r="A35" s="356" t="s">
        <v>373</v>
      </c>
      <c r="D35" s="154"/>
      <c r="G35" s="269"/>
      <c r="H35" s="269"/>
      <c r="I35" s="156"/>
      <c r="J35" s="157"/>
      <c r="K35" s="158"/>
      <c r="M35" s="262"/>
      <c r="N35" s="262"/>
    </row>
    <row r="36" spans="1:14" ht="18" customHeight="1" x14ac:dyDescent="0.45">
      <c r="A36" s="355" t="s">
        <v>31</v>
      </c>
      <c r="B36" s="354" t="e">
        <f>VLOOKUP(A36,'Liste chauffeur'!$B$5:$L$19,2,TRUE)&amp;" "&amp;VLOOKUP(A36,'Liste chauffeur'!$B$5:$L$19,3,TRUE)</f>
        <v>#N/A</v>
      </c>
      <c r="C36" s="269"/>
      <c r="D36" s="154"/>
      <c r="E36" s="355" t="s">
        <v>329</v>
      </c>
      <c r="F36" s="354" t="e">
        <f>VLOOKUP(E36,'Liste chauffeur'!$B$5:$L$19,2,TRUE)&amp;" "&amp;VLOOKUP(E36,'Liste chauffeur'!$B$5:$L$19,3,TRUE)</f>
        <v>#N/A</v>
      </c>
      <c r="G36" s="269"/>
      <c r="H36" s="154"/>
      <c r="I36" s="156"/>
      <c r="J36" s="157"/>
      <c r="K36" s="158"/>
      <c r="M36" s="262"/>
      <c r="N36" s="262"/>
    </row>
    <row r="37" spans="1:14" ht="36" customHeight="1" x14ac:dyDescent="0.45">
      <c r="A37" s="263" t="s">
        <v>8</v>
      </c>
      <c r="B37" s="266">
        <v>0.27083333333333331</v>
      </c>
      <c r="C37" s="269"/>
      <c r="D37" s="154"/>
      <c r="E37" s="261"/>
      <c r="F37" s="267" t="s">
        <v>0</v>
      </c>
      <c r="H37" s="154"/>
      <c r="I37" s="156"/>
      <c r="J37" s="157"/>
      <c r="K37" s="158"/>
      <c r="M37" s="262"/>
      <c r="N37" s="262"/>
    </row>
    <row r="38" spans="1:14" ht="18" customHeight="1" x14ac:dyDescent="0.45">
      <c r="A38" s="263" t="s">
        <v>8</v>
      </c>
      <c r="B38" s="266">
        <v>0.3263888888888889</v>
      </c>
      <c r="C38" s="269" t="s">
        <v>346</v>
      </c>
      <c r="D38" s="154"/>
      <c r="E38" s="263" t="s">
        <v>8</v>
      </c>
      <c r="F38" s="266">
        <v>0.22916666666666666</v>
      </c>
      <c r="G38" s="137" t="s">
        <v>369</v>
      </c>
      <c r="H38" s="154"/>
      <c r="I38" s="156"/>
      <c r="J38" s="157"/>
      <c r="K38" s="158"/>
      <c r="M38" s="262"/>
      <c r="N38" s="262"/>
    </row>
    <row r="39" spans="1:14" ht="18" customHeight="1" x14ac:dyDescent="0.45">
      <c r="A39" s="263" t="s">
        <v>11</v>
      </c>
      <c r="B39" s="266">
        <v>0.63194444444444442</v>
      </c>
      <c r="C39" s="287" t="e">
        <f>B38+#REF!-B37+B41+#REF!-B39</f>
        <v>#REF!</v>
      </c>
      <c r="D39" s="154"/>
      <c r="E39" s="263" t="s">
        <v>8</v>
      </c>
      <c r="F39" s="266">
        <v>0.2986111111111111</v>
      </c>
      <c r="H39" s="154"/>
      <c r="I39" s="156"/>
      <c r="J39" s="157"/>
      <c r="K39" s="158"/>
      <c r="M39" s="262"/>
      <c r="N39" s="262"/>
    </row>
    <row r="40" spans="1:14" ht="18" customHeight="1" x14ac:dyDescent="0.45">
      <c r="A40" s="263" t="s">
        <v>11</v>
      </c>
      <c r="B40" s="266">
        <v>0.66666666666666663</v>
      </c>
      <c r="C40" s="269"/>
      <c r="D40" s="154"/>
      <c r="E40" s="263" t="s">
        <v>8</v>
      </c>
      <c r="F40" s="266">
        <v>0.34027777777777779</v>
      </c>
      <c r="H40" s="154"/>
      <c r="I40" s="156"/>
      <c r="J40" s="157"/>
      <c r="K40" s="158"/>
      <c r="M40" s="262"/>
      <c r="N40" s="262"/>
    </row>
    <row r="41" spans="1:14" ht="18" customHeight="1" x14ac:dyDescent="0.45">
      <c r="A41" s="263" t="s">
        <v>11</v>
      </c>
      <c r="B41" s="266">
        <v>0.69444444444444442</v>
      </c>
      <c r="C41" s="269"/>
      <c r="D41" s="154"/>
      <c r="E41" s="283" t="s">
        <v>11</v>
      </c>
      <c r="F41" s="267">
        <v>0.59722222222222221</v>
      </c>
      <c r="H41" s="160"/>
      <c r="I41" s="161"/>
      <c r="J41" s="162"/>
      <c r="K41" s="163"/>
      <c r="M41" s="262"/>
      <c r="N41" s="262"/>
    </row>
    <row r="42" spans="1:14" ht="18" customHeight="1" x14ac:dyDescent="0.45">
      <c r="D42" s="154"/>
      <c r="H42" s="154"/>
      <c r="I42" s="156"/>
      <c r="J42" s="165"/>
      <c r="K42" s="158"/>
      <c r="M42" s="271"/>
      <c r="N42" s="271"/>
    </row>
    <row r="43" spans="1:14" ht="17" customHeight="1" x14ac:dyDescent="0.45">
      <c r="D43" s="273"/>
      <c r="H43" s="154"/>
      <c r="I43" s="154"/>
      <c r="M43" s="253"/>
      <c r="N43" s="253"/>
    </row>
    <row r="44" spans="1:14" ht="22.05" customHeight="1" x14ac:dyDescent="0.45">
      <c r="A44" s="355" t="s">
        <v>330</v>
      </c>
      <c r="B44" s="354" t="e">
        <f>VLOOKUP(A44,'Liste chauffeur'!$B$5:$L$19,2,TRUE)&amp;" "&amp;VLOOKUP(A44,'Liste chauffeur'!$B$5:$L$19,3,TRUE)</f>
        <v>#N/A</v>
      </c>
      <c r="C44" s="155"/>
      <c r="D44" s="154"/>
      <c r="E44" s="355" t="s">
        <v>331</v>
      </c>
      <c r="F44" s="354" t="e">
        <f>VLOOKUP(E44,'Liste chauffeur'!$B$5:$L$19,2,TRUE)&amp;" "&amp;VLOOKUP(E44,'Liste chauffeur'!$B$5:$L$19,3,TRUE)</f>
        <v>#N/A</v>
      </c>
      <c r="H44" s="154"/>
      <c r="I44" s="154"/>
      <c r="M44" s="253"/>
      <c r="N44" s="274"/>
    </row>
    <row r="45" spans="1:14" ht="43.05" customHeight="1" x14ac:dyDescent="0.45">
      <c r="A45" s="263" t="s">
        <v>8</v>
      </c>
      <c r="B45" s="266">
        <v>0.2361111111111111</v>
      </c>
      <c r="D45" s="154"/>
      <c r="E45" s="263" t="s">
        <v>8</v>
      </c>
      <c r="F45" s="266">
        <v>0.2361111111111111</v>
      </c>
      <c r="G45" s="288" t="e">
        <f>#REF!+G2-#REF!+F48+#REF!-F45</f>
        <v>#REF!</v>
      </c>
      <c r="H45" s="154"/>
      <c r="I45" s="154"/>
      <c r="M45" s="253"/>
      <c r="N45" s="274"/>
    </row>
    <row r="46" spans="1:14" ht="17" customHeight="1" x14ac:dyDescent="0.45">
      <c r="A46" s="263" t="s">
        <v>8</v>
      </c>
      <c r="B46" s="266">
        <v>0.28472222222222221</v>
      </c>
      <c r="C46" s="154" t="s">
        <v>346</v>
      </c>
      <c r="D46" s="154"/>
      <c r="E46" s="338" t="s">
        <v>11</v>
      </c>
      <c r="F46" s="266">
        <v>0.64583333333333337</v>
      </c>
      <c r="G46" s="269" t="s">
        <v>369</v>
      </c>
      <c r="H46" s="154"/>
      <c r="I46" s="154"/>
      <c r="M46" s="253"/>
      <c r="N46" s="274"/>
    </row>
    <row r="47" spans="1:14" ht="17" customHeight="1" x14ac:dyDescent="0.45">
      <c r="A47" s="263" t="s">
        <v>356</v>
      </c>
      <c r="B47" s="266">
        <v>0.3611111111111111</v>
      </c>
      <c r="C47" s="288" t="e">
        <f>B47+#REF!-B45+B49+B3-B48</f>
        <v>#REF!</v>
      </c>
      <c r="D47" s="154"/>
      <c r="E47" s="263" t="s">
        <v>11</v>
      </c>
      <c r="F47" s="266">
        <v>0.70138888888888884</v>
      </c>
      <c r="G47" s="154"/>
      <c r="H47" s="154"/>
      <c r="I47" s="154"/>
      <c r="M47" s="253"/>
      <c r="N47" s="274"/>
    </row>
    <row r="48" spans="1:14" ht="17" customHeight="1" x14ac:dyDescent="0.45">
      <c r="A48" s="263" t="s">
        <v>11</v>
      </c>
      <c r="B48" s="266">
        <v>0.68055555555555558</v>
      </c>
      <c r="C48" s="155"/>
      <c r="D48" s="154"/>
      <c r="E48" s="263" t="s">
        <v>11</v>
      </c>
      <c r="F48" s="266">
        <v>0.74305555555555558</v>
      </c>
      <c r="G48" s="282"/>
      <c r="H48" s="154"/>
      <c r="I48" s="154"/>
      <c r="M48" s="253"/>
      <c r="N48" s="274"/>
    </row>
    <row r="49" spans="1:14" ht="17" customHeight="1" x14ac:dyDescent="0.45">
      <c r="A49" s="263" t="s">
        <v>11</v>
      </c>
      <c r="B49" s="266">
        <v>0.70833333333333337</v>
      </c>
      <c r="C49" s="269"/>
      <c r="D49" s="154"/>
      <c r="H49" s="154"/>
      <c r="I49" s="154"/>
      <c r="M49" s="253"/>
      <c r="N49" s="274"/>
    </row>
    <row r="50" spans="1:14" ht="17" customHeight="1" x14ac:dyDescent="0.45">
      <c r="D50" s="154"/>
      <c r="E50" s="356"/>
      <c r="G50" s="269"/>
      <c r="H50" s="154"/>
      <c r="I50" s="154"/>
      <c r="M50" s="253"/>
      <c r="N50" s="274"/>
    </row>
    <row r="51" spans="1:14" ht="39" customHeight="1" x14ac:dyDescent="0.45">
      <c r="A51" s="356" t="s">
        <v>364</v>
      </c>
      <c r="B51" s="154"/>
      <c r="C51" s="269"/>
      <c r="D51" s="273"/>
      <c r="E51" s="355" t="s">
        <v>343</v>
      </c>
      <c r="F51" s="354" t="e">
        <f>VLOOKUP(E51,'Liste chauffeur'!$B$5:$L$19,2,TRUE)&amp;" "&amp;VLOOKUP(E51,'Liste chauffeur'!$B$5:$L$19,3,TRUE)</f>
        <v>#N/A</v>
      </c>
      <c r="G51" s="155"/>
      <c r="H51" s="154"/>
      <c r="I51" s="154"/>
      <c r="M51" s="253"/>
      <c r="N51" s="274"/>
    </row>
    <row r="52" spans="1:14" ht="17" customHeight="1" x14ac:dyDescent="0.45">
      <c r="A52" s="355" t="s">
        <v>342</v>
      </c>
      <c r="B52" s="354" t="e">
        <f>VLOOKUP(A52,'Liste chauffeur'!$B$5:$L$19,2,TRUE)&amp;" "&amp;VLOOKUP(A52,'Liste chauffeur'!$B$5:$L$19,3,TRUE)</f>
        <v>#N/A</v>
      </c>
      <c r="C52" s="269"/>
      <c r="D52" s="154"/>
      <c r="E52" s="350" t="s">
        <v>8</v>
      </c>
      <c r="F52" s="267">
        <v>0.20833333333333334</v>
      </c>
      <c r="H52" s="154"/>
      <c r="I52" s="154"/>
      <c r="M52" s="253"/>
      <c r="N52" s="274"/>
    </row>
    <row r="53" spans="1:14" ht="17" customHeight="1" x14ac:dyDescent="0.45">
      <c r="A53" s="263" t="s">
        <v>8</v>
      </c>
      <c r="B53" s="266">
        <v>0.27777777777777779</v>
      </c>
      <c r="D53" s="154"/>
      <c r="E53" s="263" t="s">
        <v>8</v>
      </c>
      <c r="F53" s="266">
        <v>0.25</v>
      </c>
      <c r="G53" s="190" t="s">
        <v>346</v>
      </c>
      <c r="H53" s="154"/>
      <c r="I53" s="154"/>
      <c r="M53" s="274"/>
      <c r="N53" s="253"/>
    </row>
    <row r="54" spans="1:14" ht="30.5" customHeight="1" x14ac:dyDescent="0.45">
      <c r="A54" s="263" t="s">
        <v>8</v>
      </c>
      <c r="B54" s="266">
        <v>0.33333333333333331</v>
      </c>
      <c r="C54" s="269" t="s">
        <v>345</v>
      </c>
      <c r="D54" s="154"/>
      <c r="E54" s="263" t="s">
        <v>8</v>
      </c>
      <c r="F54" s="266">
        <v>0.3125</v>
      </c>
      <c r="G54" s="190"/>
      <c r="H54" s="154"/>
      <c r="I54" s="154"/>
      <c r="M54" s="274"/>
      <c r="N54" s="253"/>
    </row>
    <row r="55" spans="1:14" ht="17" customHeight="1" x14ac:dyDescent="0.45">
      <c r="A55" s="263" t="s">
        <v>11</v>
      </c>
      <c r="B55" s="266">
        <v>0.65277777777777779</v>
      </c>
      <c r="C55" s="288" t="e">
        <f>B54+#REF!-#REF!+B58+#REF!-B55</f>
        <v>#REF!</v>
      </c>
      <c r="D55" s="154"/>
      <c r="E55" s="263" t="s">
        <v>11</v>
      </c>
      <c r="F55" s="266">
        <v>0.63888888888888884</v>
      </c>
      <c r="G55" s="288" t="e">
        <f>F55+#REF!-F52+#REF!+#REF!-F56</f>
        <v>#REF!</v>
      </c>
      <c r="H55" s="154"/>
      <c r="I55" s="154"/>
      <c r="M55" s="274"/>
      <c r="N55" s="253"/>
    </row>
    <row r="56" spans="1:14" ht="17" customHeight="1" x14ac:dyDescent="0.45">
      <c r="A56" s="263" t="s">
        <v>11</v>
      </c>
      <c r="B56" s="266">
        <v>0.69444444444444442</v>
      </c>
      <c r="D56" s="154"/>
      <c r="E56" s="263" t="s">
        <v>11</v>
      </c>
      <c r="F56" s="266">
        <v>0.66666666666666663</v>
      </c>
      <c r="H56" s="154"/>
      <c r="I56" s="154"/>
      <c r="M56" s="274"/>
      <c r="N56" s="253"/>
    </row>
    <row r="57" spans="1:14" ht="17" customHeight="1" x14ac:dyDescent="0.45">
      <c r="A57" s="263" t="s">
        <v>11</v>
      </c>
      <c r="B57" s="266">
        <v>0.72916666666666663</v>
      </c>
      <c r="D57" s="154"/>
      <c r="H57" s="154"/>
      <c r="I57" s="154"/>
      <c r="M57" s="274"/>
      <c r="N57" s="253"/>
    </row>
    <row r="58" spans="1:14" ht="17" customHeight="1" x14ac:dyDescent="0.45">
      <c r="A58" s="263" t="s">
        <v>11</v>
      </c>
      <c r="B58" s="266">
        <v>0.76388888888888884</v>
      </c>
      <c r="D58" s="154"/>
      <c r="E58" s="356" t="s">
        <v>368</v>
      </c>
      <c r="H58" s="154"/>
      <c r="I58" s="154"/>
      <c r="M58" s="274"/>
      <c r="N58" s="253"/>
    </row>
    <row r="59" spans="1:14" ht="17" customHeight="1" x14ac:dyDescent="0.45">
      <c r="C59" s="275"/>
      <c r="D59" s="154"/>
      <c r="E59" s="355" t="s">
        <v>365</v>
      </c>
      <c r="F59" s="354" t="e">
        <f>VLOOKUP(E59,'Liste chauffeur'!$B$5:$L$19,2,TRUE)&amp;" "&amp;VLOOKUP(E59,'Liste chauffeur'!$B$5:$L$19,3,TRUE)</f>
        <v>#N/A</v>
      </c>
      <c r="H59" s="154"/>
      <c r="I59" s="154"/>
      <c r="M59" s="274"/>
      <c r="N59" s="253"/>
    </row>
    <row r="60" spans="1:14" ht="17" customHeight="1" x14ac:dyDescent="0.45">
      <c r="B60" s="352"/>
      <c r="D60" s="154"/>
      <c r="E60" s="263" t="s">
        <v>8</v>
      </c>
      <c r="F60" s="266">
        <v>0.24305555555555555</v>
      </c>
      <c r="G60" s="154"/>
      <c r="H60" s="154"/>
      <c r="I60" s="154"/>
      <c r="M60" s="274"/>
      <c r="N60" s="253"/>
    </row>
    <row r="61" spans="1:14" ht="25.5" customHeight="1" x14ac:dyDescent="0.45">
      <c r="A61" s="355" t="s">
        <v>352</v>
      </c>
      <c r="B61" s="354" t="e">
        <f>VLOOKUP(A61,'Liste chauffeur'!$B$5:$L$19,2,TRUE)&amp;" "&amp;VLOOKUP(A61,'Liste chauffeur'!$B$5:$L$19,3,TRUE)</f>
        <v>#N/A</v>
      </c>
      <c r="D61" s="154"/>
      <c r="E61" s="263" t="s">
        <v>8</v>
      </c>
      <c r="F61" s="266">
        <v>0.29166666666666669</v>
      </c>
      <c r="G61" s="155"/>
      <c r="H61" s="154"/>
      <c r="I61" s="154"/>
      <c r="M61" s="274"/>
      <c r="N61" s="253"/>
    </row>
    <row r="62" spans="1:14" ht="28.05" customHeight="1" x14ac:dyDescent="0.45">
      <c r="A62" s="261" t="s">
        <v>8</v>
      </c>
      <c r="B62" s="267">
        <v>0.21527777777777779</v>
      </c>
      <c r="C62" s="155"/>
      <c r="D62" s="154"/>
      <c r="E62" s="263" t="s">
        <v>356</v>
      </c>
      <c r="F62" s="266">
        <v>0.34722222222222221</v>
      </c>
      <c r="G62" s="155"/>
      <c r="M62" s="274"/>
      <c r="N62" s="253"/>
    </row>
    <row r="63" spans="1:14" ht="17" customHeight="1" x14ac:dyDescent="0.45">
      <c r="A63" s="350" t="s">
        <v>8</v>
      </c>
      <c r="B63" s="267">
        <v>0.27083333333333331</v>
      </c>
      <c r="D63" s="273"/>
      <c r="E63" s="263" t="s">
        <v>11</v>
      </c>
      <c r="F63" s="266">
        <v>0.59027777777777779</v>
      </c>
      <c r="G63" s="286" t="e">
        <f>F61+#REF!-F60+F64+C12-F62</f>
        <v>#REF!</v>
      </c>
      <c r="M63" s="274"/>
      <c r="N63" s="253"/>
    </row>
    <row r="64" spans="1:14" ht="28.05" customHeight="1" x14ac:dyDescent="0.45">
      <c r="A64" s="263" t="s">
        <v>8</v>
      </c>
      <c r="B64" s="266">
        <v>0.33333333333333331</v>
      </c>
      <c r="C64" s="190" t="s">
        <v>346</v>
      </c>
      <c r="D64" s="154"/>
      <c r="E64" s="263" t="s">
        <v>11</v>
      </c>
      <c r="F64" s="266">
        <v>0.625</v>
      </c>
      <c r="M64" s="274"/>
      <c r="N64" s="253"/>
    </row>
    <row r="65" spans="1:14" ht="17" customHeight="1" x14ac:dyDescent="0.45">
      <c r="A65" s="263" t="s">
        <v>11</v>
      </c>
      <c r="B65" s="266">
        <v>0.73611111111111116</v>
      </c>
      <c r="C65" s="288" t="e">
        <f>B64+#REF!-B63+#REF!+#REF!-B65</f>
        <v>#REF!</v>
      </c>
      <c r="D65" s="154"/>
      <c r="E65" s="263"/>
      <c r="F65" s="266"/>
      <c r="G65" s="154" t="s">
        <v>346</v>
      </c>
      <c r="M65" s="274"/>
      <c r="N65" s="253"/>
    </row>
    <row r="66" spans="1:14" ht="17" customHeight="1" x14ac:dyDescent="0.45">
      <c r="A66" s="263" t="s">
        <v>11</v>
      </c>
      <c r="B66" s="266">
        <v>0.77083333333333337</v>
      </c>
      <c r="G66" s="288" t="e">
        <f>F62+#REF!-F60+F64+#REF!-F63</f>
        <v>#REF!</v>
      </c>
      <c r="K66" s="274"/>
      <c r="L66" s="253"/>
    </row>
    <row r="67" spans="1:14" ht="17" customHeight="1" x14ac:dyDescent="0.45">
      <c r="A67" s="361"/>
      <c r="B67" s="269"/>
      <c r="D67" s="154"/>
      <c r="M67" s="274"/>
      <c r="N67" s="253"/>
    </row>
    <row r="68" spans="1:14" ht="17" customHeight="1" x14ac:dyDescent="0.45">
      <c r="A68" s="356" t="s">
        <v>367</v>
      </c>
      <c r="D68" s="154"/>
      <c r="H68" s="154"/>
      <c r="I68" s="154"/>
      <c r="M68" s="274"/>
      <c r="N68" s="253"/>
    </row>
    <row r="69" spans="1:14" ht="17" customHeight="1" x14ac:dyDescent="0.45">
      <c r="A69" s="355" t="s">
        <v>366</v>
      </c>
      <c r="B69" s="354" t="e">
        <f>VLOOKUP(A69,'Liste chauffeur'!$B$5:$L$19,2,TRUE)&amp;" "&amp;VLOOKUP(A69,'Liste chauffeur'!$B$5:$L$19,3,TRUE)</f>
        <v>#N/A</v>
      </c>
      <c r="D69" s="154"/>
      <c r="E69" s="355" t="s">
        <v>43</v>
      </c>
      <c r="F69" s="354" t="e">
        <f>VLOOKUP(E69,'Liste chauffeur'!$B$5:$L$19,2,TRUE)&amp;" "&amp;VLOOKUP(E69,'Liste chauffeur'!$B$5:$L$19,3,TRUE)</f>
        <v>#N/A</v>
      </c>
      <c r="H69" s="154"/>
      <c r="I69" s="154"/>
      <c r="M69" s="274"/>
      <c r="N69" s="253"/>
    </row>
    <row r="70" spans="1:14" ht="17" customHeight="1" x14ac:dyDescent="0.45">
      <c r="A70" s="263" t="s">
        <v>8</v>
      </c>
      <c r="B70" s="266">
        <v>0.20833333333333334</v>
      </c>
      <c r="C70" s="270"/>
      <c r="D70" s="154"/>
      <c r="E70" s="263" t="s">
        <v>8</v>
      </c>
      <c r="F70" s="266">
        <v>0.19444444444444445</v>
      </c>
      <c r="H70" s="154"/>
      <c r="I70" s="154"/>
      <c r="M70" s="274"/>
      <c r="N70" s="253"/>
    </row>
    <row r="71" spans="1:14" ht="17" customHeight="1" x14ac:dyDescent="0.45">
      <c r="A71" s="280" t="s">
        <v>8</v>
      </c>
      <c r="B71" s="281">
        <v>0.25</v>
      </c>
      <c r="C71" s="269"/>
      <c r="D71" s="154"/>
      <c r="E71" s="263" t="s">
        <v>8</v>
      </c>
      <c r="F71" s="266">
        <v>0.25694444444444442</v>
      </c>
      <c r="H71" s="154"/>
      <c r="I71" s="154"/>
      <c r="M71" s="274"/>
      <c r="N71" s="253"/>
    </row>
    <row r="72" spans="1:14" ht="17" customHeight="1" x14ac:dyDescent="0.45">
      <c r="A72" s="280" t="s">
        <v>8</v>
      </c>
      <c r="B72" s="281">
        <v>0.30555555555555558</v>
      </c>
      <c r="C72" s="269" t="s">
        <v>345</v>
      </c>
      <c r="D72" s="273"/>
      <c r="E72" s="263" t="s">
        <v>8</v>
      </c>
      <c r="F72" s="266">
        <v>0.30555555555555558</v>
      </c>
      <c r="G72" s="269" t="s">
        <v>346</v>
      </c>
      <c r="H72" s="154"/>
      <c r="I72" s="154"/>
      <c r="M72" s="274"/>
      <c r="N72" s="253"/>
    </row>
    <row r="73" spans="1:14" ht="17" customHeight="1" x14ac:dyDescent="0.45">
      <c r="A73" s="280" t="s">
        <v>8</v>
      </c>
      <c r="B73" s="281">
        <v>0.35416666666666669</v>
      </c>
      <c r="C73" s="269"/>
      <c r="D73" s="273"/>
      <c r="E73" s="263" t="s">
        <v>11</v>
      </c>
      <c r="F73" s="266">
        <v>0.64583333333333337</v>
      </c>
      <c r="G73" s="288" t="e">
        <f>F72+#REF!-F70+F74+#REF!-F73</f>
        <v>#REF!</v>
      </c>
      <c r="H73" s="154"/>
      <c r="I73" s="154"/>
      <c r="M73" s="253"/>
      <c r="N73" s="253"/>
    </row>
    <row r="74" spans="1:14" ht="17" customHeight="1" x14ac:dyDescent="0.45">
      <c r="A74" s="263" t="s">
        <v>11</v>
      </c>
      <c r="B74" s="266">
        <v>0.71527777777777779</v>
      </c>
      <c r="C74" s="288" t="e">
        <f>B72+#REF!-B70+B75+#REF!-B74</f>
        <v>#REF!</v>
      </c>
      <c r="D74" s="273"/>
      <c r="E74" s="276" t="s">
        <v>11</v>
      </c>
      <c r="F74" s="266">
        <v>0.67361111111111116</v>
      </c>
      <c r="G74" s="269"/>
      <c r="H74" s="154"/>
      <c r="I74" s="154"/>
      <c r="M74" s="253"/>
      <c r="N74" s="253"/>
    </row>
    <row r="75" spans="1:14" ht="15.75" x14ac:dyDescent="0.45">
      <c r="A75" s="263" t="s">
        <v>11</v>
      </c>
      <c r="B75" s="266">
        <v>0.75694444444444442</v>
      </c>
      <c r="C75" s="269"/>
      <c r="D75" s="275"/>
      <c r="G75" s="269"/>
      <c r="H75" s="275"/>
    </row>
    <row r="76" spans="1:14" x14ac:dyDescent="0.45">
      <c r="C76" s="155"/>
      <c r="D76" s="275"/>
      <c r="H76" s="275"/>
    </row>
    <row r="77" spans="1:14" x14ac:dyDescent="0.45">
      <c r="D77" s="275"/>
      <c r="H77" s="275"/>
    </row>
    <row r="78" spans="1:14" x14ac:dyDescent="0.45">
      <c r="D78" s="275"/>
    </row>
    <row r="79" spans="1:14" x14ac:dyDescent="0.45">
      <c r="D79" s="275"/>
      <c r="H79" s="275"/>
    </row>
    <row r="80" spans="1:14" ht="20" customHeight="1" x14ac:dyDescent="0.45"/>
    <row r="81" spans="4:10" ht="20" customHeight="1" x14ac:dyDescent="0.45">
      <c r="D81" s="265"/>
      <c r="H81" s="142"/>
      <c r="I81" s="142"/>
      <c r="J81" s="143"/>
    </row>
    <row r="82" spans="4:10" ht="20" customHeight="1" x14ac:dyDescent="0.45">
      <c r="J82" s="165"/>
    </row>
    <row r="83" spans="4:10" ht="20" customHeight="1" x14ac:dyDescent="0.45">
      <c r="J83" s="165"/>
    </row>
    <row r="84" spans="4:10" ht="20" customHeight="1" x14ac:dyDescent="0.45">
      <c r="J84" s="165"/>
    </row>
    <row r="85" spans="4:10" ht="29" customHeight="1" x14ac:dyDescent="0.45">
      <c r="J85" s="165"/>
    </row>
    <row r="86" spans="4:10" x14ac:dyDescent="0.45">
      <c r="J86" s="165"/>
    </row>
    <row r="87" spans="4:10" x14ac:dyDescent="0.45">
      <c r="J87" s="165"/>
    </row>
    <row r="88" spans="4:10" x14ac:dyDescent="0.45">
      <c r="J88" s="165"/>
    </row>
    <row r="89" spans="4:10" x14ac:dyDescent="0.45">
      <c r="D89" s="208"/>
      <c r="H89" s="208"/>
      <c r="I89" s="208"/>
      <c r="J89" s="169"/>
    </row>
    <row r="92" spans="4:10" x14ac:dyDescent="0.45">
      <c r="I92" s="216"/>
    </row>
    <row r="99" spans="3:3" ht="18" x14ac:dyDescent="0.45">
      <c r="C99" s="253"/>
    </row>
    <row r="100" spans="3:3" ht="18" x14ac:dyDescent="0.45">
      <c r="C100" s="253"/>
    </row>
    <row r="101" spans="3:3" ht="18" x14ac:dyDescent="0.45">
      <c r="C101" s="253"/>
    </row>
    <row r="102" spans="3:3" ht="18" x14ac:dyDescent="0.45">
      <c r="C102" s="253"/>
    </row>
  </sheetData>
  <phoneticPr fontId="5" type="noConversion"/>
  <printOptions horizontalCentered="1"/>
  <pageMargins left="0" right="0" top="0" bottom="0" header="0" footer="0.118110236220472"/>
  <pageSetup paperSize="9" scale="73" fitToHeight="0" orientation="portrait" copies="4" r:id="rId1"/>
  <rowBreaks count="1" manualBreakCount="1">
    <brk id="42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AD97-4E2F-4149-89CB-3FE52EBB9FA2}">
  <sheetPr>
    <pageSetUpPr fitToPage="1"/>
  </sheetPr>
  <dimension ref="A1:S38"/>
  <sheetViews>
    <sheetView zoomScale="87" zoomScaleNormal="87" workbookViewId="0">
      <selection activeCell="A34" sqref="A34"/>
    </sheetView>
  </sheetViews>
  <sheetFormatPr baseColWidth="10" defaultRowHeight="14.25" x14ac:dyDescent="0.45"/>
  <cols>
    <col min="1" max="3" width="11.796875" customWidth="1"/>
    <col min="4" max="4" width="11.796875" hidden="1" customWidth="1"/>
    <col min="9" max="9" width="24.6640625" customWidth="1"/>
    <col min="10" max="10" width="8.33203125" hidden="1" customWidth="1"/>
    <col min="11" max="11" width="10.1328125" customWidth="1"/>
    <col min="12" max="12" width="9.6640625" customWidth="1"/>
    <col min="13" max="13" width="10" customWidth="1"/>
    <col min="14" max="14" width="19.46484375" customWidth="1"/>
    <col min="15" max="15" width="9.796875" customWidth="1"/>
    <col min="16" max="16" width="19.46484375" customWidth="1"/>
    <col min="19" max="19" width="34.796875" customWidth="1"/>
  </cols>
  <sheetData>
    <row r="1" spans="1:19" x14ac:dyDescent="0.45">
      <c r="K1" t="s">
        <v>657</v>
      </c>
    </row>
    <row r="3" spans="1:19" x14ac:dyDescent="0.45">
      <c r="A3" t="s">
        <v>14</v>
      </c>
      <c r="F3" s="35">
        <v>1.3888888888888888E-2</v>
      </c>
      <c r="I3" s="226" t="s">
        <v>370</v>
      </c>
      <c r="J3" s="226"/>
      <c r="K3" s="226"/>
      <c r="L3" s="226"/>
    </row>
    <row r="4" spans="1:19" x14ac:dyDescent="0.45">
      <c r="A4" t="s">
        <v>13</v>
      </c>
      <c r="F4" s="35">
        <v>1.7361111111111112E-2</v>
      </c>
      <c r="G4" s="35"/>
    </row>
    <row r="5" spans="1:19" x14ac:dyDescent="0.45">
      <c r="F5" s="35">
        <v>9.0277777777777769E-3</v>
      </c>
      <c r="G5" s="35"/>
    </row>
    <row r="6" spans="1:19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5"/>
    </row>
    <row r="7" spans="1:19" ht="42.75" x14ac:dyDescent="0.45">
      <c r="A7" s="8" t="s">
        <v>375</v>
      </c>
      <c r="B7" s="11" t="s">
        <v>337</v>
      </c>
      <c r="C7" s="3" t="s">
        <v>502</v>
      </c>
      <c r="D7" s="11" t="s">
        <v>379</v>
      </c>
      <c r="E7" s="3" t="s">
        <v>0</v>
      </c>
      <c r="F7" s="3" t="s">
        <v>377</v>
      </c>
      <c r="G7" s="3" t="s">
        <v>383</v>
      </c>
      <c r="H7" s="3" t="s">
        <v>25</v>
      </c>
      <c r="I7" s="3" t="s">
        <v>26</v>
      </c>
      <c r="J7" s="3" t="s">
        <v>354</v>
      </c>
      <c r="K7" s="3" t="s">
        <v>353</v>
      </c>
      <c r="L7" s="3" t="s">
        <v>355</v>
      </c>
      <c r="M7" s="3" t="s">
        <v>52</v>
      </c>
      <c r="N7" s="3" t="s">
        <v>53</v>
      </c>
      <c r="O7" s="3" t="s">
        <v>54</v>
      </c>
      <c r="P7" s="3" t="s">
        <v>55</v>
      </c>
      <c r="Q7" s="18" t="s">
        <v>1</v>
      </c>
      <c r="R7" s="4" t="s">
        <v>3</v>
      </c>
      <c r="S7" s="6" t="s">
        <v>12</v>
      </c>
    </row>
    <row r="8" spans="1:19" ht="24.75" customHeight="1" x14ac:dyDescent="0.45">
      <c r="A8" s="591" t="s">
        <v>501</v>
      </c>
      <c r="B8" s="592" t="s">
        <v>376</v>
      </c>
      <c r="C8" s="592" t="s">
        <v>503</v>
      </c>
      <c r="D8" s="592" t="s">
        <v>381</v>
      </c>
      <c r="E8" s="395">
        <v>0.2326388888888889</v>
      </c>
      <c r="F8" s="396">
        <f t="shared" ref="F8:F35" si="0">IF(C8="DIRECT",F$5,F$4)</f>
        <v>1.7361111111111112E-2</v>
      </c>
      <c r="G8" s="395">
        <f t="shared" ref="G8" si="1">E8+F8</f>
        <v>0.25</v>
      </c>
      <c r="H8" s="335" t="s">
        <v>378</v>
      </c>
      <c r="I8" s="396" t="str">
        <f>VLOOKUP(H8,'Liste chauffeur'!$B$5:$L$19,2,TRUE)&amp;" "&amp;VLOOKUP(H8,'Liste chauffeur'!$B$5:$L$19,3,TRUE)</f>
        <v>CHADHOULI Houmadi</v>
      </c>
      <c r="J8" s="593">
        <v>1</v>
      </c>
      <c r="K8" s="396">
        <f>E11-G8</f>
        <v>2.0833333333333315E-2</v>
      </c>
      <c r="L8" s="35"/>
      <c r="M8" s="51"/>
      <c r="N8" s="51"/>
      <c r="O8" s="51"/>
      <c r="P8" s="51"/>
      <c r="Q8" s="333"/>
      <c r="R8" s="334"/>
      <c r="S8" s="61"/>
    </row>
    <row r="9" spans="1:19" ht="24.75" customHeight="1" x14ac:dyDescent="0.45">
      <c r="A9" s="591" t="s">
        <v>376</v>
      </c>
      <c r="B9" s="592" t="s">
        <v>501</v>
      </c>
      <c r="C9" s="592" t="s">
        <v>503</v>
      </c>
      <c r="D9" s="592"/>
      <c r="E9" s="395">
        <v>0.23958333333333334</v>
      </c>
      <c r="F9" s="396">
        <f t="shared" si="0"/>
        <v>1.7361111111111112E-2</v>
      </c>
      <c r="G9" s="395">
        <f>E9+F9</f>
        <v>0.25694444444444448</v>
      </c>
      <c r="H9" s="335" t="s">
        <v>414</v>
      </c>
      <c r="I9" s="396" t="str">
        <f>VLOOKUP(H9,'Liste chauffeur'!$B$5:$L$19,2,TRUE)&amp;" "&amp;VLOOKUP(H9,'Liste chauffeur'!$B$5:$L$19,3,TRUE)</f>
        <v>ATTOUMANI Kamaldine</v>
      </c>
      <c r="J9" s="593"/>
      <c r="K9" s="396">
        <f>E13-G9</f>
        <v>1.388888888888884E-2</v>
      </c>
      <c r="L9" s="35"/>
      <c r="M9" s="51"/>
      <c r="N9" s="51"/>
      <c r="O9" s="51"/>
      <c r="P9" s="51"/>
      <c r="Q9" s="333"/>
      <c r="R9" s="334"/>
      <c r="S9" s="61"/>
    </row>
    <row r="10" spans="1:19" ht="24.75" customHeight="1" x14ac:dyDescent="0.45">
      <c r="A10" s="591" t="s">
        <v>501</v>
      </c>
      <c r="B10" s="592" t="s">
        <v>376</v>
      </c>
      <c r="C10" s="592" t="s">
        <v>503</v>
      </c>
      <c r="D10" s="592"/>
      <c r="E10" s="395">
        <v>0.25</v>
      </c>
      <c r="F10" s="396">
        <f t="shared" si="0"/>
        <v>1.7361111111111112E-2</v>
      </c>
      <c r="G10" s="395">
        <f>E10+F10</f>
        <v>0.2673611111111111</v>
      </c>
      <c r="H10" s="335" t="s">
        <v>384</v>
      </c>
      <c r="I10" s="396" t="str">
        <f>VLOOKUP(H10,'Liste chauffeur'!$B$5:$L$19,2,TRUE)&amp;" "&amp;VLOOKUP(H10,'Liste chauffeur'!$B$5:$L$19,3,TRUE)</f>
        <v>SAID ALI Kamile</v>
      </c>
      <c r="J10" s="593"/>
      <c r="K10" s="396">
        <f>E12-G10</f>
        <v>3.4722222222222099E-3</v>
      </c>
      <c r="L10" s="35"/>
      <c r="M10" s="51"/>
      <c r="N10" s="51"/>
      <c r="O10" s="51"/>
      <c r="P10" s="51"/>
      <c r="Q10" s="333"/>
      <c r="R10" s="334"/>
      <c r="S10" s="61"/>
    </row>
    <row r="11" spans="1:19" ht="24.75" customHeight="1" x14ac:dyDescent="0.45">
      <c r="A11" s="591" t="s">
        <v>501</v>
      </c>
      <c r="B11" s="592" t="s">
        <v>376</v>
      </c>
      <c r="C11" s="592" t="s">
        <v>503</v>
      </c>
      <c r="D11" s="592"/>
      <c r="E11" s="395">
        <v>0.27083333333333331</v>
      </c>
      <c r="F11" s="396">
        <f t="shared" si="0"/>
        <v>1.7361111111111112E-2</v>
      </c>
      <c r="G11" s="395">
        <f>E11+F11</f>
        <v>0.28819444444444442</v>
      </c>
      <c r="H11" s="335" t="s">
        <v>378</v>
      </c>
      <c r="I11" s="396" t="str">
        <f>VLOOKUP(H11,'Liste chauffeur'!$B$5:$L$19,2,TRUE)&amp;" "&amp;VLOOKUP(H11,'Liste chauffeur'!$B$5:$L$19,3,TRUE)</f>
        <v>CHADHOULI Houmadi</v>
      </c>
      <c r="J11" s="593"/>
      <c r="K11" s="396">
        <f>E14-G11</f>
        <v>0</v>
      </c>
      <c r="L11" s="35"/>
      <c r="M11" s="51"/>
      <c r="N11" s="51"/>
      <c r="O11" s="51"/>
      <c r="P11" s="51"/>
      <c r="Q11" s="333"/>
      <c r="R11" s="334"/>
      <c r="S11" s="61"/>
    </row>
    <row r="12" spans="1:19" ht="24.75" customHeight="1" x14ac:dyDescent="0.45">
      <c r="A12" s="591" t="s">
        <v>376</v>
      </c>
      <c r="B12" s="592" t="s">
        <v>501</v>
      </c>
      <c r="C12" s="592" t="s">
        <v>504</v>
      </c>
      <c r="D12" s="592" t="s">
        <v>381</v>
      </c>
      <c r="E12" s="395">
        <v>0.27083333333333331</v>
      </c>
      <c r="F12" s="395">
        <f t="shared" si="0"/>
        <v>9.0277777777777769E-3</v>
      </c>
      <c r="G12" s="395">
        <f t="shared" ref="G12" si="2">E12+F12</f>
        <v>0.27986111111111112</v>
      </c>
      <c r="H12" s="335" t="s">
        <v>384</v>
      </c>
      <c r="I12" s="396" t="str">
        <f>VLOOKUP(H12,'Liste chauffeur'!$B$5:$L$19,2,TRUE)&amp;" "&amp;VLOOKUP(H12,'Liste chauffeur'!$B$5:$L$19,3,TRUE)</f>
        <v>SAID ALI Kamile</v>
      </c>
      <c r="J12" s="593">
        <v>2</v>
      </c>
      <c r="K12" s="396">
        <f>E16-G12</f>
        <v>1.5277777777777779E-2</v>
      </c>
      <c r="L12" s="35"/>
      <c r="M12" s="51"/>
      <c r="N12" s="51"/>
      <c r="O12" s="51"/>
      <c r="P12" s="51"/>
      <c r="Q12" s="333"/>
      <c r="R12" s="334"/>
      <c r="S12" s="61"/>
    </row>
    <row r="13" spans="1:19" ht="40.049999999999997" customHeight="1" x14ac:dyDescent="0.45">
      <c r="A13" s="591" t="s">
        <v>376</v>
      </c>
      <c r="B13" s="592" t="s">
        <v>664</v>
      </c>
      <c r="C13" s="592" t="s">
        <v>688</v>
      </c>
      <c r="D13" s="592" t="s">
        <v>380</v>
      </c>
      <c r="E13" s="396">
        <v>0.27083333333333331</v>
      </c>
      <c r="F13" s="396">
        <f>F3</f>
        <v>1.3888888888888888E-2</v>
      </c>
      <c r="G13" s="395">
        <f t="shared" ref="G13:G14" si="3">E13+F13</f>
        <v>0.28472222222222221</v>
      </c>
      <c r="H13" s="594" t="s">
        <v>414</v>
      </c>
      <c r="I13" s="396" t="str">
        <f>VLOOKUP(H13,'Liste chauffeur'!$B$5:$L$19,2,TRUE)&amp;" "&amp;VLOOKUP(H13,'Liste chauffeur'!$B$5:$L$19,3,TRUE)</f>
        <v>ATTOUMANI Kamaldine</v>
      </c>
      <c r="J13" s="593">
        <v>3</v>
      </c>
      <c r="K13" s="396">
        <f>E15-G13</f>
        <v>0</v>
      </c>
      <c r="L13" s="35"/>
      <c r="M13" s="62"/>
      <c r="N13" s="35"/>
      <c r="O13" s="62"/>
      <c r="P13" s="35"/>
      <c r="Q13" s="36"/>
      <c r="R13" s="40"/>
      <c r="S13" s="61"/>
    </row>
    <row r="14" spans="1:19" ht="40.049999999999997" customHeight="1" x14ac:dyDescent="0.45">
      <c r="A14" s="591" t="s">
        <v>501</v>
      </c>
      <c r="B14" s="592" t="s">
        <v>376</v>
      </c>
      <c r="C14" s="592" t="s">
        <v>504</v>
      </c>
      <c r="D14" s="592"/>
      <c r="E14" s="396">
        <v>0.28819444444444442</v>
      </c>
      <c r="F14" s="396">
        <f t="shared" si="0"/>
        <v>9.0277777777777769E-3</v>
      </c>
      <c r="G14" s="395">
        <f t="shared" si="3"/>
        <v>0.29722222222222222</v>
      </c>
      <c r="H14" s="594" t="s">
        <v>378</v>
      </c>
      <c r="I14" s="396" t="str">
        <f>VLOOKUP(H14,'Liste chauffeur'!$B$5:$L$19,2,TRUE)&amp;" "&amp;VLOOKUP(H14,'Liste chauffeur'!$B$5:$L$19,3,TRUE)</f>
        <v>CHADHOULI Houmadi</v>
      </c>
      <c r="J14" s="593"/>
      <c r="K14" s="396">
        <f>E19-G14</f>
        <v>2.9166666666666674E-2</v>
      </c>
      <c r="L14" s="35"/>
      <c r="M14" s="62"/>
      <c r="N14" s="35"/>
      <c r="O14" s="62"/>
      <c r="P14" s="35"/>
      <c r="Q14" s="36"/>
      <c r="R14" s="40"/>
      <c r="S14" s="61"/>
    </row>
    <row r="15" spans="1:19" ht="40.049999999999997" customHeight="1" x14ac:dyDescent="0.45">
      <c r="A15" s="591" t="s">
        <v>533</v>
      </c>
      <c r="B15" s="592" t="s">
        <v>376</v>
      </c>
      <c r="C15" s="592" t="s">
        <v>504</v>
      </c>
      <c r="D15" s="592" t="s">
        <v>381</v>
      </c>
      <c r="E15" s="396">
        <v>0.28472222222222221</v>
      </c>
      <c r="F15" s="395">
        <f t="shared" si="0"/>
        <v>9.0277777777777769E-3</v>
      </c>
      <c r="G15" s="396">
        <f>E15+F15</f>
        <v>0.29375000000000001</v>
      </c>
      <c r="H15" s="594" t="s">
        <v>414</v>
      </c>
      <c r="I15" s="396" t="str">
        <f>VLOOKUP(H15,'Liste chauffeur'!$B$5:$L$19,2,TRUE)&amp;" "&amp;VLOOKUP(H15,'Liste chauffeur'!$B$5:$L$19,3,TRUE)</f>
        <v>ATTOUMANI Kamaldine</v>
      </c>
      <c r="J15" s="593">
        <v>2</v>
      </c>
      <c r="K15" s="396">
        <f>E17-G15</f>
        <v>1.8749999999999989E-2</v>
      </c>
      <c r="L15" s="35"/>
      <c r="M15" s="62"/>
      <c r="N15" s="35"/>
      <c r="O15" s="62"/>
      <c r="P15" s="35"/>
      <c r="Q15" s="36"/>
      <c r="R15" s="40"/>
      <c r="S15" s="61"/>
    </row>
    <row r="16" spans="1:19" ht="40.049999999999997" customHeight="1" x14ac:dyDescent="0.45">
      <c r="A16" s="591" t="s">
        <v>376</v>
      </c>
      <c r="B16" s="592" t="s">
        <v>664</v>
      </c>
      <c r="C16" s="592" t="s">
        <v>688</v>
      </c>
      <c r="D16" s="592" t="s">
        <v>381</v>
      </c>
      <c r="E16" s="396">
        <v>0.2951388888888889</v>
      </c>
      <c r="F16" s="395">
        <f t="shared" si="0"/>
        <v>1.7361111111111112E-2</v>
      </c>
      <c r="G16" s="396">
        <f>E16+F16</f>
        <v>0.3125</v>
      </c>
      <c r="H16" s="335" t="s">
        <v>384</v>
      </c>
      <c r="I16" s="396" t="str">
        <f>VLOOKUP(H16,'Liste chauffeur'!$B$5:$L$19,2,TRUE)&amp;" "&amp;VLOOKUP(H16,'Liste chauffeur'!$B$5:$L$19,3,TRUE)</f>
        <v>SAID ALI Kamile</v>
      </c>
      <c r="J16" s="593">
        <v>4</v>
      </c>
      <c r="K16" s="396"/>
      <c r="L16" s="35"/>
      <c r="M16" s="62"/>
      <c r="N16" s="35"/>
      <c r="O16" s="62"/>
      <c r="P16" s="35"/>
      <c r="Q16" s="36"/>
      <c r="R16" s="40"/>
      <c r="S16" s="61"/>
    </row>
    <row r="17" spans="1:19" ht="40.049999999999997" customHeight="1" x14ac:dyDescent="0.45">
      <c r="A17" s="591" t="s">
        <v>376</v>
      </c>
      <c r="B17" s="592" t="s">
        <v>501</v>
      </c>
      <c r="C17" s="592" t="s">
        <v>504</v>
      </c>
      <c r="D17" s="592" t="s">
        <v>381</v>
      </c>
      <c r="E17" s="396">
        <v>0.3125</v>
      </c>
      <c r="F17" s="396">
        <f t="shared" si="0"/>
        <v>9.0277777777777769E-3</v>
      </c>
      <c r="G17" s="395">
        <f t="shared" ref="G17:G18" si="4">E17+F17</f>
        <v>0.3215277777777778</v>
      </c>
      <c r="H17" s="594" t="s">
        <v>414</v>
      </c>
      <c r="I17" s="396" t="str">
        <f>VLOOKUP(H17,'Liste chauffeur'!$B$5:$L$19,2,TRUE)&amp;" "&amp;VLOOKUP(H17,'Liste chauffeur'!$B$5:$L$19,3,TRUE)</f>
        <v>ATTOUMANI Kamaldine</v>
      </c>
      <c r="J17" s="593">
        <v>3</v>
      </c>
      <c r="K17" s="396">
        <f>E18-G17</f>
        <v>4.8611111111110938E-3</v>
      </c>
      <c r="L17" s="35"/>
      <c r="M17" s="62"/>
      <c r="N17" s="35"/>
      <c r="O17" s="62"/>
      <c r="P17" s="35"/>
      <c r="Q17" s="36"/>
      <c r="R17" s="40"/>
      <c r="S17" s="61"/>
    </row>
    <row r="18" spans="1:19" ht="40.049999999999997" customHeight="1" x14ac:dyDescent="0.45">
      <c r="A18" s="591" t="s">
        <v>501</v>
      </c>
      <c r="B18" s="592" t="s">
        <v>376</v>
      </c>
      <c r="C18" s="592" t="s">
        <v>504</v>
      </c>
      <c r="D18" s="592" t="s">
        <v>381</v>
      </c>
      <c r="E18" s="396">
        <v>0.3263888888888889</v>
      </c>
      <c r="F18" s="396">
        <f t="shared" si="0"/>
        <v>9.0277777777777769E-3</v>
      </c>
      <c r="G18" s="396">
        <f t="shared" si="4"/>
        <v>0.3354166666666667</v>
      </c>
      <c r="H18" s="594" t="s">
        <v>414</v>
      </c>
      <c r="I18" s="396" t="str">
        <f>VLOOKUP(H18,'Liste chauffeur'!$B$5:$L$19,2,TRUE)&amp;" "&amp;VLOOKUP(H18,'Liste chauffeur'!$B$5:$L$19,3,TRUE)</f>
        <v>ATTOUMANI Kamaldine</v>
      </c>
      <c r="J18" s="593">
        <v>3</v>
      </c>
      <c r="K18" s="396"/>
      <c r="L18" s="35"/>
      <c r="M18" s="62"/>
      <c r="N18" s="35"/>
      <c r="O18" s="62"/>
      <c r="P18" s="35"/>
      <c r="Q18" s="36"/>
      <c r="R18" s="40"/>
      <c r="S18" s="61"/>
    </row>
    <row r="19" spans="1:19" ht="40.049999999999997" customHeight="1" x14ac:dyDescent="0.45">
      <c r="A19" s="591" t="s">
        <v>376</v>
      </c>
      <c r="B19" s="592" t="s">
        <v>501</v>
      </c>
      <c r="C19" s="592" t="s">
        <v>504</v>
      </c>
      <c r="D19" s="592" t="s">
        <v>381</v>
      </c>
      <c r="E19" s="396">
        <v>0.3263888888888889</v>
      </c>
      <c r="F19" s="395">
        <f t="shared" si="0"/>
        <v>9.0277777777777769E-3</v>
      </c>
      <c r="G19" s="396">
        <f t="shared" ref="G19:G35" si="5">E19+F19</f>
        <v>0.3354166666666667</v>
      </c>
      <c r="H19" s="594" t="s">
        <v>378</v>
      </c>
      <c r="I19" s="396" t="str">
        <f>VLOOKUP(H19,'Liste chauffeur'!$B$5:$L$19,2,TRUE)&amp;" "&amp;VLOOKUP(H19,'Liste chauffeur'!$B$5:$L$19,3,TRUE)</f>
        <v>CHADHOULI Houmadi</v>
      </c>
      <c r="J19" s="593">
        <v>3</v>
      </c>
      <c r="K19" s="396"/>
      <c r="L19" s="35"/>
      <c r="M19" s="62"/>
      <c r="N19" s="35"/>
      <c r="O19" s="62"/>
      <c r="P19" s="35"/>
      <c r="Q19" s="36"/>
      <c r="R19" s="40"/>
      <c r="S19" s="61"/>
    </row>
    <row r="20" spans="1:19" ht="40.049999999999997" customHeight="1" x14ac:dyDescent="0.45">
      <c r="A20" s="591" t="s">
        <v>376</v>
      </c>
      <c r="B20" s="592" t="s">
        <v>501</v>
      </c>
      <c r="C20" s="592" t="s">
        <v>503</v>
      </c>
      <c r="D20" s="592"/>
      <c r="E20" s="396">
        <v>0.58333333333333337</v>
      </c>
      <c r="F20" s="395">
        <f t="shared" si="0"/>
        <v>1.7361111111111112E-2</v>
      </c>
      <c r="G20" s="396">
        <f t="shared" si="5"/>
        <v>0.60069444444444453</v>
      </c>
      <c r="H20" s="594" t="s">
        <v>378</v>
      </c>
      <c r="I20" s="396" t="str">
        <f>VLOOKUP(H20,'Liste chauffeur'!$B$5:$L$19,2,TRUE)&amp;" "&amp;VLOOKUP(H20,'Liste chauffeur'!$B$5:$L$19,3,TRUE)</f>
        <v>CHADHOULI Houmadi</v>
      </c>
      <c r="J20" s="593"/>
      <c r="K20" s="396">
        <f>E22-G20</f>
        <v>1.388888888888884E-2</v>
      </c>
      <c r="L20" s="35"/>
      <c r="M20" s="62"/>
      <c r="N20" s="35"/>
      <c r="O20" s="62"/>
      <c r="P20" s="35"/>
      <c r="Q20" s="36"/>
      <c r="R20" s="40"/>
      <c r="S20" s="61"/>
    </row>
    <row r="21" spans="1:19" ht="40.049999999999997" customHeight="1" x14ac:dyDescent="0.45">
      <c r="A21" s="591" t="s">
        <v>501</v>
      </c>
      <c r="B21" s="592" t="s">
        <v>376</v>
      </c>
      <c r="C21" s="592" t="s">
        <v>504</v>
      </c>
      <c r="D21" s="592" t="s">
        <v>380</v>
      </c>
      <c r="E21" s="396">
        <v>0.58333333333333337</v>
      </c>
      <c r="F21" s="395">
        <f t="shared" si="0"/>
        <v>9.0277777777777769E-3</v>
      </c>
      <c r="G21" s="396">
        <f t="shared" si="5"/>
        <v>0.59236111111111112</v>
      </c>
      <c r="H21" s="335" t="s">
        <v>384</v>
      </c>
      <c r="I21" s="396" t="str">
        <f>VLOOKUP(H21,'Liste chauffeur'!$B$5:$L$19,2,TRUE)&amp;" "&amp;VLOOKUP(H21,'Liste chauffeur'!$B$5:$L$19,3,TRUE)</f>
        <v>SAID ALI Kamile</v>
      </c>
      <c r="J21" s="593">
        <v>4</v>
      </c>
      <c r="K21" s="396">
        <f>E23-G21</f>
        <v>2.5694444444444464E-2</v>
      </c>
      <c r="L21" s="35"/>
      <c r="M21" s="62"/>
      <c r="N21" s="35"/>
      <c r="O21" s="62"/>
      <c r="P21" s="35"/>
      <c r="Q21" s="36"/>
      <c r="R21" s="40"/>
      <c r="S21" s="61"/>
    </row>
    <row r="22" spans="1:19" ht="40.049999999999997" customHeight="1" x14ac:dyDescent="0.45">
      <c r="A22" s="591" t="s">
        <v>376</v>
      </c>
      <c r="B22" s="592" t="s">
        <v>501</v>
      </c>
      <c r="C22" s="592" t="s">
        <v>503</v>
      </c>
      <c r="D22" s="592"/>
      <c r="E22" s="396">
        <v>0.61458333333333337</v>
      </c>
      <c r="F22" s="395">
        <f t="shared" si="0"/>
        <v>1.7361111111111112E-2</v>
      </c>
      <c r="G22" s="396">
        <f t="shared" ref="G22:G28" si="6">E22+F22</f>
        <v>0.63194444444444453</v>
      </c>
      <c r="H22" s="594" t="s">
        <v>378</v>
      </c>
      <c r="I22" s="396" t="str">
        <f>VLOOKUP(H22,'Liste chauffeur'!$B$5:$L$19,2,TRUE)&amp;" "&amp;VLOOKUP(H22,'Liste chauffeur'!$B$5:$L$19,3,TRUE)</f>
        <v>CHADHOULI Houmadi</v>
      </c>
      <c r="J22" s="593"/>
      <c r="K22" s="396">
        <f>E25-G22</f>
        <v>6.9444444444443088E-3</v>
      </c>
      <c r="L22" s="35"/>
      <c r="M22" s="62"/>
      <c r="N22" s="35"/>
      <c r="O22" s="62"/>
      <c r="P22" s="35"/>
      <c r="Q22" s="36"/>
      <c r="R22" s="40"/>
      <c r="S22" s="61"/>
    </row>
    <row r="23" spans="1:19" ht="40.049999999999997" customHeight="1" x14ac:dyDescent="0.45">
      <c r="A23" s="591" t="s">
        <v>376</v>
      </c>
      <c r="B23" s="592" t="s">
        <v>501</v>
      </c>
      <c r="C23" s="592" t="s">
        <v>503</v>
      </c>
      <c r="D23" s="592"/>
      <c r="E23" s="396">
        <v>0.61805555555555558</v>
      </c>
      <c r="F23" s="395">
        <f t="shared" si="0"/>
        <v>1.7361111111111112E-2</v>
      </c>
      <c r="G23" s="396">
        <f t="shared" si="6"/>
        <v>0.63541666666666674</v>
      </c>
      <c r="H23" s="335" t="s">
        <v>384</v>
      </c>
      <c r="I23" s="396" t="str">
        <f>VLOOKUP(H23,'Liste chauffeur'!$B$5:$L$19,2,TRUE)&amp;" "&amp;VLOOKUP(H23,'Liste chauffeur'!$B$5:$L$19,3,TRUE)</f>
        <v>SAID ALI Kamile</v>
      </c>
      <c r="J23" s="593"/>
      <c r="K23" s="396"/>
      <c r="L23" s="35"/>
      <c r="M23" s="62"/>
      <c r="N23" s="35"/>
      <c r="O23" s="62"/>
      <c r="P23" s="35"/>
      <c r="Q23" s="36"/>
      <c r="R23" s="40"/>
      <c r="S23" s="61"/>
    </row>
    <row r="24" spans="1:19" ht="40.049999999999997" customHeight="1" x14ac:dyDescent="0.45">
      <c r="A24" s="591" t="s">
        <v>501</v>
      </c>
      <c r="B24" s="592" t="s">
        <v>376</v>
      </c>
      <c r="C24" s="592" t="s">
        <v>504</v>
      </c>
      <c r="D24" s="592"/>
      <c r="E24" s="396">
        <v>0.625</v>
      </c>
      <c r="F24" s="395">
        <f>IF(C24="DIRECT",F$5,F$4)</f>
        <v>9.0277777777777769E-3</v>
      </c>
      <c r="G24" s="396">
        <f t="shared" si="6"/>
        <v>0.63402777777777775</v>
      </c>
      <c r="H24" s="594" t="s">
        <v>414</v>
      </c>
      <c r="I24" s="396" t="str">
        <f>VLOOKUP(H24,'Liste chauffeur'!$B$5:$L$19,2,TRUE)&amp;" "&amp;VLOOKUP(H24,'Liste chauffeur'!$B$5:$L$19,3,TRUE)</f>
        <v>ATTOUMANI Kamaldine</v>
      </c>
      <c r="J24" s="593"/>
      <c r="K24" s="396">
        <f>E26-G24</f>
        <v>2.5694444444444464E-2</v>
      </c>
      <c r="L24" s="35"/>
      <c r="M24" s="62"/>
      <c r="N24" s="35"/>
      <c r="O24" s="62"/>
      <c r="P24" s="35"/>
      <c r="Q24" s="36"/>
      <c r="R24" s="40"/>
      <c r="S24" s="61"/>
    </row>
    <row r="25" spans="1:19" ht="40.049999999999997" customHeight="1" x14ac:dyDescent="0.45">
      <c r="A25" s="591" t="s">
        <v>376</v>
      </c>
      <c r="B25" s="592" t="s">
        <v>501</v>
      </c>
      <c r="C25" s="592" t="s">
        <v>503</v>
      </c>
      <c r="D25" s="592"/>
      <c r="E25" s="396">
        <v>0.63888888888888884</v>
      </c>
      <c r="F25" s="395">
        <f t="shared" ref="F25:F28" si="7">IF(C25="DIRECT",F$5,F$4)</f>
        <v>1.7361111111111112E-2</v>
      </c>
      <c r="G25" s="396">
        <f t="shared" si="6"/>
        <v>0.65625</v>
      </c>
      <c r="H25" s="594" t="s">
        <v>378</v>
      </c>
      <c r="I25" s="396" t="str">
        <f>VLOOKUP(H25,'Liste chauffeur'!$B$5:$L$19,2,TRUE)&amp;" "&amp;VLOOKUP(H25,'Liste chauffeur'!$B$5:$L$19,3,TRUE)</f>
        <v>CHADHOULI Houmadi</v>
      </c>
      <c r="J25" s="593"/>
      <c r="K25" s="396"/>
      <c r="L25" s="35"/>
      <c r="M25" s="62"/>
      <c r="N25" s="35"/>
      <c r="O25" s="62"/>
      <c r="P25" s="35"/>
      <c r="Q25" s="36"/>
      <c r="R25" s="40"/>
      <c r="S25" s="61"/>
    </row>
    <row r="26" spans="1:19" ht="40.049999999999997" customHeight="1" x14ac:dyDescent="0.45">
      <c r="A26" s="591" t="s">
        <v>376</v>
      </c>
      <c r="B26" s="592" t="s">
        <v>501</v>
      </c>
      <c r="C26" s="592" t="s">
        <v>503</v>
      </c>
      <c r="D26" s="592"/>
      <c r="E26" s="396">
        <v>0.65972222222222221</v>
      </c>
      <c r="F26" s="395">
        <f t="shared" si="7"/>
        <v>1.7361111111111112E-2</v>
      </c>
      <c r="G26" s="396">
        <f t="shared" si="6"/>
        <v>0.67708333333333337</v>
      </c>
      <c r="H26" s="594" t="s">
        <v>414</v>
      </c>
      <c r="I26" s="396" t="str">
        <f>VLOOKUP(H26,'Liste chauffeur'!$B$5:$L$19,2,TRUE)&amp;" "&amp;VLOOKUP(H26,'Liste chauffeur'!$B$5:$L$19,3,TRUE)</f>
        <v>ATTOUMANI Kamaldine</v>
      </c>
      <c r="J26" s="593"/>
      <c r="K26" s="396">
        <f>E27-G26</f>
        <v>1.041666666666663E-2</v>
      </c>
      <c r="L26" s="35"/>
      <c r="M26" s="62"/>
      <c r="N26" s="35"/>
      <c r="O26" s="62"/>
      <c r="P26" s="35"/>
      <c r="Q26" s="36"/>
      <c r="R26" s="40"/>
      <c r="S26" s="61"/>
    </row>
    <row r="27" spans="1:19" ht="34.5" customHeight="1" x14ac:dyDescent="0.45">
      <c r="A27" s="591" t="s">
        <v>376</v>
      </c>
      <c r="B27" s="592" t="s">
        <v>501</v>
      </c>
      <c r="C27" s="592" t="s">
        <v>503</v>
      </c>
      <c r="D27" s="592"/>
      <c r="E27" s="396">
        <v>0.6875</v>
      </c>
      <c r="F27" s="395">
        <f t="shared" si="7"/>
        <v>1.7361111111111112E-2</v>
      </c>
      <c r="G27" s="396">
        <f t="shared" si="6"/>
        <v>0.70486111111111116</v>
      </c>
      <c r="H27" s="594" t="s">
        <v>414</v>
      </c>
      <c r="I27" s="396" t="str">
        <f>VLOOKUP(H27,'Liste chauffeur'!$B$5:$L$19,2,TRUE)&amp;" "&amp;VLOOKUP(H27,'Liste chauffeur'!$B$5:$L$19,3,TRUE)</f>
        <v>ATTOUMANI Kamaldine</v>
      </c>
      <c r="J27" s="592"/>
      <c r="K27" s="396">
        <f>E28-G27</f>
        <v>6.9444444444444198E-3</v>
      </c>
    </row>
    <row r="28" spans="1:19" ht="40.049999999999997" customHeight="1" x14ac:dyDescent="0.45">
      <c r="A28" s="591" t="s">
        <v>376</v>
      </c>
      <c r="B28" s="592" t="s">
        <v>501</v>
      </c>
      <c r="C28" s="592" t="s">
        <v>503</v>
      </c>
      <c r="D28" s="592"/>
      <c r="E28" s="396">
        <v>0.71180555555555558</v>
      </c>
      <c r="F28" s="395">
        <f t="shared" si="7"/>
        <v>1.7361111111111112E-2</v>
      </c>
      <c r="G28" s="396">
        <f t="shared" si="6"/>
        <v>0.72916666666666674</v>
      </c>
      <c r="H28" s="594" t="s">
        <v>414</v>
      </c>
      <c r="I28" s="396" t="str">
        <f>VLOOKUP(H28,'Liste chauffeur'!$B$5:$L$19,2,TRUE)&amp;" "&amp;VLOOKUP(H28,'Liste chauffeur'!$B$5:$L$19,3,TRUE)</f>
        <v>ATTOUMANI Kamaldine</v>
      </c>
      <c r="J28" s="593"/>
      <c r="K28" s="396"/>
      <c r="L28" s="35"/>
      <c r="M28" s="62"/>
      <c r="N28" s="35"/>
      <c r="O28" s="62"/>
      <c r="P28" s="35"/>
      <c r="Q28" s="36"/>
      <c r="R28" s="40"/>
      <c r="S28" s="61"/>
    </row>
    <row r="29" spans="1:19" ht="40.049999999999997" customHeight="1" x14ac:dyDescent="0.45">
      <c r="A29" s="591" t="s">
        <v>376</v>
      </c>
      <c r="B29" s="592" t="s">
        <v>501</v>
      </c>
      <c r="C29" s="592" t="s">
        <v>504</v>
      </c>
      <c r="D29" s="592" t="s">
        <v>381</v>
      </c>
      <c r="E29" s="396">
        <v>0.76041666666666663</v>
      </c>
      <c r="F29" s="396">
        <f t="shared" si="0"/>
        <v>9.0277777777777769E-3</v>
      </c>
      <c r="G29" s="396">
        <f t="shared" si="5"/>
        <v>0.76944444444444438</v>
      </c>
      <c r="H29" s="335" t="s">
        <v>384</v>
      </c>
      <c r="I29" s="396" t="str">
        <f>VLOOKUP(H29,'Liste chauffeur'!$B$5:$L$19,2,TRUE)&amp;" "&amp;VLOOKUP(H29,'Liste chauffeur'!$B$5:$L$19,3,TRUE)</f>
        <v>SAID ALI Kamile</v>
      </c>
      <c r="J29" s="593">
        <v>6</v>
      </c>
      <c r="K29" s="396">
        <f>E32-G29</f>
        <v>1.1805555555555625E-2</v>
      </c>
      <c r="L29" s="35"/>
      <c r="M29" s="62"/>
      <c r="N29" s="35"/>
      <c r="O29" s="62"/>
      <c r="P29" s="35"/>
      <c r="Q29" s="36"/>
      <c r="R29" s="40"/>
      <c r="S29" s="61"/>
    </row>
    <row r="30" spans="1:19" ht="40.049999999999997" customHeight="1" x14ac:dyDescent="0.45">
      <c r="A30" s="591" t="s">
        <v>501</v>
      </c>
      <c r="B30" s="592" t="s">
        <v>376</v>
      </c>
      <c r="C30" s="592" t="s">
        <v>504</v>
      </c>
      <c r="D30" s="592"/>
      <c r="E30" s="396">
        <v>0.76041666666666663</v>
      </c>
      <c r="F30" s="396">
        <f t="shared" si="0"/>
        <v>9.0277777777777769E-3</v>
      </c>
      <c r="G30" s="396">
        <f t="shared" si="5"/>
        <v>0.76944444444444438</v>
      </c>
      <c r="H30" s="594" t="s">
        <v>378</v>
      </c>
      <c r="I30" s="396" t="str">
        <f>VLOOKUP(H30,'Liste chauffeur'!$B$5:$L$19,2,TRUE)&amp;" "&amp;VLOOKUP(H30,'Liste chauffeur'!$B$5:$L$19,3,TRUE)</f>
        <v>CHADHOULI Houmadi</v>
      </c>
      <c r="J30" s="593"/>
      <c r="K30" s="396"/>
      <c r="L30" s="35"/>
      <c r="M30" s="62"/>
      <c r="N30" s="35"/>
      <c r="O30" s="62"/>
      <c r="P30" s="35"/>
      <c r="Q30" s="36"/>
      <c r="R30" s="40"/>
      <c r="S30" s="61"/>
    </row>
    <row r="31" spans="1:19" ht="40.049999999999997" customHeight="1" x14ac:dyDescent="0.45">
      <c r="A31" s="591" t="s">
        <v>376</v>
      </c>
      <c r="B31" s="592" t="s">
        <v>501</v>
      </c>
      <c r="C31" s="592" t="s">
        <v>503</v>
      </c>
      <c r="D31" s="592"/>
      <c r="E31" s="396">
        <v>0.78125</v>
      </c>
      <c r="F31" s="396">
        <f t="shared" si="0"/>
        <v>1.7361111111111112E-2</v>
      </c>
      <c r="G31" s="396">
        <f>E31+F31</f>
        <v>0.79861111111111116</v>
      </c>
      <c r="H31" s="594" t="s">
        <v>378</v>
      </c>
      <c r="I31" s="396" t="str">
        <f>VLOOKUP(H31,'Liste chauffeur'!$B$5:$L$19,2,TRUE)&amp;" "&amp;VLOOKUP(H31,'Liste chauffeur'!$B$5:$L$19,3,TRUE)</f>
        <v>CHADHOULI Houmadi</v>
      </c>
      <c r="J31" s="593"/>
      <c r="K31" s="396"/>
      <c r="L31" s="35"/>
      <c r="M31" s="62"/>
      <c r="N31" s="35"/>
      <c r="O31" s="62"/>
      <c r="P31" s="35"/>
      <c r="Q31" s="36"/>
      <c r="R31" s="40"/>
      <c r="S31" s="61"/>
    </row>
    <row r="32" spans="1:19" ht="40.049999999999997" customHeight="1" x14ac:dyDescent="0.45">
      <c r="A32" s="591" t="s">
        <v>501</v>
      </c>
      <c r="B32" s="592" t="s">
        <v>376</v>
      </c>
      <c r="C32" s="592" t="s">
        <v>504</v>
      </c>
      <c r="D32" s="592"/>
      <c r="E32" s="396">
        <v>0.78125</v>
      </c>
      <c r="F32" s="395">
        <f t="shared" si="0"/>
        <v>9.0277777777777769E-3</v>
      </c>
      <c r="G32" s="396">
        <f t="shared" si="5"/>
        <v>0.79027777777777775</v>
      </c>
      <c r="H32" s="335" t="s">
        <v>384</v>
      </c>
      <c r="I32" s="396" t="str">
        <f>VLOOKUP(H32,'Liste chauffeur'!$B$5:$L$19,2,TRUE)&amp;" "&amp;VLOOKUP(H32,'Liste chauffeur'!$B$5:$L$19,3,TRUE)</f>
        <v>SAID ALI Kamile</v>
      </c>
      <c r="J32" s="593"/>
      <c r="K32" s="396">
        <f>E34-G32</f>
        <v>1.8750000000000044E-2</v>
      </c>
      <c r="L32" s="35"/>
      <c r="M32" s="62"/>
      <c r="N32" s="35"/>
      <c r="O32" s="62"/>
      <c r="P32" s="35"/>
      <c r="Q32" s="36"/>
      <c r="R32" s="40"/>
      <c r="S32" s="61"/>
    </row>
    <row r="33" spans="1:19" ht="40.049999999999997" customHeight="1" x14ac:dyDescent="0.45">
      <c r="A33" s="591" t="s">
        <v>376</v>
      </c>
      <c r="B33" s="592" t="s">
        <v>501</v>
      </c>
      <c r="C33" s="592" t="s">
        <v>503</v>
      </c>
      <c r="D33" s="592"/>
      <c r="E33" s="396">
        <v>0.80208333333333337</v>
      </c>
      <c r="F33" s="396">
        <f t="shared" si="0"/>
        <v>1.7361111111111112E-2</v>
      </c>
      <c r="G33" s="396">
        <f>E33+F33</f>
        <v>0.81944444444444453</v>
      </c>
      <c r="H33" s="335" t="s">
        <v>384</v>
      </c>
      <c r="I33" s="396" t="str">
        <f>VLOOKUP(H33,'Liste chauffeur'!$B$5:$L$19,2,TRUE)&amp;" "&amp;VLOOKUP(H33,'Liste chauffeur'!$B$5:$L$19,3,TRUE)</f>
        <v>SAID ALI Kamile</v>
      </c>
      <c r="J33" s="593"/>
      <c r="K33" s="396"/>
      <c r="L33" s="35"/>
      <c r="M33" s="62"/>
      <c r="N33" s="35"/>
      <c r="O33" s="62"/>
      <c r="P33" s="35"/>
      <c r="Q33" s="36"/>
      <c r="R33" s="40"/>
      <c r="S33" s="61"/>
    </row>
    <row r="34" spans="1:19" ht="40.049999999999997" customHeight="1" x14ac:dyDescent="0.45">
      <c r="A34" s="591" t="s">
        <v>663</v>
      </c>
      <c r="B34" s="592" t="s">
        <v>376</v>
      </c>
      <c r="C34" s="592" t="s">
        <v>688</v>
      </c>
      <c r="D34" s="592" t="s">
        <v>381</v>
      </c>
      <c r="E34" s="396">
        <v>0.80902777777777779</v>
      </c>
      <c r="F34" s="395">
        <v>9.0277777777777769E-3</v>
      </c>
      <c r="G34" s="396">
        <f t="shared" si="5"/>
        <v>0.81805555555555554</v>
      </c>
      <c r="H34" s="335" t="s">
        <v>378</v>
      </c>
      <c r="I34" s="396" t="str">
        <f>VLOOKUP(H34,'Liste chauffeur'!$B$5:$L$19,2,TRUE)&amp;" "&amp;VLOOKUP(H34,'Liste chauffeur'!$B$5:$L$19,3,TRUE)</f>
        <v>CHADHOULI Houmadi</v>
      </c>
      <c r="J34" s="593">
        <v>5</v>
      </c>
      <c r="K34" s="396"/>
      <c r="L34" s="35"/>
      <c r="M34" s="62"/>
      <c r="N34" s="35"/>
      <c r="O34" s="62"/>
      <c r="P34" s="35"/>
      <c r="Q34" s="36"/>
      <c r="R34" s="40"/>
      <c r="S34" s="61"/>
    </row>
    <row r="35" spans="1:19" ht="40.049999999999997" customHeight="1" x14ac:dyDescent="0.45">
      <c r="A35" s="591" t="s">
        <v>376</v>
      </c>
      <c r="B35" s="592" t="s">
        <v>501</v>
      </c>
      <c r="C35" s="592" t="s">
        <v>503</v>
      </c>
      <c r="D35" s="592"/>
      <c r="E35" s="396">
        <v>0.82291666666666663</v>
      </c>
      <c r="F35" s="396">
        <f t="shared" si="0"/>
        <v>1.7361111111111112E-2</v>
      </c>
      <c r="G35" s="396">
        <f t="shared" si="5"/>
        <v>0.84027777777777779</v>
      </c>
      <c r="H35" s="335" t="s">
        <v>384</v>
      </c>
      <c r="I35" s="396" t="str">
        <f>VLOOKUP(H35,'Liste chauffeur'!$B$5:$L$19,2,TRUE)&amp;" "&amp;VLOOKUP(H35,'Liste chauffeur'!$B$5:$L$19,3,TRUE)</f>
        <v>SAID ALI Kamile</v>
      </c>
      <c r="J35" s="593"/>
      <c r="K35" s="396"/>
      <c r="L35" s="35"/>
      <c r="M35" s="62"/>
      <c r="N35" s="35"/>
      <c r="O35" s="62"/>
      <c r="P35" s="35"/>
      <c r="Q35" s="36"/>
      <c r="R35" s="40"/>
      <c r="S35" s="61"/>
    </row>
    <row r="36" spans="1:19" x14ac:dyDescent="0.45">
      <c r="A36" s="8"/>
      <c r="B36" s="11"/>
      <c r="C36" s="11"/>
      <c r="D36" s="1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9"/>
      <c r="R36" s="42"/>
      <c r="S36" s="6"/>
    </row>
    <row r="37" spans="1:19" x14ac:dyDescent="0.45">
      <c r="F37" s="395">
        <f>SUBTOTAL(9,F8:F36)</f>
        <v>0.38263888888888892</v>
      </c>
      <c r="K37" s="395">
        <f>SUBTOTAL(9,K8:K36)</f>
        <v>0.2263888888888887</v>
      </c>
    </row>
    <row r="38" spans="1:19" x14ac:dyDescent="0.45">
      <c r="N38" t="s">
        <v>322</v>
      </c>
    </row>
  </sheetData>
  <autoFilter ref="A7:P35" xr:uid="{E15BAD97-4E2F-4149-89CB-3FE52EBB9FA2}"/>
  <phoneticPr fontId="5" type="noConversion"/>
  <pageMargins left="0.23622047244094491" right="0.23622047244094491" top="0.74803149606299213" bottom="0.74803149606299213" header="0.31496062992125984" footer="0.31496062992125984"/>
  <pageSetup paperSize="9" scale="4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A842-60CF-46DC-95DE-39E1F8648463}">
  <sheetPr>
    <pageSetUpPr fitToPage="1"/>
  </sheetPr>
  <dimension ref="A1:S31"/>
  <sheetViews>
    <sheetView zoomScale="87" zoomScaleNormal="87" workbookViewId="0">
      <selection activeCell="H14" sqref="H14:H28"/>
    </sheetView>
  </sheetViews>
  <sheetFormatPr baseColWidth="10" defaultRowHeight="14.25" x14ac:dyDescent="0.45"/>
  <cols>
    <col min="1" max="3" width="11.796875" customWidth="1"/>
    <col min="4" max="4" width="11.796875" hidden="1" customWidth="1"/>
    <col min="9" max="9" width="24.6640625" customWidth="1"/>
    <col min="10" max="10" width="8.33203125" hidden="1" customWidth="1"/>
    <col min="11" max="11" width="10.1328125" customWidth="1"/>
    <col min="12" max="12" width="9.6640625" customWidth="1"/>
    <col min="13" max="13" width="10" customWidth="1"/>
    <col min="14" max="14" width="19.46484375" customWidth="1"/>
    <col min="15" max="15" width="9.796875" customWidth="1"/>
    <col min="16" max="16" width="19.46484375" customWidth="1"/>
    <col min="19" max="19" width="34.796875" customWidth="1"/>
  </cols>
  <sheetData>
    <row r="1" spans="1:19" x14ac:dyDescent="0.45">
      <c r="K1" t="s">
        <v>657</v>
      </c>
    </row>
    <row r="3" spans="1:19" x14ac:dyDescent="0.45">
      <c r="A3" t="s">
        <v>14</v>
      </c>
      <c r="F3" s="35">
        <v>1.3888888888888888E-2</v>
      </c>
      <c r="I3" s="226" t="s">
        <v>370</v>
      </c>
      <c r="J3" s="226"/>
      <c r="K3" s="226"/>
      <c r="L3" s="226"/>
    </row>
    <row r="4" spans="1:19" x14ac:dyDescent="0.45">
      <c r="A4" t="s">
        <v>13</v>
      </c>
      <c r="F4" s="35">
        <v>1.3888888888888888E-2</v>
      </c>
      <c r="G4" s="35"/>
    </row>
    <row r="5" spans="1:19" x14ac:dyDescent="0.45">
      <c r="F5" s="35">
        <v>8.3333333333333332E-3</v>
      </c>
      <c r="G5" s="35"/>
    </row>
    <row r="6" spans="1:19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5"/>
    </row>
    <row r="7" spans="1:19" ht="42.75" x14ac:dyDescent="0.45">
      <c r="A7" s="8" t="s">
        <v>375</v>
      </c>
      <c r="B7" s="11" t="s">
        <v>337</v>
      </c>
      <c r="C7" s="3" t="s">
        <v>502</v>
      </c>
      <c r="D7" s="11" t="s">
        <v>379</v>
      </c>
      <c r="E7" s="3" t="s">
        <v>0</v>
      </c>
      <c r="F7" s="3" t="s">
        <v>377</v>
      </c>
      <c r="G7" s="3" t="s">
        <v>383</v>
      </c>
      <c r="H7" s="3" t="s">
        <v>25</v>
      </c>
      <c r="I7" s="3" t="s">
        <v>26</v>
      </c>
      <c r="J7" s="3" t="s">
        <v>354</v>
      </c>
      <c r="K7" s="3" t="s">
        <v>353</v>
      </c>
      <c r="L7" s="3" t="s">
        <v>355</v>
      </c>
      <c r="M7" s="3" t="s">
        <v>52</v>
      </c>
      <c r="N7" s="3" t="s">
        <v>53</v>
      </c>
      <c r="O7" s="3" t="s">
        <v>54</v>
      </c>
      <c r="P7" s="3" t="s">
        <v>55</v>
      </c>
      <c r="Q7" s="18" t="s">
        <v>1</v>
      </c>
      <c r="R7" s="4" t="s">
        <v>3</v>
      </c>
      <c r="S7" s="6" t="s">
        <v>12</v>
      </c>
    </row>
    <row r="8" spans="1:19" ht="24.75" customHeight="1" x14ac:dyDescent="0.45">
      <c r="A8" s="557" t="s">
        <v>501</v>
      </c>
      <c r="B8" s="558" t="s">
        <v>376</v>
      </c>
      <c r="C8" s="558" t="s">
        <v>503</v>
      </c>
      <c r="D8" t="s">
        <v>381</v>
      </c>
      <c r="E8" s="559">
        <v>0.2326388888888889</v>
      </c>
      <c r="F8" s="560">
        <f t="shared" ref="F8:F27" si="0">IF(C8="DIRECT",F$5,F$4)</f>
        <v>1.3888888888888888E-2</v>
      </c>
      <c r="G8" s="559">
        <f t="shared" ref="G8" si="1">E8+F8</f>
        <v>0.24652777777777779</v>
      </c>
      <c r="H8" s="561" t="s">
        <v>378</v>
      </c>
      <c r="I8" s="560" t="str">
        <f>VLOOKUP(H8,'Liste chauffeur'!$B$5:$L$19,2,TRUE)&amp;" "&amp;VLOOKUP(H8,'Liste chauffeur'!$B$5:$L$19,3,TRUE)</f>
        <v>CHADHOULI Houmadi</v>
      </c>
      <c r="J8" s="53">
        <v>1</v>
      </c>
      <c r="K8" s="560">
        <f>E10-G8</f>
        <v>2.4305555555555525E-2</v>
      </c>
      <c r="L8" s="35"/>
      <c r="M8" s="51"/>
      <c r="N8" s="51"/>
      <c r="O8" s="51"/>
      <c r="P8" s="51"/>
      <c r="Q8" s="333"/>
      <c r="R8" s="334"/>
      <c r="S8" s="61"/>
    </row>
    <row r="9" spans="1:19" ht="24.75" customHeight="1" x14ac:dyDescent="0.45">
      <c r="A9" s="557" t="s">
        <v>501</v>
      </c>
      <c r="B9" s="558" t="s">
        <v>376</v>
      </c>
      <c r="C9" s="558" t="s">
        <v>503</v>
      </c>
      <c r="E9" s="559">
        <v>0.25</v>
      </c>
      <c r="F9" s="560">
        <f t="shared" si="0"/>
        <v>1.3888888888888888E-2</v>
      </c>
      <c r="G9" s="559">
        <f>E9+F9</f>
        <v>0.2638888888888889</v>
      </c>
      <c r="H9" s="561" t="s">
        <v>384</v>
      </c>
      <c r="I9" s="560" t="str">
        <f>VLOOKUP(H9,'Liste chauffeur'!$B$5:$L$19,2,TRUE)&amp;" "&amp;VLOOKUP(H9,'Liste chauffeur'!$B$5:$L$19,3,TRUE)</f>
        <v>SAID ALI Kamile</v>
      </c>
      <c r="J9" s="53"/>
      <c r="K9" s="560">
        <f>E11-G9</f>
        <v>6.9444444444444198E-3</v>
      </c>
      <c r="L9" s="35"/>
      <c r="M9" s="51"/>
      <c r="N9" s="51"/>
      <c r="O9" s="51"/>
      <c r="P9" s="51"/>
      <c r="Q9" s="333"/>
      <c r="R9" s="334"/>
      <c r="S9" s="61"/>
    </row>
    <row r="10" spans="1:19" ht="24.75" customHeight="1" x14ac:dyDescent="0.45">
      <c r="A10" s="557" t="s">
        <v>501</v>
      </c>
      <c r="B10" s="558" t="s">
        <v>376</v>
      </c>
      <c r="C10" s="558" t="s">
        <v>503</v>
      </c>
      <c r="E10" s="559">
        <v>0.27083333333333331</v>
      </c>
      <c r="F10" s="560">
        <f t="shared" si="0"/>
        <v>1.3888888888888888E-2</v>
      </c>
      <c r="G10" s="559">
        <f>E10+F10</f>
        <v>0.28472222222222221</v>
      </c>
      <c r="H10" s="561" t="s">
        <v>378</v>
      </c>
      <c r="I10" s="560" t="str">
        <f>VLOOKUP(H10,'Liste chauffeur'!$B$5:$L$19,2,TRUE)&amp;" "&amp;VLOOKUP(H10,'Liste chauffeur'!$B$5:$L$19,3,TRUE)</f>
        <v>CHADHOULI Houmadi</v>
      </c>
      <c r="J10" s="53"/>
      <c r="K10" s="560">
        <f>E12-G10</f>
        <v>3.4722222222222099E-3</v>
      </c>
      <c r="L10" s="35"/>
      <c r="M10" s="51"/>
      <c r="N10" s="51"/>
      <c r="O10" s="51"/>
      <c r="P10" s="51"/>
      <c r="Q10" s="333"/>
      <c r="R10" s="334"/>
      <c r="S10" s="61"/>
    </row>
    <row r="11" spans="1:19" ht="24.75" customHeight="1" x14ac:dyDescent="0.45">
      <c r="A11" s="567" t="s">
        <v>376</v>
      </c>
      <c r="B11" s="568" t="s">
        <v>501</v>
      </c>
      <c r="C11" s="568" t="s">
        <v>504</v>
      </c>
      <c r="D11" t="s">
        <v>381</v>
      </c>
      <c r="E11" s="569">
        <v>0.27083333333333331</v>
      </c>
      <c r="F11" s="569">
        <f t="shared" si="0"/>
        <v>8.3333333333333332E-3</v>
      </c>
      <c r="G11" s="569">
        <f t="shared" ref="G11:G12" si="2">E11+F11</f>
        <v>0.27916666666666667</v>
      </c>
      <c r="H11" s="570" t="s">
        <v>384</v>
      </c>
      <c r="I11" s="571" t="str">
        <f>VLOOKUP(H11,'Liste chauffeur'!$B$5:$L$19,2,TRUE)&amp;" "&amp;VLOOKUP(H11,'Liste chauffeur'!$B$5:$L$19,3,TRUE)</f>
        <v>SAID ALI Kamile</v>
      </c>
      <c r="J11" s="53">
        <v>2</v>
      </c>
      <c r="K11" s="571">
        <f>E13-G11</f>
        <v>1.5972222222222221E-2</v>
      </c>
      <c r="L11" s="35"/>
      <c r="M11" s="51"/>
      <c r="N11" s="51"/>
      <c r="O11" s="51"/>
      <c r="P11" s="51"/>
      <c r="Q11" s="333"/>
      <c r="R11" s="334"/>
      <c r="S11" s="61"/>
    </row>
    <row r="12" spans="1:19" ht="40.049999999999997" customHeight="1" x14ac:dyDescent="0.45">
      <c r="A12" s="562" t="s">
        <v>501</v>
      </c>
      <c r="B12" s="563" t="s">
        <v>376</v>
      </c>
      <c r="C12" s="563" t="s">
        <v>504</v>
      </c>
      <c r="E12" s="564">
        <v>0.28819444444444442</v>
      </c>
      <c r="F12" s="564">
        <f t="shared" si="0"/>
        <v>8.3333333333333332E-3</v>
      </c>
      <c r="G12" s="565">
        <f t="shared" si="2"/>
        <v>0.29652777777777778</v>
      </c>
      <c r="H12" s="566" t="s">
        <v>378</v>
      </c>
      <c r="I12" s="564" t="str">
        <f>VLOOKUP(H12,'Liste chauffeur'!$B$5:$L$19,2,TRUE)&amp;" "&amp;VLOOKUP(H12,'Liste chauffeur'!$B$5:$L$19,3,TRUE)</f>
        <v>CHADHOULI Houmadi</v>
      </c>
      <c r="J12" s="53"/>
      <c r="K12" s="564">
        <f>E15-G12</f>
        <v>2.9861111111111116E-2</v>
      </c>
      <c r="L12" s="35"/>
      <c r="M12" s="62"/>
      <c r="N12" s="35"/>
      <c r="O12" s="62"/>
      <c r="P12" s="35"/>
      <c r="Q12" s="36"/>
      <c r="R12" s="40"/>
      <c r="S12" s="61"/>
    </row>
    <row r="13" spans="1:19" ht="40.049999999999997" customHeight="1" x14ac:dyDescent="0.45">
      <c r="A13" s="567" t="s">
        <v>376</v>
      </c>
      <c r="B13" s="568" t="s">
        <v>664</v>
      </c>
      <c r="C13" s="568" t="s">
        <v>504</v>
      </c>
      <c r="D13" t="s">
        <v>381</v>
      </c>
      <c r="E13" s="571">
        <v>0.2951388888888889</v>
      </c>
      <c r="F13" s="569">
        <f t="shared" si="0"/>
        <v>8.3333333333333332E-3</v>
      </c>
      <c r="G13" s="571">
        <f>E13+F13</f>
        <v>0.30347222222222225</v>
      </c>
      <c r="H13" s="572" t="s">
        <v>384</v>
      </c>
      <c r="I13" s="571" t="str">
        <f>VLOOKUP(H13,'Liste chauffeur'!$B$5:$L$19,2,TRUE)&amp;" "&amp;VLOOKUP(H13,'Liste chauffeur'!$B$5:$L$19,3,TRUE)</f>
        <v>SAID ALI Kamile</v>
      </c>
      <c r="J13" s="53">
        <v>4</v>
      </c>
      <c r="K13" s="571"/>
      <c r="L13" s="35"/>
      <c r="M13" s="62"/>
      <c r="N13" s="35"/>
      <c r="O13" s="62"/>
      <c r="P13" s="35"/>
      <c r="Q13" s="36"/>
      <c r="R13" s="40"/>
      <c r="S13" s="61"/>
    </row>
    <row r="14" spans="1:19" ht="40.049999999999997" customHeight="1" x14ac:dyDescent="0.45">
      <c r="A14" s="567" t="s">
        <v>376</v>
      </c>
      <c r="B14" s="568" t="s">
        <v>501</v>
      </c>
      <c r="C14" s="568" t="s">
        <v>504</v>
      </c>
      <c r="D14" t="s">
        <v>381</v>
      </c>
      <c r="E14" s="571">
        <v>0.3125</v>
      </c>
      <c r="F14" s="571">
        <f t="shared" si="0"/>
        <v>8.3333333333333332E-3</v>
      </c>
      <c r="G14" s="569">
        <f t="shared" ref="G14:G27" si="3">E14+F14</f>
        <v>0.32083333333333336</v>
      </c>
      <c r="H14" s="572" t="s">
        <v>414</v>
      </c>
      <c r="I14" s="571" t="str">
        <f>VLOOKUP(H14,'Liste chauffeur'!$B$5:$L$19,2,TRUE)&amp;" "&amp;VLOOKUP(H14,'Liste chauffeur'!$B$5:$L$19,3,TRUE)</f>
        <v>ATTOUMANI Kamaldine</v>
      </c>
      <c r="J14" s="53">
        <v>3</v>
      </c>
      <c r="K14" s="571">
        <f>E15-G14</f>
        <v>5.5555555555555358E-3</v>
      </c>
      <c r="L14" s="35"/>
      <c r="M14" s="62"/>
      <c r="N14" s="35"/>
      <c r="O14" s="62"/>
      <c r="P14" s="35"/>
      <c r="Q14" s="36"/>
      <c r="R14" s="40"/>
      <c r="S14" s="61"/>
    </row>
    <row r="15" spans="1:19" ht="40.049999999999997" customHeight="1" x14ac:dyDescent="0.45">
      <c r="A15" s="567" t="s">
        <v>376</v>
      </c>
      <c r="B15" s="568" t="s">
        <v>501</v>
      </c>
      <c r="C15" s="568" t="s">
        <v>504</v>
      </c>
      <c r="D15" t="s">
        <v>381</v>
      </c>
      <c r="E15" s="571">
        <v>0.3263888888888889</v>
      </c>
      <c r="F15" s="569">
        <f t="shared" si="0"/>
        <v>8.3333333333333332E-3</v>
      </c>
      <c r="G15" s="571">
        <f t="shared" si="3"/>
        <v>0.33472222222222225</v>
      </c>
      <c r="H15" s="572" t="s">
        <v>414</v>
      </c>
      <c r="I15" s="571" t="str">
        <f>VLOOKUP(H15,'Liste chauffeur'!$B$5:$L$19,2,TRUE)&amp;" "&amp;VLOOKUP(H15,'Liste chauffeur'!$B$5:$L$19,3,TRUE)</f>
        <v>ATTOUMANI Kamaldine</v>
      </c>
      <c r="J15" s="53">
        <v>3</v>
      </c>
      <c r="K15" s="571"/>
      <c r="L15" s="35"/>
      <c r="M15" s="62"/>
      <c r="N15" s="35"/>
      <c r="O15" s="62"/>
      <c r="P15" s="35"/>
      <c r="Q15" s="36"/>
      <c r="R15" s="40"/>
      <c r="S15" s="61"/>
    </row>
    <row r="16" spans="1:19" ht="40.049999999999997" customHeight="1" x14ac:dyDescent="0.45">
      <c r="A16" s="573" t="s">
        <v>376</v>
      </c>
      <c r="B16" s="574" t="s">
        <v>501</v>
      </c>
      <c r="C16" s="574" t="s">
        <v>503</v>
      </c>
      <c r="E16" s="575">
        <v>0.58333333333333337</v>
      </c>
      <c r="F16" s="576">
        <f t="shared" si="0"/>
        <v>1.3888888888888888E-2</v>
      </c>
      <c r="G16" s="575">
        <f t="shared" si="3"/>
        <v>0.59722222222222221</v>
      </c>
      <c r="H16" s="577" t="s">
        <v>378</v>
      </c>
      <c r="I16" s="575" t="str">
        <f>VLOOKUP(H16,'Liste chauffeur'!$B$5:$L$19,2,TRUE)&amp;" "&amp;VLOOKUP(H16,'Liste chauffeur'!$B$5:$L$19,3,TRUE)</f>
        <v>CHADHOULI Houmadi</v>
      </c>
      <c r="J16" s="53"/>
      <c r="K16" s="575">
        <f>E18-G16</f>
        <v>1.736111111111116E-2</v>
      </c>
      <c r="L16" s="35"/>
      <c r="M16" s="62"/>
      <c r="N16" s="35"/>
      <c r="O16" s="62"/>
      <c r="P16" s="35"/>
      <c r="Q16" s="36"/>
      <c r="R16" s="40"/>
      <c r="S16" s="61"/>
    </row>
    <row r="17" spans="1:19" ht="40.049999999999997" customHeight="1" x14ac:dyDescent="0.45">
      <c r="A17" s="562" t="s">
        <v>501</v>
      </c>
      <c r="B17" s="563" t="s">
        <v>376</v>
      </c>
      <c r="C17" s="563" t="s">
        <v>504</v>
      </c>
      <c r="D17" t="s">
        <v>380</v>
      </c>
      <c r="E17" s="564">
        <v>0.58333333333333337</v>
      </c>
      <c r="F17" s="565">
        <f t="shared" si="0"/>
        <v>8.3333333333333332E-3</v>
      </c>
      <c r="G17" s="564">
        <f t="shared" si="3"/>
        <v>0.59166666666666667</v>
      </c>
      <c r="H17" s="566" t="s">
        <v>384</v>
      </c>
      <c r="I17" s="564" t="str">
        <f>VLOOKUP(H17,'Liste chauffeur'!$B$5:$L$19,2,TRUE)&amp;" "&amp;VLOOKUP(H17,'Liste chauffeur'!$B$5:$L$19,3,TRUE)</f>
        <v>SAID ALI Kamile</v>
      </c>
      <c r="J17" s="53">
        <v>4</v>
      </c>
      <c r="K17" s="564">
        <f>E19-G17</f>
        <v>3.3333333333333326E-2</v>
      </c>
      <c r="L17" s="35"/>
      <c r="M17" s="62"/>
      <c r="N17" s="35"/>
      <c r="O17" s="62"/>
      <c r="P17" s="35"/>
      <c r="Q17" s="36"/>
      <c r="R17" s="40"/>
      <c r="S17" s="61"/>
    </row>
    <row r="18" spans="1:19" ht="40.049999999999997" customHeight="1" x14ac:dyDescent="0.45">
      <c r="A18" s="573" t="s">
        <v>376</v>
      </c>
      <c r="B18" s="574" t="s">
        <v>501</v>
      </c>
      <c r="C18" s="574" t="s">
        <v>503</v>
      </c>
      <c r="E18" s="575">
        <v>0.61458333333333337</v>
      </c>
      <c r="F18" s="576">
        <f t="shared" si="0"/>
        <v>1.3888888888888888E-2</v>
      </c>
      <c r="G18" s="575">
        <f>E18+F18</f>
        <v>0.62847222222222221</v>
      </c>
      <c r="H18" s="577" t="s">
        <v>378</v>
      </c>
      <c r="I18" s="575" t="str">
        <f>VLOOKUP(H18,'Liste chauffeur'!$B$5:$L$19,2,TRUE)&amp;" "&amp;VLOOKUP(H18,'Liste chauffeur'!$B$5:$L$19,3,TRUE)</f>
        <v>CHADHOULI Houmadi</v>
      </c>
      <c r="J18" s="53"/>
      <c r="K18" s="575">
        <f>E20-G18</f>
        <v>1.041666666666663E-2</v>
      </c>
      <c r="L18" s="35"/>
      <c r="M18" s="62"/>
      <c r="N18" s="35"/>
      <c r="O18" s="62"/>
      <c r="P18" s="35"/>
      <c r="Q18" s="36"/>
      <c r="R18" s="40"/>
      <c r="S18" s="61"/>
    </row>
    <row r="19" spans="1:19" ht="40.049999999999997" customHeight="1" x14ac:dyDescent="0.45">
      <c r="A19" s="562" t="s">
        <v>501</v>
      </c>
      <c r="B19" s="563" t="s">
        <v>376</v>
      </c>
      <c r="C19" s="563" t="s">
        <v>504</v>
      </c>
      <c r="E19" s="564">
        <v>0.625</v>
      </c>
      <c r="F19" s="565">
        <f>IF(C19="DIRECT",F$5,F$4)</f>
        <v>8.3333333333333332E-3</v>
      </c>
      <c r="G19" s="564">
        <f>E19+F19</f>
        <v>0.6333333333333333</v>
      </c>
      <c r="H19" s="566" t="s">
        <v>384</v>
      </c>
      <c r="I19" s="564" t="str">
        <f>VLOOKUP(H19,'Liste chauffeur'!$B$5:$L$19,2,TRUE)&amp;" "&amp;VLOOKUP(H19,'Liste chauffeur'!$B$5:$L$19,3,TRUE)</f>
        <v>SAID ALI Kamile</v>
      </c>
      <c r="J19" s="53"/>
      <c r="K19" s="564"/>
      <c r="L19" s="35"/>
      <c r="M19" s="62"/>
      <c r="N19" s="35"/>
      <c r="O19" s="62"/>
      <c r="P19" s="35"/>
      <c r="Q19" s="36"/>
      <c r="R19" s="40"/>
      <c r="S19" s="61"/>
    </row>
    <row r="20" spans="1:19" ht="40.049999999999997" customHeight="1" x14ac:dyDescent="0.45">
      <c r="A20" s="573" t="s">
        <v>376</v>
      </c>
      <c r="B20" s="574" t="s">
        <v>501</v>
      </c>
      <c r="C20" s="574" t="s">
        <v>503</v>
      </c>
      <c r="E20" s="575">
        <v>0.63888888888888884</v>
      </c>
      <c r="F20" s="576">
        <f t="shared" ref="F20:F26" si="4">IF(C20="DIRECT",F$5,F$4)</f>
        <v>1.3888888888888888E-2</v>
      </c>
      <c r="G20" s="575">
        <f>E20+F20</f>
        <v>0.65277777777777768</v>
      </c>
      <c r="H20" s="577" t="s">
        <v>378</v>
      </c>
      <c r="I20" s="575" t="str">
        <f>VLOOKUP(H20,'Liste chauffeur'!$B$5:$L$19,2,TRUE)&amp;" "&amp;VLOOKUP(H20,'Liste chauffeur'!$B$5:$L$19,3,TRUE)</f>
        <v>CHADHOULI Houmadi</v>
      </c>
      <c r="J20" s="53"/>
      <c r="K20" s="575"/>
      <c r="L20" s="35"/>
      <c r="M20" s="62"/>
      <c r="N20" s="35"/>
      <c r="O20" s="62"/>
      <c r="P20" s="35"/>
      <c r="Q20" s="36"/>
      <c r="R20" s="40"/>
      <c r="S20" s="61"/>
    </row>
    <row r="21" spans="1:19" ht="40.049999999999997" customHeight="1" x14ac:dyDescent="0.45">
      <c r="A21" s="573" t="s">
        <v>376</v>
      </c>
      <c r="B21" s="574" t="s">
        <v>501</v>
      </c>
      <c r="C21" s="574" t="s">
        <v>503</v>
      </c>
      <c r="E21" s="575">
        <v>0.65972222222222221</v>
      </c>
      <c r="F21" s="576">
        <f t="shared" si="4"/>
        <v>1.3888888888888888E-2</v>
      </c>
      <c r="G21" s="575">
        <f>E21+F21</f>
        <v>0.67361111111111105</v>
      </c>
      <c r="H21" s="577" t="s">
        <v>414</v>
      </c>
      <c r="I21" s="575" t="str">
        <f>VLOOKUP(H21,'Liste chauffeur'!$B$5:$L$19,2,TRUE)&amp;" "&amp;VLOOKUP(H21,'Liste chauffeur'!$B$5:$L$19,3,TRUE)</f>
        <v>ATTOUMANI Kamaldine</v>
      </c>
      <c r="J21" s="53"/>
      <c r="K21" s="575">
        <f>E22-G21</f>
        <v>1.3888888888888951E-2</v>
      </c>
      <c r="L21" s="35"/>
      <c r="M21" s="62"/>
      <c r="N21" s="35"/>
      <c r="O21" s="62"/>
      <c r="P21" s="35"/>
      <c r="Q21" s="36"/>
      <c r="R21" s="40"/>
      <c r="S21" s="61"/>
    </row>
    <row r="22" spans="1:19" ht="34.5" customHeight="1" x14ac:dyDescent="0.45">
      <c r="A22" s="573" t="s">
        <v>376</v>
      </c>
      <c r="B22" s="574" t="s">
        <v>501</v>
      </c>
      <c r="C22" s="574" t="s">
        <v>503</v>
      </c>
      <c r="E22" s="575">
        <v>0.6875</v>
      </c>
      <c r="F22" s="576">
        <f t="shared" si="4"/>
        <v>1.3888888888888888E-2</v>
      </c>
      <c r="G22" s="575">
        <f>E22+F22</f>
        <v>0.70138888888888884</v>
      </c>
      <c r="H22" s="577" t="s">
        <v>414</v>
      </c>
      <c r="I22" s="575" t="str">
        <f>VLOOKUP(H22,'Liste chauffeur'!$B$5:$L$19,2,TRUE)&amp;" "&amp;VLOOKUP(H22,'Liste chauffeur'!$B$5:$L$19,3,TRUE)</f>
        <v>ATTOUMANI Kamaldine</v>
      </c>
      <c r="K22" s="575"/>
    </row>
    <row r="23" spans="1:19" ht="40.049999999999997" customHeight="1" x14ac:dyDescent="0.45">
      <c r="A23" s="562" t="s">
        <v>501</v>
      </c>
      <c r="B23" s="563" t="s">
        <v>376</v>
      </c>
      <c r="C23" s="563" t="s">
        <v>504</v>
      </c>
      <c r="E23" s="564">
        <v>0.76041666666666663</v>
      </c>
      <c r="F23" s="564">
        <f t="shared" si="0"/>
        <v>8.3333333333333332E-3</v>
      </c>
      <c r="G23" s="564">
        <f t="shared" si="3"/>
        <v>0.76874999999999993</v>
      </c>
      <c r="H23" s="566" t="s">
        <v>384</v>
      </c>
      <c r="I23" s="564" t="str">
        <f>VLOOKUP(H23,'Liste chauffeur'!$B$5:$L$19,2,TRUE)&amp;" "&amp;VLOOKUP(H23,'Liste chauffeur'!$B$5:$L$19,3,TRUE)</f>
        <v>SAID ALI Kamile</v>
      </c>
      <c r="J23" s="53"/>
      <c r="K23" s="564">
        <f>E25-G23</f>
        <v>1.2500000000000067E-2</v>
      </c>
      <c r="L23" s="35"/>
      <c r="M23" s="62"/>
      <c r="N23" s="35"/>
      <c r="O23" s="62"/>
      <c r="P23" s="35"/>
      <c r="Q23" s="36"/>
      <c r="R23" s="40"/>
      <c r="S23" s="61"/>
    </row>
    <row r="24" spans="1:19" ht="40.049999999999997" customHeight="1" x14ac:dyDescent="0.45">
      <c r="A24" s="562" t="s">
        <v>376</v>
      </c>
      <c r="B24" s="563" t="s">
        <v>501</v>
      </c>
      <c r="C24" s="574" t="s">
        <v>503</v>
      </c>
      <c r="E24" s="564">
        <v>0.76041666666666663</v>
      </c>
      <c r="F24" s="576">
        <f t="shared" si="4"/>
        <v>1.3888888888888888E-2</v>
      </c>
      <c r="G24" s="564">
        <f>E24+F24</f>
        <v>0.77430555555555547</v>
      </c>
      <c r="H24" s="566" t="s">
        <v>414</v>
      </c>
      <c r="I24" s="564" t="str">
        <f>VLOOKUP(H24,'Liste chauffeur'!$B$5:$L$19,2,TRUE)&amp;" "&amp;VLOOKUP(H24,'Liste chauffeur'!$B$5:$L$19,3,TRUE)</f>
        <v>ATTOUMANI Kamaldine</v>
      </c>
      <c r="J24" s="53"/>
      <c r="K24" s="564"/>
      <c r="L24" s="35"/>
      <c r="M24" s="62"/>
      <c r="N24" s="35"/>
      <c r="O24" s="62"/>
      <c r="P24" s="35"/>
      <c r="Q24" s="36"/>
      <c r="R24" s="40"/>
      <c r="S24" s="61"/>
    </row>
    <row r="25" spans="1:19" ht="40.049999999999997" customHeight="1" x14ac:dyDescent="0.45">
      <c r="A25" s="562" t="s">
        <v>501</v>
      </c>
      <c r="B25" s="563" t="s">
        <v>376</v>
      </c>
      <c r="C25" s="563" t="s">
        <v>504</v>
      </c>
      <c r="E25" s="564">
        <v>0.78125</v>
      </c>
      <c r="F25" s="565">
        <f t="shared" si="0"/>
        <v>8.3333333333333332E-3</v>
      </c>
      <c r="G25" s="564">
        <f t="shared" si="3"/>
        <v>0.7895833333333333</v>
      </c>
      <c r="H25" s="566" t="s">
        <v>414</v>
      </c>
      <c r="I25" s="564" t="str">
        <f>VLOOKUP(H25,'Liste chauffeur'!$B$5:$L$19,2,TRUE)&amp;" "&amp;VLOOKUP(H25,'Liste chauffeur'!$B$5:$L$19,3,TRUE)</f>
        <v>ATTOUMANI Kamaldine</v>
      </c>
      <c r="J25" s="53"/>
      <c r="K25" s="564">
        <f>E27-G25</f>
        <v>1.9444444444444486E-2</v>
      </c>
      <c r="L25" s="35"/>
      <c r="M25" s="62"/>
      <c r="N25" s="35"/>
      <c r="O25" s="62"/>
      <c r="P25" s="35"/>
      <c r="Q25" s="36"/>
      <c r="R25" s="40"/>
      <c r="S25" s="61"/>
    </row>
    <row r="26" spans="1:19" ht="40.049999999999997" customHeight="1" x14ac:dyDescent="0.45">
      <c r="A26" s="562" t="s">
        <v>376</v>
      </c>
      <c r="B26" s="563" t="s">
        <v>501</v>
      </c>
      <c r="C26" s="574" t="s">
        <v>503</v>
      </c>
      <c r="E26" s="564">
        <v>0.78125</v>
      </c>
      <c r="F26" s="576">
        <f t="shared" si="4"/>
        <v>1.3888888888888888E-2</v>
      </c>
      <c r="G26" s="564">
        <f>E26+F26</f>
        <v>0.79513888888888884</v>
      </c>
      <c r="H26" s="566" t="s">
        <v>384</v>
      </c>
      <c r="I26" s="564" t="str">
        <f>VLOOKUP(H26,'Liste chauffeur'!$B$5:$L$19,2,TRUE)&amp;" "&amp;VLOOKUP(H26,'Liste chauffeur'!$B$5:$L$19,3,TRUE)</f>
        <v>SAID ALI Kamile</v>
      </c>
      <c r="J26" s="53"/>
      <c r="K26" s="564"/>
      <c r="L26" s="35"/>
      <c r="M26" s="62"/>
      <c r="N26" s="35"/>
      <c r="O26" s="62"/>
      <c r="P26" s="35"/>
      <c r="Q26" s="36"/>
      <c r="R26" s="40"/>
      <c r="S26" s="61"/>
    </row>
    <row r="27" spans="1:19" ht="40.049999999999997" customHeight="1" x14ac:dyDescent="0.45">
      <c r="A27" s="562" t="s">
        <v>663</v>
      </c>
      <c r="B27" s="563" t="s">
        <v>376</v>
      </c>
      <c r="C27" s="563" t="s">
        <v>504</v>
      </c>
      <c r="D27" s="563" t="s">
        <v>381</v>
      </c>
      <c r="E27" s="564">
        <v>0.80902777777777779</v>
      </c>
      <c r="F27" s="565">
        <f t="shared" si="0"/>
        <v>8.3333333333333332E-3</v>
      </c>
      <c r="G27" s="564">
        <f t="shared" si="3"/>
        <v>0.81736111111111109</v>
      </c>
      <c r="H27" s="566" t="s">
        <v>414</v>
      </c>
      <c r="I27" s="564" t="str">
        <f>VLOOKUP(H27,'Liste chauffeur'!$B$5:$L$19,2,TRUE)&amp;" "&amp;VLOOKUP(H27,'Liste chauffeur'!$B$5:$L$19,3,TRUE)</f>
        <v>ATTOUMANI Kamaldine</v>
      </c>
      <c r="J27" s="578">
        <v>5</v>
      </c>
      <c r="K27" s="564"/>
      <c r="L27" s="35"/>
      <c r="M27" s="62"/>
      <c r="N27" s="35"/>
      <c r="O27" s="62"/>
      <c r="P27" s="35"/>
      <c r="Q27" s="36"/>
      <c r="R27" s="40"/>
      <c r="S27" s="61"/>
    </row>
    <row r="28" spans="1:19" ht="40.049999999999997" customHeight="1" x14ac:dyDescent="0.45">
      <c r="A28" s="562" t="s">
        <v>376</v>
      </c>
      <c r="B28" s="563" t="s">
        <v>501</v>
      </c>
      <c r="C28" s="574" t="s">
        <v>503</v>
      </c>
      <c r="E28" s="564">
        <v>0.82291666666666663</v>
      </c>
      <c r="F28" s="576">
        <f>IF(C28="DIRECT",F$5,F$4)</f>
        <v>1.3888888888888888E-2</v>
      </c>
      <c r="G28" s="564">
        <f>E28+F28</f>
        <v>0.83680555555555547</v>
      </c>
      <c r="H28" s="566" t="s">
        <v>414</v>
      </c>
      <c r="I28" s="564" t="str">
        <f>VLOOKUP(H28,'Liste chauffeur'!$B$5:$L$19,2,TRUE)&amp;" "&amp;VLOOKUP(H28,'Liste chauffeur'!$B$5:$L$19,3,TRUE)</f>
        <v>ATTOUMANI Kamaldine</v>
      </c>
      <c r="J28" s="53"/>
      <c r="K28" s="564"/>
      <c r="L28" s="35"/>
      <c r="M28" s="62"/>
      <c r="N28" s="35"/>
      <c r="O28" s="62"/>
      <c r="P28" s="35"/>
      <c r="Q28" s="36"/>
      <c r="R28" s="40"/>
      <c r="S28" s="61"/>
    </row>
    <row r="29" spans="1:19" x14ac:dyDescent="0.45">
      <c r="A29" s="8"/>
      <c r="B29" s="11"/>
      <c r="C29" s="11"/>
      <c r="D29" s="1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9"/>
      <c r="R29" s="42"/>
      <c r="S29" s="6"/>
    </row>
    <row r="30" spans="1:19" x14ac:dyDescent="0.45">
      <c r="F30" s="395">
        <f>SUBTOTAL(9,F8:F29)</f>
        <v>0.23611111111111113</v>
      </c>
      <c r="K30" s="395">
        <f>SUBTOTAL(9,K8:K29)</f>
        <v>0.19305555555555565</v>
      </c>
    </row>
    <row r="31" spans="1:19" x14ac:dyDescent="0.45">
      <c r="N31" t="s">
        <v>322</v>
      </c>
    </row>
  </sheetData>
  <autoFilter ref="A7:P28" xr:uid="{E15BAD97-4E2F-4149-89CB-3FE52EBB9FA2}"/>
  <pageMargins left="0.23622047244094491" right="0.23622047244094491" top="0.74803149606299213" bottom="0.74803149606299213" header="0.31496062992125984" footer="0.31496062992125984"/>
  <pageSetup paperSize="9" scale="4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2D8A-3973-4CD4-8077-21A82E2E7A5B}">
  <sheetPr>
    <pageSetUpPr fitToPage="1"/>
  </sheetPr>
  <dimension ref="A3:S20"/>
  <sheetViews>
    <sheetView topLeftCell="A2" zoomScale="87" zoomScaleNormal="87" workbookViewId="0">
      <selection activeCell="H9" sqref="H9"/>
    </sheetView>
  </sheetViews>
  <sheetFormatPr baseColWidth="10" defaultRowHeight="14.25" x14ac:dyDescent="0.45"/>
  <cols>
    <col min="1" max="3" width="11.796875" customWidth="1"/>
    <col min="4" max="4" width="11.796875" hidden="1" customWidth="1"/>
    <col min="9" max="9" width="24.6640625" customWidth="1"/>
    <col min="10" max="10" width="8.33203125" hidden="1" customWidth="1"/>
    <col min="11" max="11" width="10.1328125" customWidth="1"/>
    <col min="12" max="12" width="9.6640625" customWidth="1"/>
    <col min="13" max="13" width="10" customWidth="1"/>
    <col min="14" max="14" width="19.46484375" customWidth="1"/>
    <col min="15" max="15" width="9.796875" customWidth="1"/>
    <col min="16" max="16" width="19.46484375" customWidth="1"/>
    <col min="19" max="19" width="34.796875" customWidth="1"/>
  </cols>
  <sheetData>
    <row r="3" spans="1:19" x14ac:dyDescent="0.45">
      <c r="A3" t="s">
        <v>14</v>
      </c>
      <c r="F3" s="35">
        <v>1.3888888888888888E-2</v>
      </c>
      <c r="I3" s="226" t="s">
        <v>370</v>
      </c>
      <c r="J3" s="226"/>
      <c r="K3" s="226"/>
      <c r="L3" s="226"/>
    </row>
    <row r="4" spans="1:19" x14ac:dyDescent="0.45">
      <c r="A4" t="s">
        <v>13</v>
      </c>
      <c r="F4" s="35">
        <v>1.7361111111111112E-2</v>
      </c>
      <c r="G4" s="35"/>
    </row>
    <row r="5" spans="1:19" x14ac:dyDescent="0.45">
      <c r="F5" s="35">
        <v>8.3333333333333332E-3</v>
      </c>
      <c r="G5" s="35"/>
    </row>
    <row r="6" spans="1:19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5"/>
    </row>
    <row r="7" spans="1:19" ht="42.75" x14ac:dyDescent="0.45">
      <c r="A7" s="8" t="s">
        <v>375</v>
      </c>
      <c r="B7" s="11" t="s">
        <v>337</v>
      </c>
      <c r="C7" s="3" t="s">
        <v>502</v>
      </c>
      <c r="D7" s="11" t="s">
        <v>379</v>
      </c>
      <c r="E7" s="3" t="s">
        <v>0</v>
      </c>
      <c r="F7" s="3" t="s">
        <v>377</v>
      </c>
      <c r="G7" s="3" t="s">
        <v>383</v>
      </c>
      <c r="H7" s="3" t="s">
        <v>25</v>
      </c>
      <c r="I7" s="3" t="s">
        <v>26</v>
      </c>
      <c r="J7" s="3" t="s">
        <v>354</v>
      </c>
      <c r="K7" s="3" t="s">
        <v>353</v>
      </c>
      <c r="L7" s="3" t="s">
        <v>355</v>
      </c>
      <c r="M7" s="3" t="s">
        <v>52</v>
      </c>
      <c r="N7" s="3" t="s">
        <v>53</v>
      </c>
      <c r="O7" s="3" t="s">
        <v>54</v>
      </c>
      <c r="P7" s="3" t="s">
        <v>55</v>
      </c>
      <c r="Q7" s="18" t="s">
        <v>1</v>
      </c>
      <c r="R7" s="4" t="s">
        <v>3</v>
      </c>
      <c r="S7" s="6" t="s">
        <v>12</v>
      </c>
    </row>
    <row r="8" spans="1:19" ht="24.75" customHeight="1" x14ac:dyDescent="0.45">
      <c r="A8" s="14" t="s">
        <v>501</v>
      </c>
      <c r="B8" t="s">
        <v>376</v>
      </c>
      <c r="C8" t="s">
        <v>503</v>
      </c>
      <c r="D8" t="s">
        <v>381</v>
      </c>
      <c r="E8" s="395">
        <v>0.23958333333333334</v>
      </c>
      <c r="F8" s="395">
        <f>F4</f>
        <v>1.7361111111111112E-2</v>
      </c>
      <c r="G8" s="395">
        <f t="shared" ref="G8:G17" si="0">E8+F8</f>
        <v>0.25694444444444448</v>
      </c>
      <c r="H8" s="335" t="s">
        <v>382</v>
      </c>
      <c r="I8" s="35" t="str">
        <f>VLOOKUP(H8,'Liste chauffeur'!$B$5:$L$19,2,TRUE)&amp;" "&amp;VLOOKUP(H8,'Liste chauffeur'!$B$5:$L$19,3,TRUE)</f>
        <v>CHAMSSOUNE Ahmed</v>
      </c>
      <c r="J8" s="53">
        <v>1</v>
      </c>
      <c r="K8" s="35">
        <f>E9-G8</f>
        <v>3.4722222222222099E-3</v>
      </c>
      <c r="L8" s="35"/>
      <c r="M8" s="51"/>
      <c r="N8" s="51"/>
      <c r="O8" s="51"/>
      <c r="P8" s="51"/>
      <c r="Q8" s="333"/>
      <c r="R8" s="334"/>
      <c r="S8" s="61"/>
    </row>
    <row r="9" spans="1:19" ht="24.75" customHeight="1" x14ac:dyDescent="0.45">
      <c r="A9" s="14" t="s">
        <v>376</v>
      </c>
      <c r="B9" t="s">
        <v>501</v>
      </c>
      <c r="C9" t="s">
        <v>504</v>
      </c>
      <c r="D9" t="s">
        <v>381</v>
      </c>
      <c r="E9" s="395">
        <v>0.26041666666666669</v>
      </c>
      <c r="F9" s="395">
        <f t="shared" ref="F9:F14" si="1">IF(D9="L1",F$5,F$4)</f>
        <v>8.3333333333333332E-3</v>
      </c>
      <c r="G9" s="395">
        <f t="shared" si="0"/>
        <v>0.26875000000000004</v>
      </c>
      <c r="H9" s="335" t="str">
        <f>H$8</f>
        <v>H2</v>
      </c>
      <c r="I9" s="35" t="str">
        <f>VLOOKUP(H9,'Liste chauffeur'!$B$5:$L$19,2,TRUE)&amp;" "&amp;VLOOKUP(H9,'Liste chauffeur'!$B$5:$L$19,3,TRUE)</f>
        <v>CHAMSSOUNE Ahmed</v>
      </c>
      <c r="J9" s="53">
        <v>2</v>
      </c>
      <c r="K9" s="35">
        <f>E10-G9</f>
        <v>1.2499999999999956E-2</v>
      </c>
      <c r="L9" s="35"/>
      <c r="M9" s="51"/>
      <c r="N9" s="51"/>
      <c r="O9" s="51"/>
      <c r="P9" s="51"/>
      <c r="Q9" s="333"/>
      <c r="R9" s="334"/>
      <c r="S9" s="61"/>
    </row>
    <row r="10" spans="1:19" ht="40.049999999999997" customHeight="1" x14ac:dyDescent="0.45">
      <c r="A10" s="14" t="s">
        <v>501</v>
      </c>
      <c r="B10" t="s">
        <v>376</v>
      </c>
      <c r="C10" t="s">
        <v>503</v>
      </c>
      <c r="D10" t="s">
        <v>381</v>
      </c>
      <c r="E10" s="396">
        <v>0.28125</v>
      </c>
      <c r="F10" s="395">
        <f>F4</f>
        <v>1.7361111111111112E-2</v>
      </c>
      <c r="G10" s="395">
        <f t="shared" si="0"/>
        <v>0.2986111111111111</v>
      </c>
      <c r="H10" s="335" t="str">
        <f t="shared" ref="H10:H17" si="2">H$8</f>
        <v>H2</v>
      </c>
      <c r="I10" s="35" t="str">
        <f>VLOOKUP(H10,'Liste chauffeur'!$B$5:$L$19,2,TRUE)&amp;" "&amp;VLOOKUP(H10,'Liste chauffeur'!$B$5:$L$19,3,TRUE)</f>
        <v>CHAMSSOUNE Ahmed</v>
      </c>
      <c r="J10" s="53">
        <v>3</v>
      </c>
      <c r="K10" s="35">
        <f>E11-G10</f>
        <v>3.4722222222222099E-3</v>
      </c>
      <c r="L10" s="35"/>
      <c r="M10" s="62"/>
      <c r="N10" s="35"/>
      <c r="O10" s="62"/>
      <c r="P10" s="35"/>
      <c r="Q10" s="36"/>
      <c r="R10" s="40"/>
      <c r="S10" s="61"/>
    </row>
    <row r="11" spans="1:19" ht="40.049999999999997" customHeight="1" x14ac:dyDescent="0.45">
      <c r="A11" s="14" t="s">
        <v>376</v>
      </c>
      <c r="B11" t="s">
        <v>501</v>
      </c>
      <c r="C11" t="s">
        <v>504</v>
      </c>
      <c r="D11" t="s">
        <v>381</v>
      </c>
      <c r="E11" s="396">
        <v>0.30208333333333331</v>
      </c>
      <c r="F11" s="396">
        <f>F5</f>
        <v>8.3333333333333332E-3</v>
      </c>
      <c r="G11" s="396">
        <f t="shared" si="0"/>
        <v>0.31041666666666667</v>
      </c>
      <c r="H11" s="335" t="str">
        <f t="shared" si="2"/>
        <v>H2</v>
      </c>
      <c r="I11" s="35" t="str">
        <f>VLOOKUP(H11,'Liste chauffeur'!$B$5:$L$19,2,TRUE)&amp;" "&amp;VLOOKUP(H11,'Liste chauffeur'!$B$5:$L$19,3,TRUE)</f>
        <v>CHAMSSOUNE Ahmed</v>
      </c>
      <c r="J11" s="53">
        <v>3</v>
      </c>
      <c r="K11" s="35">
        <f>E12-G11</f>
        <v>2.0833333333333259E-3</v>
      </c>
      <c r="L11" s="35"/>
      <c r="M11" s="62"/>
      <c r="N11" s="35"/>
      <c r="O11" s="62"/>
      <c r="P11" s="35"/>
      <c r="Q11" s="36"/>
      <c r="R11" s="40"/>
      <c r="S11" s="61"/>
    </row>
    <row r="12" spans="1:19" ht="40.049999999999997" customHeight="1" x14ac:dyDescent="0.45">
      <c r="A12" s="14" t="s">
        <v>501</v>
      </c>
      <c r="B12" t="s">
        <v>376</v>
      </c>
      <c r="C12" t="s">
        <v>503</v>
      </c>
      <c r="D12" t="s">
        <v>380</v>
      </c>
      <c r="E12" s="396">
        <v>0.3125</v>
      </c>
      <c r="F12" s="35">
        <f>F4</f>
        <v>1.7361111111111112E-2</v>
      </c>
      <c r="G12" s="35">
        <f t="shared" si="0"/>
        <v>0.3298611111111111</v>
      </c>
      <c r="H12" s="335" t="str">
        <f t="shared" si="2"/>
        <v>H2</v>
      </c>
      <c r="I12" s="35" t="str">
        <f>VLOOKUP(H12,'Liste chauffeur'!$B$5:$L$19,2,TRUE)&amp;" "&amp;VLOOKUP(H12,'Liste chauffeur'!$B$5:$L$19,3,TRUE)</f>
        <v>CHAMSSOUNE Ahmed</v>
      </c>
      <c r="J12" s="53">
        <v>5</v>
      </c>
      <c r="K12" s="35"/>
      <c r="L12" s="35"/>
      <c r="M12" s="62"/>
      <c r="N12" s="35"/>
      <c r="O12" s="62"/>
      <c r="P12" s="35"/>
      <c r="Q12" s="36"/>
      <c r="R12" s="40"/>
      <c r="S12" s="61"/>
    </row>
    <row r="13" spans="1:19" ht="40.049999999999997" customHeight="1" x14ac:dyDescent="0.45">
      <c r="A13" s="14" t="s">
        <v>501</v>
      </c>
      <c r="B13" t="s">
        <v>376</v>
      </c>
      <c r="C13" t="s">
        <v>504</v>
      </c>
      <c r="D13" t="s">
        <v>380</v>
      </c>
      <c r="E13" s="35">
        <v>0.58333333333333337</v>
      </c>
      <c r="F13" s="35">
        <f>F5</f>
        <v>8.3333333333333332E-3</v>
      </c>
      <c r="G13" s="35">
        <f t="shared" si="0"/>
        <v>0.59166666666666667</v>
      </c>
      <c r="H13" s="335" t="str">
        <f t="shared" si="2"/>
        <v>H2</v>
      </c>
      <c r="I13" s="35" t="str">
        <f>VLOOKUP(H13,'Liste chauffeur'!$B$5:$L$19,2,TRUE)&amp;" "&amp;VLOOKUP(H13,'Liste chauffeur'!$B$5:$L$19,3,TRUE)</f>
        <v>CHAMSSOUNE Ahmed</v>
      </c>
      <c r="J13" s="53">
        <v>4</v>
      </c>
      <c r="K13" s="35">
        <f>E14-G13</f>
        <v>3.3333333333333326E-2</v>
      </c>
      <c r="L13" s="35"/>
      <c r="M13" s="62"/>
      <c r="N13" s="35"/>
      <c r="O13" s="62"/>
      <c r="P13" s="35"/>
      <c r="Q13" s="36"/>
      <c r="R13" s="40"/>
      <c r="S13" s="61"/>
    </row>
    <row r="14" spans="1:19" ht="40.049999999999997" customHeight="1" x14ac:dyDescent="0.45">
      <c r="A14" s="14" t="s">
        <v>501</v>
      </c>
      <c r="B14" t="s">
        <v>376</v>
      </c>
      <c r="C14" t="s">
        <v>504</v>
      </c>
      <c r="D14" t="s">
        <v>381</v>
      </c>
      <c r="E14" s="396">
        <v>0.625</v>
      </c>
      <c r="F14" s="396">
        <f t="shared" si="1"/>
        <v>8.3333333333333332E-3</v>
      </c>
      <c r="G14" s="396">
        <f t="shared" si="0"/>
        <v>0.6333333333333333</v>
      </c>
      <c r="H14" s="335" t="str">
        <f t="shared" si="2"/>
        <v>H2</v>
      </c>
      <c r="I14" s="35" t="str">
        <f>VLOOKUP(H14,'Liste chauffeur'!$B$5:$L$19,2,TRUE)&amp;" "&amp;VLOOKUP(H14,'Liste chauffeur'!$B$5:$L$19,3,TRUE)</f>
        <v>CHAMSSOUNE Ahmed</v>
      </c>
      <c r="J14" s="53">
        <v>5</v>
      </c>
      <c r="K14" s="35"/>
      <c r="L14" s="35"/>
      <c r="M14" s="62"/>
      <c r="N14" s="35"/>
      <c r="O14" s="62"/>
      <c r="P14" s="35"/>
      <c r="Q14" s="36"/>
      <c r="R14" s="40"/>
      <c r="S14" s="61"/>
    </row>
    <row r="15" spans="1:19" ht="40.049999999999997" customHeight="1" x14ac:dyDescent="0.45">
      <c r="A15" s="14" t="s">
        <v>501</v>
      </c>
      <c r="B15" t="s">
        <v>376</v>
      </c>
      <c r="C15" t="s">
        <v>503</v>
      </c>
      <c r="D15" t="s">
        <v>381</v>
      </c>
      <c r="E15" s="396">
        <v>0.76041666666666663</v>
      </c>
      <c r="F15" s="396">
        <f>F3</f>
        <v>1.3888888888888888E-2</v>
      </c>
      <c r="G15" s="396">
        <f t="shared" si="0"/>
        <v>0.77430555555555547</v>
      </c>
      <c r="H15" s="335" t="str">
        <f t="shared" si="2"/>
        <v>H2</v>
      </c>
      <c r="I15" s="35" t="str">
        <f>VLOOKUP(H15,'Liste chauffeur'!$B$5:$L$19,2,TRUE)&amp;" "&amp;VLOOKUP(H15,'Liste chauffeur'!$B$5:$L$19,3,TRUE)</f>
        <v>CHAMSSOUNE Ahmed</v>
      </c>
      <c r="J15" s="53">
        <v>6</v>
      </c>
      <c r="K15" s="35">
        <f>E16-G15</f>
        <v>6.9444444444445308E-3</v>
      </c>
      <c r="L15" s="35"/>
      <c r="M15" s="62"/>
      <c r="N15" s="35"/>
      <c r="O15" s="62"/>
      <c r="P15" s="35"/>
      <c r="Q15" s="36"/>
      <c r="R15" s="40"/>
      <c r="S15" s="61"/>
    </row>
    <row r="16" spans="1:19" ht="40.049999999999997" customHeight="1" x14ac:dyDescent="0.45">
      <c r="A16" s="14" t="s">
        <v>501</v>
      </c>
      <c r="B16" t="s">
        <v>376</v>
      </c>
      <c r="C16" t="s">
        <v>503</v>
      </c>
      <c r="E16" s="396">
        <v>0.78125</v>
      </c>
      <c r="F16" s="396">
        <f>F3</f>
        <v>1.3888888888888888E-2</v>
      </c>
      <c r="G16" s="396">
        <f t="shared" si="0"/>
        <v>0.79513888888888884</v>
      </c>
      <c r="H16" s="335" t="str">
        <f t="shared" si="2"/>
        <v>H2</v>
      </c>
      <c r="I16" s="35" t="str">
        <f>VLOOKUP(H16,'Liste chauffeur'!$B$5:$L$19,2,TRUE)&amp;" "&amp;VLOOKUP(H16,'Liste chauffeur'!$B$5:$L$19,3,TRUE)</f>
        <v>CHAMSSOUNE Ahmed</v>
      </c>
      <c r="J16" s="53"/>
      <c r="K16" s="35">
        <f>E17-G16</f>
        <v>1.736111111111116E-2</v>
      </c>
      <c r="L16" s="35"/>
      <c r="M16" s="62"/>
      <c r="N16" s="35"/>
      <c r="O16" s="62"/>
      <c r="P16" s="35"/>
      <c r="Q16" s="36"/>
      <c r="R16" s="40"/>
      <c r="S16" s="61"/>
    </row>
    <row r="17" spans="1:19" ht="40.049999999999997" customHeight="1" x14ac:dyDescent="0.45">
      <c r="A17" s="14" t="s">
        <v>501</v>
      </c>
      <c r="B17" t="s">
        <v>376</v>
      </c>
      <c r="C17" t="s">
        <v>503</v>
      </c>
      <c r="D17" t="s">
        <v>381</v>
      </c>
      <c r="E17" s="35">
        <v>0.8125</v>
      </c>
      <c r="F17" s="35">
        <f>F4</f>
        <v>1.7361111111111112E-2</v>
      </c>
      <c r="G17" s="35">
        <f t="shared" si="0"/>
        <v>0.82986111111111116</v>
      </c>
      <c r="H17" s="335" t="str">
        <f t="shared" si="2"/>
        <v>H2</v>
      </c>
      <c r="I17" s="35" t="str">
        <f>VLOOKUP(H17,'Liste chauffeur'!$B$5:$L$19,2,TRUE)&amp;" "&amp;VLOOKUP(H17,'Liste chauffeur'!$B$5:$L$19,3,TRUE)</f>
        <v>CHAMSSOUNE Ahmed</v>
      </c>
      <c r="J17" s="53">
        <v>5</v>
      </c>
      <c r="K17" s="35"/>
      <c r="L17" s="35"/>
      <c r="M17" s="62"/>
      <c r="N17" s="35"/>
      <c r="O17" s="62"/>
      <c r="P17" s="35"/>
      <c r="Q17" s="36"/>
      <c r="R17" s="40"/>
      <c r="S17" s="61"/>
    </row>
    <row r="18" spans="1:19" x14ac:dyDescent="0.45">
      <c r="A18" s="8"/>
      <c r="B18" s="11"/>
      <c r="C18" s="11"/>
      <c r="D18" s="11"/>
      <c r="E18" s="15"/>
      <c r="F18" s="15"/>
      <c r="G18" s="15"/>
      <c r="H18" s="335"/>
      <c r="I18" s="15"/>
      <c r="J18" s="15"/>
      <c r="K18" s="15"/>
      <c r="L18" s="15"/>
      <c r="M18" s="15"/>
      <c r="N18" s="15"/>
      <c r="O18" s="15"/>
      <c r="P18" s="15"/>
      <c r="Q18" s="19"/>
      <c r="R18" s="42"/>
      <c r="S18" s="6"/>
    </row>
    <row r="20" spans="1:19" x14ac:dyDescent="0.45">
      <c r="N20" t="s">
        <v>322</v>
      </c>
    </row>
  </sheetData>
  <autoFilter ref="A7:P17" xr:uid="{E15BAD97-4E2F-4149-89CB-3FE52EBB9FA2}"/>
  <pageMargins left="0.23622047244094491" right="0.23622047244094491" top="0.74803149606299213" bottom="0.74803149606299213" header="0.31496062992125984" footer="0.31496062992125984"/>
  <pageSetup paperSize="9" scale="4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2458-2003-48DC-B237-A3D1C00A5FF1}">
  <sheetPr>
    <pageSetUpPr fitToPage="1"/>
  </sheetPr>
  <dimension ref="A2:U49"/>
  <sheetViews>
    <sheetView workbookViewId="0">
      <selection activeCell="AA69" sqref="AA68:AA69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5.7968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36</v>
      </c>
    </row>
    <row r="3" spans="1:21" ht="27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30.5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hidden="1" customHeight="1" x14ac:dyDescent="0.45">
      <c r="A35" s="164" t="s">
        <v>11</v>
      </c>
      <c r="B35" s="15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hidden="1" customHeight="1" x14ac:dyDescent="0.45">
      <c r="A36" s="164" t="s">
        <v>11</v>
      </c>
      <c r="B36" s="15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4" orientation="landscape" copies="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EB4D-F718-4463-8F73-B159E929A216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5.66406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3.25" x14ac:dyDescent="0.45">
      <c r="A2" s="137" t="s">
        <v>18</v>
      </c>
      <c r="B2" s="250" t="s">
        <v>27</v>
      </c>
    </row>
    <row r="3" spans="1:21" ht="27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6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hidden="1" customHeight="1" x14ac:dyDescent="0.45">
      <c r="A35" s="164" t="s">
        <v>11</v>
      </c>
      <c r="B35" s="15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hidden="1" customHeight="1" x14ac:dyDescent="0.45">
      <c r="A36" s="164" t="s">
        <v>11</v>
      </c>
      <c r="B36" s="15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4" orientation="landscape" copies="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B257-CB14-40D4-999B-F7A347496F8B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2" width="10.796875" style="137"/>
    <col min="3" max="3" width="12.1328125" style="137" customWidth="1"/>
    <col min="4" max="4" width="10.796875" style="137"/>
    <col min="5" max="5" width="11" style="137" customWidth="1"/>
    <col min="6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1328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48</v>
      </c>
    </row>
    <row r="3" spans="1:21" ht="27.5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6.55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69.7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42" t="s">
        <v>325</v>
      </c>
      <c r="G7" s="243" t="s">
        <v>5</v>
      </c>
      <c r="H7" s="244" t="s">
        <v>19</v>
      </c>
      <c r="I7" s="235" t="s">
        <v>127</v>
      </c>
      <c r="J7" s="242" t="s">
        <v>325</v>
      </c>
      <c r="K7" s="243" t="s">
        <v>9</v>
      </c>
      <c r="L7" s="244" t="s">
        <v>19</v>
      </c>
      <c r="M7" s="235" t="s">
        <v>127</v>
      </c>
      <c r="N7" s="242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hidden="1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customHeight="1" x14ac:dyDescent="0.45">
      <c r="A35" s="164" t="s">
        <v>11</v>
      </c>
      <c r="B35" s="15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hidden="1" customHeight="1" x14ac:dyDescent="0.45">
      <c r="A36" s="164" t="s">
        <v>11</v>
      </c>
      <c r="B36" s="15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2" orientation="landscape" copies="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8723-891B-48B6-8207-A94330A8E953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6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49</v>
      </c>
    </row>
    <row r="3" spans="1:21" ht="31.05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3" customHeight="1" x14ac:dyDescent="0.45">
      <c r="A4" s="137" t="s">
        <v>13</v>
      </c>
      <c r="B4" s="251" t="s">
        <v>326</v>
      </c>
      <c r="C4" s="139"/>
      <c r="D4" s="140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customHeight="1" x14ac:dyDescent="0.45">
      <c r="A10" s="198" t="s">
        <v>8</v>
      </c>
      <c r="B10" s="173">
        <v>0.22222222222222199</v>
      </c>
      <c r="C10" s="174"/>
      <c r="D10" s="211"/>
      <c r="E10" s="201"/>
      <c r="F10" s="202"/>
      <c r="G10" s="200"/>
      <c r="H10" s="173">
        <f t="shared" si="0"/>
        <v>0</v>
      </c>
      <c r="I10" s="201"/>
      <c r="J10" s="202"/>
      <c r="K10" s="200"/>
      <c r="L10" s="173">
        <f t="shared" si="1"/>
        <v>0</v>
      </c>
      <c r="M10" s="201"/>
      <c r="N10" s="202"/>
      <c r="O10" s="200"/>
      <c r="P10" s="173">
        <f t="shared" si="2"/>
        <v>0</v>
      </c>
      <c r="Q10" s="201"/>
      <c r="R10" s="203"/>
      <c r="S10" s="200"/>
      <c r="T10" s="176"/>
      <c r="U10" s="189">
        <f t="shared" si="3"/>
        <v>0</v>
      </c>
    </row>
    <row r="11" spans="1:21" ht="40.049999999999997" hidden="1" customHeight="1" x14ac:dyDescent="0.45">
      <c r="A11" s="149" t="s">
        <v>8</v>
      </c>
      <c r="B11" s="138">
        <v>0.22916666666666699</v>
      </c>
      <c r="C11" s="150"/>
      <c r="D11" s="151"/>
      <c r="E11" s="183"/>
      <c r="F11" s="184"/>
      <c r="G11" s="185"/>
      <c r="H11" s="138">
        <f t="shared" si="0"/>
        <v>0</v>
      </c>
      <c r="I11" s="183"/>
      <c r="J11" s="184"/>
      <c r="K11" s="185"/>
      <c r="L11" s="138">
        <f t="shared" si="1"/>
        <v>0</v>
      </c>
      <c r="M11" s="183"/>
      <c r="N11" s="184"/>
      <c r="O11" s="185"/>
      <c r="P11" s="138">
        <f t="shared" si="2"/>
        <v>0</v>
      </c>
      <c r="Q11" s="183"/>
      <c r="R11" s="186"/>
      <c r="S11" s="185"/>
      <c r="T11" s="152"/>
      <c r="U11" s="189">
        <f t="shared" si="3"/>
        <v>0</v>
      </c>
    </row>
    <row r="12" spans="1:21" ht="40.049999999999997" hidden="1" customHeight="1" x14ac:dyDescent="0.45">
      <c r="A12" s="149" t="s">
        <v>8</v>
      </c>
      <c r="B12" s="138">
        <v>0.23611111111111099</v>
      </c>
      <c r="C12" s="150"/>
      <c r="D12" s="151"/>
      <c r="E12" s="183"/>
      <c r="F12" s="184"/>
      <c r="G12" s="185"/>
      <c r="H12" s="138">
        <f t="shared" si="0"/>
        <v>0</v>
      </c>
      <c r="I12" s="183"/>
      <c r="J12" s="184"/>
      <c r="K12" s="185"/>
      <c r="L12" s="138">
        <f t="shared" si="1"/>
        <v>0</v>
      </c>
      <c r="M12" s="183"/>
      <c r="N12" s="184"/>
      <c r="O12" s="185"/>
      <c r="P12" s="138">
        <f t="shared" si="2"/>
        <v>0</v>
      </c>
      <c r="Q12" s="183"/>
      <c r="R12" s="186"/>
      <c r="S12" s="185"/>
      <c r="T12" s="152"/>
      <c r="U12" s="189">
        <f t="shared" si="3"/>
        <v>0</v>
      </c>
    </row>
    <row r="13" spans="1:21" ht="40.049999999999997" hidden="1" customHeight="1" x14ac:dyDescent="0.45">
      <c r="A13" s="149" t="s">
        <v>8</v>
      </c>
      <c r="B13" s="138">
        <v>0.243055555555556</v>
      </c>
      <c r="C13" s="150"/>
      <c r="D13" s="151"/>
      <c r="E13" s="183"/>
      <c r="F13" s="184"/>
      <c r="G13" s="185"/>
      <c r="H13" s="138">
        <f t="shared" si="0"/>
        <v>0</v>
      </c>
      <c r="I13" s="183"/>
      <c r="J13" s="184"/>
      <c r="K13" s="185"/>
      <c r="L13" s="138">
        <f t="shared" si="1"/>
        <v>0</v>
      </c>
      <c r="M13" s="183"/>
      <c r="N13" s="184"/>
      <c r="O13" s="185"/>
      <c r="P13" s="138">
        <f t="shared" si="2"/>
        <v>0</v>
      </c>
      <c r="Q13" s="183"/>
      <c r="R13" s="186"/>
      <c r="S13" s="185"/>
      <c r="T13" s="152"/>
      <c r="U13" s="189">
        <f t="shared" si="3"/>
        <v>0</v>
      </c>
    </row>
    <row r="14" spans="1:21" ht="40.049999999999997" hidden="1" customHeight="1" x14ac:dyDescent="0.45">
      <c r="A14" s="149" t="s">
        <v>8</v>
      </c>
      <c r="B14" s="138">
        <v>0.25</v>
      </c>
      <c r="C14" s="150"/>
      <c r="D14" s="151"/>
      <c r="E14" s="183"/>
      <c r="F14" s="184"/>
      <c r="G14" s="185"/>
      <c r="H14" s="138">
        <f t="shared" si="0"/>
        <v>0</v>
      </c>
      <c r="I14" s="183"/>
      <c r="J14" s="184"/>
      <c r="K14" s="185"/>
      <c r="L14" s="138">
        <f t="shared" si="1"/>
        <v>0</v>
      </c>
      <c r="M14" s="183"/>
      <c r="N14" s="184"/>
      <c r="O14" s="185"/>
      <c r="P14" s="138">
        <f t="shared" si="2"/>
        <v>0</v>
      </c>
      <c r="Q14" s="183"/>
      <c r="R14" s="186"/>
      <c r="S14" s="185"/>
      <c r="T14" s="152"/>
      <c r="U14" s="189">
        <f t="shared" si="3"/>
        <v>0</v>
      </c>
    </row>
    <row r="15" spans="1:21" ht="40.049999999999997" customHeight="1" x14ac:dyDescent="0.45">
      <c r="A15" s="149" t="s">
        <v>8</v>
      </c>
      <c r="B15" s="138">
        <v>0.25694444444444398</v>
      </c>
      <c r="C15" s="150"/>
      <c r="D15" s="151"/>
      <c r="E15" s="183"/>
      <c r="F15" s="184"/>
      <c r="G15" s="185"/>
      <c r="H15" s="138">
        <f t="shared" si="0"/>
        <v>0</v>
      </c>
      <c r="I15" s="183"/>
      <c r="J15" s="184"/>
      <c r="K15" s="185"/>
      <c r="L15" s="138">
        <f t="shared" si="1"/>
        <v>0</v>
      </c>
      <c r="M15" s="183"/>
      <c r="N15" s="184"/>
      <c r="O15" s="185"/>
      <c r="P15" s="138">
        <f t="shared" si="2"/>
        <v>0</v>
      </c>
      <c r="Q15" s="183"/>
      <c r="R15" s="186"/>
      <c r="S15" s="185"/>
      <c r="T15" s="152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hidden="1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customHeight="1" x14ac:dyDescent="0.45">
      <c r="A35" s="172" t="s">
        <v>11</v>
      </c>
      <c r="B35" s="173">
        <v>0.67361111111111105</v>
      </c>
      <c r="C35" s="174"/>
      <c r="D35" s="175"/>
      <c r="E35" s="198"/>
      <c r="F35" s="199"/>
      <c r="G35" s="200"/>
      <c r="H35" s="173">
        <f t="shared" si="0"/>
        <v>0</v>
      </c>
      <c r="I35" s="201"/>
      <c r="J35" s="202"/>
      <c r="K35" s="200"/>
      <c r="L35" s="173">
        <f t="shared" si="4"/>
        <v>0</v>
      </c>
      <c r="M35" s="201"/>
      <c r="N35" s="202"/>
      <c r="O35" s="200"/>
      <c r="P35" s="173">
        <f t="shared" si="5"/>
        <v>0</v>
      </c>
      <c r="Q35" s="201"/>
      <c r="R35" s="203"/>
      <c r="S35" s="200"/>
      <c r="T35" s="176"/>
      <c r="U35" s="189">
        <f t="shared" si="3"/>
        <v>0</v>
      </c>
    </row>
    <row r="36" spans="1:21" ht="39.5" hidden="1" customHeight="1" x14ac:dyDescent="0.45">
      <c r="A36" s="164" t="s">
        <v>11</v>
      </c>
      <c r="B36" s="15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customHeight="1" x14ac:dyDescent="0.45">
      <c r="A42" s="172" t="s">
        <v>11</v>
      </c>
      <c r="B42" s="173">
        <v>0.72222222222222199</v>
      </c>
      <c r="C42" s="174"/>
      <c r="D42" s="175"/>
      <c r="E42" s="198"/>
      <c r="F42" s="199"/>
      <c r="G42" s="200"/>
      <c r="H42" s="173">
        <f t="shared" si="0"/>
        <v>0</v>
      </c>
      <c r="I42" s="201"/>
      <c r="J42" s="202"/>
      <c r="K42" s="200"/>
      <c r="L42" s="173">
        <f t="shared" si="4"/>
        <v>0</v>
      </c>
      <c r="M42" s="201"/>
      <c r="N42" s="202"/>
      <c r="O42" s="200"/>
      <c r="P42" s="173">
        <f t="shared" si="5"/>
        <v>0</v>
      </c>
      <c r="Q42" s="201"/>
      <c r="R42" s="203"/>
      <c r="S42" s="200"/>
      <c r="T42" s="176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700F-113F-482F-9BB9-C3BCD427C298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6.66406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50</v>
      </c>
    </row>
    <row r="3" spans="1:21" ht="33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4.5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246"/>
      <c r="D4" s="247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customHeight="1" x14ac:dyDescent="0.45">
      <c r="A10" s="198" t="s">
        <v>8</v>
      </c>
      <c r="B10" s="173">
        <v>0.22222222222222199</v>
      </c>
      <c r="C10" s="174"/>
      <c r="D10" s="211"/>
      <c r="E10" s="201"/>
      <c r="F10" s="202"/>
      <c r="G10" s="200"/>
      <c r="H10" s="173">
        <f t="shared" si="0"/>
        <v>0</v>
      </c>
      <c r="I10" s="201"/>
      <c r="J10" s="202"/>
      <c r="K10" s="200"/>
      <c r="L10" s="173">
        <f t="shared" si="1"/>
        <v>0</v>
      </c>
      <c r="M10" s="201"/>
      <c r="N10" s="202"/>
      <c r="O10" s="200"/>
      <c r="P10" s="173">
        <f t="shared" si="2"/>
        <v>0</v>
      </c>
      <c r="Q10" s="201"/>
      <c r="R10" s="203"/>
      <c r="S10" s="200"/>
      <c r="T10" s="176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customHeight="1" x14ac:dyDescent="0.45">
      <c r="A31" s="172" t="s">
        <v>11</v>
      </c>
      <c r="B31" s="173">
        <v>0.64583333333333304</v>
      </c>
      <c r="C31" s="174"/>
      <c r="D31" s="175"/>
      <c r="E31" s="198"/>
      <c r="F31" s="199"/>
      <c r="G31" s="200"/>
      <c r="H31" s="173">
        <f t="shared" si="0"/>
        <v>0</v>
      </c>
      <c r="I31" s="201"/>
      <c r="J31" s="202"/>
      <c r="K31" s="200"/>
      <c r="L31" s="173">
        <f t="shared" si="4"/>
        <v>0</v>
      </c>
      <c r="M31" s="201"/>
      <c r="N31" s="202"/>
      <c r="O31" s="200"/>
      <c r="P31" s="173">
        <f t="shared" si="5"/>
        <v>0</v>
      </c>
      <c r="Q31" s="201"/>
      <c r="R31" s="203"/>
      <c r="S31" s="200"/>
      <c r="T31" s="176"/>
      <c r="U31" s="189">
        <f t="shared" si="3"/>
        <v>0</v>
      </c>
    </row>
    <row r="32" spans="1:21" ht="39.5" hidden="1" customHeight="1" x14ac:dyDescent="0.45">
      <c r="A32" s="177" t="s">
        <v>11</v>
      </c>
      <c r="B32" s="138">
        <v>0.65277777777777801</v>
      </c>
      <c r="C32" s="150"/>
      <c r="D32" s="178"/>
      <c r="E32" s="149"/>
      <c r="F32" s="212"/>
      <c r="G32" s="185"/>
      <c r="H32" s="138">
        <f t="shared" si="0"/>
        <v>0</v>
      </c>
      <c r="I32" s="183"/>
      <c r="J32" s="184"/>
      <c r="K32" s="185"/>
      <c r="L32" s="138">
        <f t="shared" si="4"/>
        <v>0</v>
      </c>
      <c r="M32" s="183"/>
      <c r="N32" s="184"/>
      <c r="O32" s="185"/>
      <c r="P32" s="138">
        <f t="shared" si="5"/>
        <v>0</v>
      </c>
      <c r="Q32" s="183"/>
      <c r="R32" s="186"/>
      <c r="S32" s="185"/>
      <c r="T32" s="152"/>
      <c r="U32" s="189">
        <f t="shared" si="3"/>
        <v>0</v>
      </c>
    </row>
    <row r="33" spans="1:21" ht="39.5" hidden="1" customHeight="1" x14ac:dyDescent="0.45">
      <c r="A33" s="177" t="s">
        <v>11</v>
      </c>
      <c r="B33" s="138">
        <v>0.65972222222222199</v>
      </c>
      <c r="C33" s="150"/>
      <c r="D33" s="178"/>
      <c r="E33" s="149"/>
      <c r="F33" s="212"/>
      <c r="G33" s="185"/>
      <c r="H33" s="138">
        <f t="shared" si="0"/>
        <v>0</v>
      </c>
      <c r="I33" s="183"/>
      <c r="J33" s="184"/>
      <c r="K33" s="185"/>
      <c r="L33" s="138">
        <f t="shared" si="4"/>
        <v>0</v>
      </c>
      <c r="M33" s="183"/>
      <c r="N33" s="184"/>
      <c r="O33" s="185"/>
      <c r="P33" s="138">
        <f t="shared" si="5"/>
        <v>0</v>
      </c>
      <c r="Q33" s="183"/>
      <c r="R33" s="186"/>
      <c r="S33" s="185"/>
      <c r="T33" s="152"/>
      <c r="U33" s="189">
        <f t="shared" si="3"/>
        <v>0</v>
      </c>
    </row>
    <row r="34" spans="1:21" ht="39.5" hidden="1" customHeight="1" x14ac:dyDescent="0.45">
      <c r="A34" s="177" t="s">
        <v>11</v>
      </c>
      <c r="B34" s="138">
        <v>0.66666666666666696</v>
      </c>
      <c r="C34" s="150"/>
      <c r="D34" s="178"/>
      <c r="E34" s="149"/>
      <c r="F34" s="212"/>
      <c r="G34" s="185"/>
      <c r="H34" s="138">
        <f t="shared" si="0"/>
        <v>0</v>
      </c>
      <c r="I34" s="183"/>
      <c r="J34" s="184"/>
      <c r="K34" s="185"/>
      <c r="L34" s="138">
        <f t="shared" si="4"/>
        <v>0</v>
      </c>
      <c r="M34" s="183"/>
      <c r="N34" s="184"/>
      <c r="O34" s="185"/>
      <c r="P34" s="138">
        <f t="shared" si="5"/>
        <v>0</v>
      </c>
      <c r="Q34" s="183"/>
      <c r="R34" s="186"/>
      <c r="S34" s="185"/>
      <c r="T34" s="152"/>
      <c r="U34" s="189">
        <f t="shared" si="3"/>
        <v>0</v>
      </c>
    </row>
    <row r="35" spans="1:21" ht="39.5" hidden="1" customHeight="1" x14ac:dyDescent="0.45">
      <c r="A35" s="177" t="s">
        <v>11</v>
      </c>
      <c r="B35" s="138">
        <v>0.67361111111111105</v>
      </c>
      <c r="C35" s="150"/>
      <c r="D35" s="178"/>
      <c r="E35" s="149"/>
      <c r="F35" s="212"/>
      <c r="G35" s="185"/>
      <c r="H35" s="138">
        <f t="shared" si="0"/>
        <v>0</v>
      </c>
      <c r="I35" s="183"/>
      <c r="J35" s="184"/>
      <c r="K35" s="185"/>
      <c r="L35" s="138">
        <f t="shared" si="4"/>
        <v>0</v>
      </c>
      <c r="M35" s="183"/>
      <c r="N35" s="184"/>
      <c r="O35" s="185"/>
      <c r="P35" s="138">
        <f t="shared" si="5"/>
        <v>0</v>
      </c>
      <c r="Q35" s="183"/>
      <c r="R35" s="186"/>
      <c r="S35" s="185"/>
      <c r="T35" s="152"/>
      <c r="U35" s="189">
        <f t="shared" si="3"/>
        <v>0</v>
      </c>
    </row>
    <row r="36" spans="1:21" ht="39.5" customHeight="1" x14ac:dyDescent="0.45">
      <c r="A36" s="177" t="s">
        <v>11</v>
      </c>
      <c r="B36" s="138">
        <v>0.68055555555555503</v>
      </c>
      <c r="C36" s="150"/>
      <c r="D36" s="178"/>
      <c r="E36" s="149"/>
      <c r="F36" s="212"/>
      <c r="G36" s="185"/>
      <c r="H36" s="138">
        <f t="shared" si="0"/>
        <v>0</v>
      </c>
      <c r="I36" s="183"/>
      <c r="J36" s="184"/>
      <c r="K36" s="185"/>
      <c r="L36" s="138">
        <f t="shared" si="4"/>
        <v>0</v>
      </c>
      <c r="M36" s="183"/>
      <c r="N36" s="184"/>
      <c r="O36" s="185"/>
      <c r="P36" s="138">
        <f t="shared" si="5"/>
        <v>0</v>
      </c>
      <c r="Q36" s="183"/>
      <c r="R36" s="186"/>
      <c r="S36" s="185"/>
      <c r="T36" s="152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4D8A-DD64-460D-8492-D13979DA2300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6.66406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51</v>
      </c>
    </row>
    <row r="3" spans="1:21" ht="27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7.5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246"/>
      <c r="D4" s="247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customHeight="1" x14ac:dyDescent="0.45">
      <c r="A11" s="198" t="s">
        <v>8</v>
      </c>
      <c r="B11" s="173">
        <v>0.22916666666666699</v>
      </c>
      <c r="C11" s="174"/>
      <c r="D11" s="211"/>
      <c r="E11" s="201"/>
      <c r="F11" s="202"/>
      <c r="G11" s="200"/>
      <c r="H11" s="173">
        <f t="shared" si="0"/>
        <v>0</v>
      </c>
      <c r="I11" s="201"/>
      <c r="J11" s="202"/>
      <c r="K11" s="200"/>
      <c r="L11" s="173">
        <f t="shared" si="1"/>
        <v>0</v>
      </c>
      <c r="M11" s="201"/>
      <c r="N11" s="202"/>
      <c r="O11" s="200"/>
      <c r="P11" s="173">
        <f t="shared" si="2"/>
        <v>0</v>
      </c>
      <c r="Q11" s="201"/>
      <c r="R11" s="203"/>
      <c r="S11" s="200"/>
      <c r="T11" s="176"/>
      <c r="U11" s="189">
        <f t="shared" si="3"/>
        <v>0</v>
      </c>
    </row>
    <row r="12" spans="1:21" ht="40.049999999999997" hidden="1" customHeight="1" x14ac:dyDescent="0.45">
      <c r="A12" s="149" t="s">
        <v>8</v>
      </c>
      <c r="B12" s="138">
        <v>0.23611111111111099</v>
      </c>
      <c r="C12" s="150"/>
      <c r="D12" s="151"/>
      <c r="E12" s="183"/>
      <c r="F12" s="184"/>
      <c r="G12" s="185"/>
      <c r="H12" s="138">
        <f t="shared" si="0"/>
        <v>0</v>
      </c>
      <c r="I12" s="183"/>
      <c r="J12" s="184"/>
      <c r="K12" s="185"/>
      <c r="L12" s="138">
        <f t="shared" si="1"/>
        <v>0</v>
      </c>
      <c r="M12" s="183"/>
      <c r="N12" s="184"/>
      <c r="O12" s="185"/>
      <c r="P12" s="138">
        <f t="shared" si="2"/>
        <v>0</v>
      </c>
      <c r="Q12" s="183"/>
      <c r="R12" s="186"/>
      <c r="S12" s="185"/>
      <c r="T12" s="152"/>
      <c r="U12" s="189">
        <f t="shared" si="3"/>
        <v>0</v>
      </c>
    </row>
    <row r="13" spans="1:21" ht="40.049999999999997" hidden="1" customHeight="1" x14ac:dyDescent="0.45">
      <c r="A13" s="149" t="s">
        <v>8</v>
      </c>
      <c r="B13" s="138">
        <v>0.243055555555556</v>
      </c>
      <c r="C13" s="150"/>
      <c r="D13" s="151"/>
      <c r="E13" s="183"/>
      <c r="F13" s="184"/>
      <c r="G13" s="185"/>
      <c r="H13" s="138">
        <f t="shared" si="0"/>
        <v>0</v>
      </c>
      <c r="I13" s="183"/>
      <c r="J13" s="184"/>
      <c r="K13" s="185"/>
      <c r="L13" s="138">
        <f t="shared" si="1"/>
        <v>0</v>
      </c>
      <c r="M13" s="183"/>
      <c r="N13" s="184"/>
      <c r="O13" s="185"/>
      <c r="P13" s="138">
        <f t="shared" si="2"/>
        <v>0</v>
      </c>
      <c r="Q13" s="183"/>
      <c r="R13" s="186"/>
      <c r="S13" s="185"/>
      <c r="T13" s="152"/>
      <c r="U13" s="189">
        <f t="shared" si="3"/>
        <v>0</v>
      </c>
    </row>
    <row r="14" spans="1:21" ht="40.049999999999997" hidden="1" customHeight="1" x14ac:dyDescent="0.45">
      <c r="A14" s="149" t="s">
        <v>8</v>
      </c>
      <c r="B14" s="138">
        <v>0.25</v>
      </c>
      <c r="C14" s="150"/>
      <c r="D14" s="151"/>
      <c r="E14" s="183"/>
      <c r="F14" s="184"/>
      <c r="G14" s="185"/>
      <c r="H14" s="138">
        <f t="shared" si="0"/>
        <v>0</v>
      </c>
      <c r="I14" s="183"/>
      <c r="J14" s="184"/>
      <c r="K14" s="185"/>
      <c r="L14" s="138">
        <f t="shared" si="1"/>
        <v>0</v>
      </c>
      <c r="M14" s="183"/>
      <c r="N14" s="184"/>
      <c r="O14" s="185"/>
      <c r="P14" s="138">
        <f t="shared" si="2"/>
        <v>0</v>
      </c>
      <c r="Q14" s="183"/>
      <c r="R14" s="186"/>
      <c r="S14" s="185"/>
      <c r="T14" s="152"/>
      <c r="U14" s="189">
        <f t="shared" si="3"/>
        <v>0</v>
      </c>
    </row>
    <row r="15" spans="1:21" ht="40.049999999999997" hidden="1" customHeight="1" x14ac:dyDescent="0.45">
      <c r="A15" s="149" t="s">
        <v>8</v>
      </c>
      <c r="B15" s="138">
        <v>0.25694444444444398</v>
      </c>
      <c r="C15" s="150"/>
      <c r="D15" s="151"/>
      <c r="E15" s="183"/>
      <c r="F15" s="184"/>
      <c r="G15" s="185"/>
      <c r="H15" s="138">
        <f t="shared" si="0"/>
        <v>0</v>
      </c>
      <c r="I15" s="183"/>
      <c r="J15" s="184"/>
      <c r="K15" s="185"/>
      <c r="L15" s="138">
        <f t="shared" si="1"/>
        <v>0</v>
      </c>
      <c r="M15" s="183"/>
      <c r="N15" s="184"/>
      <c r="O15" s="185"/>
      <c r="P15" s="138">
        <f t="shared" si="2"/>
        <v>0</v>
      </c>
      <c r="Q15" s="183"/>
      <c r="R15" s="186"/>
      <c r="S15" s="185"/>
      <c r="T15" s="152"/>
      <c r="U15" s="189">
        <f t="shared" si="3"/>
        <v>0</v>
      </c>
    </row>
    <row r="16" spans="1:21" ht="40.049999999999997" hidden="1" customHeight="1" x14ac:dyDescent="0.45">
      <c r="A16" s="149" t="s">
        <v>8</v>
      </c>
      <c r="B16" s="138">
        <v>0.26388888888888901</v>
      </c>
      <c r="C16" s="150"/>
      <c r="D16" s="151"/>
      <c r="E16" s="183"/>
      <c r="F16" s="184"/>
      <c r="G16" s="185"/>
      <c r="H16" s="138">
        <f t="shared" si="0"/>
        <v>0</v>
      </c>
      <c r="I16" s="183"/>
      <c r="J16" s="184"/>
      <c r="K16" s="185"/>
      <c r="L16" s="138">
        <f t="shared" si="1"/>
        <v>0</v>
      </c>
      <c r="M16" s="183"/>
      <c r="N16" s="184"/>
      <c r="O16" s="185"/>
      <c r="P16" s="138">
        <f t="shared" si="2"/>
        <v>0</v>
      </c>
      <c r="Q16" s="183"/>
      <c r="R16" s="186"/>
      <c r="S16" s="185"/>
      <c r="T16" s="152"/>
      <c r="U16" s="189">
        <f t="shared" si="3"/>
        <v>0</v>
      </c>
    </row>
    <row r="17" spans="1:21" ht="40.049999999999997" customHeight="1" x14ac:dyDescent="0.45">
      <c r="A17" s="149" t="s">
        <v>8</v>
      </c>
      <c r="B17" s="138">
        <v>0.27083333333333298</v>
      </c>
      <c r="C17" s="150"/>
      <c r="D17" s="151"/>
      <c r="E17" s="183"/>
      <c r="F17" s="184"/>
      <c r="G17" s="185"/>
      <c r="H17" s="138">
        <f t="shared" si="0"/>
        <v>0</v>
      </c>
      <c r="I17" s="183"/>
      <c r="J17" s="184"/>
      <c r="K17" s="185"/>
      <c r="L17" s="138">
        <f t="shared" si="1"/>
        <v>0</v>
      </c>
      <c r="M17" s="183"/>
      <c r="N17" s="184"/>
      <c r="O17" s="185"/>
      <c r="P17" s="138">
        <f t="shared" si="2"/>
        <v>0</v>
      </c>
      <c r="Q17" s="183"/>
      <c r="R17" s="186"/>
      <c r="S17" s="185"/>
      <c r="T17" s="152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hidden="1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hidden="1" customHeight="1" x14ac:dyDescent="0.45">
      <c r="A35" s="164" t="s">
        <v>11</v>
      </c>
      <c r="B35" s="15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customHeight="1" x14ac:dyDescent="0.45">
      <c r="A36" s="172" t="s">
        <v>11</v>
      </c>
      <c r="B36" s="173">
        <v>0.68055555555555503</v>
      </c>
      <c r="C36" s="174"/>
      <c r="D36" s="175"/>
      <c r="E36" s="198"/>
      <c r="F36" s="199"/>
      <c r="G36" s="200"/>
      <c r="H36" s="173">
        <f t="shared" si="0"/>
        <v>0</v>
      </c>
      <c r="I36" s="201"/>
      <c r="J36" s="202"/>
      <c r="K36" s="200"/>
      <c r="L36" s="173">
        <f t="shared" si="4"/>
        <v>0</v>
      </c>
      <c r="M36" s="201"/>
      <c r="N36" s="202"/>
      <c r="O36" s="200"/>
      <c r="P36" s="173">
        <f t="shared" si="5"/>
        <v>0</v>
      </c>
      <c r="Q36" s="201"/>
      <c r="R36" s="203"/>
      <c r="S36" s="200"/>
      <c r="T36" s="176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3CC-256D-4138-873D-839C5ABBCAD6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37</v>
      </c>
    </row>
    <row r="3" spans="1:21" ht="27.5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6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246"/>
      <c r="D4" s="247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4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customHeight="1" x14ac:dyDescent="0.45">
      <c r="A11" s="198" t="s">
        <v>8</v>
      </c>
      <c r="B11" s="173">
        <v>0.22916666666666699</v>
      </c>
      <c r="C11" s="174"/>
      <c r="D11" s="211"/>
      <c r="E11" s="201"/>
      <c r="F11" s="202"/>
      <c r="G11" s="200"/>
      <c r="H11" s="173">
        <f t="shared" si="0"/>
        <v>0</v>
      </c>
      <c r="I11" s="201"/>
      <c r="J11" s="202"/>
      <c r="K11" s="200"/>
      <c r="L11" s="173">
        <f t="shared" si="1"/>
        <v>0</v>
      </c>
      <c r="M11" s="201"/>
      <c r="N11" s="202"/>
      <c r="O11" s="200"/>
      <c r="P11" s="173">
        <f t="shared" si="2"/>
        <v>0</v>
      </c>
      <c r="Q11" s="201"/>
      <c r="R11" s="203"/>
      <c r="S11" s="200"/>
      <c r="T11" s="176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customHeight="1" x14ac:dyDescent="0.45">
      <c r="A32" s="172" t="s">
        <v>11</v>
      </c>
      <c r="B32" s="173">
        <v>0.65277777777777801</v>
      </c>
      <c r="C32" s="174"/>
      <c r="D32" s="175"/>
      <c r="E32" s="198"/>
      <c r="F32" s="199"/>
      <c r="G32" s="200"/>
      <c r="H32" s="173">
        <f t="shared" si="0"/>
        <v>0</v>
      </c>
      <c r="I32" s="201"/>
      <c r="J32" s="202"/>
      <c r="K32" s="200"/>
      <c r="L32" s="173">
        <f t="shared" si="4"/>
        <v>0</v>
      </c>
      <c r="M32" s="201"/>
      <c r="N32" s="202"/>
      <c r="O32" s="200"/>
      <c r="P32" s="173">
        <f t="shared" si="5"/>
        <v>0</v>
      </c>
      <c r="Q32" s="201"/>
      <c r="R32" s="203"/>
      <c r="S32" s="200"/>
      <c r="T32" s="176"/>
      <c r="U32" s="189">
        <f t="shared" si="3"/>
        <v>0</v>
      </c>
    </row>
    <row r="33" spans="1:21" ht="39.5" hidden="1" customHeight="1" x14ac:dyDescent="0.45">
      <c r="A33" s="177" t="s">
        <v>11</v>
      </c>
      <c r="B33" s="138">
        <v>0.65972222222222199</v>
      </c>
      <c r="C33" s="150"/>
      <c r="D33" s="178"/>
      <c r="E33" s="149"/>
      <c r="F33" s="212"/>
      <c r="G33" s="185"/>
      <c r="H33" s="138">
        <f t="shared" si="0"/>
        <v>0</v>
      </c>
      <c r="I33" s="183"/>
      <c r="J33" s="184"/>
      <c r="K33" s="185"/>
      <c r="L33" s="138">
        <f t="shared" si="4"/>
        <v>0</v>
      </c>
      <c r="M33" s="183"/>
      <c r="N33" s="184"/>
      <c r="O33" s="185"/>
      <c r="P33" s="138">
        <f t="shared" si="5"/>
        <v>0</v>
      </c>
      <c r="Q33" s="183"/>
      <c r="R33" s="186"/>
      <c r="S33" s="185"/>
      <c r="T33" s="152"/>
      <c r="U33" s="189">
        <f t="shared" si="3"/>
        <v>0</v>
      </c>
    </row>
    <row r="34" spans="1:21" ht="39.5" hidden="1" customHeight="1" x14ac:dyDescent="0.45">
      <c r="A34" s="177" t="s">
        <v>11</v>
      </c>
      <c r="B34" s="138">
        <v>0.66666666666666696</v>
      </c>
      <c r="C34" s="150"/>
      <c r="D34" s="178"/>
      <c r="E34" s="149"/>
      <c r="F34" s="212"/>
      <c r="G34" s="185"/>
      <c r="H34" s="138">
        <f t="shared" si="0"/>
        <v>0</v>
      </c>
      <c r="I34" s="183"/>
      <c r="J34" s="184"/>
      <c r="K34" s="185"/>
      <c r="L34" s="138">
        <f t="shared" si="4"/>
        <v>0</v>
      </c>
      <c r="M34" s="183"/>
      <c r="N34" s="184"/>
      <c r="O34" s="185"/>
      <c r="P34" s="138">
        <f t="shared" si="5"/>
        <v>0</v>
      </c>
      <c r="Q34" s="183"/>
      <c r="R34" s="186"/>
      <c r="S34" s="185"/>
      <c r="T34" s="152"/>
      <c r="U34" s="189">
        <f t="shared" si="3"/>
        <v>0</v>
      </c>
    </row>
    <row r="35" spans="1:21" ht="39.5" hidden="1" customHeight="1" x14ac:dyDescent="0.45">
      <c r="A35" s="177" t="s">
        <v>11</v>
      </c>
      <c r="B35" s="138">
        <v>0.67361111111111105</v>
      </c>
      <c r="C35" s="150"/>
      <c r="D35" s="178"/>
      <c r="E35" s="149"/>
      <c r="F35" s="212"/>
      <c r="G35" s="185"/>
      <c r="H35" s="138">
        <f t="shared" si="0"/>
        <v>0</v>
      </c>
      <c r="I35" s="183"/>
      <c r="J35" s="184"/>
      <c r="K35" s="185"/>
      <c r="L35" s="138">
        <f t="shared" si="4"/>
        <v>0</v>
      </c>
      <c r="M35" s="183"/>
      <c r="N35" s="184"/>
      <c r="O35" s="185"/>
      <c r="P35" s="138">
        <f t="shared" si="5"/>
        <v>0</v>
      </c>
      <c r="Q35" s="183"/>
      <c r="R35" s="186"/>
      <c r="S35" s="185"/>
      <c r="T35" s="152"/>
      <c r="U35" s="189">
        <f t="shared" si="3"/>
        <v>0</v>
      </c>
    </row>
    <row r="36" spans="1:21" ht="39.5" hidden="1" customHeight="1" x14ac:dyDescent="0.45">
      <c r="A36" s="177" t="s">
        <v>11</v>
      </c>
      <c r="B36" s="138">
        <v>0.68055555555555503</v>
      </c>
      <c r="C36" s="150"/>
      <c r="D36" s="178"/>
      <c r="E36" s="149"/>
      <c r="F36" s="212"/>
      <c r="G36" s="185"/>
      <c r="H36" s="138">
        <f t="shared" si="0"/>
        <v>0</v>
      </c>
      <c r="I36" s="183"/>
      <c r="J36" s="184"/>
      <c r="K36" s="185"/>
      <c r="L36" s="138">
        <f t="shared" si="4"/>
        <v>0</v>
      </c>
      <c r="M36" s="183"/>
      <c r="N36" s="184"/>
      <c r="O36" s="185"/>
      <c r="P36" s="138">
        <f t="shared" si="5"/>
        <v>0</v>
      </c>
      <c r="Q36" s="183"/>
      <c r="R36" s="186"/>
      <c r="S36" s="185"/>
      <c r="T36" s="152"/>
      <c r="U36" s="189">
        <f t="shared" si="3"/>
        <v>0</v>
      </c>
    </row>
    <row r="37" spans="1:21" ht="39.5" customHeight="1" x14ac:dyDescent="0.45">
      <c r="A37" s="177" t="s">
        <v>11</v>
      </c>
      <c r="B37" s="138">
        <v>0.6875</v>
      </c>
      <c r="C37" s="150"/>
      <c r="D37" s="178"/>
      <c r="E37" s="149"/>
      <c r="F37" s="212"/>
      <c r="G37" s="185"/>
      <c r="H37" s="138">
        <f t="shared" si="0"/>
        <v>0</v>
      </c>
      <c r="I37" s="183"/>
      <c r="J37" s="184"/>
      <c r="K37" s="185"/>
      <c r="L37" s="138">
        <f t="shared" si="4"/>
        <v>0</v>
      </c>
      <c r="M37" s="183"/>
      <c r="N37" s="184"/>
      <c r="O37" s="185"/>
      <c r="P37" s="138">
        <f t="shared" si="5"/>
        <v>0</v>
      </c>
      <c r="Q37" s="183"/>
      <c r="R37" s="186"/>
      <c r="S37" s="185"/>
      <c r="T37" s="152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232E-0CAD-4A44-84D6-BB9F54A2A4AD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9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41</v>
      </c>
    </row>
    <row r="3" spans="1:21" ht="24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2.05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246"/>
      <c r="D4" s="247"/>
    </row>
    <row r="5" spans="1:21" x14ac:dyDescent="0.45">
      <c r="T5" s="165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customHeight="1" x14ac:dyDescent="0.45">
      <c r="A13" s="198" t="s">
        <v>8</v>
      </c>
      <c r="B13" s="173">
        <v>0.243055555555556</v>
      </c>
      <c r="C13" s="174"/>
      <c r="D13" s="211"/>
      <c r="E13" s="201"/>
      <c r="F13" s="202"/>
      <c r="G13" s="200"/>
      <c r="H13" s="173">
        <f t="shared" si="0"/>
        <v>0</v>
      </c>
      <c r="I13" s="201"/>
      <c r="J13" s="202"/>
      <c r="K13" s="200"/>
      <c r="L13" s="173">
        <f t="shared" si="1"/>
        <v>0</v>
      </c>
      <c r="M13" s="201"/>
      <c r="N13" s="202"/>
      <c r="O13" s="200"/>
      <c r="P13" s="173">
        <f t="shared" si="2"/>
        <v>0</v>
      </c>
      <c r="Q13" s="201"/>
      <c r="R13" s="203"/>
      <c r="S13" s="200"/>
      <c r="T13" s="176"/>
      <c r="U13" s="189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customHeight="1" x14ac:dyDescent="0.45">
      <c r="A28" s="213" t="s">
        <v>11</v>
      </c>
      <c r="B28" s="21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customHeight="1" x14ac:dyDescent="0.45">
      <c r="A29" s="213" t="s">
        <v>11</v>
      </c>
      <c r="B29" s="21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customHeight="1" x14ac:dyDescent="0.45">
      <c r="A30" s="213" t="s">
        <v>11</v>
      </c>
      <c r="B30" s="21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customHeight="1" x14ac:dyDescent="0.45">
      <c r="A31" s="213" t="s">
        <v>11</v>
      </c>
      <c r="B31" s="21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customHeight="1" x14ac:dyDescent="0.45">
      <c r="A32" s="213" t="s">
        <v>11</v>
      </c>
      <c r="B32" s="21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customHeight="1" x14ac:dyDescent="0.45">
      <c r="A33" s="213" t="s">
        <v>11</v>
      </c>
      <c r="B33" s="21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customHeight="1" x14ac:dyDescent="0.45">
      <c r="A34" s="213" t="s">
        <v>11</v>
      </c>
      <c r="B34" s="21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customHeight="1" x14ac:dyDescent="0.45">
      <c r="A35" s="213" t="s">
        <v>11</v>
      </c>
      <c r="B35" s="21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customHeight="1" x14ac:dyDescent="0.45">
      <c r="A36" s="213" t="s">
        <v>11</v>
      </c>
      <c r="B36" s="21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customHeight="1" x14ac:dyDescent="0.45">
      <c r="A37" s="177" t="s">
        <v>11</v>
      </c>
      <c r="B37" s="138">
        <v>0.6875</v>
      </c>
      <c r="C37" s="150"/>
      <c r="D37" s="178"/>
      <c r="E37" s="149"/>
      <c r="F37" s="212"/>
      <c r="G37" s="185"/>
      <c r="H37" s="138">
        <f t="shared" si="0"/>
        <v>0</v>
      </c>
      <c r="I37" s="183"/>
      <c r="J37" s="184"/>
      <c r="K37" s="185"/>
      <c r="L37" s="138">
        <f t="shared" si="4"/>
        <v>0</v>
      </c>
      <c r="M37" s="183"/>
      <c r="N37" s="184"/>
      <c r="O37" s="185"/>
      <c r="P37" s="138">
        <f t="shared" si="5"/>
        <v>0</v>
      </c>
      <c r="Q37" s="183"/>
      <c r="R37" s="186"/>
      <c r="S37" s="185"/>
      <c r="T37" s="152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70" orientation="landscape" copies="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F2EF-2F40-461A-946F-924E0BDA05AE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1328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42</v>
      </c>
    </row>
    <row r="3" spans="1:21" ht="23.55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2.5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246"/>
      <c r="D4" s="247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customHeight="1" x14ac:dyDescent="0.45">
      <c r="A28" s="172" t="s">
        <v>11</v>
      </c>
      <c r="B28" s="173">
        <v>0.625</v>
      </c>
      <c r="C28" s="174"/>
      <c r="D28" s="175"/>
      <c r="E28" s="198"/>
      <c r="F28" s="199"/>
      <c r="G28" s="200"/>
      <c r="H28" s="173">
        <f t="shared" si="0"/>
        <v>0</v>
      </c>
      <c r="I28" s="201"/>
      <c r="J28" s="202"/>
      <c r="K28" s="200"/>
      <c r="L28" s="173">
        <f t="shared" ref="L28:L46" si="4">K28-G28</f>
        <v>0</v>
      </c>
      <c r="M28" s="201"/>
      <c r="N28" s="202"/>
      <c r="O28" s="200"/>
      <c r="P28" s="173">
        <f t="shared" ref="P28:P46" si="5">O28-K28</f>
        <v>0</v>
      </c>
      <c r="Q28" s="201"/>
      <c r="R28" s="203"/>
      <c r="S28" s="200"/>
      <c r="T28" s="176"/>
      <c r="U28" s="189">
        <f t="shared" si="3"/>
        <v>0</v>
      </c>
    </row>
    <row r="29" spans="1:21" ht="39.5" hidden="1" customHeight="1" x14ac:dyDescent="0.45">
      <c r="A29" s="177" t="s">
        <v>11</v>
      </c>
      <c r="B29" s="138">
        <v>0.63194444444444442</v>
      </c>
      <c r="C29" s="150"/>
      <c r="D29" s="178"/>
      <c r="E29" s="149"/>
      <c r="F29" s="212"/>
      <c r="G29" s="185"/>
      <c r="H29" s="138">
        <f t="shared" si="0"/>
        <v>0</v>
      </c>
      <c r="I29" s="183"/>
      <c r="J29" s="184"/>
      <c r="K29" s="185"/>
      <c r="L29" s="138">
        <f t="shared" si="4"/>
        <v>0</v>
      </c>
      <c r="M29" s="183"/>
      <c r="N29" s="184"/>
      <c r="O29" s="185"/>
      <c r="P29" s="138">
        <f t="shared" si="5"/>
        <v>0</v>
      </c>
      <c r="Q29" s="183"/>
      <c r="R29" s="186"/>
      <c r="S29" s="185"/>
      <c r="T29" s="152"/>
      <c r="U29" s="189">
        <f t="shared" si="3"/>
        <v>0</v>
      </c>
    </row>
    <row r="30" spans="1:21" ht="39.5" hidden="1" customHeight="1" x14ac:dyDescent="0.45">
      <c r="A30" s="177" t="s">
        <v>11</v>
      </c>
      <c r="B30" s="138">
        <v>0.63888888888888895</v>
      </c>
      <c r="C30" s="150"/>
      <c r="D30" s="178"/>
      <c r="E30" s="149"/>
      <c r="F30" s="212"/>
      <c r="G30" s="185"/>
      <c r="H30" s="138">
        <f t="shared" si="0"/>
        <v>0</v>
      </c>
      <c r="I30" s="183"/>
      <c r="J30" s="184"/>
      <c r="K30" s="185"/>
      <c r="L30" s="138">
        <f t="shared" si="4"/>
        <v>0</v>
      </c>
      <c r="M30" s="183"/>
      <c r="N30" s="184"/>
      <c r="O30" s="185"/>
      <c r="P30" s="138">
        <f t="shared" si="5"/>
        <v>0</v>
      </c>
      <c r="Q30" s="183"/>
      <c r="R30" s="186"/>
      <c r="S30" s="185"/>
      <c r="T30" s="152"/>
      <c r="U30" s="189">
        <f t="shared" si="3"/>
        <v>0</v>
      </c>
    </row>
    <row r="31" spans="1:21" ht="39.5" hidden="1" customHeight="1" x14ac:dyDescent="0.45">
      <c r="A31" s="177" t="s">
        <v>11</v>
      </c>
      <c r="B31" s="138">
        <v>0.64583333333333304</v>
      </c>
      <c r="C31" s="150"/>
      <c r="D31" s="178"/>
      <c r="E31" s="149"/>
      <c r="F31" s="212"/>
      <c r="G31" s="185"/>
      <c r="H31" s="138">
        <f t="shared" si="0"/>
        <v>0</v>
      </c>
      <c r="I31" s="183"/>
      <c r="J31" s="184"/>
      <c r="K31" s="185"/>
      <c r="L31" s="138">
        <f t="shared" si="4"/>
        <v>0</v>
      </c>
      <c r="M31" s="183"/>
      <c r="N31" s="184"/>
      <c r="O31" s="185"/>
      <c r="P31" s="138">
        <f t="shared" si="5"/>
        <v>0</v>
      </c>
      <c r="Q31" s="183"/>
      <c r="R31" s="186"/>
      <c r="S31" s="185"/>
      <c r="T31" s="152"/>
      <c r="U31" s="189">
        <f t="shared" si="3"/>
        <v>0</v>
      </c>
    </row>
    <row r="32" spans="1:21" ht="39.5" hidden="1" customHeight="1" x14ac:dyDescent="0.45">
      <c r="A32" s="177" t="s">
        <v>11</v>
      </c>
      <c r="B32" s="138">
        <v>0.65277777777777801</v>
      </c>
      <c r="C32" s="150"/>
      <c r="D32" s="178"/>
      <c r="E32" s="149"/>
      <c r="F32" s="212"/>
      <c r="G32" s="185"/>
      <c r="H32" s="138">
        <f t="shared" si="0"/>
        <v>0</v>
      </c>
      <c r="I32" s="183"/>
      <c r="J32" s="184"/>
      <c r="K32" s="185"/>
      <c r="L32" s="138">
        <f t="shared" si="4"/>
        <v>0</v>
      </c>
      <c r="M32" s="183"/>
      <c r="N32" s="184"/>
      <c r="O32" s="185"/>
      <c r="P32" s="138">
        <f t="shared" si="5"/>
        <v>0</v>
      </c>
      <c r="Q32" s="183"/>
      <c r="R32" s="186"/>
      <c r="S32" s="185"/>
      <c r="T32" s="152"/>
      <c r="U32" s="189">
        <f t="shared" si="3"/>
        <v>0</v>
      </c>
    </row>
    <row r="33" spans="1:21" ht="39.5" customHeight="1" x14ac:dyDescent="0.45">
      <c r="A33" s="177" t="s">
        <v>11</v>
      </c>
      <c r="B33" s="138">
        <v>0.65972222222222199</v>
      </c>
      <c r="C33" s="150"/>
      <c r="D33" s="178"/>
      <c r="E33" s="149"/>
      <c r="F33" s="212"/>
      <c r="G33" s="185"/>
      <c r="H33" s="138">
        <f t="shared" si="0"/>
        <v>0</v>
      </c>
      <c r="I33" s="183"/>
      <c r="J33" s="184"/>
      <c r="K33" s="185"/>
      <c r="L33" s="138">
        <f t="shared" si="4"/>
        <v>0</v>
      </c>
      <c r="M33" s="183"/>
      <c r="N33" s="184"/>
      <c r="O33" s="185"/>
      <c r="P33" s="138">
        <f t="shared" si="5"/>
        <v>0</v>
      </c>
      <c r="Q33" s="183"/>
      <c r="R33" s="186"/>
      <c r="S33" s="185"/>
      <c r="T33" s="152"/>
      <c r="U33" s="189">
        <f t="shared" si="3"/>
        <v>0</v>
      </c>
    </row>
    <row r="34" spans="1:21" ht="39.5" hidden="1" customHeight="1" x14ac:dyDescent="0.45">
      <c r="A34" s="177" t="s">
        <v>11</v>
      </c>
      <c r="B34" s="138">
        <v>0.66666666666666696</v>
      </c>
      <c r="C34" s="150"/>
      <c r="D34" s="178"/>
      <c r="E34" s="149"/>
      <c r="F34" s="212"/>
      <c r="G34" s="185"/>
      <c r="H34" s="138">
        <f t="shared" si="0"/>
        <v>0</v>
      </c>
      <c r="I34" s="183"/>
      <c r="J34" s="184"/>
      <c r="K34" s="185"/>
      <c r="L34" s="138">
        <f t="shared" si="4"/>
        <v>0</v>
      </c>
      <c r="M34" s="183"/>
      <c r="N34" s="184"/>
      <c r="O34" s="185"/>
      <c r="P34" s="138">
        <f t="shared" si="5"/>
        <v>0</v>
      </c>
      <c r="Q34" s="183"/>
      <c r="R34" s="186"/>
      <c r="S34" s="185"/>
      <c r="T34" s="152"/>
      <c r="U34" s="189">
        <f t="shared" si="3"/>
        <v>0</v>
      </c>
    </row>
    <row r="35" spans="1:21" ht="39.5" hidden="1" customHeight="1" x14ac:dyDescent="0.45">
      <c r="A35" s="177" t="s">
        <v>11</v>
      </c>
      <c r="B35" s="138">
        <v>0.67361111111111105</v>
      </c>
      <c r="C35" s="150"/>
      <c r="D35" s="178"/>
      <c r="E35" s="149"/>
      <c r="F35" s="212"/>
      <c r="G35" s="185"/>
      <c r="H35" s="138">
        <f t="shared" si="0"/>
        <v>0</v>
      </c>
      <c r="I35" s="183"/>
      <c r="J35" s="184"/>
      <c r="K35" s="185"/>
      <c r="L35" s="138">
        <f t="shared" si="4"/>
        <v>0</v>
      </c>
      <c r="M35" s="183"/>
      <c r="N35" s="184"/>
      <c r="O35" s="185"/>
      <c r="P35" s="138">
        <f t="shared" si="5"/>
        <v>0</v>
      </c>
      <c r="Q35" s="183"/>
      <c r="R35" s="186"/>
      <c r="S35" s="185"/>
      <c r="T35" s="152"/>
      <c r="U35" s="189">
        <f t="shared" si="3"/>
        <v>0</v>
      </c>
    </row>
    <row r="36" spans="1:21" ht="39.5" hidden="1" customHeight="1" x14ac:dyDescent="0.45">
      <c r="A36" s="177" t="s">
        <v>11</v>
      </c>
      <c r="B36" s="138">
        <v>0.68055555555555503</v>
      </c>
      <c r="C36" s="150"/>
      <c r="D36" s="178"/>
      <c r="E36" s="149"/>
      <c r="F36" s="212"/>
      <c r="G36" s="185"/>
      <c r="H36" s="138">
        <f t="shared" si="0"/>
        <v>0</v>
      </c>
      <c r="I36" s="183"/>
      <c r="J36" s="184"/>
      <c r="K36" s="185"/>
      <c r="L36" s="138">
        <f t="shared" si="4"/>
        <v>0</v>
      </c>
      <c r="M36" s="183"/>
      <c r="N36" s="184"/>
      <c r="O36" s="185"/>
      <c r="P36" s="138">
        <f t="shared" si="5"/>
        <v>0</v>
      </c>
      <c r="Q36" s="183"/>
      <c r="R36" s="186"/>
      <c r="S36" s="185"/>
      <c r="T36" s="152"/>
      <c r="U36" s="189">
        <f t="shared" si="3"/>
        <v>0</v>
      </c>
    </row>
    <row r="37" spans="1:21" ht="39.5" hidden="1" customHeight="1" x14ac:dyDescent="0.45">
      <c r="A37" s="177" t="s">
        <v>11</v>
      </c>
      <c r="B37" s="138">
        <v>0.6875</v>
      </c>
      <c r="C37" s="150"/>
      <c r="D37" s="178"/>
      <c r="E37" s="149"/>
      <c r="F37" s="212"/>
      <c r="G37" s="185"/>
      <c r="H37" s="138">
        <f t="shared" si="0"/>
        <v>0</v>
      </c>
      <c r="I37" s="183"/>
      <c r="J37" s="184"/>
      <c r="K37" s="185"/>
      <c r="L37" s="138">
        <f t="shared" si="4"/>
        <v>0</v>
      </c>
      <c r="M37" s="183"/>
      <c r="N37" s="184"/>
      <c r="O37" s="185"/>
      <c r="P37" s="138">
        <f t="shared" si="5"/>
        <v>0</v>
      </c>
      <c r="Q37" s="183"/>
      <c r="R37" s="186"/>
      <c r="S37" s="185"/>
      <c r="T37" s="152"/>
      <c r="U37" s="189">
        <f t="shared" si="3"/>
        <v>0</v>
      </c>
    </row>
    <row r="38" spans="1:21" ht="39.5" customHeight="1" x14ac:dyDescent="0.45">
      <c r="A38" s="177" t="s">
        <v>11</v>
      </c>
      <c r="B38" s="138">
        <v>0.69444444444444398</v>
      </c>
      <c r="C38" s="150"/>
      <c r="D38" s="178"/>
      <c r="E38" s="149"/>
      <c r="F38" s="212"/>
      <c r="G38" s="185"/>
      <c r="H38" s="138">
        <f t="shared" si="0"/>
        <v>0</v>
      </c>
      <c r="I38" s="183"/>
      <c r="J38" s="184"/>
      <c r="K38" s="185"/>
      <c r="L38" s="138">
        <f t="shared" si="4"/>
        <v>0</v>
      </c>
      <c r="M38" s="183"/>
      <c r="N38" s="184"/>
      <c r="O38" s="185"/>
      <c r="P38" s="138">
        <f t="shared" si="5"/>
        <v>0</v>
      </c>
      <c r="Q38" s="183"/>
      <c r="R38" s="186"/>
      <c r="S38" s="185"/>
      <c r="T38" s="152"/>
      <c r="U38" s="189">
        <f t="shared" si="3"/>
        <v>0</v>
      </c>
    </row>
    <row r="39" spans="1:21" ht="39.5" hidden="1" customHeight="1" x14ac:dyDescent="0.45">
      <c r="A39" s="177" t="s">
        <v>11</v>
      </c>
      <c r="B39" s="138">
        <v>0.70138888888888895</v>
      </c>
      <c r="C39" s="150"/>
      <c r="D39" s="178"/>
      <c r="E39" s="149"/>
      <c r="F39" s="212"/>
      <c r="G39" s="185"/>
      <c r="H39" s="138">
        <f t="shared" si="0"/>
        <v>0</v>
      </c>
      <c r="I39" s="183"/>
      <c r="J39" s="184"/>
      <c r="K39" s="185"/>
      <c r="L39" s="138">
        <f t="shared" si="4"/>
        <v>0</v>
      </c>
      <c r="M39" s="183"/>
      <c r="N39" s="184"/>
      <c r="O39" s="185"/>
      <c r="P39" s="138">
        <f t="shared" si="5"/>
        <v>0</v>
      </c>
      <c r="Q39" s="183"/>
      <c r="R39" s="186"/>
      <c r="S39" s="185"/>
      <c r="T39" s="152"/>
      <c r="U39" s="189">
        <f t="shared" si="3"/>
        <v>0</v>
      </c>
    </row>
    <row r="40" spans="1:21" ht="39.5" hidden="1" customHeight="1" x14ac:dyDescent="0.45">
      <c r="A40" s="177" t="s">
        <v>11</v>
      </c>
      <c r="B40" s="138">
        <v>0.70833333333333304</v>
      </c>
      <c r="C40" s="150"/>
      <c r="D40" s="178"/>
      <c r="E40" s="149"/>
      <c r="F40" s="212"/>
      <c r="G40" s="185"/>
      <c r="H40" s="138">
        <f t="shared" si="0"/>
        <v>0</v>
      </c>
      <c r="I40" s="183"/>
      <c r="J40" s="184"/>
      <c r="K40" s="185"/>
      <c r="L40" s="138">
        <f t="shared" si="4"/>
        <v>0</v>
      </c>
      <c r="M40" s="183"/>
      <c r="N40" s="184"/>
      <c r="O40" s="185"/>
      <c r="P40" s="138">
        <f t="shared" si="5"/>
        <v>0</v>
      </c>
      <c r="Q40" s="183"/>
      <c r="R40" s="186"/>
      <c r="S40" s="185"/>
      <c r="T40" s="152"/>
      <c r="U40" s="189">
        <f t="shared" si="3"/>
        <v>0</v>
      </c>
    </row>
    <row r="41" spans="1:21" ht="39.5" hidden="1" customHeight="1" x14ac:dyDescent="0.45">
      <c r="A41" s="177" t="s">
        <v>11</v>
      </c>
      <c r="B41" s="138">
        <v>0.71527777777777701</v>
      </c>
      <c r="C41" s="150"/>
      <c r="D41" s="178"/>
      <c r="E41" s="149"/>
      <c r="F41" s="212"/>
      <c r="G41" s="185"/>
      <c r="H41" s="138">
        <f t="shared" si="0"/>
        <v>0</v>
      </c>
      <c r="I41" s="183"/>
      <c r="J41" s="184"/>
      <c r="K41" s="185"/>
      <c r="L41" s="138">
        <f t="shared" si="4"/>
        <v>0</v>
      </c>
      <c r="M41" s="183"/>
      <c r="N41" s="184"/>
      <c r="O41" s="185"/>
      <c r="P41" s="138">
        <f t="shared" si="5"/>
        <v>0</v>
      </c>
      <c r="Q41" s="183"/>
      <c r="R41" s="186"/>
      <c r="S41" s="185"/>
      <c r="T41" s="152"/>
      <c r="U41" s="189">
        <f t="shared" si="3"/>
        <v>0</v>
      </c>
    </row>
    <row r="42" spans="1:21" ht="39.5" hidden="1" customHeight="1" x14ac:dyDescent="0.45">
      <c r="A42" s="177" t="s">
        <v>11</v>
      </c>
      <c r="B42" s="138">
        <v>0.72222222222222199</v>
      </c>
      <c r="C42" s="150"/>
      <c r="D42" s="178"/>
      <c r="E42" s="149"/>
      <c r="F42" s="212"/>
      <c r="G42" s="185"/>
      <c r="H42" s="138">
        <f t="shared" si="0"/>
        <v>0</v>
      </c>
      <c r="I42" s="183"/>
      <c r="J42" s="184"/>
      <c r="K42" s="185"/>
      <c r="L42" s="138">
        <f t="shared" si="4"/>
        <v>0</v>
      </c>
      <c r="M42" s="183"/>
      <c r="N42" s="184"/>
      <c r="O42" s="185"/>
      <c r="P42" s="138">
        <f t="shared" si="5"/>
        <v>0</v>
      </c>
      <c r="Q42" s="183"/>
      <c r="R42" s="186"/>
      <c r="S42" s="185"/>
      <c r="T42" s="152"/>
      <c r="U42" s="189">
        <f t="shared" si="3"/>
        <v>0</v>
      </c>
    </row>
    <row r="43" spans="1:21" ht="39.5" hidden="1" customHeight="1" x14ac:dyDescent="0.45">
      <c r="A43" s="177" t="s">
        <v>11</v>
      </c>
      <c r="B43" s="138">
        <v>0.72916666666666596</v>
      </c>
      <c r="C43" s="150"/>
      <c r="D43" s="178"/>
      <c r="E43" s="149"/>
      <c r="F43" s="212"/>
      <c r="G43" s="185"/>
      <c r="H43" s="138">
        <f t="shared" si="0"/>
        <v>0</v>
      </c>
      <c r="I43" s="183"/>
      <c r="J43" s="184"/>
      <c r="K43" s="185"/>
      <c r="L43" s="138">
        <f t="shared" si="4"/>
        <v>0</v>
      </c>
      <c r="M43" s="183"/>
      <c r="N43" s="184"/>
      <c r="O43" s="185"/>
      <c r="P43" s="138">
        <f t="shared" si="5"/>
        <v>0</v>
      </c>
      <c r="Q43" s="183"/>
      <c r="R43" s="186"/>
      <c r="S43" s="185"/>
      <c r="T43" s="152"/>
      <c r="U43" s="189">
        <f t="shared" si="3"/>
        <v>0</v>
      </c>
    </row>
    <row r="44" spans="1:21" ht="39.5" hidden="1" customHeight="1" x14ac:dyDescent="0.45">
      <c r="A44" s="177" t="s">
        <v>11</v>
      </c>
      <c r="B44" s="138">
        <v>0.73611111111111105</v>
      </c>
      <c r="C44" s="150"/>
      <c r="D44" s="178"/>
      <c r="E44" s="149"/>
      <c r="F44" s="212"/>
      <c r="G44" s="185"/>
      <c r="H44" s="138">
        <f t="shared" si="0"/>
        <v>0</v>
      </c>
      <c r="I44" s="183"/>
      <c r="J44" s="184"/>
      <c r="K44" s="185"/>
      <c r="L44" s="138">
        <f t="shared" si="4"/>
        <v>0</v>
      </c>
      <c r="M44" s="183"/>
      <c r="N44" s="184"/>
      <c r="O44" s="185"/>
      <c r="P44" s="138">
        <f t="shared" si="5"/>
        <v>0</v>
      </c>
      <c r="Q44" s="183"/>
      <c r="R44" s="186"/>
      <c r="S44" s="185"/>
      <c r="T44" s="152"/>
      <c r="U44" s="189">
        <f t="shared" si="3"/>
        <v>0</v>
      </c>
    </row>
    <row r="45" spans="1:21" ht="39.5" customHeight="1" x14ac:dyDescent="0.45">
      <c r="A45" s="177" t="s">
        <v>11</v>
      </c>
      <c r="B45" s="138">
        <v>0.74305555555555503</v>
      </c>
      <c r="C45" s="150"/>
      <c r="D45" s="178"/>
      <c r="E45" s="149"/>
      <c r="F45" s="212"/>
      <c r="G45" s="185"/>
      <c r="H45" s="138">
        <f t="shared" si="0"/>
        <v>0</v>
      </c>
      <c r="I45" s="183"/>
      <c r="J45" s="184"/>
      <c r="K45" s="185"/>
      <c r="L45" s="138">
        <f t="shared" si="4"/>
        <v>0</v>
      </c>
      <c r="M45" s="183"/>
      <c r="N45" s="184"/>
      <c r="O45" s="185"/>
      <c r="P45" s="138">
        <f t="shared" si="5"/>
        <v>0</v>
      </c>
      <c r="Q45" s="183"/>
      <c r="R45" s="186"/>
      <c r="S45" s="185"/>
      <c r="T45" s="152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66C8-C6A2-4C4B-8A6D-E1562AFFD8AC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9.33203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43</v>
      </c>
    </row>
    <row r="3" spans="1:21" ht="27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31.05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246"/>
      <c r="D4" s="247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customHeight="1" x14ac:dyDescent="0.45">
      <c r="A8" s="215" t="s">
        <v>8</v>
      </c>
      <c r="B8" s="21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customHeight="1" x14ac:dyDescent="0.45">
      <c r="A9" s="215" t="s">
        <v>8</v>
      </c>
      <c r="B9" s="21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customHeight="1" x14ac:dyDescent="0.45">
      <c r="A10" s="215" t="s">
        <v>8</v>
      </c>
      <c r="B10" s="21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customHeight="1" x14ac:dyDescent="0.45">
      <c r="A11" s="215" t="s">
        <v>8</v>
      </c>
      <c r="B11" s="21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customHeight="1" x14ac:dyDescent="0.45">
      <c r="A12" s="215" t="s">
        <v>8</v>
      </c>
      <c r="B12" s="21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customHeight="1" x14ac:dyDescent="0.45">
      <c r="A13" s="215" t="s">
        <v>8</v>
      </c>
      <c r="B13" s="21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customHeight="1" x14ac:dyDescent="0.45">
      <c r="A14" s="215" t="s">
        <v>8</v>
      </c>
      <c r="B14" s="21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customHeight="1" x14ac:dyDescent="0.45">
      <c r="A15" s="215" t="s">
        <v>8</v>
      </c>
      <c r="B15" s="21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customHeight="1" x14ac:dyDescent="0.45">
      <c r="A16" s="149" t="s">
        <v>8</v>
      </c>
      <c r="B16" s="138">
        <v>0.26388888888888901</v>
      </c>
      <c r="C16" s="150"/>
      <c r="D16" s="151"/>
      <c r="E16" s="183"/>
      <c r="F16" s="184"/>
      <c r="G16" s="185"/>
      <c r="H16" s="138">
        <f t="shared" si="0"/>
        <v>0</v>
      </c>
      <c r="I16" s="183"/>
      <c r="J16" s="184"/>
      <c r="K16" s="185"/>
      <c r="L16" s="138">
        <f t="shared" si="1"/>
        <v>0</v>
      </c>
      <c r="M16" s="183"/>
      <c r="N16" s="184"/>
      <c r="O16" s="185"/>
      <c r="P16" s="138">
        <f t="shared" si="2"/>
        <v>0</v>
      </c>
      <c r="Q16" s="183"/>
      <c r="R16" s="186"/>
      <c r="S16" s="185"/>
      <c r="T16" s="152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hidden="1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hidden="1" customHeight="1" x14ac:dyDescent="0.45">
      <c r="A35" s="164" t="s">
        <v>11</v>
      </c>
      <c r="B35" s="15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hidden="1" customHeight="1" x14ac:dyDescent="0.45">
      <c r="A36" s="164" t="s">
        <v>11</v>
      </c>
      <c r="B36" s="15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customHeight="1" x14ac:dyDescent="0.45">
      <c r="A39" s="172" t="s">
        <v>11</v>
      </c>
      <c r="B39" s="173">
        <v>0.70138888888888895</v>
      </c>
      <c r="C39" s="174"/>
      <c r="D39" s="175"/>
      <c r="E39" s="198"/>
      <c r="F39" s="199"/>
      <c r="G39" s="200"/>
      <c r="H39" s="173">
        <f t="shared" si="0"/>
        <v>0</v>
      </c>
      <c r="I39" s="201"/>
      <c r="J39" s="202"/>
      <c r="K39" s="200"/>
      <c r="L39" s="173">
        <f t="shared" si="4"/>
        <v>0</v>
      </c>
      <c r="M39" s="201"/>
      <c r="N39" s="202"/>
      <c r="O39" s="200"/>
      <c r="P39" s="173">
        <f t="shared" si="5"/>
        <v>0</v>
      </c>
      <c r="Q39" s="201"/>
      <c r="R39" s="203"/>
      <c r="S39" s="200"/>
      <c r="T39" s="176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72" orientation="landscape" copies="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0A09-DE4D-4FD1-B1D4-2ECFBC91245E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44</v>
      </c>
    </row>
    <row r="3" spans="1:21" ht="30.5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6.55" customHeight="1" x14ac:dyDescent="0.45">
      <c r="A4" s="137" t="s">
        <v>13</v>
      </c>
      <c r="B4" s="251" t="s">
        <v>327</v>
      </c>
      <c r="C4" s="246"/>
      <c r="D4" s="247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hidden="1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hidden="1" customHeight="1" x14ac:dyDescent="0.45">
      <c r="A35" s="164" t="s">
        <v>11</v>
      </c>
      <c r="B35" s="15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hidden="1" customHeight="1" x14ac:dyDescent="0.45">
      <c r="A36" s="164" t="s">
        <v>11</v>
      </c>
      <c r="B36" s="15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customHeight="1" x14ac:dyDescent="0.45">
      <c r="A39" s="172" t="s">
        <v>11</v>
      </c>
      <c r="B39" s="173">
        <v>0.70138888888888895</v>
      </c>
      <c r="C39" s="174"/>
      <c r="D39" s="175"/>
      <c r="E39" s="198"/>
      <c r="F39" s="199"/>
      <c r="G39" s="200"/>
      <c r="H39" s="173">
        <f t="shared" si="0"/>
        <v>0</v>
      </c>
      <c r="I39" s="201"/>
      <c r="J39" s="202"/>
      <c r="K39" s="200"/>
      <c r="L39" s="173">
        <f t="shared" si="4"/>
        <v>0</v>
      </c>
      <c r="M39" s="201"/>
      <c r="N39" s="202"/>
      <c r="O39" s="200"/>
      <c r="P39" s="173">
        <f t="shared" si="5"/>
        <v>0</v>
      </c>
      <c r="Q39" s="201"/>
      <c r="R39" s="203"/>
      <c r="S39" s="200"/>
      <c r="T39" s="176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8EAA-4D7A-4A3B-BA0B-90552BEBBF1A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9.33203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45</v>
      </c>
    </row>
    <row r="3" spans="1:21" ht="39.5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37.049999999999997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hidden="1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hidden="1" customHeight="1" x14ac:dyDescent="0.45">
      <c r="A35" s="164" t="s">
        <v>11</v>
      </c>
      <c r="B35" s="15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hidden="1" customHeight="1" x14ac:dyDescent="0.45">
      <c r="A36" s="164" t="s">
        <v>11</v>
      </c>
      <c r="B36" s="15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customHeight="1" x14ac:dyDescent="0.45">
      <c r="A40" s="172" t="s">
        <v>11</v>
      </c>
      <c r="B40" s="173">
        <v>0.70833333333333304</v>
      </c>
      <c r="C40" s="174"/>
      <c r="D40" s="175"/>
      <c r="E40" s="198"/>
      <c r="F40" s="199"/>
      <c r="G40" s="200"/>
      <c r="H40" s="173">
        <f t="shared" si="0"/>
        <v>0</v>
      </c>
      <c r="I40" s="201"/>
      <c r="J40" s="202"/>
      <c r="K40" s="200"/>
      <c r="L40" s="173">
        <f t="shared" si="4"/>
        <v>0</v>
      </c>
      <c r="M40" s="201"/>
      <c r="N40" s="202"/>
      <c r="O40" s="200"/>
      <c r="P40" s="173">
        <f t="shared" si="5"/>
        <v>0</v>
      </c>
      <c r="Q40" s="201"/>
      <c r="R40" s="203"/>
      <c r="S40" s="200"/>
      <c r="T40" s="176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2" orientation="landscape" copies="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768F-D706-459F-82E9-6E089B691108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41" t="s">
        <v>46</v>
      </c>
    </row>
    <row r="3" spans="1:21" ht="30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5.05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hidden="1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hidden="1" customHeight="1" x14ac:dyDescent="0.45">
      <c r="A35" s="164" t="s">
        <v>11</v>
      </c>
      <c r="B35" s="15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hidden="1" customHeight="1" x14ac:dyDescent="0.45">
      <c r="A36" s="164" t="s">
        <v>11</v>
      </c>
      <c r="B36" s="15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customHeight="1" x14ac:dyDescent="0.45">
      <c r="A40" s="172" t="s">
        <v>11</v>
      </c>
      <c r="B40" s="173">
        <v>0.70833333333333304</v>
      </c>
      <c r="C40" s="174"/>
      <c r="D40" s="175"/>
      <c r="E40" s="198"/>
      <c r="F40" s="199"/>
      <c r="G40" s="200"/>
      <c r="H40" s="173">
        <f t="shared" si="0"/>
        <v>0</v>
      </c>
      <c r="I40" s="201"/>
      <c r="J40" s="202"/>
      <c r="K40" s="200"/>
      <c r="L40" s="173">
        <f t="shared" si="4"/>
        <v>0</v>
      </c>
      <c r="M40" s="201"/>
      <c r="N40" s="202"/>
      <c r="O40" s="200"/>
      <c r="P40" s="173">
        <f t="shared" si="5"/>
        <v>0</v>
      </c>
      <c r="Q40" s="201"/>
      <c r="R40" s="203"/>
      <c r="S40" s="200"/>
      <c r="T40" s="176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DE14-F74C-4077-A545-BC3D59E09E2F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7968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15.75" x14ac:dyDescent="0.45">
      <c r="A2" s="137" t="s">
        <v>18</v>
      </c>
      <c r="B2" s="248" t="s">
        <v>31</v>
      </c>
    </row>
    <row r="3" spans="1:21" ht="25.05" customHeight="1" x14ac:dyDescent="0.45">
      <c r="A3" s="137" t="s">
        <v>14</v>
      </c>
      <c r="B3" s="615" t="str">
        <f>IF(ISBLANK(Feuil1!$B$3),"",Feuil1!$B$3)</f>
        <v/>
      </c>
      <c r="C3" s="616"/>
      <c r="D3" s="140"/>
    </row>
    <row r="4" spans="1:21" ht="24.5" customHeight="1" x14ac:dyDescent="0.45">
      <c r="A4" s="137" t="s">
        <v>13</v>
      </c>
      <c r="B4" s="210" t="e">
        <f>VLOOKUP(B2,'Liste chauffeur'!$B$5:$L$19,2,TRUE)&amp;" "&amp;VLOOKUP(B2,'Liste chauffeur'!$B$5:$L$19,3,TRUE)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647" t="s">
        <v>2</v>
      </c>
      <c r="F6" s="648"/>
      <c r="G6" s="649"/>
      <c r="H6" s="227"/>
      <c r="I6" s="647" t="s">
        <v>6</v>
      </c>
      <c r="J6" s="648"/>
      <c r="K6" s="649"/>
      <c r="L6" s="227"/>
      <c r="M6" s="647" t="s">
        <v>7</v>
      </c>
      <c r="N6" s="648"/>
      <c r="O6" s="649"/>
      <c r="P6" s="179"/>
      <c r="R6" s="181"/>
      <c r="S6" s="238" t="s">
        <v>11</v>
      </c>
      <c r="T6" s="144"/>
      <c r="U6" s="143"/>
    </row>
    <row r="7" spans="1:21" ht="47.25" x14ac:dyDescent="0.45">
      <c r="A7" s="145"/>
      <c r="B7" s="239" t="s">
        <v>0</v>
      </c>
      <c r="C7" s="240" t="s">
        <v>1</v>
      </c>
      <c r="D7" s="237" t="s">
        <v>23</v>
      </c>
      <c r="E7" s="235" t="s">
        <v>127</v>
      </c>
      <c r="F7" s="236" t="s">
        <v>325</v>
      </c>
      <c r="G7" s="147" t="s">
        <v>5</v>
      </c>
      <c r="H7" s="146" t="s">
        <v>19</v>
      </c>
      <c r="I7" s="234" t="s">
        <v>127</v>
      </c>
      <c r="J7" s="236" t="s">
        <v>325</v>
      </c>
      <c r="K7" s="147" t="s">
        <v>9</v>
      </c>
      <c r="L7" s="146" t="s">
        <v>19</v>
      </c>
      <c r="M7" s="234" t="s">
        <v>127</v>
      </c>
      <c r="N7" s="236" t="s">
        <v>325</v>
      </c>
      <c r="O7" s="147" t="s">
        <v>10</v>
      </c>
      <c r="P7" s="146" t="s">
        <v>19</v>
      </c>
      <c r="Q7" s="182" t="s">
        <v>22</v>
      </c>
      <c r="R7" s="146"/>
      <c r="S7" s="237" t="s">
        <v>17</v>
      </c>
      <c r="T7" s="233" t="s">
        <v>12</v>
      </c>
      <c r="U7" s="169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6"/>
      <c r="D8" s="157"/>
      <c r="E8" s="187"/>
      <c r="F8" s="188"/>
      <c r="G8" s="189"/>
      <c r="H8" s="154">
        <f>G8-C8</f>
        <v>0</v>
      </c>
      <c r="I8" s="187"/>
      <c r="J8" s="188"/>
      <c r="K8" s="189"/>
      <c r="L8" s="154">
        <f>K8-G8</f>
        <v>0</v>
      </c>
      <c r="M8" s="187"/>
      <c r="N8" s="188"/>
      <c r="O8" s="189"/>
      <c r="P8" s="154">
        <f>O8-K8</f>
        <v>0</v>
      </c>
      <c r="Q8" s="187"/>
      <c r="R8" s="190" t="str">
        <f>IF(D8+E8-F8+I8-J8+M8-N8=Q8,"OK",D8+E8-F8+I8-J8+M8-N8-Q8)</f>
        <v>OK</v>
      </c>
      <c r="S8" s="189"/>
      <c r="T8" s="158"/>
      <c r="U8" s="189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6"/>
      <c r="D9" s="157"/>
      <c r="E9" s="187"/>
      <c r="F9" s="188"/>
      <c r="G9" s="189"/>
      <c r="H9" s="154">
        <f t="shared" ref="H9:H46" si="0">G9-C9</f>
        <v>0</v>
      </c>
      <c r="I9" s="187"/>
      <c r="J9" s="188"/>
      <c r="K9" s="189"/>
      <c r="L9" s="154">
        <f t="shared" ref="L9:L26" si="1">K9-G9</f>
        <v>0</v>
      </c>
      <c r="M9" s="187"/>
      <c r="N9" s="188"/>
      <c r="O9" s="189"/>
      <c r="P9" s="154">
        <f t="shared" ref="P9:P26" si="2">O9-K9</f>
        <v>0</v>
      </c>
      <c r="Q9" s="187"/>
      <c r="R9" s="190"/>
      <c r="S9" s="189"/>
      <c r="T9" s="158"/>
      <c r="U9" s="189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6"/>
      <c r="D10" s="157"/>
      <c r="E10" s="187"/>
      <c r="F10" s="188"/>
      <c r="G10" s="189"/>
      <c r="H10" s="154">
        <f t="shared" si="0"/>
        <v>0</v>
      </c>
      <c r="I10" s="187"/>
      <c r="J10" s="188"/>
      <c r="K10" s="189"/>
      <c r="L10" s="154">
        <f t="shared" si="1"/>
        <v>0</v>
      </c>
      <c r="M10" s="187"/>
      <c r="N10" s="188"/>
      <c r="O10" s="189"/>
      <c r="P10" s="154">
        <f t="shared" si="2"/>
        <v>0</v>
      </c>
      <c r="Q10" s="187"/>
      <c r="R10" s="190"/>
      <c r="S10" s="189"/>
      <c r="T10" s="158"/>
      <c r="U10" s="189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6"/>
      <c r="D11" s="157"/>
      <c r="E11" s="187"/>
      <c r="F11" s="188"/>
      <c r="G11" s="189"/>
      <c r="H11" s="154">
        <f t="shared" si="0"/>
        <v>0</v>
      </c>
      <c r="I11" s="187"/>
      <c r="J11" s="188"/>
      <c r="K11" s="189"/>
      <c r="L11" s="154">
        <f t="shared" si="1"/>
        <v>0</v>
      </c>
      <c r="M11" s="187"/>
      <c r="N11" s="188"/>
      <c r="O11" s="189"/>
      <c r="P11" s="154">
        <f t="shared" si="2"/>
        <v>0</v>
      </c>
      <c r="Q11" s="187"/>
      <c r="R11" s="190"/>
      <c r="S11" s="189"/>
      <c r="T11" s="158"/>
      <c r="U11" s="189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6"/>
      <c r="D12" s="157"/>
      <c r="E12" s="187"/>
      <c r="F12" s="188"/>
      <c r="G12" s="189"/>
      <c r="H12" s="154">
        <f t="shared" si="0"/>
        <v>0</v>
      </c>
      <c r="I12" s="187"/>
      <c r="J12" s="188"/>
      <c r="K12" s="189"/>
      <c r="L12" s="154">
        <f t="shared" si="1"/>
        <v>0</v>
      </c>
      <c r="M12" s="187"/>
      <c r="N12" s="188"/>
      <c r="O12" s="189"/>
      <c r="P12" s="154">
        <f t="shared" si="2"/>
        <v>0</v>
      </c>
      <c r="Q12" s="187"/>
      <c r="R12" s="190"/>
      <c r="S12" s="189"/>
      <c r="T12" s="158"/>
      <c r="U12" s="189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6"/>
      <c r="D13" s="157"/>
      <c r="E13" s="187"/>
      <c r="F13" s="188"/>
      <c r="G13" s="189"/>
      <c r="H13" s="154">
        <f t="shared" si="0"/>
        <v>0</v>
      </c>
      <c r="I13" s="187"/>
      <c r="J13" s="188"/>
      <c r="K13" s="189"/>
      <c r="L13" s="154">
        <f t="shared" si="1"/>
        <v>0</v>
      </c>
      <c r="M13" s="187"/>
      <c r="N13" s="188"/>
      <c r="O13" s="189"/>
      <c r="P13" s="154">
        <f t="shared" si="2"/>
        <v>0</v>
      </c>
      <c r="Q13" s="187"/>
      <c r="R13" s="190"/>
      <c r="S13" s="189"/>
      <c r="T13" s="158"/>
      <c r="U13" s="189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6"/>
      <c r="D14" s="157"/>
      <c r="E14" s="187"/>
      <c r="F14" s="188"/>
      <c r="G14" s="189"/>
      <c r="H14" s="154">
        <f t="shared" si="0"/>
        <v>0</v>
      </c>
      <c r="I14" s="187"/>
      <c r="J14" s="188"/>
      <c r="K14" s="189"/>
      <c r="L14" s="154">
        <f t="shared" si="1"/>
        <v>0</v>
      </c>
      <c r="M14" s="187"/>
      <c r="N14" s="188"/>
      <c r="O14" s="189"/>
      <c r="P14" s="154">
        <f t="shared" si="2"/>
        <v>0</v>
      </c>
      <c r="Q14" s="187"/>
      <c r="R14" s="190"/>
      <c r="S14" s="189"/>
      <c r="T14" s="158"/>
      <c r="U14" s="189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6"/>
      <c r="D15" s="157"/>
      <c r="E15" s="187"/>
      <c r="F15" s="188"/>
      <c r="G15" s="189"/>
      <c r="H15" s="154">
        <f t="shared" si="0"/>
        <v>0</v>
      </c>
      <c r="I15" s="187"/>
      <c r="J15" s="188"/>
      <c r="K15" s="189"/>
      <c r="L15" s="154">
        <f t="shared" si="1"/>
        <v>0</v>
      </c>
      <c r="M15" s="187"/>
      <c r="N15" s="188"/>
      <c r="O15" s="189"/>
      <c r="P15" s="154">
        <f t="shared" si="2"/>
        <v>0</v>
      </c>
      <c r="Q15" s="187"/>
      <c r="R15" s="190"/>
      <c r="S15" s="189"/>
      <c r="T15" s="158"/>
      <c r="U15" s="189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6"/>
      <c r="D16" s="157"/>
      <c r="E16" s="187"/>
      <c r="F16" s="188"/>
      <c r="G16" s="189"/>
      <c r="H16" s="154">
        <f t="shared" si="0"/>
        <v>0</v>
      </c>
      <c r="I16" s="187"/>
      <c r="J16" s="188"/>
      <c r="K16" s="189"/>
      <c r="L16" s="154">
        <f t="shared" si="1"/>
        <v>0</v>
      </c>
      <c r="M16" s="187"/>
      <c r="N16" s="188"/>
      <c r="O16" s="189"/>
      <c r="P16" s="154">
        <f t="shared" si="2"/>
        <v>0</v>
      </c>
      <c r="Q16" s="187"/>
      <c r="R16" s="190"/>
      <c r="S16" s="189"/>
      <c r="T16" s="158"/>
      <c r="U16" s="189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6"/>
      <c r="D17" s="157"/>
      <c r="E17" s="187"/>
      <c r="F17" s="188"/>
      <c r="G17" s="189"/>
      <c r="H17" s="154">
        <f t="shared" si="0"/>
        <v>0</v>
      </c>
      <c r="I17" s="187"/>
      <c r="J17" s="188"/>
      <c r="K17" s="189"/>
      <c r="L17" s="154">
        <f t="shared" si="1"/>
        <v>0</v>
      </c>
      <c r="M17" s="187"/>
      <c r="N17" s="188"/>
      <c r="O17" s="189"/>
      <c r="P17" s="154">
        <f t="shared" si="2"/>
        <v>0</v>
      </c>
      <c r="Q17" s="187"/>
      <c r="R17" s="190"/>
      <c r="S17" s="189"/>
      <c r="T17" s="158"/>
      <c r="U17" s="189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6"/>
      <c r="D18" s="157"/>
      <c r="E18" s="187"/>
      <c r="F18" s="188"/>
      <c r="G18" s="189"/>
      <c r="H18" s="154">
        <f t="shared" si="0"/>
        <v>0</v>
      </c>
      <c r="I18" s="187"/>
      <c r="J18" s="188"/>
      <c r="K18" s="189"/>
      <c r="L18" s="154">
        <f t="shared" si="1"/>
        <v>0</v>
      </c>
      <c r="M18" s="187"/>
      <c r="N18" s="188"/>
      <c r="O18" s="189"/>
      <c r="P18" s="154">
        <f t="shared" si="2"/>
        <v>0</v>
      </c>
      <c r="Q18" s="187"/>
      <c r="R18" s="190"/>
      <c r="S18" s="189"/>
      <c r="T18" s="158"/>
      <c r="U18" s="189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6"/>
      <c r="D19" s="157"/>
      <c r="E19" s="187"/>
      <c r="F19" s="188"/>
      <c r="G19" s="189"/>
      <c r="H19" s="154">
        <f t="shared" si="0"/>
        <v>0</v>
      </c>
      <c r="I19" s="187"/>
      <c r="J19" s="188"/>
      <c r="K19" s="189"/>
      <c r="L19" s="154">
        <f t="shared" si="1"/>
        <v>0</v>
      </c>
      <c r="M19" s="187"/>
      <c r="N19" s="188"/>
      <c r="O19" s="189"/>
      <c r="P19" s="154">
        <f t="shared" si="2"/>
        <v>0</v>
      </c>
      <c r="Q19" s="187"/>
      <c r="R19" s="190"/>
      <c r="S19" s="189"/>
      <c r="T19" s="158"/>
      <c r="U19" s="189">
        <f t="shared" si="3"/>
        <v>0</v>
      </c>
    </row>
    <row r="20" spans="1:21" ht="40.049999999999997" customHeight="1" x14ac:dyDescent="0.45">
      <c r="A20" s="153" t="s">
        <v>8</v>
      </c>
      <c r="B20" s="154">
        <v>0.29166666666666702</v>
      </c>
      <c r="C20" s="156"/>
      <c r="D20" s="157"/>
      <c r="E20" s="187"/>
      <c r="F20" s="188"/>
      <c r="G20" s="189"/>
      <c r="H20" s="154">
        <f t="shared" si="0"/>
        <v>0</v>
      </c>
      <c r="I20" s="187"/>
      <c r="J20" s="188"/>
      <c r="K20" s="189"/>
      <c r="L20" s="154">
        <f t="shared" si="1"/>
        <v>0</v>
      </c>
      <c r="M20" s="187"/>
      <c r="N20" s="188"/>
      <c r="O20" s="189"/>
      <c r="P20" s="154">
        <f t="shared" si="2"/>
        <v>0</v>
      </c>
      <c r="Q20" s="187"/>
      <c r="R20" s="190"/>
      <c r="S20" s="189"/>
      <c r="T20" s="158"/>
      <c r="U20" s="189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6"/>
      <c r="D21" s="157"/>
      <c r="E21" s="187"/>
      <c r="F21" s="188"/>
      <c r="G21" s="189"/>
      <c r="H21" s="154">
        <f t="shared" si="0"/>
        <v>0</v>
      </c>
      <c r="I21" s="187"/>
      <c r="J21" s="188"/>
      <c r="K21" s="189"/>
      <c r="L21" s="154">
        <f t="shared" si="1"/>
        <v>0</v>
      </c>
      <c r="M21" s="187"/>
      <c r="N21" s="188"/>
      <c r="O21" s="189"/>
      <c r="P21" s="154">
        <f t="shared" si="2"/>
        <v>0</v>
      </c>
      <c r="Q21" s="187"/>
      <c r="R21" s="190"/>
      <c r="S21" s="189"/>
      <c r="T21" s="158"/>
      <c r="U21" s="189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6"/>
      <c r="D22" s="157"/>
      <c r="E22" s="187"/>
      <c r="F22" s="188"/>
      <c r="G22" s="189"/>
      <c r="H22" s="154">
        <f t="shared" si="0"/>
        <v>0</v>
      </c>
      <c r="I22" s="187"/>
      <c r="J22" s="188"/>
      <c r="K22" s="189"/>
      <c r="L22" s="154">
        <f t="shared" si="1"/>
        <v>0</v>
      </c>
      <c r="M22" s="187"/>
      <c r="N22" s="188"/>
      <c r="O22" s="189"/>
      <c r="P22" s="154">
        <f t="shared" si="2"/>
        <v>0</v>
      </c>
      <c r="Q22" s="187"/>
      <c r="R22" s="190"/>
      <c r="S22" s="189"/>
      <c r="T22" s="158"/>
      <c r="U22" s="189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6"/>
      <c r="D23" s="157"/>
      <c r="E23" s="187"/>
      <c r="F23" s="188"/>
      <c r="G23" s="189"/>
      <c r="H23" s="154">
        <f t="shared" si="0"/>
        <v>0</v>
      </c>
      <c r="I23" s="187"/>
      <c r="J23" s="188"/>
      <c r="K23" s="189"/>
      <c r="L23" s="154">
        <f t="shared" si="1"/>
        <v>0</v>
      </c>
      <c r="M23" s="187"/>
      <c r="N23" s="188"/>
      <c r="O23" s="189"/>
      <c r="P23" s="154">
        <f t="shared" si="2"/>
        <v>0</v>
      </c>
      <c r="Q23" s="187"/>
      <c r="R23" s="190"/>
      <c r="S23" s="189"/>
      <c r="T23" s="158"/>
      <c r="U23" s="189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6"/>
      <c r="D24" s="157"/>
      <c r="E24" s="187"/>
      <c r="F24" s="188"/>
      <c r="G24" s="189"/>
      <c r="H24" s="154">
        <f t="shared" si="0"/>
        <v>0</v>
      </c>
      <c r="I24" s="187"/>
      <c r="J24" s="188"/>
      <c r="K24" s="189"/>
      <c r="L24" s="154">
        <f t="shared" si="1"/>
        <v>0</v>
      </c>
      <c r="M24" s="187"/>
      <c r="N24" s="188"/>
      <c r="O24" s="189"/>
      <c r="P24" s="154">
        <f t="shared" si="2"/>
        <v>0</v>
      </c>
      <c r="Q24" s="187"/>
      <c r="R24" s="190"/>
      <c r="S24" s="189"/>
      <c r="T24" s="158"/>
      <c r="U24" s="189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6"/>
      <c r="D25" s="157"/>
      <c r="E25" s="187"/>
      <c r="F25" s="188"/>
      <c r="G25" s="189"/>
      <c r="H25" s="154">
        <f t="shared" si="0"/>
        <v>0</v>
      </c>
      <c r="I25" s="187"/>
      <c r="J25" s="188"/>
      <c r="K25" s="189"/>
      <c r="L25" s="154">
        <f t="shared" si="1"/>
        <v>0</v>
      </c>
      <c r="M25" s="187"/>
      <c r="N25" s="188"/>
      <c r="O25" s="189"/>
      <c r="P25" s="154">
        <f t="shared" si="2"/>
        <v>0</v>
      </c>
      <c r="Q25" s="187"/>
      <c r="R25" s="190"/>
      <c r="S25" s="189"/>
      <c r="T25" s="158"/>
      <c r="U25" s="189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6"/>
      <c r="D26" s="157"/>
      <c r="E26" s="187"/>
      <c r="F26" s="188"/>
      <c r="G26" s="189"/>
      <c r="H26" s="154">
        <f t="shared" si="0"/>
        <v>0</v>
      </c>
      <c r="I26" s="187"/>
      <c r="J26" s="188"/>
      <c r="K26" s="189"/>
      <c r="L26" s="154">
        <f t="shared" si="1"/>
        <v>0</v>
      </c>
      <c r="M26" s="187"/>
      <c r="N26" s="188"/>
      <c r="O26" s="189"/>
      <c r="P26" s="154">
        <f t="shared" si="2"/>
        <v>0</v>
      </c>
      <c r="Q26" s="187"/>
      <c r="R26" s="190"/>
      <c r="S26" s="189"/>
      <c r="T26" s="158"/>
      <c r="U26" s="189">
        <f t="shared" si="3"/>
        <v>0</v>
      </c>
    </row>
    <row r="27" spans="1:21" ht="29.55" customHeight="1" x14ac:dyDescent="0.45">
      <c r="A27" s="159"/>
      <c r="B27" s="160"/>
      <c r="C27" s="161"/>
      <c r="D27" s="162"/>
      <c r="E27" s="159"/>
      <c r="F27" s="191"/>
      <c r="G27" s="192"/>
      <c r="H27" s="193"/>
      <c r="I27" s="194"/>
      <c r="J27" s="195"/>
      <c r="K27" s="192"/>
      <c r="L27" s="160"/>
      <c r="M27" s="194"/>
      <c r="N27" s="195"/>
      <c r="O27" s="192"/>
      <c r="P27" s="160"/>
      <c r="Q27" s="194" t="s">
        <v>8</v>
      </c>
      <c r="R27" s="196"/>
      <c r="S27" s="192"/>
      <c r="T27" s="163"/>
      <c r="U27" s="192">
        <f>SUM(U8:U26)</f>
        <v>0</v>
      </c>
    </row>
    <row r="28" spans="1:21" ht="39.5" hidden="1" customHeight="1" x14ac:dyDescent="0.45">
      <c r="A28" s="164" t="s">
        <v>11</v>
      </c>
      <c r="B28" s="154">
        <v>0.625</v>
      </c>
      <c r="C28" s="156"/>
      <c r="D28" s="165"/>
      <c r="E28" s="153"/>
      <c r="F28" s="197"/>
      <c r="G28" s="189"/>
      <c r="H28" s="154">
        <f t="shared" si="0"/>
        <v>0</v>
      </c>
      <c r="I28" s="187"/>
      <c r="J28" s="188"/>
      <c r="K28" s="189"/>
      <c r="L28" s="154">
        <f t="shared" ref="L28:L46" si="4">K28-G28</f>
        <v>0</v>
      </c>
      <c r="M28" s="187"/>
      <c r="N28" s="188"/>
      <c r="O28" s="189"/>
      <c r="P28" s="154">
        <f t="shared" ref="P28:P46" si="5">O28-K28</f>
        <v>0</v>
      </c>
      <c r="Q28" s="187"/>
      <c r="R28" s="190"/>
      <c r="S28" s="189"/>
      <c r="T28" s="158"/>
      <c r="U28" s="189">
        <f t="shared" si="3"/>
        <v>0</v>
      </c>
    </row>
    <row r="29" spans="1:21" ht="39.5" hidden="1" customHeight="1" x14ac:dyDescent="0.45">
      <c r="A29" s="164" t="s">
        <v>11</v>
      </c>
      <c r="B29" s="154">
        <v>0.63194444444444442</v>
      </c>
      <c r="C29" s="156"/>
      <c r="D29" s="165"/>
      <c r="E29" s="153"/>
      <c r="F29" s="197"/>
      <c r="G29" s="189"/>
      <c r="H29" s="154">
        <f t="shared" si="0"/>
        <v>0</v>
      </c>
      <c r="I29" s="187"/>
      <c r="J29" s="188"/>
      <c r="K29" s="189"/>
      <c r="L29" s="154">
        <f t="shared" si="4"/>
        <v>0</v>
      </c>
      <c r="M29" s="187"/>
      <c r="N29" s="188"/>
      <c r="O29" s="189"/>
      <c r="P29" s="154">
        <f t="shared" si="5"/>
        <v>0</v>
      </c>
      <c r="Q29" s="187"/>
      <c r="R29" s="190"/>
      <c r="S29" s="189"/>
      <c r="T29" s="158"/>
      <c r="U29" s="189">
        <f t="shared" si="3"/>
        <v>0</v>
      </c>
    </row>
    <row r="30" spans="1:21" ht="39.5" hidden="1" customHeight="1" x14ac:dyDescent="0.45">
      <c r="A30" s="164" t="s">
        <v>11</v>
      </c>
      <c r="B30" s="154">
        <v>0.63888888888888895</v>
      </c>
      <c r="C30" s="156"/>
      <c r="D30" s="165"/>
      <c r="E30" s="153"/>
      <c r="F30" s="197"/>
      <c r="G30" s="189"/>
      <c r="H30" s="154">
        <f t="shared" si="0"/>
        <v>0</v>
      </c>
      <c r="I30" s="187"/>
      <c r="J30" s="188"/>
      <c r="K30" s="189"/>
      <c r="L30" s="154">
        <f t="shared" si="4"/>
        <v>0</v>
      </c>
      <c r="M30" s="187"/>
      <c r="N30" s="188"/>
      <c r="O30" s="189"/>
      <c r="P30" s="154">
        <f t="shared" si="5"/>
        <v>0</v>
      </c>
      <c r="Q30" s="187"/>
      <c r="R30" s="190"/>
      <c r="S30" s="189"/>
      <c r="T30" s="158"/>
      <c r="U30" s="189">
        <f t="shared" si="3"/>
        <v>0</v>
      </c>
    </row>
    <row r="31" spans="1:21" ht="39.5" hidden="1" customHeight="1" x14ac:dyDescent="0.45">
      <c r="A31" s="164" t="s">
        <v>11</v>
      </c>
      <c r="B31" s="154">
        <v>0.64583333333333304</v>
      </c>
      <c r="C31" s="156"/>
      <c r="D31" s="165"/>
      <c r="E31" s="153"/>
      <c r="F31" s="197"/>
      <c r="G31" s="189"/>
      <c r="H31" s="154">
        <f t="shared" si="0"/>
        <v>0</v>
      </c>
      <c r="I31" s="187"/>
      <c r="J31" s="188"/>
      <c r="K31" s="189"/>
      <c r="L31" s="154">
        <f t="shared" si="4"/>
        <v>0</v>
      </c>
      <c r="M31" s="187"/>
      <c r="N31" s="188"/>
      <c r="O31" s="189"/>
      <c r="P31" s="154">
        <f t="shared" si="5"/>
        <v>0</v>
      </c>
      <c r="Q31" s="187"/>
      <c r="R31" s="190"/>
      <c r="S31" s="189"/>
      <c r="T31" s="158"/>
      <c r="U31" s="189">
        <f t="shared" si="3"/>
        <v>0</v>
      </c>
    </row>
    <row r="32" spans="1:21" ht="39.5" hidden="1" customHeight="1" x14ac:dyDescent="0.45">
      <c r="A32" s="164" t="s">
        <v>11</v>
      </c>
      <c r="B32" s="154">
        <v>0.65277777777777801</v>
      </c>
      <c r="C32" s="156"/>
      <c r="D32" s="165"/>
      <c r="E32" s="153"/>
      <c r="F32" s="197"/>
      <c r="G32" s="189"/>
      <c r="H32" s="154">
        <f t="shared" si="0"/>
        <v>0</v>
      </c>
      <c r="I32" s="187"/>
      <c r="J32" s="188"/>
      <c r="K32" s="189"/>
      <c r="L32" s="154">
        <f t="shared" si="4"/>
        <v>0</v>
      </c>
      <c r="M32" s="187"/>
      <c r="N32" s="188"/>
      <c r="O32" s="189"/>
      <c r="P32" s="154">
        <f t="shared" si="5"/>
        <v>0</v>
      </c>
      <c r="Q32" s="187"/>
      <c r="R32" s="190"/>
      <c r="S32" s="189"/>
      <c r="T32" s="158"/>
      <c r="U32" s="189">
        <f t="shared" si="3"/>
        <v>0</v>
      </c>
    </row>
    <row r="33" spans="1:21" ht="39.5" hidden="1" customHeight="1" x14ac:dyDescent="0.45">
      <c r="A33" s="164" t="s">
        <v>11</v>
      </c>
      <c r="B33" s="154">
        <v>0.65972222222222199</v>
      </c>
      <c r="C33" s="156"/>
      <c r="D33" s="165"/>
      <c r="E33" s="153"/>
      <c r="F33" s="197"/>
      <c r="G33" s="189"/>
      <c r="H33" s="154">
        <f t="shared" si="0"/>
        <v>0</v>
      </c>
      <c r="I33" s="187"/>
      <c r="J33" s="188"/>
      <c r="K33" s="189"/>
      <c r="L33" s="154">
        <f t="shared" si="4"/>
        <v>0</v>
      </c>
      <c r="M33" s="187"/>
      <c r="N33" s="188"/>
      <c r="O33" s="189"/>
      <c r="P33" s="154">
        <f t="shared" si="5"/>
        <v>0</v>
      </c>
      <c r="Q33" s="187"/>
      <c r="R33" s="190"/>
      <c r="S33" s="189"/>
      <c r="T33" s="158"/>
      <c r="U33" s="189">
        <f t="shared" si="3"/>
        <v>0</v>
      </c>
    </row>
    <row r="34" spans="1:21" ht="39.5" hidden="1" customHeight="1" x14ac:dyDescent="0.45">
      <c r="A34" s="164" t="s">
        <v>11</v>
      </c>
      <c r="B34" s="154">
        <v>0.66666666666666696</v>
      </c>
      <c r="C34" s="156"/>
      <c r="D34" s="165"/>
      <c r="E34" s="153"/>
      <c r="F34" s="197"/>
      <c r="G34" s="189"/>
      <c r="H34" s="154">
        <f t="shared" si="0"/>
        <v>0</v>
      </c>
      <c r="I34" s="187"/>
      <c r="J34" s="188"/>
      <c r="K34" s="189"/>
      <c r="L34" s="154">
        <f t="shared" si="4"/>
        <v>0</v>
      </c>
      <c r="M34" s="187"/>
      <c r="N34" s="188"/>
      <c r="O34" s="189"/>
      <c r="P34" s="154">
        <f t="shared" si="5"/>
        <v>0</v>
      </c>
      <c r="Q34" s="187"/>
      <c r="R34" s="190"/>
      <c r="S34" s="189"/>
      <c r="T34" s="158"/>
      <c r="U34" s="189">
        <f t="shared" si="3"/>
        <v>0</v>
      </c>
    </row>
    <row r="35" spans="1:21" ht="39.5" hidden="1" customHeight="1" x14ac:dyDescent="0.45">
      <c r="A35" s="164" t="s">
        <v>11</v>
      </c>
      <c r="B35" s="154">
        <v>0.67361111111111105</v>
      </c>
      <c r="C35" s="156"/>
      <c r="D35" s="165"/>
      <c r="E35" s="153"/>
      <c r="F35" s="197"/>
      <c r="G35" s="189"/>
      <c r="H35" s="154">
        <f t="shared" si="0"/>
        <v>0</v>
      </c>
      <c r="I35" s="187"/>
      <c r="J35" s="188"/>
      <c r="K35" s="189"/>
      <c r="L35" s="154">
        <f t="shared" si="4"/>
        <v>0</v>
      </c>
      <c r="M35" s="187"/>
      <c r="N35" s="188"/>
      <c r="O35" s="189"/>
      <c r="P35" s="154">
        <f t="shared" si="5"/>
        <v>0</v>
      </c>
      <c r="Q35" s="187"/>
      <c r="R35" s="190"/>
      <c r="S35" s="189"/>
      <c r="T35" s="158"/>
      <c r="U35" s="189">
        <f t="shared" si="3"/>
        <v>0</v>
      </c>
    </row>
    <row r="36" spans="1:21" ht="39.5" hidden="1" customHeight="1" x14ac:dyDescent="0.45">
      <c r="A36" s="164" t="s">
        <v>11</v>
      </c>
      <c r="B36" s="154">
        <v>0.68055555555555503</v>
      </c>
      <c r="C36" s="156"/>
      <c r="D36" s="165"/>
      <c r="E36" s="153"/>
      <c r="F36" s="197"/>
      <c r="G36" s="189"/>
      <c r="H36" s="154">
        <f t="shared" si="0"/>
        <v>0</v>
      </c>
      <c r="I36" s="187"/>
      <c r="J36" s="188"/>
      <c r="K36" s="189"/>
      <c r="L36" s="154">
        <f t="shared" si="4"/>
        <v>0</v>
      </c>
      <c r="M36" s="187"/>
      <c r="N36" s="188"/>
      <c r="O36" s="189"/>
      <c r="P36" s="154">
        <f t="shared" si="5"/>
        <v>0</v>
      </c>
      <c r="Q36" s="187"/>
      <c r="R36" s="190"/>
      <c r="S36" s="189"/>
      <c r="T36" s="158"/>
      <c r="U36" s="189">
        <f t="shared" si="3"/>
        <v>0</v>
      </c>
    </row>
    <row r="37" spans="1:21" ht="39.5" hidden="1" customHeight="1" x14ac:dyDescent="0.45">
      <c r="A37" s="164" t="s">
        <v>11</v>
      </c>
      <c r="B37" s="154">
        <v>0.6875</v>
      </c>
      <c r="C37" s="156"/>
      <c r="D37" s="165"/>
      <c r="E37" s="153"/>
      <c r="F37" s="197"/>
      <c r="G37" s="189"/>
      <c r="H37" s="154">
        <f t="shared" si="0"/>
        <v>0</v>
      </c>
      <c r="I37" s="187"/>
      <c r="J37" s="188"/>
      <c r="K37" s="189"/>
      <c r="L37" s="154">
        <f t="shared" si="4"/>
        <v>0</v>
      </c>
      <c r="M37" s="187"/>
      <c r="N37" s="188"/>
      <c r="O37" s="189"/>
      <c r="P37" s="154">
        <f t="shared" si="5"/>
        <v>0</v>
      </c>
      <c r="Q37" s="187"/>
      <c r="R37" s="190"/>
      <c r="S37" s="189"/>
      <c r="T37" s="158"/>
      <c r="U37" s="189">
        <f t="shared" si="3"/>
        <v>0</v>
      </c>
    </row>
    <row r="38" spans="1:21" ht="39.5" hidden="1" customHeight="1" x14ac:dyDescent="0.45">
      <c r="A38" s="164" t="s">
        <v>11</v>
      </c>
      <c r="B38" s="154">
        <v>0.69444444444444398</v>
      </c>
      <c r="C38" s="156"/>
      <c r="D38" s="165"/>
      <c r="E38" s="153"/>
      <c r="F38" s="197"/>
      <c r="G38" s="189"/>
      <c r="H38" s="154">
        <f t="shared" si="0"/>
        <v>0</v>
      </c>
      <c r="I38" s="187"/>
      <c r="J38" s="188"/>
      <c r="K38" s="189"/>
      <c r="L38" s="154">
        <f t="shared" si="4"/>
        <v>0</v>
      </c>
      <c r="M38" s="187"/>
      <c r="N38" s="188"/>
      <c r="O38" s="189"/>
      <c r="P38" s="154">
        <f t="shared" si="5"/>
        <v>0</v>
      </c>
      <c r="Q38" s="187"/>
      <c r="R38" s="190"/>
      <c r="S38" s="189"/>
      <c r="T38" s="158"/>
      <c r="U38" s="189">
        <f t="shared" si="3"/>
        <v>0</v>
      </c>
    </row>
    <row r="39" spans="1:21" ht="39.5" hidden="1" customHeight="1" x14ac:dyDescent="0.45">
      <c r="A39" s="164" t="s">
        <v>11</v>
      </c>
      <c r="B39" s="154">
        <v>0.70138888888888895</v>
      </c>
      <c r="C39" s="156"/>
      <c r="D39" s="165"/>
      <c r="E39" s="153"/>
      <c r="F39" s="197"/>
      <c r="G39" s="189"/>
      <c r="H39" s="154">
        <f t="shared" si="0"/>
        <v>0</v>
      </c>
      <c r="I39" s="187"/>
      <c r="J39" s="188"/>
      <c r="K39" s="189"/>
      <c r="L39" s="154">
        <f t="shared" si="4"/>
        <v>0</v>
      </c>
      <c r="M39" s="187"/>
      <c r="N39" s="188"/>
      <c r="O39" s="189"/>
      <c r="P39" s="154">
        <f t="shared" si="5"/>
        <v>0</v>
      </c>
      <c r="Q39" s="187"/>
      <c r="R39" s="190"/>
      <c r="S39" s="189"/>
      <c r="T39" s="158"/>
      <c r="U39" s="189">
        <f t="shared" si="3"/>
        <v>0</v>
      </c>
    </row>
    <row r="40" spans="1:21" ht="39.5" hidden="1" customHeight="1" x14ac:dyDescent="0.45">
      <c r="A40" s="164" t="s">
        <v>11</v>
      </c>
      <c r="B40" s="154">
        <v>0.70833333333333304</v>
      </c>
      <c r="C40" s="156"/>
      <c r="D40" s="165"/>
      <c r="E40" s="153"/>
      <c r="F40" s="197"/>
      <c r="G40" s="189"/>
      <c r="H40" s="154">
        <f t="shared" si="0"/>
        <v>0</v>
      </c>
      <c r="I40" s="187"/>
      <c r="J40" s="188"/>
      <c r="K40" s="189"/>
      <c r="L40" s="154">
        <f t="shared" si="4"/>
        <v>0</v>
      </c>
      <c r="M40" s="187"/>
      <c r="N40" s="188"/>
      <c r="O40" s="189"/>
      <c r="P40" s="154">
        <f t="shared" si="5"/>
        <v>0</v>
      </c>
      <c r="Q40" s="187"/>
      <c r="R40" s="190"/>
      <c r="S40" s="189"/>
      <c r="T40" s="158"/>
      <c r="U40" s="189">
        <f t="shared" si="3"/>
        <v>0</v>
      </c>
    </row>
    <row r="41" spans="1:21" ht="39.5" hidden="1" customHeight="1" x14ac:dyDescent="0.45">
      <c r="A41" s="164" t="s">
        <v>11</v>
      </c>
      <c r="B41" s="154">
        <v>0.71527777777777701</v>
      </c>
      <c r="C41" s="156"/>
      <c r="D41" s="165"/>
      <c r="E41" s="153"/>
      <c r="F41" s="197"/>
      <c r="G41" s="189"/>
      <c r="H41" s="154">
        <f t="shared" si="0"/>
        <v>0</v>
      </c>
      <c r="I41" s="187"/>
      <c r="J41" s="188"/>
      <c r="K41" s="189"/>
      <c r="L41" s="154">
        <f t="shared" si="4"/>
        <v>0</v>
      </c>
      <c r="M41" s="187"/>
      <c r="N41" s="188"/>
      <c r="O41" s="189"/>
      <c r="P41" s="154">
        <f t="shared" si="5"/>
        <v>0</v>
      </c>
      <c r="Q41" s="187"/>
      <c r="R41" s="190"/>
      <c r="S41" s="189"/>
      <c r="T41" s="158"/>
      <c r="U41" s="189">
        <f t="shared" si="3"/>
        <v>0</v>
      </c>
    </row>
    <row r="42" spans="1:21" ht="39.5" hidden="1" customHeight="1" x14ac:dyDescent="0.45">
      <c r="A42" s="164" t="s">
        <v>11</v>
      </c>
      <c r="B42" s="154">
        <v>0.72222222222222199</v>
      </c>
      <c r="C42" s="156"/>
      <c r="D42" s="165"/>
      <c r="E42" s="153"/>
      <c r="F42" s="197"/>
      <c r="G42" s="189"/>
      <c r="H42" s="154">
        <f t="shared" si="0"/>
        <v>0</v>
      </c>
      <c r="I42" s="187"/>
      <c r="J42" s="188"/>
      <c r="K42" s="189"/>
      <c r="L42" s="154">
        <f t="shared" si="4"/>
        <v>0</v>
      </c>
      <c r="M42" s="187"/>
      <c r="N42" s="188"/>
      <c r="O42" s="189"/>
      <c r="P42" s="154">
        <f t="shared" si="5"/>
        <v>0</v>
      </c>
      <c r="Q42" s="187"/>
      <c r="R42" s="190"/>
      <c r="S42" s="189"/>
      <c r="T42" s="158"/>
      <c r="U42" s="189">
        <f t="shared" si="3"/>
        <v>0</v>
      </c>
    </row>
    <row r="43" spans="1:21" ht="39.5" hidden="1" customHeight="1" x14ac:dyDescent="0.45">
      <c r="A43" s="164" t="s">
        <v>11</v>
      </c>
      <c r="B43" s="154">
        <v>0.72916666666666596</v>
      </c>
      <c r="C43" s="156"/>
      <c r="D43" s="165"/>
      <c r="E43" s="153"/>
      <c r="F43" s="197"/>
      <c r="G43" s="189"/>
      <c r="H43" s="154">
        <f t="shared" si="0"/>
        <v>0</v>
      </c>
      <c r="I43" s="187"/>
      <c r="J43" s="188"/>
      <c r="K43" s="189"/>
      <c r="L43" s="154">
        <f t="shared" si="4"/>
        <v>0</v>
      </c>
      <c r="M43" s="187"/>
      <c r="N43" s="188"/>
      <c r="O43" s="189"/>
      <c r="P43" s="154">
        <f t="shared" si="5"/>
        <v>0</v>
      </c>
      <c r="Q43" s="187"/>
      <c r="R43" s="190"/>
      <c r="S43" s="189"/>
      <c r="T43" s="158"/>
      <c r="U43" s="189">
        <f t="shared" si="3"/>
        <v>0</v>
      </c>
    </row>
    <row r="44" spans="1:21" ht="39.5" hidden="1" customHeight="1" x14ac:dyDescent="0.45">
      <c r="A44" s="164" t="s">
        <v>11</v>
      </c>
      <c r="B44" s="154">
        <v>0.73611111111111105</v>
      </c>
      <c r="C44" s="156"/>
      <c r="D44" s="165"/>
      <c r="E44" s="153"/>
      <c r="F44" s="197"/>
      <c r="G44" s="189"/>
      <c r="H44" s="154">
        <f t="shared" si="0"/>
        <v>0</v>
      </c>
      <c r="I44" s="187"/>
      <c r="J44" s="188"/>
      <c r="K44" s="189"/>
      <c r="L44" s="154">
        <f t="shared" si="4"/>
        <v>0</v>
      </c>
      <c r="M44" s="187"/>
      <c r="N44" s="188"/>
      <c r="O44" s="189"/>
      <c r="P44" s="154">
        <f t="shared" si="5"/>
        <v>0</v>
      </c>
      <c r="Q44" s="187"/>
      <c r="R44" s="190"/>
      <c r="S44" s="189"/>
      <c r="T44" s="158"/>
      <c r="U44" s="189">
        <f t="shared" si="3"/>
        <v>0</v>
      </c>
    </row>
    <row r="45" spans="1:21" ht="39.5" hidden="1" customHeight="1" x14ac:dyDescent="0.45">
      <c r="A45" s="164" t="s">
        <v>11</v>
      </c>
      <c r="B45" s="154">
        <v>0.74305555555555503</v>
      </c>
      <c r="C45" s="156"/>
      <c r="D45" s="165"/>
      <c r="E45" s="153"/>
      <c r="F45" s="197"/>
      <c r="G45" s="189"/>
      <c r="H45" s="154">
        <f t="shared" si="0"/>
        <v>0</v>
      </c>
      <c r="I45" s="187"/>
      <c r="J45" s="188"/>
      <c r="K45" s="189"/>
      <c r="L45" s="154">
        <f t="shared" si="4"/>
        <v>0</v>
      </c>
      <c r="M45" s="187"/>
      <c r="N45" s="188"/>
      <c r="O45" s="189"/>
      <c r="P45" s="154">
        <f t="shared" si="5"/>
        <v>0</v>
      </c>
      <c r="Q45" s="187"/>
      <c r="R45" s="190"/>
      <c r="S45" s="189"/>
      <c r="T45" s="158"/>
      <c r="U45" s="189">
        <f t="shared" si="3"/>
        <v>0</v>
      </c>
    </row>
    <row r="46" spans="1:21" ht="39.5" hidden="1" customHeight="1" x14ac:dyDescent="0.45">
      <c r="A46" s="166" t="s">
        <v>11</v>
      </c>
      <c r="B46" s="167">
        <v>0.75</v>
      </c>
      <c r="C46" s="168"/>
      <c r="D46" s="169"/>
      <c r="E46" s="145"/>
      <c r="F46" s="171"/>
      <c r="G46" s="204"/>
      <c r="H46" s="154">
        <f t="shared" si="0"/>
        <v>0</v>
      </c>
      <c r="I46" s="205"/>
      <c r="J46" s="206"/>
      <c r="K46" s="204"/>
      <c r="L46" s="154">
        <f t="shared" si="4"/>
        <v>0</v>
      </c>
      <c r="M46" s="205"/>
      <c r="N46" s="206"/>
      <c r="O46" s="204"/>
      <c r="P46" s="154">
        <f t="shared" si="5"/>
        <v>0</v>
      </c>
      <c r="Q46" s="205"/>
      <c r="R46" s="207"/>
      <c r="S46" s="204"/>
      <c r="T46" s="148"/>
      <c r="U46" s="189">
        <f t="shared" si="3"/>
        <v>0</v>
      </c>
    </row>
    <row r="47" spans="1:21" x14ac:dyDescent="0.45">
      <c r="A47" s="145"/>
      <c r="B47" s="170"/>
      <c r="C47" s="171"/>
      <c r="D47" s="169"/>
      <c r="E47" s="145"/>
      <c r="F47" s="171"/>
      <c r="G47" s="204"/>
      <c r="H47" s="208"/>
      <c r="I47" s="205"/>
      <c r="J47" s="206"/>
      <c r="K47" s="204"/>
      <c r="L47" s="208"/>
      <c r="M47" s="205"/>
      <c r="N47" s="206"/>
      <c r="O47" s="204"/>
      <c r="P47" s="208"/>
      <c r="Q47" s="205"/>
      <c r="R47" s="207"/>
      <c r="S47" s="204"/>
      <c r="T47" s="148"/>
      <c r="U47" s="209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7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7DB5-CBA2-4647-B72B-24E0C7D4BE87}">
  <sheetPr>
    <pageSetUpPr fitToPage="1"/>
  </sheetPr>
  <dimension ref="A2:W49"/>
  <sheetViews>
    <sheetView topLeftCell="A8" zoomScaleNormal="100" zoomScaleSheetLayoutView="68" workbookViewId="0">
      <selection activeCell="B4" sqref="B4"/>
    </sheetView>
  </sheetViews>
  <sheetFormatPr baseColWidth="10" defaultColWidth="10.796875" defaultRowHeight="14.25" x14ac:dyDescent="0.45"/>
  <cols>
    <col min="1" max="1" width="13.6640625" style="137" customWidth="1"/>
    <col min="2" max="2" width="23.46484375" style="137" customWidth="1"/>
    <col min="3" max="3" width="27" style="137" customWidth="1"/>
    <col min="4" max="8" width="10.796875" style="137"/>
    <col min="9" max="9" width="0" style="137" hidden="1" customWidth="1"/>
    <col min="10" max="10" width="10.796875" style="137" hidden="1" customWidth="1"/>
    <col min="11" max="12" width="10.796875" style="137"/>
    <col min="13" max="13" width="0" style="137" hidden="1" customWidth="1"/>
    <col min="14" max="14" width="10.796875" style="137" hidden="1" customWidth="1"/>
    <col min="15" max="16" width="10.796875" style="137"/>
    <col min="17" max="17" width="0" style="137" hidden="1" customWidth="1"/>
    <col min="18" max="18" width="10.796875" style="137" hidden="1" customWidth="1"/>
    <col min="19" max="20" width="0" style="137" hidden="1" customWidth="1"/>
    <col min="21" max="21" width="19.796875" style="137" customWidth="1"/>
    <col min="22" max="22" width="34.796875" style="137" customWidth="1"/>
    <col min="23" max="23" width="0" style="137" hidden="1" customWidth="1"/>
    <col min="24" max="16384" width="10.796875" style="137"/>
  </cols>
  <sheetData>
    <row r="2" spans="1:23" ht="28.5" x14ac:dyDescent="0.45">
      <c r="A2" s="216" t="s">
        <v>21</v>
      </c>
      <c r="B2" s="241" t="s">
        <v>47</v>
      </c>
      <c r="C2" s="217" t="s">
        <v>32</v>
      </c>
    </row>
    <row r="3" spans="1:23" ht="29" customHeight="1" x14ac:dyDescent="0.45">
      <c r="A3" s="137" t="s">
        <v>14</v>
      </c>
      <c r="B3" s="615" t="str">
        <f>IF(ISBLANK(Feuil1!$B$3),"",Feuil1!$B$3)</f>
        <v/>
      </c>
      <c r="C3" s="652"/>
    </row>
    <row r="4" spans="1:23" ht="24" customHeight="1" x14ac:dyDescent="0.45">
      <c r="A4" s="137" t="s">
        <v>13</v>
      </c>
      <c r="B4" s="245" t="e">
        <f>VLOOKUP(B2,'Liste chauffeur'!$B$5:$L$19,2,TRUE)&amp;" "&amp;VLOOKUP(B2,'Liste chauffeur'!$B$5:$L$19,3,TRUE)</f>
        <v>#N/A</v>
      </c>
      <c r="C4" s="246"/>
      <c r="D4" s="247"/>
    </row>
    <row r="6" spans="1:23" x14ac:dyDescent="0.45">
      <c r="A6" s="141"/>
      <c r="B6" s="142"/>
      <c r="C6" s="142"/>
      <c r="D6" s="142"/>
      <c r="E6" s="142"/>
      <c r="F6" s="143"/>
      <c r="G6" s="650" t="s">
        <v>2</v>
      </c>
      <c r="H6" s="642"/>
      <c r="I6" s="651"/>
      <c r="J6" s="179"/>
      <c r="K6" s="650" t="s">
        <v>6</v>
      </c>
      <c r="L6" s="642"/>
      <c r="M6" s="651"/>
      <c r="N6" s="179"/>
      <c r="O6" s="650" t="s">
        <v>7</v>
      </c>
      <c r="P6" s="642"/>
      <c r="Q6" s="651"/>
      <c r="R6" s="179"/>
      <c r="S6" s="180" t="s">
        <v>11</v>
      </c>
      <c r="T6" s="181"/>
      <c r="U6" s="143"/>
      <c r="V6" s="144"/>
      <c r="W6" s="143"/>
    </row>
    <row r="7" spans="1:23" ht="47.25" x14ac:dyDescent="0.45">
      <c r="A7" s="145" t="s">
        <v>28</v>
      </c>
      <c r="B7" s="231" t="s">
        <v>29</v>
      </c>
      <c r="C7" s="231" t="s">
        <v>30</v>
      </c>
      <c r="D7" s="230" t="s">
        <v>0</v>
      </c>
      <c r="E7" s="231" t="s">
        <v>1</v>
      </c>
      <c r="F7" s="232" t="s">
        <v>23</v>
      </c>
      <c r="G7" s="235" t="s">
        <v>127</v>
      </c>
      <c r="H7" s="236" t="s">
        <v>325</v>
      </c>
      <c r="I7" s="147" t="s">
        <v>5</v>
      </c>
      <c r="J7" s="146" t="s">
        <v>19</v>
      </c>
      <c r="K7" s="234" t="s">
        <v>127</v>
      </c>
      <c r="L7" s="236" t="s">
        <v>325</v>
      </c>
      <c r="M7" s="147" t="s">
        <v>9</v>
      </c>
      <c r="N7" s="146" t="s">
        <v>19</v>
      </c>
      <c r="O7" s="234" t="s">
        <v>127</v>
      </c>
      <c r="P7" s="236" t="s">
        <v>325</v>
      </c>
      <c r="Q7" s="232" t="s">
        <v>10</v>
      </c>
      <c r="R7" s="230" t="s">
        <v>19</v>
      </c>
      <c r="S7" s="249" t="s">
        <v>22</v>
      </c>
      <c r="T7" s="230"/>
      <c r="U7" s="232" t="s">
        <v>17</v>
      </c>
      <c r="V7" s="233" t="s">
        <v>12</v>
      </c>
      <c r="W7" s="169" t="s">
        <v>20</v>
      </c>
    </row>
    <row r="8" spans="1:23" ht="40.049999999999997" customHeight="1" x14ac:dyDescent="0.45">
      <c r="A8" s="215" t="s">
        <v>8</v>
      </c>
      <c r="B8" s="218"/>
      <c r="C8" s="218"/>
      <c r="D8" s="214"/>
      <c r="E8" s="156"/>
      <c r="F8" s="157"/>
      <c r="G8" s="187"/>
      <c r="H8" s="188"/>
      <c r="I8" s="189"/>
      <c r="J8" s="154">
        <f>I8-E8</f>
        <v>0</v>
      </c>
      <c r="K8" s="187"/>
      <c r="L8" s="188"/>
      <c r="M8" s="189"/>
      <c r="N8" s="154">
        <f>M8-I8</f>
        <v>0</v>
      </c>
      <c r="O8" s="187"/>
      <c r="P8" s="188"/>
      <c r="Q8" s="189"/>
      <c r="R8" s="154">
        <f>Q8-M8</f>
        <v>0</v>
      </c>
      <c r="S8" s="219"/>
      <c r="T8" s="190" t="str">
        <f>IF(F8+G8-H8+K8-L8+O8-P8=S8,"OK",F8+G8-H8+K8-L8+O8-P8-S8)</f>
        <v>OK</v>
      </c>
      <c r="U8" s="189"/>
      <c r="V8" s="158"/>
      <c r="W8" s="189">
        <f>U8-E8</f>
        <v>0</v>
      </c>
    </row>
    <row r="9" spans="1:23" ht="40.049999999999997" customHeight="1" x14ac:dyDescent="0.45">
      <c r="A9" s="215" t="s">
        <v>8</v>
      </c>
      <c r="B9" s="218"/>
      <c r="C9" s="218"/>
      <c r="D9" s="214"/>
      <c r="E9" s="156"/>
      <c r="F9" s="157"/>
      <c r="G9" s="187"/>
      <c r="H9" s="188"/>
      <c r="I9" s="189"/>
      <c r="J9" s="154">
        <f t="shared" ref="J9:J46" si="0">I9-E9</f>
        <v>0</v>
      </c>
      <c r="K9" s="187"/>
      <c r="L9" s="188"/>
      <c r="M9" s="189"/>
      <c r="N9" s="154">
        <f t="shared" ref="N9:N26" si="1">M9-I9</f>
        <v>0</v>
      </c>
      <c r="O9" s="187"/>
      <c r="P9" s="188"/>
      <c r="Q9" s="189"/>
      <c r="R9" s="154">
        <f t="shared" ref="R9:R26" si="2">Q9-M9</f>
        <v>0</v>
      </c>
      <c r="S9" s="219"/>
      <c r="T9" s="190"/>
      <c r="U9" s="189"/>
      <c r="V9" s="158"/>
      <c r="W9" s="189">
        <f t="shared" ref="W9:W46" si="3">U9-E9</f>
        <v>0</v>
      </c>
    </row>
    <row r="10" spans="1:23" ht="40.049999999999997" customHeight="1" x14ac:dyDescent="0.45">
      <c r="A10" s="215" t="s">
        <v>8</v>
      </c>
      <c r="B10" s="218"/>
      <c r="C10" s="218"/>
      <c r="D10" s="214"/>
      <c r="E10" s="156"/>
      <c r="F10" s="157"/>
      <c r="G10" s="187"/>
      <c r="H10" s="188"/>
      <c r="I10" s="189"/>
      <c r="J10" s="154">
        <f t="shared" si="0"/>
        <v>0</v>
      </c>
      <c r="K10" s="187"/>
      <c r="L10" s="188"/>
      <c r="M10" s="189"/>
      <c r="N10" s="154">
        <f t="shared" si="1"/>
        <v>0</v>
      </c>
      <c r="O10" s="187"/>
      <c r="P10" s="188"/>
      <c r="Q10" s="189"/>
      <c r="R10" s="154">
        <f t="shared" si="2"/>
        <v>0</v>
      </c>
      <c r="S10" s="219"/>
      <c r="T10" s="190"/>
      <c r="U10" s="189"/>
      <c r="V10" s="158"/>
      <c r="W10" s="189">
        <f t="shared" si="3"/>
        <v>0</v>
      </c>
    </row>
    <row r="11" spans="1:23" ht="40.049999999999997" customHeight="1" x14ac:dyDescent="0.45">
      <c r="A11" s="215" t="s">
        <v>8</v>
      </c>
      <c r="B11" s="218"/>
      <c r="C11" s="218"/>
      <c r="D11" s="214"/>
      <c r="E11" s="156"/>
      <c r="F11" s="157"/>
      <c r="G11" s="187"/>
      <c r="H11" s="188"/>
      <c r="I11" s="189"/>
      <c r="J11" s="154">
        <f t="shared" si="0"/>
        <v>0</v>
      </c>
      <c r="K11" s="187"/>
      <c r="L11" s="188"/>
      <c r="M11" s="189"/>
      <c r="N11" s="154">
        <f t="shared" si="1"/>
        <v>0</v>
      </c>
      <c r="O11" s="187"/>
      <c r="P11" s="188"/>
      <c r="Q11" s="189"/>
      <c r="R11" s="154">
        <f t="shared" si="2"/>
        <v>0</v>
      </c>
      <c r="S11" s="219"/>
      <c r="T11" s="190"/>
      <c r="U11" s="189"/>
      <c r="V11" s="158"/>
      <c r="W11" s="189">
        <f t="shared" si="3"/>
        <v>0</v>
      </c>
    </row>
    <row r="12" spans="1:23" ht="40.049999999999997" hidden="1" customHeight="1" x14ac:dyDescent="0.45">
      <c r="A12" s="215" t="s">
        <v>8</v>
      </c>
      <c r="B12" s="218"/>
      <c r="C12" s="218"/>
      <c r="D12" s="214"/>
      <c r="E12" s="156"/>
      <c r="F12" s="157"/>
      <c r="G12" s="187"/>
      <c r="H12" s="188"/>
      <c r="I12" s="189"/>
      <c r="J12" s="154">
        <f t="shared" si="0"/>
        <v>0</v>
      </c>
      <c r="K12" s="187"/>
      <c r="L12" s="188"/>
      <c r="M12" s="189"/>
      <c r="N12" s="154">
        <f t="shared" si="1"/>
        <v>0</v>
      </c>
      <c r="O12" s="187"/>
      <c r="P12" s="188"/>
      <c r="Q12" s="189"/>
      <c r="R12" s="154">
        <f t="shared" si="2"/>
        <v>0</v>
      </c>
      <c r="S12" s="219"/>
      <c r="T12" s="190"/>
      <c r="U12" s="189"/>
      <c r="V12" s="158"/>
      <c r="W12" s="189">
        <f t="shared" si="3"/>
        <v>0</v>
      </c>
    </row>
    <row r="13" spans="1:23" ht="40.049999999999997" hidden="1" customHeight="1" x14ac:dyDescent="0.45">
      <c r="A13" s="215" t="s">
        <v>8</v>
      </c>
      <c r="B13" s="218"/>
      <c r="C13" s="218"/>
      <c r="D13" s="214"/>
      <c r="E13" s="156"/>
      <c r="F13" s="157"/>
      <c r="G13" s="187"/>
      <c r="H13" s="188"/>
      <c r="I13" s="189"/>
      <c r="J13" s="154">
        <f t="shared" si="0"/>
        <v>0</v>
      </c>
      <c r="K13" s="187"/>
      <c r="L13" s="188"/>
      <c r="M13" s="189"/>
      <c r="N13" s="154">
        <f t="shared" si="1"/>
        <v>0</v>
      </c>
      <c r="O13" s="187"/>
      <c r="P13" s="188"/>
      <c r="Q13" s="189"/>
      <c r="R13" s="154">
        <f t="shared" si="2"/>
        <v>0</v>
      </c>
      <c r="S13" s="219"/>
      <c r="T13" s="190"/>
      <c r="U13" s="189"/>
      <c r="V13" s="158"/>
      <c r="W13" s="189">
        <f t="shared" si="3"/>
        <v>0</v>
      </c>
    </row>
    <row r="14" spans="1:23" ht="40.049999999999997" hidden="1" customHeight="1" x14ac:dyDescent="0.45">
      <c r="A14" s="215" t="s">
        <v>8</v>
      </c>
      <c r="B14" s="218"/>
      <c r="C14" s="218"/>
      <c r="D14" s="214"/>
      <c r="E14" s="156"/>
      <c r="F14" s="157"/>
      <c r="G14" s="187"/>
      <c r="H14" s="188"/>
      <c r="I14" s="189"/>
      <c r="J14" s="154">
        <f t="shared" si="0"/>
        <v>0</v>
      </c>
      <c r="K14" s="187"/>
      <c r="L14" s="188"/>
      <c r="M14" s="189"/>
      <c r="N14" s="154">
        <f t="shared" si="1"/>
        <v>0</v>
      </c>
      <c r="O14" s="187"/>
      <c r="P14" s="188"/>
      <c r="Q14" s="189"/>
      <c r="R14" s="154">
        <f t="shared" si="2"/>
        <v>0</v>
      </c>
      <c r="S14" s="219"/>
      <c r="T14" s="190"/>
      <c r="U14" s="189"/>
      <c r="V14" s="158"/>
      <c r="W14" s="189">
        <f t="shared" si="3"/>
        <v>0</v>
      </c>
    </row>
    <row r="15" spans="1:23" ht="40.049999999999997" hidden="1" customHeight="1" x14ac:dyDescent="0.45">
      <c r="A15" s="215" t="s">
        <v>8</v>
      </c>
      <c r="B15" s="218"/>
      <c r="C15" s="218"/>
      <c r="D15" s="214"/>
      <c r="E15" s="156"/>
      <c r="F15" s="157"/>
      <c r="G15" s="187"/>
      <c r="H15" s="188"/>
      <c r="I15" s="189"/>
      <c r="J15" s="154">
        <f t="shared" si="0"/>
        <v>0</v>
      </c>
      <c r="K15" s="187"/>
      <c r="L15" s="188"/>
      <c r="M15" s="189"/>
      <c r="N15" s="154">
        <f t="shared" si="1"/>
        <v>0</v>
      </c>
      <c r="O15" s="187"/>
      <c r="P15" s="188"/>
      <c r="Q15" s="189"/>
      <c r="R15" s="154">
        <f t="shared" si="2"/>
        <v>0</v>
      </c>
      <c r="S15" s="219"/>
      <c r="T15" s="190"/>
      <c r="U15" s="189"/>
      <c r="V15" s="158"/>
      <c r="W15" s="189">
        <f t="shared" si="3"/>
        <v>0</v>
      </c>
    </row>
    <row r="16" spans="1:23" ht="40.049999999999997" hidden="1" customHeight="1" x14ac:dyDescent="0.45">
      <c r="A16" s="215" t="s">
        <v>8</v>
      </c>
      <c r="B16" s="218"/>
      <c r="C16" s="218"/>
      <c r="D16" s="214"/>
      <c r="E16" s="156"/>
      <c r="F16" s="157"/>
      <c r="G16" s="187"/>
      <c r="H16" s="188"/>
      <c r="I16" s="189"/>
      <c r="J16" s="154">
        <f t="shared" si="0"/>
        <v>0</v>
      </c>
      <c r="K16" s="187"/>
      <c r="L16" s="188"/>
      <c r="M16" s="189"/>
      <c r="N16" s="154">
        <f t="shared" si="1"/>
        <v>0</v>
      </c>
      <c r="O16" s="187"/>
      <c r="P16" s="188"/>
      <c r="Q16" s="189"/>
      <c r="R16" s="154">
        <f t="shared" si="2"/>
        <v>0</v>
      </c>
      <c r="S16" s="219"/>
      <c r="T16" s="190"/>
      <c r="U16" s="189"/>
      <c r="V16" s="158"/>
      <c r="W16" s="189">
        <f t="shared" si="3"/>
        <v>0</v>
      </c>
    </row>
    <row r="17" spans="1:23" ht="40.049999999999997" hidden="1" customHeight="1" x14ac:dyDescent="0.45">
      <c r="A17" s="215" t="s">
        <v>8</v>
      </c>
      <c r="B17" s="218"/>
      <c r="C17" s="218"/>
      <c r="D17" s="214"/>
      <c r="E17" s="156"/>
      <c r="F17" s="157"/>
      <c r="G17" s="187"/>
      <c r="H17" s="188"/>
      <c r="I17" s="189"/>
      <c r="J17" s="154">
        <f t="shared" si="0"/>
        <v>0</v>
      </c>
      <c r="K17" s="187"/>
      <c r="L17" s="188"/>
      <c r="M17" s="189"/>
      <c r="N17" s="154">
        <f t="shared" si="1"/>
        <v>0</v>
      </c>
      <c r="O17" s="187"/>
      <c r="P17" s="188"/>
      <c r="Q17" s="189"/>
      <c r="R17" s="154">
        <f t="shared" si="2"/>
        <v>0</v>
      </c>
      <c r="S17" s="219"/>
      <c r="T17" s="190"/>
      <c r="U17" s="189"/>
      <c r="V17" s="158"/>
      <c r="W17" s="189">
        <f t="shared" si="3"/>
        <v>0</v>
      </c>
    </row>
    <row r="18" spans="1:23" ht="40.049999999999997" hidden="1" customHeight="1" x14ac:dyDescent="0.45">
      <c r="A18" s="215" t="s">
        <v>8</v>
      </c>
      <c r="B18" s="218"/>
      <c r="C18" s="218"/>
      <c r="D18" s="214"/>
      <c r="E18" s="156"/>
      <c r="F18" s="157"/>
      <c r="G18" s="187"/>
      <c r="H18" s="188"/>
      <c r="I18" s="189"/>
      <c r="J18" s="154">
        <f t="shared" si="0"/>
        <v>0</v>
      </c>
      <c r="K18" s="187"/>
      <c r="L18" s="188"/>
      <c r="M18" s="189"/>
      <c r="N18" s="154">
        <f t="shared" si="1"/>
        <v>0</v>
      </c>
      <c r="O18" s="187"/>
      <c r="P18" s="188"/>
      <c r="Q18" s="189"/>
      <c r="R18" s="154">
        <f t="shared" si="2"/>
        <v>0</v>
      </c>
      <c r="S18" s="219"/>
      <c r="T18" s="190"/>
      <c r="U18" s="189"/>
      <c r="V18" s="158"/>
      <c r="W18" s="189">
        <f t="shared" si="3"/>
        <v>0</v>
      </c>
    </row>
    <row r="19" spans="1:23" ht="40.049999999999997" hidden="1" customHeight="1" x14ac:dyDescent="0.45">
      <c r="A19" s="215" t="s">
        <v>8</v>
      </c>
      <c r="B19" s="218"/>
      <c r="C19" s="218"/>
      <c r="D19" s="214"/>
      <c r="E19" s="156"/>
      <c r="F19" s="157"/>
      <c r="G19" s="187"/>
      <c r="H19" s="188"/>
      <c r="I19" s="189"/>
      <c r="J19" s="154">
        <f t="shared" si="0"/>
        <v>0</v>
      </c>
      <c r="K19" s="187"/>
      <c r="L19" s="188"/>
      <c r="M19" s="189"/>
      <c r="N19" s="154">
        <f t="shared" si="1"/>
        <v>0</v>
      </c>
      <c r="O19" s="187"/>
      <c r="P19" s="188"/>
      <c r="Q19" s="189"/>
      <c r="R19" s="154">
        <f t="shared" si="2"/>
        <v>0</v>
      </c>
      <c r="S19" s="219"/>
      <c r="T19" s="190"/>
      <c r="U19" s="189"/>
      <c r="V19" s="158"/>
      <c r="W19" s="189">
        <f t="shared" si="3"/>
        <v>0</v>
      </c>
    </row>
    <row r="20" spans="1:23" ht="40.049999999999997" hidden="1" customHeight="1" x14ac:dyDescent="0.45">
      <c r="A20" s="215" t="s">
        <v>8</v>
      </c>
      <c r="B20" s="218"/>
      <c r="C20" s="218"/>
      <c r="D20" s="214"/>
      <c r="E20" s="156"/>
      <c r="F20" s="157"/>
      <c r="G20" s="187"/>
      <c r="H20" s="188"/>
      <c r="I20" s="189"/>
      <c r="J20" s="154">
        <f t="shared" si="0"/>
        <v>0</v>
      </c>
      <c r="K20" s="187"/>
      <c r="L20" s="188"/>
      <c r="M20" s="189"/>
      <c r="N20" s="154">
        <f t="shared" si="1"/>
        <v>0</v>
      </c>
      <c r="O20" s="187"/>
      <c r="P20" s="188"/>
      <c r="Q20" s="189"/>
      <c r="R20" s="154">
        <f t="shared" si="2"/>
        <v>0</v>
      </c>
      <c r="S20" s="219"/>
      <c r="T20" s="190"/>
      <c r="U20" s="189"/>
      <c r="V20" s="158"/>
      <c r="W20" s="189">
        <f t="shared" si="3"/>
        <v>0</v>
      </c>
    </row>
    <row r="21" spans="1:23" ht="40.049999999999997" hidden="1" customHeight="1" x14ac:dyDescent="0.45">
      <c r="A21" s="215" t="s">
        <v>8</v>
      </c>
      <c r="B21" s="218"/>
      <c r="C21" s="218"/>
      <c r="D21" s="214"/>
      <c r="E21" s="156"/>
      <c r="F21" s="157"/>
      <c r="G21" s="187"/>
      <c r="H21" s="188"/>
      <c r="I21" s="189"/>
      <c r="J21" s="154">
        <f t="shared" si="0"/>
        <v>0</v>
      </c>
      <c r="K21" s="187"/>
      <c r="L21" s="188"/>
      <c r="M21" s="189"/>
      <c r="N21" s="154">
        <f t="shared" si="1"/>
        <v>0</v>
      </c>
      <c r="O21" s="187"/>
      <c r="P21" s="188"/>
      <c r="Q21" s="189"/>
      <c r="R21" s="154">
        <f t="shared" si="2"/>
        <v>0</v>
      </c>
      <c r="S21" s="219"/>
      <c r="T21" s="190"/>
      <c r="U21" s="189"/>
      <c r="V21" s="158"/>
      <c r="W21" s="189">
        <f t="shared" si="3"/>
        <v>0</v>
      </c>
    </row>
    <row r="22" spans="1:23" ht="40.049999999999997" hidden="1" customHeight="1" x14ac:dyDescent="0.45">
      <c r="A22" s="215" t="s">
        <v>8</v>
      </c>
      <c r="B22" s="218"/>
      <c r="C22" s="218"/>
      <c r="D22" s="214"/>
      <c r="E22" s="156"/>
      <c r="F22" s="157"/>
      <c r="G22" s="187"/>
      <c r="H22" s="188"/>
      <c r="I22" s="189"/>
      <c r="J22" s="154">
        <f t="shared" si="0"/>
        <v>0</v>
      </c>
      <c r="K22" s="187"/>
      <c r="L22" s="188"/>
      <c r="M22" s="189"/>
      <c r="N22" s="154">
        <f t="shared" si="1"/>
        <v>0</v>
      </c>
      <c r="O22" s="187"/>
      <c r="P22" s="188"/>
      <c r="Q22" s="189"/>
      <c r="R22" s="154">
        <f t="shared" si="2"/>
        <v>0</v>
      </c>
      <c r="S22" s="219"/>
      <c r="T22" s="190"/>
      <c r="U22" s="189"/>
      <c r="V22" s="158"/>
      <c r="W22" s="189">
        <f t="shared" si="3"/>
        <v>0</v>
      </c>
    </row>
    <row r="23" spans="1:23" ht="40.049999999999997" hidden="1" customHeight="1" x14ac:dyDescent="0.45">
      <c r="A23" s="215" t="s">
        <v>8</v>
      </c>
      <c r="B23" s="218"/>
      <c r="C23" s="218"/>
      <c r="D23" s="214"/>
      <c r="E23" s="156"/>
      <c r="F23" s="157"/>
      <c r="G23" s="187"/>
      <c r="H23" s="188"/>
      <c r="I23" s="189"/>
      <c r="J23" s="154">
        <f t="shared" si="0"/>
        <v>0</v>
      </c>
      <c r="K23" s="187"/>
      <c r="L23" s="188"/>
      <c r="M23" s="189"/>
      <c r="N23" s="154">
        <f t="shared" si="1"/>
        <v>0</v>
      </c>
      <c r="O23" s="187"/>
      <c r="P23" s="188"/>
      <c r="Q23" s="189"/>
      <c r="R23" s="154">
        <f t="shared" si="2"/>
        <v>0</v>
      </c>
      <c r="S23" s="219"/>
      <c r="T23" s="190"/>
      <c r="U23" s="189"/>
      <c r="V23" s="158"/>
      <c r="W23" s="189">
        <f t="shared" si="3"/>
        <v>0</v>
      </c>
    </row>
    <row r="24" spans="1:23" ht="40.049999999999997" hidden="1" customHeight="1" x14ac:dyDescent="0.45">
      <c r="A24" s="215" t="s">
        <v>8</v>
      </c>
      <c r="B24" s="218"/>
      <c r="C24" s="218"/>
      <c r="D24" s="214"/>
      <c r="E24" s="156"/>
      <c r="F24" s="157"/>
      <c r="G24" s="187"/>
      <c r="H24" s="188"/>
      <c r="I24" s="189"/>
      <c r="J24" s="154">
        <f t="shared" si="0"/>
        <v>0</v>
      </c>
      <c r="K24" s="187"/>
      <c r="L24" s="188"/>
      <c r="M24" s="189"/>
      <c r="N24" s="154">
        <f t="shared" si="1"/>
        <v>0</v>
      </c>
      <c r="O24" s="187"/>
      <c r="P24" s="188"/>
      <c r="Q24" s="189"/>
      <c r="R24" s="154">
        <f t="shared" si="2"/>
        <v>0</v>
      </c>
      <c r="S24" s="219"/>
      <c r="T24" s="190"/>
      <c r="U24" s="189"/>
      <c r="V24" s="158"/>
      <c r="W24" s="189">
        <f t="shared" si="3"/>
        <v>0</v>
      </c>
    </row>
    <row r="25" spans="1:23" ht="40.049999999999997" hidden="1" customHeight="1" x14ac:dyDescent="0.45">
      <c r="A25" s="215" t="s">
        <v>8</v>
      </c>
      <c r="B25" s="218"/>
      <c r="C25" s="218"/>
      <c r="D25" s="214"/>
      <c r="E25" s="156"/>
      <c r="F25" s="157"/>
      <c r="G25" s="187"/>
      <c r="H25" s="188"/>
      <c r="I25" s="189"/>
      <c r="J25" s="154">
        <f t="shared" si="0"/>
        <v>0</v>
      </c>
      <c r="K25" s="187"/>
      <c r="L25" s="188"/>
      <c r="M25" s="189"/>
      <c r="N25" s="154">
        <f t="shared" si="1"/>
        <v>0</v>
      </c>
      <c r="O25" s="187"/>
      <c r="P25" s="188"/>
      <c r="Q25" s="189"/>
      <c r="R25" s="154">
        <f t="shared" si="2"/>
        <v>0</v>
      </c>
      <c r="S25" s="219"/>
      <c r="T25" s="190"/>
      <c r="U25" s="189"/>
      <c r="V25" s="158"/>
      <c r="W25" s="189">
        <f t="shared" si="3"/>
        <v>0</v>
      </c>
    </row>
    <row r="26" spans="1:23" ht="40.049999999999997" hidden="1" customHeight="1" x14ac:dyDescent="0.45">
      <c r="A26" s="215" t="s">
        <v>8</v>
      </c>
      <c r="B26" s="218"/>
      <c r="C26" s="218"/>
      <c r="D26" s="214"/>
      <c r="E26" s="156"/>
      <c r="F26" s="157"/>
      <c r="G26" s="187"/>
      <c r="H26" s="188"/>
      <c r="I26" s="189"/>
      <c r="J26" s="154">
        <f t="shared" si="0"/>
        <v>0</v>
      </c>
      <c r="K26" s="187"/>
      <c r="L26" s="188"/>
      <c r="M26" s="189"/>
      <c r="N26" s="154">
        <f t="shared" si="1"/>
        <v>0</v>
      </c>
      <c r="O26" s="187"/>
      <c r="P26" s="188"/>
      <c r="Q26" s="189"/>
      <c r="R26" s="154">
        <f t="shared" si="2"/>
        <v>0</v>
      </c>
      <c r="S26" s="219"/>
      <c r="T26" s="190"/>
      <c r="U26" s="189"/>
      <c r="V26" s="158"/>
      <c r="W26" s="189">
        <f t="shared" si="3"/>
        <v>0</v>
      </c>
    </row>
    <row r="27" spans="1:23" ht="29.55" customHeight="1" x14ac:dyDescent="0.45">
      <c r="A27" s="159"/>
      <c r="B27" s="191"/>
      <c r="C27" s="191"/>
      <c r="D27" s="160"/>
      <c r="E27" s="161"/>
      <c r="F27" s="162"/>
      <c r="G27" s="159"/>
      <c r="H27" s="191"/>
      <c r="I27" s="192"/>
      <c r="J27" s="193"/>
      <c r="K27" s="194"/>
      <c r="L27" s="195"/>
      <c r="M27" s="192"/>
      <c r="N27" s="160"/>
      <c r="O27" s="194"/>
      <c r="P27" s="195"/>
      <c r="Q27" s="192"/>
      <c r="R27" s="160"/>
      <c r="S27" s="220" t="s">
        <v>8</v>
      </c>
      <c r="T27" s="196"/>
      <c r="U27" s="192"/>
      <c r="V27" s="163"/>
      <c r="W27" s="192">
        <f>SUM(W8:W26)</f>
        <v>0</v>
      </c>
    </row>
    <row r="28" spans="1:23" ht="39.5" customHeight="1" x14ac:dyDescent="0.45">
      <c r="A28" s="213" t="s">
        <v>11</v>
      </c>
      <c r="B28" s="221"/>
      <c r="C28" s="221"/>
      <c r="D28" s="214"/>
      <c r="E28" s="156"/>
      <c r="F28" s="165"/>
      <c r="G28" s="153"/>
      <c r="H28" s="197"/>
      <c r="I28" s="189"/>
      <c r="J28" s="154">
        <f t="shared" si="0"/>
        <v>0</v>
      </c>
      <c r="K28" s="187"/>
      <c r="L28" s="188"/>
      <c r="M28" s="189"/>
      <c r="N28" s="154">
        <f t="shared" ref="N28:N46" si="4">M28-I28</f>
        <v>0</v>
      </c>
      <c r="O28" s="187"/>
      <c r="P28" s="188"/>
      <c r="Q28" s="189"/>
      <c r="R28" s="154">
        <f t="shared" ref="R28:R46" si="5">Q28-M28</f>
        <v>0</v>
      </c>
      <c r="S28" s="219"/>
      <c r="T28" s="190"/>
      <c r="U28" s="189"/>
      <c r="V28" s="158"/>
      <c r="W28" s="189">
        <f t="shared" si="3"/>
        <v>0</v>
      </c>
    </row>
    <row r="29" spans="1:23" ht="39.5" customHeight="1" x14ac:dyDescent="0.45">
      <c r="A29" s="213" t="s">
        <v>11</v>
      </c>
      <c r="B29" s="221"/>
      <c r="C29" s="221"/>
      <c r="D29" s="214"/>
      <c r="E29" s="156"/>
      <c r="F29" s="165"/>
      <c r="G29" s="153"/>
      <c r="H29" s="197"/>
      <c r="I29" s="189"/>
      <c r="J29" s="154">
        <f t="shared" si="0"/>
        <v>0</v>
      </c>
      <c r="K29" s="187"/>
      <c r="L29" s="188"/>
      <c r="M29" s="189"/>
      <c r="N29" s="154">
        <f t="shared" si="4"/>
        <v>0</v>
      </c>
      <c r="O29" s="187"/>
      <c r="P29" s="188"/>
      <c r="Q29" s="189"/>
      <c r="R29" s="154">
        <f t="shared" si="5"/>
        <v>0</v>
      </c>
      <c r="S29" s="219"/>
      <c r="T29" s="190"/>
      <c r="U29" s="189"/>
      <c r="V29" s="158"/>
      <c r="W29" s="189">
        <f t="shared" si="3"/>
        <v>0</v>
      </c>
    </row>
    <row r="30" spans="1:23" ht="39.5" customHeight="1" x14ac:dyDescent="0.45">
      <c r="A30" s="213" t="s">
        <v>11</v>
      </c>
      <c r="B30" s="221"/>
      <c r="C30" s="221"/>
      <c r="D30" s="214"/>
      <c r="E30" s="156"/>
      <c r="F30" s="165"/>
      <c r="G30" s="153"/>
      <c r="H30" s="197"/>
      <c r="I30" s="189"/>
      <c r="J30" s="154">
        <f t="shared" si="0"/>
        <v>0</v>
      </c>
      <c r="K30" s="187"/>
      <c r="L30" s="188"/>
      <c r="M30" s="189"/>
      <c r="N30" s="154">
        <f t="shared" si="4"/>
        <v>0</v>
      </c>
      <c r="O30" s="187"/>
      <c r="P30" s="188"/>
      <c r="Q30" s="189"/>
      <c r="R30" s="154">
        <f t="shared" si="5"/>
        <v>0</v>
      </c>
      <c r="S30" s="219"/>
      <c r="T30" s="190"/>
      <c r="U30" s="189"/>
      <c r="V30" s="158"/>
      <c r="W30" s="189">
        <f t="shared" si="3"/>
        <v>0</v>
      </c>
    </row>
    <row r="31" spans="1:23" ht="39.5" customHeight="1" x14ac:dyDescent="0.45">
      <c r="A31" s="213" t="s">
        <v>11</v>
      </c>
      <c r="B31" s="221"/>
      <c r="C31" s="221"/>
      <c r="D31" s="214"/>
      <c r="E31" s="156"/>
      <c r="F31" s="165"/>
      <c r="G31" s="153"/>
      <c r="H31" s="197"/>
      <c r="I31" s="189"/>
      <c r="J31" s="154">
        <f t="shared" si="0"/>
        <v>0</v>
      </c>
      <c r="K31" s="187"/>
      <c r="L31" s="188"/>
      <c r="M31" s="189"/>
      <c r="N31" s="154">
        <f t="shared" si="4"/>
        <v>0</v>
      </c>
      <c r="O31" s="187"/>
      <c r="P31" s="188"/>
      <c r="Q31" s="189"/>
      <c r="R31" s="154">
        <f t="shared" si="5"/>
        <v>0</v>
      </c>
      <c r="S31" s="219"/>
      <c r="T31" s="190"/>
      <c r="U31" s="189"/>
      <c r="V31" s="158"/>
      <c r="W31" s="189">
        <f t="shared" si="3"/>
        <v>0</v>
      </c>
    </row>
    <row r="32" spans="1:23" ht="39.5" customHeight="1" x14ac:dyDescent="0.45">
      <c r="A32" s="213" t="s">
        <v>11</v>
      </c>
      <c r="B32" s="221"/>
      <c r="C32" s="221"/>
      <c r="D32" s="214"/>
      <c r="E32" s="156"/>
      <c r="F32" s="165"/>
      <c r="G32" s="153"/>
      <c r="H32" s="197"/>
      <c r="I32" s="189"/>
      <c r="J32" s="154">
        <f t="shared" si="0"/>
        <v>0</v>
      </c>
      <c r="K32" s="187"/>
      <c r="L32" s="188"/>
      <c r="M32" s="189"/>
      <c r="N32" s="154">
        <f t="shared" si="4"/>
        <v>0</v>
      </c>
      <c r="O32" s="187"/>
      <c r="P32" s="188"/>
      <c r="Q32" s="189"/>
      <c r="R32" s="154">
        <f t="shared" si="5"/>
        <v>0</v>
      </c>
      <c r="S32" s="219"/>
      <c r="T32" s="190"/>
      <c r="U32" s="189"/>
      <c r="V32" s="158"/>
      <c r="W32" s="189">
        <f t="shared" si="3"/>
        <v>0</v>
      </c>
    </row>
    <row r="33" spans="1:23" ht="39.5" hidden="1" customHeight="1" x14ac:dyDescent="0.45">
      <c r="A33" s="213" t="s">
        <v>11</v>
      </c>
      <c r="B33" s="221"/>
      <c r="C33" s="221"/>
      <c r="D33" s="214"/>
      <c r="E33" s="156"/>
      <c r="F33" s="165"/>
      <c r="G33" s="153"/>
      <c r="H33" s="197"/>
      <c r="I33" s="189"/>
      <c r="J33" s="154">
        <f t="shared" si="0"/>
        <v>0</v>
      </c>
      <c r="K33" s="187"/>
      <c r="L33" s="188"/>
      <c r="M33" s="189"/>
      <c r="N33" s="154">
        <f t="shared" si="4"/>
        <v>0</v>
      </c>
      <c r="O33" s="187"/>
      <c r="P33" s="188"/>
      <c r="Q33" s="189"/>
      <c r="R33" s="154">
        <f t="shared" si="5"/>
        <v>0</v>
      </c>
      <c r="S33" s="219"/>
      <c r="T33" s="190"/>
      <c r="U33" s="189"/>
      <c r="V33" s="158"/>
      <c r="W33" s="189">
        <f t="shared" si="3"/>
        <v>0</v>
      </c>
    </row>
    <row r="34" spans="1:23" ht="39.5" hidden="1" customHeight="1" x14ac:dyDescent="0.45">
      <c r="A34" s="213" t="s">
        <v>11</v>
      </c>
      <c r="B34" s="221"/>
      <c r="C34" s="221"/>
      <c r="D34" s="214"/>
      <c r="E34" s="156"/>
      <c r="F34" s="165"/>
      <c r="G34" s="153"/>
      <c r="H34" s="197"/>
      <c r="I34" s="189"/>
      <c r="J34" s="154">
        <f t="shared" si="0"/>
        <v>0</v>
      </c>
      <c r="K34" s="187"/>
      <c r="L34" s="188"/>
      <c r="M34" s="189"/>
      <c r="N34" s="154">
        <f t="shared" si="4"/>
        <v>0</v>
      </c>
      <c r="O34" s="187"/>
      <c r="P34" s="188"/>
      <c r="Q34" s="189"/>
      <c r="R34" s="154">
        <f t="shared" si="5"/>
        <v>0</v>
      </c>
      <c r="S34" s="219"/>
      <c r="T34" s="190"/>
      <c r="U34" s="189"/>
      <c r="V34" s="158"/>
      <c r="W34" s="189">
        <f t="shared" si="3"/>
        <v>0</v>
      </c>
    </row>
    <row r="35" spans="1:23" ht="39.5" hidden="1" customHeight="1" x14ac:dyDescent="0.45">
      <c r="A35" s="213" t="s">
        <v>11</v>
      </c>
      <c r="B35" s="221"/>
      <c r="C35" s="221"/>
      <c r="D35" s="214"/>
      <c r="E35" s="156"/>
      <c r="F35" s="165"/>
      <c r="G35" s="153"/>
      <c r="H35" s="197"/>
      <c r="I35" s="189"/>
      <c r="J35" s="154">
        <f t="shared" si="0"/>
        <v>0</v>
      </c>
      <c r="K35" s="187"/>
      <c r="L35" s="188"/>
      <c r="M35" s="189"/>
      <c r="N35" s="154">
        <f t="shared" si="4"/>
        <v>0</v>
      </c>
      <c r="O35" s="187"/>
      <c r="P35" s="188"/>
      <c r="Q35" s="189"/>
      <c r="R35" s="154">
        <f t="shared" si="5"/>
        <v>0</v>
      </c>
      <c r="S35" s="219"/>
      <c r="T35" s="190"/>
      <c r="U35" s="189"/>
      <c r="V35" s="158"/>
      <c r="W35" s="189">
        <f t="shared" si="3"/>
        <v>0</v>
      </c>
    </row>
    <row r="36" spans="1:23" ht="39.5" hidden="1" customHeight="1" x14ac:dyDescent="0.45">
      <c r="A36" s="213" t="s">
        <v>11</v>
      </c>
      <c r="B36" s="221"/>
      <c r="C36" s="221"/>
      <c r="D36" s="214"/>
      <c r="E36" s="156"/>
      <c r="F36" s="165"/>
      <c r="G36" s="153"/>
      <c r="H36" s="197"/>
      <c r="I36" s="189"/>
      <c r="J36" s="154">
        <f t="shared" si="0"/>
        <v>0</v>
      </c>
      <c r="K36" s="187"/>
      <c r="L36" s="188"/>
      <c r="M36" s="189"/>
      <c r="N36" s="154">
        <f t="shared" si="4"/>
        <v>0</v>
      </c>
      <c r="O36" s="187"/>
      <c r="P36" s="188"/>
      <c r="Q36" s="189"/>
      <c r="R36" s="154">
        <f t="shared" si="5"/>
        <v>0</v>
      </c>
      <c r="S36" s="219"/>
      <c r="T36" s="190"/>
      <c r="U36" s="189"/>
      <c r="V36" s="158"/>
      <c r="W36" s="189">
        <f t="shared" si="3"/>
        <v>0</v>
      </c>
    </row>
    <row r="37" spans="1:23" ht="39.5" hidden="1" customHeight="1" x14ac:dyDescent="0.45">
      <c r="A37" s="213" t="s">
        <v>11</v>
      </c>
      <c r="B37" s="221"/>
      <c r="C37" s="221"/>
      <c r="D37" s="214"/>
      <c r="E37" s="156"/>
      <c r="F37" s="165"/>
      <c r="G37" s="153"/>
      <c r="H37" s="197"/>
      <c r="I37" s="189"/>
      <c r="J37" s="154">
        <f t="shared" si="0"/>
        <v>0</v>
      </c>
      <c r="K37" s="187"/>
      <c r="L37" s="188"/>
      <c r="M37" s="189"/>
      <c r="N37" s="154">
        <f t="shared" si="4"/>
        <v>0</v>
      </c>
      <c r="O37" s="187"/>
      <c r="P37" s="188"/>
      <c r="Q37" s="189"/>
      <c r="R37" s="154">
        <f t="shared" si="5"/>
        <v>0</v>
      </c>
      <c r="S37" s="219"/>
      <c r="T37" s="190"/>
      <c r="U37" s="189"/>
      <c r="V37" s="158"/>
      <c r="W37" s="189">
        <f t="shared" si="3"/>
        <v>0</v>
      </c>
    </row>
    <row r="38" spans="1:23" ht="39.5" hidden="1" customHeight="1" x14ac:dyDescent="0.45">
      <c r="A38" s="213" t="s">
        <v>11</v>
      </c>
      <c r="B38" s="221"/>
      <c r="C38" s="221"/>
      <c r="D38" s="214"/>
      <c r="E38" s="156"/>
      <c r="F38" s="165"/>
      <c r="G38" s="153"/>
      <c r="H38" s="197"/>
      <c r="I38" s="189"/>
      <c r="J38" s="154">
        <f t="shared" si="0"/>
        <v>0</v>
      </c>
      <c r="K38" s="187"/>
      <c r="L38" s="188"/>
      <c r="M38" s="189"/>
      <c r="N38" s="154">
        <f t="shared" si="4"/>
        <v>0</v>
      </c>
      <c r="O38" s="187"/>
      <c r="P38" s="188"/>
      <c r="Q38" s="189"/>
      <c r="R38" s="154">
        <f t="shared" si="5"/>
        <v>0</v>
      </c>
      <c r="S38" s="219"/>
      <c r="T38" s="190"/>
      <c r="U38" s="189"/>
      <c r="V38" s="158"/>
      <c r="W38" s="189">
        <f t="shared" si="3"/>
        <v>0</v>
      </c>
    </row>
    <row r="39" spans="1:23" ht="39.5" hidden="1" customHeight="1" x14ac:dyDescent="0.45">
      <c r="A39" s="213" t="s">
        <v>11</v>
      </c>
      <c r="B39" s="221"/>
      <c r="C39" s="221"/>
      <c r="D39" s="214"/>
      <c r="E39" s="156"/>
      <c r="F39" s="165"/>
      <c r="G39" s="153"/>
      <c r="H39" s="197"/>
      <c r="I39" s="189"/>
      <c r="J39" s="154">
        <f t="shared" si="0"/>
        <v>0</v>
      </c>
      <c r="K39" s="187"/>
      <c r="L39" s="188"/>
      <c r="M39" s="189"/>
      <c r="N39" s="154">
        <f t="shared" si="4"/>
        <v>0</v>
      </c>
      <c r="O39" s="187"/>
      <c r="P39" s="188"/>
      <c r="Q39" s="189"/>
      <c r="R39" s="154">
        <f t="shared" si="5"/>
        <v>0</v>
      </c>
      <c r="S39" s="219"/>
      <c r="T39" s="190"/>
      <c r="U39" s="189"/>
      <c r="V39" s="158"/>
      <c r="W39" s="189">
        <f t="shared" si="3"/>
        <v>0</v>
      </c>
    </row>
    <row r="40" spans="1:23" ht="39.5" hidden="1" customHeight="1" x14ac:dyDescent="0.45">
      <c r="A40" s="213" t="s">
        <v>11</v>
      </c>
      <c r="B40" s="221"/>
      <c r="C40" s="221"/>
      <c r="D40" s="214"/>
      <c r="E40" s="156"/>
      <c r="F40" s="165"/>
      <c r="G40" s="153"/>
      <c r="H40" s="197"/>
      <c r="I40" s="189"/>
      <c r="J40" s="154">
        <f t="shared" si="0"/>
        <v>0</v>
      </c>
      <c r="K40" s="187"/>
      <c r="L40" s="188"/>
      <c r="M40" s="189"/>
      <c r="N40" s="154">
        <f t="shared" si="4"/>
        <v>0</v>
      </c>
      <c r="O40" s="187"/>
      <c r="P40" s="188"/>
      <c r="Q40" s="189"/>
      <c r="R40" s="154">
        <f t="shared" si="5"/>
        <v>0</v>
      </c>
      <c r="S40" s="219"/>
      <c r="T40" s="190"/>
      <c r="U40" s="189"/>
      <c r="V40" s="158"/>
      <c r="W40" s="189">
        <f t="shared" si="3"/>
        <v>0</v>
      </c>
    </row>
    <row r="41" spans="1:23" ht="39.5" hidden="1" customHeight="1" x14ac:dyDescent="0.45">
      <c r="A41" s="213" t="s">
        <v>11</v>
      </c>
      <c r="B41" s="221"/>
      <c r="C41" s="221"/>
      <c r="D41" s="214"/>
      <c r="E41" s="156"/>
      <c r="F41" s="165"/>
      <c r="G41" s="153"/>
      <c r="H41" s="197"/>
      <c r="I41" s="189"/>
      <c r="J41" s="154">
        <f t="shared" si="0"/>
        <v>0</v>
      </c>
      <c r="K41" s="187"/>
      <c r="L41" s="188"/>
      <c r="M41" s="189"/>
      <c r="N41" s="154">
        <f t="shared" si="4"/>
        <v>0</v>
      </c>
      <c r="O41" s="187"/>
      <c r="P41" s="188"/>
      <c r="Q41" s="189"/>
      <c r="R41" s="154">
        <f t="shared" si="5"/>
        <v>0</v>
      </c>
      <c r="S41" s="219"/>
      <c r="T41" s="190"/>
      <c r="U41" s="189"/>
      <c r="V41" s="158"/>
      <c r="W41" s="189">
        <f t="shared" si="3"/>
        <v>0</v>
      </c>
    </row>
    <row r="42" spans="1:23" ht="39.5" hidden="1" customHeight="1" x14ac:dyDescent="0.45">
      <c r="A42" s="213" t="s">
        <v>11</v>
      </c>
      <c r="B42" s="221"/>
      <c r="C42" s="221"/>
      <c r="D42" s="214"/>
      <c r="E42" s="156"/>
      <c r="F42" s="165"/>
      <c r="G42" s="153"/>
      <c r="H42" s="197"/>
      <c r="I42" s="189"/>
      <c r="J42" s="154">
        <f t="shared" si="0"/>
        <v>0</v>
      </c>
      <c r="K42" s="187"/>
      <c r="L42" s="188"/>
      <c r="M42" s="189"/>
      <c r="N42" s="154">
        <f t="shared" si="4"/>
        <v>0</v>
      </c>
      <c r="O42" s="187"/>
      <c r="P42" s="188"/>
      <c r="Q42" s="189"/>
      <c r="R42" s="154">
        <f t="shared" si="5"/>
        <v>0</v>
      </c>
      <c r="S42" s="219"/>
      <c r="T42" s="190"/>
      <c r="U42" s="189"/>
      <c r="V42" s="158"/>
      <c r="W42" s="189">
        <f t="shared" si="3"/>
        <v>0</v>
      </c>
    </row>
    <row r="43" spans="1:23" ht="39.5" hidden="1" customHeight="1" x14ac:dyDescent="0.45">
      <c r="A43" s="213" t="s">
        <v>11</v>
      </c>
      <c r="B43" s="221"/>
      <c r="C43" s="221"/>
      <c r="D43" s="214"/>
      <c r="E43" s="156"/>
      <c r="F43" s="165"/>
      <c r="G43" s="153"/>
      <c r="H43" s="197"/>
      <c r="I43" s="189"/>
      <c r="J43" s="154">
        <f t="shared" si="0"/>
        <v>0</v>
      </c>
      <c r="K43" s="187"/>
      <c r="L43" s="188"/>
      <c r="M43" s="189"/>
      <c r="N43" s="154">
        <f t="shared" si="4"/>
        <v>0</v>
      </c>
      <c r="O43" s="187"/>
      <c r="P43" s="188"/>
      <c r="Q43" s="189"/>
      <c r="R43" s="154">
        <f t="shared" si="5"/>
        <v>0</v>
      </c>
      <c r="S43" s="219"/>
      <c r="T43" s="190"/>
      <c r="U43" s="189"/>
      <c r="V43" s="158"/>
      <c r="W43" s="189">
        <f t="shared" si="3"/>
        <v>0</v>
      </c>
    </row>
    <row r="44" spans="1:23" ht="39.5" hidden="1" customHeight="1" x14ac:dyDescent="0.45">
      <c r="A44" s="213" t="s">
        <v>11</v>
      </c>
      <c r="B44" s="221"/>
      <c r="C44" s="221"/>
      <c r="D44" s="214"/>
      <c r="E44" s="156"/>
      <c r="F44" s="165"/>
      <c r="G44" s="153"/>
      <c r="H44" s="197"/>
      <c r="I44" s="189"/>
      <c r="J44" s="154">
        <f t="shared" si="0"/>
        <v>0</v>
      </c>
      <c r="K44" s="187"/>
      <c r="L44" s="188"/>
      <c r="M44" s="189"/>
      <c r="N44" s="154">
        <f t="shared" si="4"/>
        <v>0</v>
      </c>
      <c r="O44" s="187"/>
      <c r="P44" s="188"/>
      <c r="Q44" s="189"/>
      <c r="R44" s="154">
        <f t="shared" si="5"/>
        <v>0</v>
      </c>
      <c r="S44" s="219"/>
      <c r="T44" s="190"/>
      <c r="U44" s="189"/>
      <c r="V44" s="158"/>
      <c r="W44" s="189">
        <f t="shared" si="3"/>
        <v>0</v>
      </c>
    </row>
    <row r="45" spans="1:23" ht="39.5" hidden="1" customHeight="1" x14ac:dyDescent="0.45">
      <c r="A45" s="213" t="s">
        <v>11</v>
      </c>
      <c r="B45" s="221"/>
      <c r="C45" s="221"/>
      <c r="D45" s="214"/>
      <c r="E45" s="156"/>
      <c r="F45" s="165"/>
      <c r="G45" s="153"/>
      <c r="H45" s="197"/>
      <c r="I45" s="189"/>
      <c r="J45" s="154">
        <f t="shared" si="0"/>
        <v>0</v>
      </c>
      <c r="K45" s="187"/>
      <c r="L45" s="188"/>
      <c r="M45" s="189"/>
      <c r="N45" s="154">
        <f t="shared" si="4"/>
        <v>0</v>
      </c>
      <c r="O45" s="187"/>
      <c r="P45" s="188"/>
      <c r="Q45" s="189"/>
      <c r="R45" s="154">
        <f t="shared" si="5"/>
        <v>0</v>
      </c>
      <c r="S45" s="219"/>
      <c r="T45" s="190"/>
      <c r="U45" s="189"/>
      <c r="V45" s="158"/>
      <c r="W45" s="189">
        <f t="shared" si="3"/>
        <v>0</v>
      </c>
    </row>
    <row r="46" spans="1:23" ht="39.5" hidden="1" customHeight="1" x14ac:dyDescent="0.45">
      <c r="A46" s="222" t="s">
        <v>11</v>
      </c>
      <c r="B46" s="223"/>
      <c r="C46" s="223"/>
      <c r="D46" s="224"/>
      <c r="E46" s="168"/>
      <c r="F46" s="169"/>
      <c r="G46" s="145"/>
      <c r="H46" s="171"/>
      <c r="I46" s="204"/>
      <c r="J46" s="154">
        <f t="shared" si="0"/>
        <v>0</v>
      </c>
      <c r="K46" s="205"/>
      <c r="L46" s="206"/>
      <c r="M46" s="204"/>
      <c r="N46" s="154">
        <f t="shared" si="4"/>
        <v>0</v>
      </c>
      <c r="O46" s="205"/>
      <c r="P46" s="206"/>
      <c r="Q46" s="204"/>
      <c r="R46" s="154">
        <f t="shared" si="5"/>
        <v>0</v>
      </c>
      <c r="S46" s="225"/>
      <c r="T46" s="207"/>
      <c r="U46" s="204"/>
      <c r="V46" s="148"/>
      <c r="W46" s="189">
        <f t="shared" si="3"/>
        <v>0</v>
      </c>
    </row>
    <row r="47" spans="1:23" x14ac:dyDescent="0.45">
      <c r="A47" s="145"/>
      <c r="B47" s="171"/>
      <c r="C47" s="171"/>
      <c r="D47" s="170"/>
      <c r="E47" s="171"/>
      <c r="F47" s="169"/>
      <c r="G47" s="145"/>
      <c r="H47" s="171"/>
      <c r="I47" s="204"/>
      <c r="J47" s="208"/>
      <c r="K47" s="205"/>
      <c r="L47" s="206"/>
      <c r="M47" s="204"/>
      <c r="N47" s="208"/>
      <c r="O47" s="205"/>
      <c r="P47" s="206"/>
      <c r="Q47" s="204"/>
      <c r="R47" s="208"/>
      <c r="S47" s="225"/>
      <c r="T47" s="207"/>
      <c r="U47" s="204"/>
      <c r="V47" s="148"/>
      <c r="W47" s="209">
        <f>SUM(W28:W46)</f>
        <v>0</v>
      </c>
    </row>
    <row r="48" spans="1:23" x14ac:dyDescent="0.45">
      <c r="W48" s="154">
        <f>W47+W27</f>
        <v>0</v>
      </c>
    </row>
    <row r="49" spans="5:11" x14ac:dyDescent="0.45">
      <c r="E49" s="137" t="s">
        <v>15</v>
      </c>
      <c r="K49" s="137" t="s">
        <v>16</v>
      </c>
    </row>
  </sheetData>
  <mergeCells count="4">
    <mergeCell ref="G6:I6"/>
    <mergeCell ref="K6:M6"/>
    <mergeCell ref="O6:Q6"/>
    <mergeCell ref="B3:C3"/>
  </mergeCells>
  <pageMargins left="0.23622047244094491" right="0.23622047244094491" top="0.74803149606299213" bottom="0.74803149606299213" header="0.31496062992125984" footer="0.31496062992125984"/>
  <pageSetup paperSize="9" scale="60" orientation="landscape" copies="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56CE-45D5-4D88-B683-A2EF658C1A99}">
  <sheetPr>
    <pageSetUpPr fitToPage="1"/>
  </sheetPr>
  <dimension ref="A2:W49"/>
  <sheetViews>
    <sheetView workbookViewId="0">
      <selection activeCell="B4" sqref="B4"/>
    </sheetView>
  </sheetViews>
  <sheetFormatPr baseColWidth="10" defaultRowHeight="14.25" x14ac:dyDescent="0.45"/>
  <cols>
    <col min="1" max="2" width="11.796875" customWidth="1"/>
    <col min="3" max="3" width="27" customWidth="1"/>
    <col min="10" max="10" width="10.796875" hidden="1" customWidth="1"/>
    <col min="14" max="14" width="10.796875" hidden="1" customWidth="1"/>
    <col min="18" max="18" width="10.796875" hidden="1" customWidth="1"/>
    <col min="20" max="20" width="0" hidden="1" customWidth="1"/>
    <col min="22" max="22" width="34.796875" customWidth="1"/>
  </cols>
  <sheetData>
    <row r="2" spans="1:23" ht="28.5" x14ac:dyDescent="0.45">
      <c r="A2" s="51" t="s">
        <v>21</v>
      </c>
      <c r="B2" t="s">
        <v>31</v>
      </c>
    </row>
    <row r="3" spans="1:23" x14ac:dyDescent="0.45">
      <c r="A3" t="s">
        <v>14</v>
      </c>
      <c r="D3" s="21"/>
      <c r="E3" s="20"/>
    </row>
    <row r="4" spans="1:23" x14ac:dyDescent="0.45">
      <c r="A4" t="s">
        <v>13</v>
      </c>
      <c r="D4" s="21"/>
      <c r="E4" s="20"/>
    </row>
    <row r="6" spans="1:23" x14ac:dyDescent="0.45">
      <c r="A6" s="7"/>
      <c r="B6" s="9"/>
      <c r="C6" s="9"/>
      <c r="D6" s="9"/>
      <c r="E6" s="9"/>
      <c r="F6" s="10"/>
      <c r="G6" s="617" t="s">
        <v>2</v>
      </c>
      <c r="H6" s="618"/>
      <c r="I6" s="619"/>
      <c r="J6" s="1"/>
      <c r="K6" s="617" t="s">
        <v>6</v>
      </c>
      <c r="L6" s="618"/>
      <c r="M6" s="619"/>
      <c r="N6" s="1"/>
      <c r="O6" s="617" t="s">
        <v>7</v>
      </c>
      <c r="P6" s="618"/>
      <c r="Q6" s="619"/>
      <c r="R6" s="1"/>
      <c r="S6" s="13" t="s">
        <v>11</v>
      </c>
      <c r="T6" s="12"/>
      <c r="U6" s="10"/>
      <c r="V6" s="7"/>
      <c r="W6" s="5"/>
    </row>
    <row r="7" spans="1:23" ht="42.75" x14ac:dyDescent="0.45">
      <c r="A7" s="8" t="s">
        <v>28</v>
      </c>
      <c r="B7" s="3" t="s">
        <v>29</v>
      </c>
      <c r="C7" s="3" t="s">
        <v>30</v>
      </c>
      <c r="D7" s="3" t="s">
        <v>0</v>
      </c>
      <c r="E7" s="18" t="s">
        <v>1</v>
      </c>
      <c r="F7" s="4" t="s">
        <v>3</v>
      </c>
      <c r="G7" s="2" t="s">
        <v>3</v>
      </c>
      <c r="H7" s="18" t="s">
        <v>4</v>
      </c>
      <c r="I7" s="4" t="s">
        <v>5</v>
      </c>
      <c r="J7" s="3" t="s">
        <v>19</v>
      </c>
      <c r="K7" s="2" t="s">
        <v>3</v>
      </c>
      <c r="L7" s="18" t="s">
        <v>4</v>
      </c>
      <c r="M7" s="4" t="s">
        <v>9</v>
      </c>
      <c r="N7" s="3" t="s">
        <v>19</v>
      </c>
      <c r="O7" s="2" t="s">
        <v>3</v>
      </c>
      <c r="P7" s="18" t="s">
        <v>4</v>
      </c>
      <c r="Q7" s="4" t="s">
        <v>10</v>
      </c>
      <c r="R7" s="3" t="s">
        <v>19</v>
      </c>
      <c r="S7" s="2" t="s">
        <v>4</v>
      </c>
      <c r="T7" s="3"/>
      <c r="U7" s="4" t="s">
        <v>17</v>
      </c>
      <c r="V7" s="8" t="s">
        <v>12</v>
      </c>
      <c r="W7" s="6" t="s">
        <v>20</v>
      </c>
    </row>
    <row r="8" spans="1:23" ht="40.049999999999997" customHeight="1" x14ac:dyDescent="0.45">
      <c r="A8" s="14" t="s">
        <v>8</v>
      </c>
      <c r="D8" s="35"/>
      <c r="E8" s="36"/>
      <c r="F8" s="40"/>
      <c r="G8" s="26"/>
      <c r="H8" s="27"/>
      <c r="I8" s="44"/>
      <c r="J8" s="35">
        <f>I8-E8</f>
        <v>0</v>
      </c>
      <c r="K8" s="26"/>
      <c r="L8" s="27"/>
      <c r="M8" s="44"/>
      <c r="N8" s="35">
        <f>M8-I8</f>
        <v>0</v>
      </c>
      <c r="O8" s="26"/>
      <c r="P8" s="27"/>
      <c r="Q8" s="44"/>
      <c r="R8" s="35">
        <f>Q8-M8</f>
        <v>0</v>
      </c>
      <c r="S8" s="26"/>
      <c r="T8" s="32" t="str">
        <f>IF(F8+G8-H8+K8-L8+O8-P8=S8,"OK",F8+G8-H8+K8-L8+O8-P8-S8)</f>
        <v>OK</v>
      </c>
      <c r="U8" s="44"/>
      <c r="V8" s="14"/>
      <c r="W8" s="44">
        <f>U8-E8</f>
        <v>0</v>
      </c>
    </row>
    <row r="9" spans="1:23" ht="40.049999999999997" customHeight="1" x14ac:dyDescent="0.45">
      <c r="A9" s="14" t="s">
        <v>8</v>
      </c>
      <c r="D9" s="35"/>
      <c r="E9" s="36"/>
      <c r="F9" s="40"/>
      <c r="G9" s="26"/>
      <c r="H9" s="27"/>
      <c r="I9" s="44"/>
      <c r="J9" s="35">
        <f t="shared" ref="J9:J46" si="0">I9-E9</f>
        <v>0</v>
      </c>
      <c r="K9" s="26"/>
      <c r="L9" s="27"/>
      <c r="M9" s="44"/>
      <c r="N9" s="35">
        <f t="shared" ref="N9:N26" si="1">M9-I9</f>
        <v>0</v>
      </c>
      <c r="O9" s="26"/>
      <c r="P9" s="27"/>
      <c r="Q9" s="44"/>
      <c r="R9" s="35">
        <f t="shared" ref="R9:R26" si="2">Q9-M9</f>
        <v>0</v>
      </c>
      <c r="S9" s="26"/>
      <c r="T9" s="32"/>
      <c r="U9" s="44"/>
      <c r="V9" s="14"/>
      <c r="W9" s="44">
        <f t="shared" ref="W9:W46" si="3">U9-E9</f>
        <v>0</v>
      </c>
    </row>
    <row r="10" spans="1:23" ht="40.049999999999997" customHeight="1" x14ac:dyDescent="0.45">
      <c r="A10" s="14" t="s">
        <v>8</v>
      </c>
      <c r="D10" s="35"/>
      <c r="E10" s="36"/>
      <c r="F10" s="40"/>
      <c r="G10" s="26"/>
      <c r="H10" s="27"/>
      <c r="I10" s="44"/>
      <c r="J10" s="35">
        <f t="shared" si="0"/>
        <v>0</v>
      </c>
      <c r="K10" s="26"/>
      <c r="L10" s="27"/>
      <c r="M10" s="44"/>
      <c r="N10" s="35">
        <f t="shared" si="1"/>
        <v>0</v>
      </c>
      <c r="O10" s="26"/>
      <c r="P10" s="27"/>
      <c r="Q10" s="44"/>
      <c r="R10" s="35">
        <f t="shared" si="2"/>
        <v>0</v>
      </c>
      <c r="S10" s="26"/>
      <c r="T10" s="32"/>
      <c r="U10" s="44"/>
      <c r="V10" s="14"/>
      <c r="W10" s="44">
        <f t="shared" si="3"/>
        <v>0</v>
      </c>
    </row>
    <row r="11" spans="1:23" ht="40.049999999999997" customHeight="1" x14ac:dyDescent="0.45">
      <c r="A11" s="14" t="s">
        <v>8</v>
      </c>
      <c r="D11" s="35"/>
      <c r="E11" s="36"/>
      <c r="F11" s="40"/>
      <c r="G11" s="26"/>
      <c r="H11" s="27"/>
      <c r="I11" s="44"/>
      <c r="J11" s="35">
        <f t="shared" si="0"/>
        <v>0</v>
      </c>
      <c r="K11" s="26"/>
      <c r="L11" s="27"/>
      <c r="M11" s="44"/>
      <c r="N11" s="35">
        <f t="shared" si="1"/>
        <v>0</v>
      </c>
      <c r="O11" s="26"/>
      <c r="P11" s="27"/>
      <c r="Q11" s="44"/>
      <c r="R11" s="35">
        <f t="shared" si="2"/>
        <v>0</v>
      </c>
      <c r="S11" s="26"/>
      <c r="T11" s="32"/>
      <c r="U11" s="44"/>
      <c r="V11" s="14"/>
      <c r="W11" s="44">
        <f t="shared" si="3"/>
        <v>0</v>
      </c>
    </row>
    <row r="12" spans="1:23" ht="40.049999999999997" customHeight="1" x14ac:dyDescent="0.45">
      <c r="A12" s="14" t="s">
        <v>8</v>
      </c>
      <c r="D12" s="35"/>
      <c r="E12" s="36"/>
      <c r="F12" s="40"/>
      <c r="G12" s="26"/>
      <c r="H12" s="27"/>
      <c r="I12" s="44"/>
      <c r="J12" s="35">
        <f t="shared" si="0"/>
        <v>0</v>
      </c>
      <c r="K12" s="26"/>
      <c r="L12" s="27"/>
      <c r="M12" s="44"/>
      <c r="N12" s="35">
        <f t="shared" si="1"/>
        <v>0</v>
      </c>
      <c r="O12" s="26"/>
      <c r="P12" s="27"/>
      <c r="Q12" s="44"/>
      <c r="R12" s="35">
        <f t="shared" si="2"/>
        <v>0</v>
      </c>
      <c r="S12" s="26"/>
      <c r="T12" s="32"/>
      <c r="U12" s="44"/>
      <c r="V12" s="14"/>
      <c r="W12" s="44">
        <f t="shared" si="3"/>
        <v>0</v>
      </c>
    </row>
    <row r="13" spans="1:23" ht="40.049999999999997" customHeight="1" x14ac:dyDescent="0.45">
      <c r="A13" s="14" t="s">
        <v>8</v>
      </c>
      <c r="D13" s="35"/>
      <c r="E13" s="36"/>
      <c r="F13" s="40"/>
      <c r="G13" s="26"/>
      <c r="H13" s="27"/>
      <c r="I13" s="44"/>
      <c r="J13" s="35">
        <f t="shared" si="0"/>
        <v>0</v>
      </c>
      <c r="K13" s="26"/>
      <c r="L13" s="27"/>
      <c r="M13" s="44"/>
      <c r="N13" s="35">
        <f t="shared" si="1"/>
        <v>0</v>
      </c>
      <c r="O13" s="26"/>
      <c r="P13" s="27"/>
      <c r="Q13" s="44"/>
      <c r="R13" s="35">
        <f t="shared" si="2"/>
        <v>0</v>
      </c>
      <c r="S13" s="26"/>
      <c r="T13" s="32"/>
      <c r="U13" s="44"/>
      <c r="V13" s="14"/>
      <c r="W13" s="44">
        <f t="shared" si="3"/>
        <v>0</v>
      </c>
    </row>
    <row r="14" spans="1:23" ht="40.049999999999997" customHeight="1" x14ac:dyDescent="0.45">
      <c r="A14" s="14" t="s">
        <v>8</v>
      </c>
      <c r="D14" s="35"/>
      <c r="E14" s="36"/>
      <c r="F14" s="40"/>
      <c r="G14" s="26"/>
      <c r="H14" s="27"/>
      <c r="I14" s="44"/>
      <c r="J14" s="35">
        <f t="shared" si="0"/>
        <v>0</v>
      </c>
      <c r="K14" s="26"/>
      <c r="L14" s="27"/>
      <c r="M14" s="44"/>
      <c r="N14" s="35">
        <f t="shared" si="1"/>
        <v>0</v>
      </c>
      <c r="O14" s="26"/>
      <c r="P14" s="27"/>
      <c r="Q14" s="44"/>
      <c r="R14" s="35">
        <f t="shared" si="2"/>
        <v>0</v>
      </c>
      <c r="S14" s="26"/>
      <c r="T14" s="32"/>
      <c r="U14" s="44"/>
      <c r="V14" s="14"/>
      <c r="W14" s="44">
        <f t="shared" si="3"/>
        <v>0</v>
      </c>
    </row>
    <row r="15" spans="1:23" ht="40.049999999999997" customHeight="1" x14ac:dyDescent="0.45">
      <c r="A15" s="14" t="s">
        <v>8</v>
      </c>
      <c r="D15" s="35"/>
      <c r="E15" s="36"/>
      <c r="F15" s="40"/>
      <c r="G15" s="26"/>
      <c r="H15" s="27"/>
      <c r="I15" s="44"/>
      <c r="J15" s="35">
        <f t="shared" si="0"/>
        <v>0</v>
      </c>
      <c r="K15" s="26"/>
      <c r="L15" s="27"/>
      <c r="M15" s="44"/>
      <c r="N15" s="35">
        <f t="shared" si="1"/>
        <v>0</v>
      </c>
      <c r="O15" s="26"/>
      <c r="P15" s="27"/>
      <c r="Q15" s="44"/>
      <c r="R15" s="35">
        <f t="shared" si="2"/>
        <v>0</v>
      </c>
      <c r="S15" s="26"/>
      <c r="T15" s="32"/>
      <c r="U15" s="44"/>
      <c r="V15" s="14"/>
      <c r="W15" s="44">
        <f t="shared" si="3"/>
        <v>0</v>
      </c>
    </row>
    <row r="16" spans="1:23" ht="40.049999999999997" customHeight="1" x14ac:dyDescent="0.45">
      <c r="A16" s="14" t="s">
        <v>8</v>
      </c>
      <c r="D16" s="35"/>
      <c r="E16" s="36"/>
      <c r="F16" s="40"/>
      <c r="G16" s="26"/>
      <c r="H16" s="27"/>
      <c r="I16" s="44"/>
      <c r="J16" s="35">
        <f t="shared" si="0"/>
        <v>0</v>
      </c>
      <c r="K16" s="26"/>
      <c r="L16" s="27"/>
      <c r="M16" s="44"/>
      <c r="N16" s="35">
        <f t="shared" si="1"/>
        <v>0</v>
      </c>
      <c r="O16" s="26"/>
      <c r="P16" s="27"/>
      <c r="Q16" s="44"/>
      <c r="R16" s="35">
        <f t="shared" si="2"/>
        <v>0</v>
      </c>
      <c r="S16" s="26"/>
      <c r="T16" s="32"/>
      <c r="U16" s="44"/>
      <c r="V16" s="14"/>
      <c r="W16" s="44">
        <f t="shared" si="3"/>
        <v>0</v>
      </c>
    </row>
    <row r="17" spans="1:23" ht="40.049999999999997" customHeight="1" x14ac:dyDescent="0.45">
      <c r="A17" s="14" t="s">
        <v>8</v>
      </c>
      <c r="D17" s="35"/>
      <c r="E17" s="36"/>
      <c r="F17" s="40"/>
      <c r="G17" s="26"/>
      <c r="H17" s="27"/>
      <c r="I17" s="44"/>
      <c r="J17" s="35">
        <f t="shared" si="0"/>
        <v>0</v>
      </c>
      <c r="K17" s="26"/>
      <c r="L17" s="27"/>
      <c r="M17" s="44"/>
      <c r="N17" s="35">
        <f t="shared" si="1"/>
        <v>0</v>
      </c>
      <c r="O17" s="26"/>
      <c r="P17" s="27"/>
      <c r="Q17" s="44"/>
      <c r="R17" s="35">
        <f t="shared" si="2"/>
        <v>0</v>
      </c>
      <c r="S17" s="26"/>
      <c r="T17" s="32"/>
      <c r="U17" s="44"/>
      <c r="V17" s="14"/>
      <c r="W17" s="44">
        <f t="shared" si="3"/>
        <v>0</v>
      </c>
    </row>
    <row r="18" spans="1:23" ht="40.049999999999997" customHeight="1" x14ac:dyDescent="0.45">
      <c r="A18" s="14" t="s">
        <v>8</v>
      </c>
      <c r="D18" s="35"/>
      <c r="E18" s="36"/>
      <c r="F18" s="40"/>
      <c r="G18" s="26"/>
      <c r="H18" s="27"/>
      <c r="I18" s="44"/>
      <c r="J18" s="35">
        <f t="shared" si="0"/>
        <v>0</v>
      </c>
      <c r="K18" s="26"/>
      <c r="L18" s="27"/>
      <c r="M18" s="44"/>
      <c r="N18" s="35">
        <f t="shared" si="1"/>
        <v>0</v>
      </c>
      <c r="O18" s="26"/>
      <c r="P18" s="27"/>
      <c r="Q18" s="44"/>
      <c r="R18" s="35">
        <f t="shared" si="2"/>
        <v>0</v>
      </c>
      <c r="S18" s="26"/>
      <c r="T18" s="32"/>
      <c r="U18" s="44"/>
      <c r="V18" s="14"/>
      <c r="W18" s="44">
        <f t="shared" si="3"/>
        <v>0</v>
      </c>
    </row>
    <row r="19" spans="1:23" ht="40.049999999999997" customHeight="1" x14ac:dyDescent="0.45">
      <c r="A19" s="14" t="s">
        <v>8</v>
      </c>
      <c r="D19" s="35"/>
      <c r="E19" s="36"/>
      <c r="F19" s="40"/>
      <c r="G19" s="26"/>
      <c r="H19" s="27"/>
      <c r="I19" s="44"/>
      <c r="J19" s="35">
        <f t="shared" si="0"/>
        <v>0</v>
      </c>
      <c r="K19" s="26"/>
      <c r="L19" s="27"/>
      <c r="M19" s="44"/>
      <c r="N19" s="35">
        <f t="shared" si="1"/>
        <v>0</v>
      </c>
      <c r="O19" s="26"/>
      <c r="P19" s="27"/>
      <c r="Q19" s="44"/>
      <c r="R19" s="35">
        <f t="shared" si="2"/>
        <v>0</v>
      </c>
      <c r="S19" s="26"/>
      <c r="T19" s="32"/>
      <c r="U19" s="44"/>
      <c r="V19" s="14"/>
      <c r="W19" s="44">
        <f t="shared" si="3"/>
        <v>0</v>
      </c>
    </row>
    <row r="20" spans="1:23" ht="40.049999999999997" customHeight="1" x14ac:dyDescent="0.45">
      <c r="A20" s="14" t="s">
        <v>8</v>
      </c>
      <c r="D20" s="35"/>
      <c r="E20" s="36"/>
      <c r="F20" s="40"/>
      <c r="G20" s="26"/>
      <c r="H20" s="27"/>
      <c r="I20" s="44"/>
      <c r="J20" s="35">
        <f t="shared" si="0"/>
        <v>0</v>
      </c>
      <c r="K20" s="26"/>
      <c r="L20" s="27"/>
      <c r="M20" s="44"/>
      <c r="N20" s="35">
        <f t="shared" si="1"/>
        <v>0</v>
      </c>
      <c r="O20" s="26"/>
      <c r="P20" s="27"/>
      <c r="Q20" s="44"/>
      <c r="R20" s="35">
        <f t="shared" si="2"/>
        <v>0</v>
      </c>
      <c r="S20" s="26"/>
      <c r="T20" s="32"/>
      <c r="U20" s="44"/>
      <c r="V20" s="14"/>
      <c r="W20" s="44">
        <f t="shared" si="3"/>
        <v>0</v>
      </c>
    </row>
    <row r="21" spans="1:23" ht="40.049999999999997" customHeight="1" x14ac:dyDescent="0.45">
      <c r="A21" s="14" t="s">
        <v>8</v>
      </c>
      <c r="D21" s="35"/>
      <c r="E21" s="36"/>
      <c r="F21" s="40"/>
      <c r="G21" s="26"/>
      <c r="H21" s="27"/>
      <c r="I21" s="44"/>
      <c r="J21" s="35">
        <f t="shared" si="0"/>
        <v>0</v>
      </c>
      <c r="K21" s="26"/>
      <c r="L21" s="27"/>
      <c r="M21" s="44"/>
      <c r="N21" s="35">
        <f t="shared" si="1"/>
        <v>0</v>
      </c>
      <c r="O21" s="26"/>
      <c r="P21" s="27"/>
      <c r="Q21" s="44"/>
      <c r="R21" s="35">
        <f t="shared" si="2"/>
        <v>0</v>
      </c>
      <c r="S21" s="26"/>
      <c r="T21" s="32"/>
      <c r="U21" s="44"/>
      <c r="V21" s="14"/>
      <c r="W21" s="44">
        <f t="shared" si="3"/>
        <v>0</v>
      </c>
    </row>
    <row r="22" spans="1:23" ht="40.049999999999997" customHeight="1" x14ac:dyDescent="0.45">
      <c r="A22" s="14" t="s">
        <v>8</v>
      </c>
      <c r="D22" s="35"/>
      <c r="E22" s="36"/>
      <c r="F22" s="40"/>
      <c r="G22" s="26"/>
      <c r="H22" s="27"/>
      <c r="I22" s="44"/>
      <c r="J22" s="35">
        <f t="shared" si="0"/>
        <v>0</v>
      </c>
      <c r="K22" s="26"/>
      <c r="L22" s="27"/>
      <c r="M22" s="44"/>
      <c r="N22" s="35">
        <f t="shared" si="1"/>
        <v>0</v>
      </c>
      <c r="O22" s="26"/>
      <c r="P22" s="27"/>
      <c r="Q22" s="44"/>
      <c r="R22" s="35">
        <f t="shared" si="2"/>
        <v>0</v>
      </c>
      <c r="S22" s="26"/>
      <c r="T22" s="32"/>
      <c r="U22" s="44"/>
      <c r="V22" s="14"/>
      <c r="W22" s="44">
        <f t="shared" si="3"/>
        <v>0</v>
      </c>
    </row>
    <row r="23" spans="1:23" ht="40.049999999999997" customHeight="1" x14ac:dyDescent="0.45">
      <c r="A23" s="14" t="s">
        <v>8</v>
      </c>
      <c r="D23" s="35"/>
      <c r="E23" s="36"/>
      <c r="F23" s="40"/>
      <c r="G23" s="26"/>
      <c r="H23" s="27"/>
      <c r="I23" s="44"/>
      <c r="J23" s="35">
        <f t="shared" si="0"/>
        <v>0</v>
      </c>
      <c r="K23" s="26"/>
      <c r="L23" s="27"/>
      <c r="M23" s="44"/>
      <c r="N23" s="35">
        <f t="shared" si="1"/>
        <v>0</v>
      </c>
      <c r="O23" s="26"/>
      <c r="P23" s="27"/>
      <c r="Q23" s="44"/>
      <c r="R23" s="35">
        <f t="shared" si="2"/>
        <v>0</v>
      </c>
      <c r="S23" s="26"/>
      <c r="T23" s="32"/>
      <c r="U23" s="44"/>
      <c r="V23" s="14"/>
      <c r="W23" s="44">
        <f t="shared" si="3"/>
        <v>0</v>
      </c>
    </row>
    <row r="24" spans="1:23" ht="40.049999999999997" customHeight="1" x14ac:dyDescent="0.45">
      <c r="A24" s="14" t="s">
        <v>8</v>
      </c>
      <c r="D24" s="35"/>
      <c r="E24" s="36"/>
      <c r="F24" s="40"/>
      <c r="G24" s="26"/>
      <c r="H24" s="27"/>
      <c r="I24" s="44"/>
      <c r="J24" s="35">
        <f t="shared" si="0"/>
        <v>0</v>
      </c>
      <c r="K24" s="26"/>
      <c r="L24" s="27"/>
      <c r="M24" s="44"/>
      <c r="N24" s="35">
        <f t="shared" si="1"/>
        <v>0</v>
      </c>
      <c r="O24" s="26"/>
      <c r="P24" s="27"/>
      <c r="Q24" s="44"/>
      <c r="R24" s="35">
        <f t="shared" si="2"/>
        <v>0</v>
      </c>
      <c r="S24" s="26"/>
      <c r="T24" s="32"/>
      <c r="U24" s="44"/>
      <c r="V24" s="14"/>
      <c r="W24" s="44">
        <f t="shared" si="3"/>
        <v>0</v>
      </c>
    </row>
    <row r="25" spans="1:23" ht="40.049999999999997" customHeight="1" x14ac:dyDescent="0.45">
      <c r="A25" s="14" t="s">
        <v>8</v>
      </c>
      <c r="D25" s="35"/>
      <c r="E25" s="36"/>
      <c r="F25" s="40"/>
      <c r="G25" s="26"/>
      <c r="H25" s="27"/>
      <c r="I25" s="44"/>
      <c r="J25" s="35">
        <f t="shared" si="0"/>
        <v>0</v>
      </c>
      <c r="K25" s="26"/>
      <c r="L25" s="27"/>
      <c r="M25" s="44"/>
      <c r="N25" s="35">
        <f t="shared" si="1"/>
        <v>0</v>
      </c>
      <c r="O25" s="26"/>
      <c r="P25" s="27"/>
      <c r="Q25" s="44"/>
      <c r="R25" s="35">
        <f t="shared" si="2"/>
        <v>0</v>
      </c>
      <c r="S25" s="26"/>
      <c r="T25" s="32"/>
      <c r="U25" s="44"/>
      <c r="V25" s="14"/>
      <c r="W25" s="44">
        <f t="shared" si="3"/>
        <v>0</v>
      </c>
    </row>
    <row r="26" spans="1:23" ht="40.049999999999997" customHeight="1" x14ac:dyDescent="0.45">
      <c r="A26" s="14" t="s">
        <v>8</v>
      </c>
      <c r="D26" s="35"/>
      <c r="E26" s="36"/>
      <c r="F26" s="40"/>
      <c r="G26" s="26"/>
      <c r="H26" s="27"/>
      <c r="I26" s="44"/>
      <c r="J26" s="35">
        <f t="shared" si="0"/>
        <v>0</v>
      </c>
      <c r="K26" s="26"/>
      <c r="L26" s="27"/>
      <c r="M26" s="44"/>
      <c r="N26" s="35">
        <f t="shared" si="1"/>
        <v>0</v>
      </c>
      <c r="O26" s="26"/>
      <c r="P26" s="27"/>
      <c r="Q26" s="44"/>
      <c r="R26" s="35">
        <f t="shared" si="2"/>
        <v>0</v>
      </c>
      <c r="S26" s="26"/>
      <c r="T26" s="32"/>
      <c r="U26" s="44"/>
      <c r="V26" s="14"/>
      <c r="W26" s="44">
        <f t="shared" si="3"/>
        <v>0</v>
      </c>
    </row>
    <row r="27" spans="1:23" ht="29.55" customHeight="1" x14ac:dyDescent="0.45">
      <c r="A27" s="16"/>
      <c r="B27" s="17"/>
      <c r="C27" s="17"/>
      <c r="D27" s="17"/>
      <c r="E27" s="39"/>
      <c r="F27" s="41"/>
      <c r="G27" s="16"/>
      <c r="H27" s="43"/>
      <c r="I27" s="45"/>
      <c r="J27" s="48"/>
      <c r="K27" s="28"/>
      <c r="L27" s="29"/>
      <c r="M27" s="45"/>
      <c r="N27" s="17"/>
      <c r="O27" s="28"/>
      <c r="P27" s="29"/>
      <c r="Q27" s="45"/>
      <c r="R27" s="17"/>
      <c r="S27" s="28" t="s">
        <v>8</v>
      </c>
      <c r="T27" s="33"/>
      <c r="U27" s="45"/>
      <c r="V27" s="16"/>
      <c r="W27" s="45">
        <f>SUM(W8:W26)</f>
        <v>0</v>
      </c>
    </row>
    <row r="28" spans="1:23" ht="39.5" customHeight="1" x14ac:dyDescent="0.45">
      <c r="A28" s="22" t="s">
        <v>11</v>
      </c>
      <c r="B28" s="49"/>
      <c r="C28" s="49"/>
      <c r="D28" s="35">
        <v>0.625</v>
      </c>
      <c r="E28" s="36"/>
      <c r="F28" s="24"/>
      <c r="G28" s="14"/>
      <c r="H28" s="25"/>
      <c r="I28" s="44"/>
      <c r="J28" s="35">
        <f t="shared" si="0"/>
        <v>0</v>
      </c>
      <c r="K28" s="26"/>
      <c r="L28" s="27"/>
      <c r="M28" s="44"/>
      <c r="N28" s="35">
        <f t="shared" ref="N28:N46" si="4">M28-I28</f>
        <v>0</v>
      </c>
      <c r="O28" s="26"/>
      <c r="P28" s="27"/>
      <c r="Q28" s="44"/>
      <c r="R28" s="35">
        <f t="shared" ref="R28:R46" si="5">Q28-M28</f>
        <v>0</v>
      </c>
      <c r="S28" s="26"/>
      <c r="T28" s="32"/>
      <c r="U28" s="44"/>
      <c r="V28" s="14"/>
      <c r="W28" s="44">
        <f t="shared" si="3"/>
        <v>0</v>
      </c>
    </row>
    <row r="29" spans="1:23" ht="39.5" customHeight="1" x14ac:dyDescent="0.45">
      <c r="A29" s="22" t="s">
        <v>11</v>
      </c>
      <c r="B29" s="49"/>
      <c r="C29" s="49"/>
      <c r="D29" s="35">
        <v>0.63194444444444442</v>
      </c>
      <c r="E29" s="36"/>
      <c r="F29" s="24"/>
      <c r="G29" s="14"/>
      <c r="H29" s="25"/>
      <c r="I29" s="44"/>
      <c r="J29" s="35">
        <f t="shared" si="0"/>
        <v>0</v>
      </c>
      <c r="K29" s="26"/>
      <c r="L29" s="27"/>
      <c r="M29" s="44"/>
      <c r="N29" s="35">
        <f t="shared" si="4"/>
        <v>0</v>
      </c>
      <c r="O29" s="26"/>
      <c r="P29" s="27"/>
      <c r="Q29" s="44"/>
      <c r="R29" s="35">
        <f t="shared" si="5"/>
        <v>0</v>
      </c>
      <c r="S29" s="26"/>
      <c r="T29" s="32"/>
      <c r="U29" s="44"/>
      <c r="V29" s="14"/>
      <c r="W29" s="44">
        <f t="shared" si="3"/>
        <v>0</v>
      </c>
    </row>
    <row r="30" spans="1:23" ht="39.5" customHeight="1" x14ac:dyDescent="0.45">
      <c r="A30" s="22" t="s">
        <v>11</v>
      </c>
      <c r="B30" s="49"/>
      <c r="C30" s="49"/>
      <c r="D30" s="35">
        <v>0.63888888888888895</v>
      </c>
      <c r="E30" s="36"/>
      <c r="F30" s="24"/>
      <c r="G30" s="14"/>
      <c r="H30" s="25"/>
      <c r="I30" s="44"/>
      <c r="J30" s="35">
        <f t="shared" si="0"/>
        <v>0</v>
      </c>
      <c r="K30" s="26"/>
      <c r="L30" s="27"/>
      <c r="M30" s="44"/>
      <c r="N30" s="35">
        <f t="shared" si="4"/>
        <v>0</v>
      </c>
      <c r="O30" s="26"/>
      <c r="P30" s="27"/>
      <c r="Q30" s="44"/>
      <c r="R30" s="35">
        <f t="shared" si="5"/>
        <v>0</v>
      </c>
      <c r="S30" s="26"/>
      <c r="T30" s="32"/>
      <c r="U30" s="44"/>
      <c r="V30" s="14"/>
      <c r="W30" s="44">
        <f t="shared" si="3"/>
        <v>0</v>
      </c>
    </row>
    <row r="31" spans="1:23" ht="39.5" customHeight="1" x14ac:dyDescent="0.45">
      <c r="A31" s="22" t="s">
        <v>11</v>
      </c>
      <c r="B31" s="49"/>
      <c r="C31" s="49"/>
      <c r="D31" s="35">
        <v>0.64583333333333304</v>
      </c>
      <c r="E31" s="36"/>
      <c r="F31" s="24"/>
      <c r="G31" s="14"/>
      <c r="H31" s="25"/>
      <c r="I31" s="44"/>
      <c r="J31" s="35">
        <f t="shared" si="0"/>
        <v>0</v>
      </c>
      <c r="K31" s="26"/>
      <c r="L31" s="27"/>
      <c r="M31" s="44"/>
      <c r="N31" s="35">
        <f t="shared" si="4"/>
        <v>0</v>
      </c>
      <c r="O31" s="26"/>
      <c r="P31" s="27"/>
      <c r="Q31" s="44"/>
      <c r="R31" s="35">
        <f t="shared" si="5"/>
        <v>0</v>
      </c>
      <c r="S31" s="26"/>
      <c r="T31" s="32"/>
      <c r="U31" s="44"/>
      <c r="V31" s="14"/>
      <c r="W31" s="44">
        <f t="shared" si="3"/>
        <v>0</v>
      </c>
    </row>
    <row r="32" spans="1:23" ht="39.5" customHeight="1" x14ac:dyDescent="0.45">
      <c r="A32" s="22" t="s">
        <v>11</v>
      </c>
      <c r="B32" s="49"/>
      <c r="C32" s="49"/>
      <c r="D32" s="35">
        <v>0.65277777777777801</v>
      </c>
      <c r="E32" s="36"/>
      <c r="F32" s="24"/>
      <c r="G32" s="14"/>
      <c r="H32" s="25"/>
      <c r="I32" s="44"/>
      <c r="J32" s="35">
        <f t="shared" si="0"/>
        <v>0</v>
      </c>
      <c r="K32" s="26"/>
      <c r="L32" s="27"/>
      <c r="M32" s="44"/>
      <c r="N32" s="35">
        <f t="shared" si="4"/>
        <v>0</v>
      </c>
      <c r="O32" s="26"/>
      <c r="P32" s="27"/>
      <c r="Q32" s="44"/>
      <c r="R32" s="35">
        <f t="shared" si="5"/>
        <v>0</v>
      </c>
      <c r="S32" s="26"/>
      <c r="T32" s="32"/>
      <c r="U32" s="44"/>
      <c r="V32" s="14"/>
      <c r="W32" s="44">
        <f t="shared" si="3"/>
        <v>0</v>
      </c>
    </row>
    <row r="33" spans="1:23" ht="39.5" customHeight="1" x14ac:dyDescent="0.45">
      <c r="A33" s="22" t="s">
        <v>11</v>
      </c>
      <c r="B33" s="49"/>
      <c r="C33" s="49"/>
      <c r="D33" s="35">
        <v>0.65972222222222199</v>
      </c>
      <c r="E33" s="36"/>
      <c r="F33" s="24"/>
      <c r="G33" s="14"/>
      <c r="H33" s="25"/>
      <c r="I33" s="44"/>
      <c r="J33" s="35">
        <f t="shared" si="0"/>
        <v>0</v>
      </c>
      <c r="K33" s="26"/>
      <c r="L33" s="27"/>
      <c r="M33" s="44"/>
      <c r="N33" s="35">
        <f t="shared" si="4"/>
        <v>0</v>
      </c>
      <c r="O33" s="26"/>
      <c r="P33" s="27"/>
      <c r="Q33" s="44"/>
      <c r="R33" s="35">
        <f t="shared" si="5"/>
        <v>0</v>
      </c>
      <c r="S33" s="26"/>
      <c r="T33" s="32"/>
      <c r="U33" s="44"/>
      <c r="V33" s="14"/>
      <c r="W33" s="44">
        <f t="shared" si="3"/>
        <v>0</v>
      </c>
    </row>
    <row r="34" spans="1:23" ht="39.5" customHeight="1" x14ac:dyDescent="0.45">
      <c r="A34" s="22" t="s">
        <v>11</v>
      </c>
      <c r="B34" s="49"/>
      <c r="C34" s="49"/>
      <c r="D34" s="35">
        <v>0.66666666666666696</v>
      </c>
      <c r="E34" s="36"/>
      <c r="F34" s="24"/>
      <c r="G34" s="14"/>
      <c r="H34" s="25"/>
      <c r="I34" s="44"/>
      <c r="J34" s="35">
        <f t="shared" si="0"/>
        <v>0</v>
      </c>
      <c r="K34" s="26"/>
      <c r="L34" s="27"/>
      <c r="M34" s="44"/>
      <c r="N34" s="35">
        <f t="shared" si="4"/>
        <v>0</v>
      </c>
      <c r="O34" s="26"/>
      <c r="P34" s="27"/>
      <c r="Q34" s="44"/>
      <c r="R34" s="35">
        <f t="shared" si="5"/>
        <v>0</v>
      </c>
      <c r="S34" s="26"/>
      <c r="T34" s="32"/>
      <c r="U34" s="44"/>
      <c r="V34" s="14"/>
      <c r="W34" s="44">
        <f t="shared" si="3"/>
        <v>0</v>
      </c>
    </row>
    <row r="35" spans="1:23" ht="39.5" customHeight="1" x14ac:dyDescent="0.45">
      <c r="A35" s="22" t="s">
        <v>11</v>
      </c>
      <c r="B35" s="49"/>
      <c r="C35" s="49"/>
      <c r="D35" s="35">
        <v>0.67361111111111105</v>
      </c>
      <c r="E35" s="36"/>
      <c r="F35" s="24"/>
      <c r="G35" s="14"/>
      <c r="H35" s="25"/>
      <c r="I35" s="44"/>
      <c r="J35" s="35">
        <f t="shared" si="0"/>
        <v>0</v>
      </c>
      <c r="K35" s="26"/>
      <c r="L35" s="27"/>
      <c r="M35" s="44"/>
      <c r="N35" s="35">
        <f t="shared" si="4"/>
        <v>0</v>
      </c>
      <c r="O35" s="26"/>
      <c r="P35" s="27"/>
      <c r="Q35" s="44"/>
      <c r="R35" s="35">
        <f t="shared" si="5"/>
        <v>0</v>
      </c>
      <c r="S35" s="26"/>
      <c r="T35" s="32"/>
      <c r="U35" s="44"/>
      <c r="V35" s="14"/>
      <c r="W35" s="44">
        <f t="shared" si="3"/>
        <v>0</v>
      </c>
    </row>
    <row r="36" spans="1:23" ht="39.5" customHeight="1" x14ac:dyDescent="0.45">
      <c r="A36" s="22" t="s">
        <v>11</v>
      </c>
      <c r="B36" s="49"/>
      <c r="C36" s="49"/>
      <c r="D36" s="35">
        <v>0.68055555555555503</v>
      </c>
      <c r="E36" s="36"/>
      <c r="F36" s="24"/>
      <c r="G36" s="14"/>
      <c r="H36" s="25"/>
      <c r="I36" s="44"/>
      <c r="J36" s="35">
        <f t="shared" si="0"/>
        <v>0</v>
      </c>
      <c r="K36" s="26"/>
      <c r="L36" s="27"/>
      <c r="M36" s="44"/>
      <c r="N36" s="35">
        <f t="shared" si="4"/>
        <v>0</v>
      </c>
      <c r="O36" s="26"/>
      <c r="P36" s="27"/>
      <c r="Q36" s="44"/>
      <c r="R36" s="35">
        <f t="shared" si="5"/>
        <v>0</v>
      </c>
      <c r="S36" s="26"/>
      <c r="T36" s="32"/>
      <c r="U36" s="44"/>
      <c r="V36" s="14"/>
      <c r="W36" s="44">
        <f t="shared" si="3"/>
        <v>0</v>
      </c>
    </row>
    <row r="37" spans="1:23" ht="39.5" customHeight="1" x14ac:dyDescent="0.45">
      <c r="A37" s="22" t="s">
        <v>11</v>
      </c>
      <c r="B37" s="49"/>
      <c r="C37" s="49"/>
      <c r="D37" s="35">
        <v>0.6875</v>
      </c>
      <c r="E37" s="36"/>
      <c r="F37" s="24"/>
      <c r="G37" s="14"/>
      <c r="H37" s="25"/>
      <c r="I37" s="44"/>
      <c r="J37" s="35">
        <f t="shared" si="0"/>
        <v>0</v>
      </c>
      <c r="K37" s="26"/>
      <c r="L37" s="27"/>
      <c r="M37" s="44"/>
      <c r="N37" s="35">
        <f t="shared" si="4"/>
        <v>0</v>
      </c>
      <c r="O37" s="26"/>
      <c r="P37" s="27"/>
      <c r="Q37" s="44"/>
      <c r="R37" s="35">
        <f t="shared" si="5"/>
        <v>0</v>
      </c>
      <c r="S37" s="26"/>
      <c r="T37" s="32"/>
      <c r="U37" s="44"/>
      <c r="V37" s="14"/>
      <c r="W37" s="44">
        <f t="shared" si="3"/>
        <v>0</v>
      </c>
    </row>
    <row r="38" spans="1:23" ht="39.5" customHeight="1" x14ac:dyDescent="0.45">
      <c r="A38" s="22" t="s">
        <v>11</v>
      </c>
      <c r="B38" s="49"/>
      <c r="C38" s="49"/>
      <c r="D38" s="35">
        <v>0.69444444444444398</v>
      </c>
      <c r="E38" s="36"/>
      <c r="F38" s="24"/>
      <c r="G38" s="14"/>
      <c r="H38" s="25"/>
      <c r="I38" s="44"/>
      <c r="J38" s="35">
        <f t="shared" si="0"/>
        <v>0</v>
      </c>
      <c r="K38" s="26"/>
      <c r="L38" s="27"/>
      <c r="M38" s="44"/>
      <c r="N38" s="35">
        <f t="shared" si="4"/>
        <v>0</v>
      </c>
      <c r="O38" s="26"/>
      <c r="P38" s="27"/>
      <c r="Q38" s="44"/>
      <c r="R38" s="35">
        <f t="shared" si="5"/>
        <v>0</v>
      </c>
      <c r="S38" s="26"/>
      <c r="T38" s="32"/>
      <c r="U38" s="44"/>
      <c r="V38" s="14"/>
      <c r="W38" s="44">
        <f t="shared" si="3"/>
        <v>0</v>
      </c>
    </row>
    <row r="39" spans="1:23" ht="39.5" customHeight="1" x14ac:dyDescent="0.45">
      <c r="A39" s="22" t="s">
        <v>11</v>
      </c>
      <c r="B39" s="49"/>
      <c r="C39" s="49"/>
      <c r="D39" s="35">
        <v>0.70138888888888895</v>
      </c>
      <c r="E39" s="36"/>
      <c r="F39" s="24"/>
      <c r="G39" s="14"/>
      <c r="H39" s="25"/>
      <c r="I39" s="44"/>
      <c r="J39" s="35">
        <f t="shared" si="0"/>
        <v>0</v>
      </c>
      <c r="K39" s="26"/>
      <c r="L39" s="27"/>
      <c r="M39" s="44"/>
      <c r="N39" s="35">
        <f t="shared" si="4"/>
        <v>0</v>
      </c>
      <c r="O39" s="26"/>
      <c r="P39" s="27"/>
      <c r="Q39" s="44"/>
      <c r="R39" s="35">
        <f t="shared" si="5"/>
        <v>0</v>
      </c>
      <c r="S39" s="26"/>
      <c r="T39" s="32"/>
      <c r="U39" s="44"/>
      <c r="V39" s="14"/>
      <c r="W39" s="44">
        <f t="shared" si="3"/>
        <v>0</v>
      </c>
    </row>
    <row r="40" spans="1:23" ht="39.5" customHeight="1" x14ac:dyDescent="0.45">
      <c r="A40" s="22" t="s">
        <v>11</v>
      </c>
      <c r="B40" s="49"/>
      <c r="C40" s="49"/>
      <c r="D40" s="35">
        <v>0.70833333333333304</v>
      </c>
      <c r="E40" s="36"/>
      <c r="F40" s="24"/>
      <c r="G40" s="14"/>
      <c r="H40" s="25"/>
      <c r="I40" s="44"/>
      <c r="J40" s="35">
        <f t="shared" si="0"/>
        <v>0</v>
      </c>
      <c r="K40" s="26"/>
      <c r="L40" s="27"/>
      <c r="M40" s="44"/>
      <c r="N40" s="35">
        <f t="shared" si="4"/>
        <v>0</v>
      </c>
      <c r="O40" s="26"/>
      <c r="P40" s="27"/>
      <c r="Q40" s="44"/>
      <c r="R40" s="35">
        <f t="shared" si="5"/>
        <v>0</v>
      </c>
      <c r="S40" s="26"/>
      <c r="T40" s="32"/>
      <c r="U40" s="44"/>
      <c r="V40" s="14"/>
      <c r="W40" s="44">
        <f t="shared" si="3"/>
        <v>0</v>
      </c>
    </row>
    <row r="41" spans="1:23" ht="39.5" customHeight="1" x14ac:dyDescent="0.45">
      <c r="A41" s="22" t="s">
        <v>11</v>
      </c>
      <c r="B41" s="49"/>
      <c r="C41" s="49"/>
      <c r="D41" s="35">
        <v>0.71527777777777701</v>
      </c>
      <c r="E41" s="36"/>
      <c r="F41" s="24"/>
      <c r="G41" s="14"/>
      <c r="H41" s="25"/>
      <c r="I41" s="44"/>
      <c r="J41" s="35">
        <f t="shared" si="0"/>
        <v>0</v>
      </c>
      <c r="K41" s="26"/>
      <c r="L41" s="27"/>
      <c r="M41" s="44"/>
      <c r="N41" s="35">
        <f t="shared" si="4"/>
        <v>0</v>
      </c>
      <c r="O41" s="26"/>
      <c r="P41" s="27"/>
      <c r="Q41" s="44"/>
      <c r="R41" s="35">
        <f t="shared" si="5"/>
        <v>0</v>
      </c>
      <c r="S41" s="26"/>
      <c r="T41" s="32"/>
      <c r="U41" s="44"/>
      <c r="V41" s="14"/>
      <c r="W41" s="44">
        <f t="shared" si="3"/>
        <v>0</v>
      </c>
    </row>
    <row r="42" spans="1:23" ht="39.5" customHeight="1" x14ac:dyDescent="0.45">
      <c r="A42" s="22" t="s">
        <v>11</v>
      </c>
      <c r="B42" s="49"/>
      <c r="C42" s="49"/>
      <c r="D42" s="35">
        <v>0.72222222222222199</v>
      </c>
      <c r="E42" s="36"/>
      <c r="F42" s="24"/>
      <c r="G42" s="14"/>
      <c r="H42" s="25"/>
      <c r="I42" s="44"/>
      <c r="J42" s="35">
        <f t="shared" si="0"/>
        <v>0</v>
      </c>
      <c r="K42" s="26"/>
      <c r="L42" s="27"/>
      <c r="M42" s="44"/>
      <c r="N42" s="35">
        <f t="shared" si="4"/>
        <v>0</v>
      </c>
      <c r="O42" s="26"/>
      <c r="P42" s="27"/>
      <c r="Q42" s="44"/>
      <c r="R42" s="35">
        <f t="shared" si="5"/>
        <v>0</v>
      </c>
      <c r="S42" s="26"/>
      <c r="T42" s="32"/>
      <c r="U42" s="44"/>
      <c r="V42" s="14"/>
      <c r="W42" s="44">
        <f t="shared" si="3"/>
        <v>0</v>
      </c>
    </row>
    <row r="43" spans="1:23" ht="39.5" customHeight="1" x14ac:dyDescent="0.45">
      <c r="A43" s="22" t="s">
        <v>11</v>
      </c>
      <c r="B43" s="49"/>
      <c r="C43" s="49"/>
      <c r="D43" s="35">
        <v>0.72916666666666596</v>
      </c>
      <c r="E43" s="36"/>
      <c r="F43" s="24"/>
      <c r="G43" s="14"/>
      <c r="H43" s="25"/>
      <c r="I43" s="44"/>
      <c r="J43" s="35">
        <f t="shared" si="0"/>
        <v>0</v>
      </c>
      <c r="K43" s="26"/>
      <c r="L43" s="27"/>
      <c r="M43" s="44"/>
      <c r="N43" s="35">
        <f t="shared" si="4"/>
        <v>0</v>
      </c>
      <c r="O43" s="26"/>
      <c r="P43" s="27"/>
      <c r="Q43" s="44"/>
      <c r="R43" s="35">
        <f t="shared" si="5"/>
        <v>0</v>
      </c>
      <c r="S43" s="26"/>
      <c r="T43" s="32"/>
      <c r="U43" s="44"/>
      <c r="V43" s="14"/>
      <c r="W43" s="44">
        <f t="shared" si="3"/>
        <v>0</v>
      </c>
    </row>
    <row r="44" spans="1:23" ht="39.5" customHeight="1" x14ac:dyDescent="0.45">
      <c r="A44" s="22" t="s">
        <v>11</v>
      </c>
      <c r="B44" s="49"/>
      <c r="C44" s="49"/>
      <c r="D44" s="35">
        <v>0.73611111111111105</v>
      </c>
      <c r="E44" s="36"/>
      <c r="F44" s="24"/>
      <c r="G44" s="14"/>
      <c r="H44" s="25"/>
      <c r="I44" s="44"/>
      <c r="J44" s="35">
        <f t="shared" si="0"/>
        <v>0</v>
      </c>
      <c r="K44" s="26"/>
      <c r="L44" s="27"/>
      <c r="M44" s="44"/>
      <c r="N44" s="35">
        <f t="shared" si="4"/>
        <v>0</v>
      </c>
      <c r="O44" s="26"/>
      <c r="P44" s="27"/>
      <c r="Q44" s="44"/>
      <c r="R44" s="35">
        <f t="shared" si="5"/>
        <v>0</v>
      </c>
      <c r="S44" s="26"/>
      <c r="T44" s="32"/>
      <c r="U44" s="44"/>
      <c r="V44" s="14"/>
      <c r="W44" s="44">
        <f t="shared" si="3"/>
        <v>0</v>
      </c>
    </row>
    <row r="45" spans="1:23" ht="39.5" customHeight="1" x14ac:dyDescent="0.45">
      <c r="A45" s="22" t="s">
        <v>11</v>
      </c>
      <c r="B45" s="49"/>
      <c r="C45" s="49"/>
      <c r="D45" s="35">
        <v>0.74305555555555503</v>
      </c>
      <c r="E45" s="36"/>
      <c r="F45" s="24"/>
      <c r="G45" s="14"/>
      <c r="H45" s="25"/>
      <c r="I45" s="44"/>
      <c r="J45" s="35">
        <f t="shared" si="0"/>
        <v>0</v>
      </c>
      <c r="K45" s="26"/>
      <c r="L45" s="27"/>
      <c r="M45" s="44"/>
      <c r="N45" s="35">
        <f t="shared" si="4"/>
        <v>0</v>
      </c>
      <c r="O45" s="26"/>
      <c r="P45" s="27"/>
      <c r="Q45" s="44"/>
      <c r="R45" s="35">
        <f t="shared" si="5"/>
        <v>0</v>
      </c>
      <c r="S45" s="26"/>
      <c r="T45" s="32"/>
      <c r="U45" s="44"/>
      <c r="V45" s="14"/>
      <c r="W45" s="44">
        <f t="shared" si="3"/>
        <v>0</v>
      </c>
    </row>
    <row r="46" spans="1:23" ht="39.5" customHeight="1" x14ac:dyDescent="0.45">
      <c r="A46" s="23" t="s">
        <v>11</v>
      </c>
      <c r="B46" s="50"/>
      <c r="C46" s="50"/>
      <c r="D46" s="37">
        <v>0.75</v>
      </c>
      <c r="E46" s="38"/>
      <c r="F46" s="42"/>
      <c r="G46" s="8"/>
      <c r="H46" s="19"/>
      <c r="I46" s="46"/>
      <c r="J46" s="35">
        <f t="shared" si="0"/>
        <v>0</v>
      </c>
      <c r="K46" s="30"/>
      <c r="L46" s="31"/>
      <c r="M46" s="46"/>
      <c r="N46" s="35">
        <f t="shared" si="4"/>
        <v>0</v>
      </c>
      <c r="O46" s="30"/>
      <c r="P46" s="31"/>
      <c r="Q46" s="46"/>
      <c r="R46" s="35">
        <f t="shared" si="5"/>
        <v>0</v>
      </c>
      <c r="S46" s="30"/>
      <c r="T46" s="34"/>
      <c r="U46" s="46"/>
      <c r="V46" s="8"/>
      <c r="W46" s="44">
        <f t="shared" si="3"/>
        <v>0</v>
      </c>
    </row>
    <row r="47" spans="1:23" x14ac:dyDescent="0.45">
      <c r="A47" s="8"/>
      <c r="B47" s="11"/>
      <c r="C47" s="11"/>
      <c r="D47" s="15"/>
      <c r="E47" s="19"/>
      <c r="F47" s="42"/>
      <c r="G47" s="8"/>
      <c r="H47" s="19"/>
      <c r="I47" s="46"/>
      <c r="J47" s="11"/>
      <c r="K47" s="30"/>
      <c r="L47" s="31"/>
      <c r="M47" s="46"/>
      <c r="N47" s="11"/>
      <c r="O47" s="30"/>
      <c r="P47" s="31"/>
      <c r="Q47" s="46"/>
      <c r="R47" s="11"/>
      <c r="S47" s="30"/>
      <c r="T47" s="34"/>
      <c r="U47" s="46"/>
      <c r="V47" s="8"/>
      <c r="W47" s="47">
        <f>SUM(W28:W46)</f>
        <v>0</v>
      </c>
    </row>
    <row r="48" spans="1:23" x14ac:dyDescent="0.45">
      <c r="W48" s="35">
        <f>W47+W27</f>
        <v>0</v>
      </c>
    </row>
    <row r="49" spans="5:11" x14ac:dyDescent="0.45">
      <c r="E49" t="s">
        <v>15</v>
      </c>
      <c r="K49" t="s">
        <v>16</v>
      </c>
    </row>
  </sheetData>
  <mergeCells count="3">
    <mergeCell ref="G6:I6"/>
    <mergeCell ref="K6:M6"/>
    <mergeCell ref="O6:Q6"/>
  </mergeCells>
  <pageMargins left="0.25" right="0.25" top="0.75" bottom="0.75" header="0.3" footer="0.3"/>
  <pageSetup paperSize="9" scale="26" orientation="landscape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A6D3-E9C7-43A6-A90D-599F5B4F2BD2}">
  <sheetPr>
    <pageSetUpPr fitToPage="1"/>
  </sheetPr>
  <dimension ref="A3:AA48"/>
  <sheetViews>
    <sheetView workbookViewId="0">
      <selection activeCell="Y7" sqref="Y7:AA7"/>
    </sheetView>
  </sheetViews>
  <sheetFormatPr baseColWidth="10" defaultRowHeight="14.25" x14ac:dyDescent="0.45"/>
  <cols>
    <col min="4" max="4" width="11.796875" customWidth="1"/>
    <col min="10" max="11" width="0" hidden="1" customWidth="1"/>
    <col min="14" max="15" width="0" hidden="1" customWidth="1"/>
    <col min="18" max="19" width="0" hidden="1" customWidth="1"/>
    <col min="21" max="21" width="10.796875" customWidth="1"/>
    <col min="23" max="23" width="34.796875" customWidth="1"/>
  </cols>
  <sheetData>
    <row r="3" spans="1:27" x14ac:dyDescent="0.45">
      <c r="D3" t="s">
        <v>14</v>
      </c>
    </row>
    <row r="4" spans="1:27" x14ac:dyDescent="0.45">
      <c r="D4" t="s">
        <v>13</v>
      </c>
    </row>
    <row r="6" spans="1:27" x14ac:dyDescent="0.45">
      <c r="D6" s="7"/>
      <c r="E6" s="9"/>
      <c r="F6" s="9"/>
      <c r="G6" s="10"/>
      <c r="H6" s="617" t="s">
        <v>2</v>
      </c>
      <c r="I6" s="618"/>
      <c r="J6" s="619"/>
      <c r="K6" s="1"/>
      <c r="L6" s="617" t="s">
        <v>6</v>
      </c>
      <c r="M6" s="618"/>
      <c r="N6" s="619"/>
      <c r="O6" s="1"/>
      <c r="P6" s="617" t="s">
        <v>7</v>
      </c>
      <c r="Q6" s="618"/>
      <c r="R6" s="619"/>
      <c r="S6" s="1"/>
      <c r="T6" s="13" t="s">
        <v>11</v>
      </c>
      <c r="U6" s="12"/>
      <c r="V6" s="10"/>
      <c r="W6" s="7"/>
      <c r="X6" s="5"/>
    </row>
    <row r="7" spans="1:27" ht="42.75" x14ac:dyDescent="0.45">
      <c r="A7" t="s">
        <v>14</v>
      </c>
      <c r="B7" t="s">
        <v>21</v>
      </c>
      <c r="C7" t="s">
        <v>13</v>
      </c>
      <c r="D7" s="8"/>
      <c r="E7" s="3" t="s">
        <v>0</v>
      </c>
      <c r="F7" s="18" t="s">
        <v>1</v>
      </c>
      <c r="G7" s="4" t="s">
        <v>23</v>
      </c>
      <c r="H7" s="2" t="s">
        <v>22</v>
      </c>
      <c r="I7" s="18" t="s">
        <v>23</v>
      </c>
      <c r="J7" s="4" t="s">
        <v>5</v>
      </c>
      <c r="K7" s="3" t="s">
        <v>19</v>
      </c>
      <c r="L7" s="2" t="s">
        <v>22</v>
      </c>
      <c r="M7" s="18" t="s">
        <v>23</v>
      </c>
      <c r="N7" s="4" t="s">
        <v>9</v>
      </c>
      <c r="O7" s="3" t="s">
        <v>19</v>
      </c>
      <c r="P7" s="2" t="s">
        <v>22</v>
      </c>
      <c r="Q7" s="18" t="s">
        <v>23</v>
      </c>
      <c r="R7" s="4" t="s">
        <v>10</v>
      </c>
      <c r="S7" s="3" t="s">
        <v>19</v>
      </c>
      <c r="T7" s="2" t="s">
        <v>22</v>
      </c>
      <c r="U7" s="3"/>
      <c r="V7" s="4" t="s">
        <v>17</v>
      </c>
      <c r="W7" s="8" t="s">
        <v>12</v>
      </c>
      <c r="X7" s="6" t="s">
        <v>20</v>
      </c>
      <c r="Y7" s="51" t="s">
        <v>38</v>
      </c>
      <c r="Z7" s="51" t="s">
        <v>39</v>
      </c>
      <c r="AA7" s="51" t="s">
        <v>40</v>
      </c>
    </row>
    <row r="8" spans="1:27" ht="29.55" customHeight="1" x14ac:dyDescent="0.45">
      <c r="D8" s="14" t="s">
        <v>8</v>
      </c>
      <c r="E8" s="35">
        <v>0.20833333333333334</v>
      </c>
      <c r="F8" s="54" t="e">
        <f>AVERAGE('Feuille saisie'!F12,'C2'!C8,'C3'!C8,'C4'!C8,'C5'!C8,'C6'!C8,'C7'!C8,'C8'!C8,'C9'!C8,'C10'!C8,'C11'!C8,'C12'!C8,'C13'!C8,'C14'!C8,'C15'!C8,'C16'!C8)</f>
        <v>#DIV/0!</v>
      </c>
      <c r="G8" s="55">
        <f>'Feuille saisie'!I12+'C2'!D8+'C3'!D8+'C4'!D8+'C5'!D8+'C6'!D8+'C7'!D8+'C8'!D8+'C9'!D8+'C10'!D8+'C11'!D8+'C12'!D8+'C13'!D8+'C14'!D8+'C15'!D8+'C16'!D8</f>
        <v>0</v>
      </c>
      <c r="H8" s="56" t="e">
        <f>'Feuille saisie'!#REF!+'C2'!E8+'C3'!E8+'C4'!E8+'C5'!E8+'C6'!E8+'C7'!E8+'C8'!E8+'C9'!E8+'C10'!E8+'C11'!E8+'C12'!E8+'C13'!E8+'C14'!E8+'C15'!E8+'C16'!E8</f>
        <v>#REF!</v>
      </c>
      <c r="I8" s="55" t="e">
        <f>'Feuille saisie'!#REF!+'C2'!F8+'C3'!F8+'C4'!F8+'C5'!F8+'C6'!F8+'C7'!F8+'C8'!F8+'C9'!F8+'C10'!F8+'C11'!F8+'C12'!F8+'C13'!F8+'C14'!F8+'C15'!F8+'C16'!F8</f>
        <v>#REF!</v>
      </c>
      <c r="J8" s="57">
        <v>0.21458333333333332</v>
      </c>
      <c r="K8" s="58" t="e">
        <f>J8-F8</f>
        <v>#DIV/0!</v>
      </c>
      <c r="L8" s="56" t="e">
        <f>'Feuille saisie'!#REF!+'C2'!I8+'C3'!I8+'C4'!I8+'C5'!I8+'C6'!I8+'C7'!I8+'C8'!I8+'C9'!I8+'C10'!I8+'C11'!I8+'C12'!I8+'C13'!I8+'C14'!I8+'C15'!I8+'C16'!I8</f>
        <v>#REF!</v>
      </c>
      <c r="M8" s="55" t="e">
        <f>'Feuille saisie'!#REF!+'C2'!J8+'C3'!J8+'C4'!J8+'C5'!J8+'C6'!J8+'C7'!J8+'C8'!J8+'C9'!J8+'C10'!J8+'C11'!J8+'C12'!J8+'C13'!J8+'C14'!J8+'C15'!J8+'C16'!J8</f>
        <v>#REF!</v>
      </c>
      <c r="N8" s="57">
        <v>0.21805555555555556</v>
      </c>
      <c r="O8" s="58">
        <f>N8-J8</f>
        <v>3.4722222222222376E-3</v>
      </c>
      <c r="P8" s="56" t="e">
        <f>'Feuille saisie'!#REF!+'C2'!M8+'C3'!M8+'C4'!M8+'C5'!M8+'C6'!M8+'C7'!M8+'C8'!M8+'C9'!M8+'C10'!M8+'C11'!M8+'C12'!M8+'C13'!M8+'C14'!M8+'C15'!M8+'C16'!M8</f>
        <v>#REF!</v>
      </c>
      <c r="Q8" s="55" t="e">
        <f>'Feuille saisie'!#REF!+'C2'!N8+'C3'!N8+'C4'!N8+'C5'!N8+'C6'!N8+'C7'!N8+'C8'!N8+'C9'!N8+'C10'!N8+'C11'!N8+'C12'!N8+'C13'!N8+'C14'!N8+'C15'!N8+'C16'!N8</f>
        <v>#REF!</v>
      </c>
      <c r="R8" s="57">
        <v>0.22013888888888888</v>
      </c>
      <c r="S8" s="58">
        <f>R8-N8</f>
        <v>2.0833333333333259E-3</v>
      </c>
      <c r="T8" s="59" t="e">
        <f>'Feuille saisie'!#REF!+'C2'!Q8+'C3'!Q8+'C4'!Q8+'C5'!Q8+'C6'!Q8+'C7'!Q8+'C8'!Q8+'C9'!Q8+'C10'!Q8+'C11'!Q8+'C12'!Q8+'C13'!Q8+'C14'!Q8+'C15'!Q8+'C16'!Q8</f>
        <v>#REF!</v>
      </c>
      <c r="U8" s="60" t="e">
        <f>IF(G8+H8-I8+L8-M8+P8-Q8=T8,"OK",G8+H8-I8+L8-M8+P8-Q8-T8)</f>
        <v>#REF!</v>
      </c>
      <c r="V8" s="52" t="e">
        <f>AVERAGE('Feuille saisie'!K12,'C2'!S8,'C3'!S8,'C4'!S8,'C5'!S8,'C6'!S8,'C7'!S8,'C8'!S8,'C9'!S8,'C10'!S8,'C11'!S8,'C12'!S8,'C13'!S8,'C14'!S8,'C17'!S8)</f>
        <v>#DIV/0!</v>
      </c>
      <c r="W8" s="14"/>
      <c r="X8" s="44" t="e">
        <f>V8-F8</f>
        <v>#DIV/0!</v>
      </c>
      <c r="Y8" s="53" t="e">
        <f>AVERAGE(G8,G8-H8+I8,G8-H8+I8-L8+M8,G8-H8+I8-L8+M8-P8+Q8)</f>
        <v>#REF!</v>
      </c>
    </row>
    <row r="9" spans="1:27" ht="29.55" customHeight="1" x14ac:dyDescent="0.45">
      <c r="D9" s="14" t="s">
        <v>8</v>
      </c>
      <c r="E9" s="35">
        <v>0.21527777777777779</v>
      </c>
      <c r="F9" s="36"/>
      <c r="G9" s="40"/>
      <c r="H9" s="26"/>
      <c r="I9" s="27"/>
      <c r="J9" s="44"/>
      <c r="L9" s="26"/>
      <c r="M9" s="27"/>
      <c r="N9" s="44"/>
      <c r="P9" s="26"/>
      <c r="Q9" s="27"/>
      <c r="R9" s="44"/>
      <c r="T9" s="26"/>
      <c r="U9" s="32"/>
      <c r="V9" s="44"/>
      <c r="W9" s="14"/>
      <c r="X9" s="44">
        <f t="shared" ref="X9:X46" si="0">V9-F9</f>
        <v>0</v>
      </c>
    </row>
    <row r="10" spans="1:27" ht="29.55" customHeight="1" x14ac:dyDescent="0.45">
      <c r="D10" s="14" t="s">
        <v>8</v>
      </c>
      <c r="E10" s="35">
        <v>0.22222222222222199</v>
      </c>
      <c r="F10" s="36"/>
      <c r="G10" s="40"/>
      <c r="H10" s="26"/>
      <c r="I10" s="27"/>
      <c r="J10" s="44"/>
      <c r="L10" s="26"/>
      <c r="M10" s="27"/>
      <c r="N10" s="44"/>
      <c r="P10" s="26"/>
      <c r="Q10" s="27"/>
      <c r="R10" s="44"/>
      <c r="T10" s="26"/>
      <c r="U10" s="32"/>
      <c r="V10" s="44"/>
      <c r="W10" s="14"/>
      <c r="X10" s="44">
        <f t="shared" si="0"/>
        <v>0</v>
      </c>
    </row>
    <row r="11" spans="1:27" ht="29.55" customHeight="1" x14ac:dyDescent="0.45">
      <c r="D11" s="14" t="s">
        <v>8</v>
      </c>
      <c r="E11" s="35">
        <v>0.22916666666666699</v>
      </c>
      <c r="F11" s="36"/>
      <c r="G11" s="40"/>
      <c r="H11" s="26"/>
      <c r="I11" s="27"/>
      <c r="J11" s="44"/>
      <c r="L11" s="26"/>
      <c r="M11" s="27"/>
      <c r="N11" s="44"/>
      <c r="P11" s="26"/>
      <c r="Q11" s="27"/>
      <c r="R11" s="44"/>
      <c r="T11" s="26"/>
      <c r="U11" s="32"/>
      <c r="V11" s="44"/>
      <c r="W11" s="14"/>
      <c r="X11" s="44">
        <f t="shared" si="0"/>
        <v>0</v>
      </c>
    </row>
    <row r="12" spans="1:27" ht="29.55" customHeight="1" x14ac:dyDescent="0.45">
      <c r="D12" s="14" t="s">
        <v>8</v>
      </c>
      <c r="E12" s="35">
        <v>0.23611111111111099</v>
      </c>
      <c r="F12" s="36"/>
      <c r="G12" s="40"/>
      <c r="H12" s="26"/>
      <c r="I12" s="27"/>
      <c r="J12" s="44"/>
      <c r="L12" s="26"/>
      <c r="M12" s="27"/>
      <c r="N12" s="44"/>
      <c r="P12" s="26"/>
      <c r="Q12" s="27"/>
      <c r="R12" s="44"/>
      <c r="T12" s="26"/>
      <c r="U12" s="32"/>
      <c r="V12" s="44"/>
      <c r="W12" s="14"/>
      <c r="X12" s="44">
        <f t="shared" si="0"/>
        <v>0</v>
      </c>
    </row>
    <row r="13" spans="1:27" ht="29.55" customHeight="1" x14ac:dyDescent="0.45">
      <c r="D13" s="14" t="s">
        <v>8</v>
      </c>
      <c r="E13" s="35">
        <v>0.243055555555556</v>
      </c>
      <c r="F13" s="36"/>
      <c r="G13" s="40"/>
      <c r="H13" s="26"/>
      <c r="I13" s="27"/>
      <c r="J13" s="44"/>
      <c r="L13" s="26"/>
      <c r="M13" s="27"/>
      <c r="N13" s="44"/>
      <c r="P13" s="26"/>
      <c r="Q13" s="27"/>
      <c r="R13" s="44"/>
      <c r="T13" s="26"/>
      <c r="U13" s="32"/>
      <c r="V13" s="44"/>
      <c r="W13" s="14"/>
      <c r="X13" s="44">
        <f t="shared" si="0"/>
        <v>0</v>
      </c>
    </row>
    <row r="14" spans="1:27" ht="29.55" customHeight="1" x14ac:dyDescent="0.45">
      <c r="D14" s="14" t="s">
        <v>8</v>
      </c>
      <c r="E14" s="35">
        <v>0.25</v>
      </c>
      <c r="F14" s="36"/>
      <c r="G14" s="40"/>
      <c r="H14" s="26"/>
      <c r="I14" s="27"/>
      <c r="J14" s="44"/>
      <c r="L14" s="26"/>
      <c r="M14" s="27"/>
      <c r="N14" s="44"/>
      <c r="P14" s="26"/>
      <c r="Q14" s="27"/>
      <c r="R14" s="44"/>
      <c r="T14" s="26"/>
      <c r="U14" s="32"/>
      <c r="V14" s="44"/>
      <c r="W14" s="14"/>
      <c r="X14" s="44">
        <f t="shared" si="0"/>
        <v>0</v>
      </c>
    </row>
    <row r="15" spans="1:27" ht="29.55" customHeight="1" x14ac:dyDescent="0.45">
      <c r="D15" s="14" t="s">
        <v>8</v>
      </c>
      <c r="E15" s="35">
        <v>0.25694444444444398</v>
      </c>
      <c r="F15" s="36"/>
      <c r="G15" s="40"/>
      <c r="H15" s="26"/>
      <c r="I15" s="27"/>
      <c r="J15" s="44"/>
      <c r="L15" s="26"/>
      <c r="M15" s="27"/>
      <c r="N15" s="44"/>
      <c r="P15" s="26"/>
      <c r="Q15" s="27"/>
      <c r="R15" s="44"/>
      <c r="T15" s="26"/>
      <c r="U15" s="32"/>
      <c r="V15" s="44"/>
      <c r="W15" s="14"/>
      <c r="X15" s="44">
        <f t="shared" si="0"/>
        <v>0</v>
      </c>
    </row>
    <row r="16" spans="1:27" ht="29.55" customHeight="1" x14ac:dyDescent="0.45">
      <c r="D16" s="14" t="s">
        <v>8</v>
      </c>
      <c r="E16" s="35">
        <v>0.26388888888888901</v>
      </c>
      <c r="F16" s="36"/>
      <c r="G16" s="40"/>
      <c r="H16" s="26"/>
      <c r="I16" s="27"/>
      <c r="J16" s="44"/>
      <c r="L16" s="26"/>
      <c r="M16" s="27"/>
      <c r="N16" s="44"/>
      <c r="P16" s="26"/>
      <c r="Q16" s="27"/>
      <c r="R16" s="44"/>
      <c r="T16" s="26"/>
      <c r="U16" s="32"/>
      <c r="V16" s="44"/>
      <c r="W16" s="14"/>
      <c r="X16" s="44">
        <f t="shared" si="0"/>
        <v>0</v>
      </c>
    </row>
    <row r="17" spans="4:24" ht="29.55" customHeight="1" x14ac:dyDescent="0.45">
      <c r="D17" s="14" t="s">
        <v>8</v>
      </c>
      <c r="E17" s="35">
        <v>0.27083333333333298</v>
      </c>
      <c r="F17" s="36"/>
      <c r="G17" s="40"/>
      <c r="H17" s="26"/>
      <c r="I17" s="27"/>
      <c r="J17" s="44"/>
      <c r="L17" s="26"/>
      <c r="M17" s="27"/>
      <c r="N17" s="44"/>
      <c r="P17" s="26"/>
      <c r="Q17" s="27"/>
      <c r="R17" s="44"/>
      <c r="T17" s="26"/>
      <c r="U17" s="32"/>
      <c r="V17" s="44"/>
      <c r="W17" s="14"/>
      <c r="X17" s="44">
        <f t="shared" si="0"/>
        <v>0</v>
      </c>
    </row>
    <row r="18" spans="4:24" ht="29.55" customHeight="1" x14ac:dyDescent="0.45">
      <c r="D18" s="14" t="s">
        <v>8</v>
      </c>
      <c r="E18" s="35">
        <v>0.27777777777777801</v>
      </c>
      <c r="F18" s="36"/>
      <c r="G18" s="40"/>
      <c r="H18" s="26"/>
      <c r="I18" s="27"/>
      <c r="J18" s="44"/>
      <c r="L18" s="26"/>
      <c r="M18" s="27"/>
      <c r="N18" s="44"/>
      <c r="P18" s="26"/>
      <c r="Q18" s="27"/>
      <c r="R18" s="44"/>
      <c r="T18" s="26"/>
      <c r="U18" s="32"/>
      <c r="V18" s="44"/>
      <c r="W18" s="14"/>
      <c r="X18" s="44">
        <f t="shared" si="0"/>
        <v>0</v>
      </c>
    </row>
    <row r="19" spans="4:24" ht="29.55" customHeight="1" x14ac:dyDescent="0.45">
      <c r="D19" s="14" t="s">
        <v>8</v>
      </c>
      <c r="E19" s="35">
        <v>0.28472222222222199</v>
      </c>
      <c r="F19" s="36"/>
      <c r="G19" s="40"/>
      <c r="H19" s="26"/>
      <c r="I19" s="27"/>
      <c r="J19" s="44"/>
      <c r="L19" s="26"/>
      <c r="M19" s="27"/>
      <c r="N19" s="44"/>
      <c r="P19" s="26"/>
      <c r="Q19" s="27"/>
      <c r="R19" s="44"/>
      <c r="T19" s="26"/>
      <c r="U19" s="32"/>
      <c r="V19" s="44"/>
      <c r="W19" s="14"/>
      <c r="X19" s="44">
        <f t="shared" si="0"/>
        <v>0</v>
      </c>
    </row>
    <row r="20" spans="4:24" ht="29.55" customHeight="1" x14ac:dyDescent="0.45">
      <c r="D20" s="14" t="s">
        <v>8</v>
      </c>
      <c r="E20" s="35">
        <v>0.29166666666666702</v>
      </c>
      <c r="F20" s="36"/>
      <c r="G20" s="40"/>
      <c r="H20" s="26"/>
      <c r="I20" s="27"/>
      <c r="J20" s="44"/>
      <c r="L20" s="26"/>
      <c r="M20" s="27"/>
      <c r="N20" s="44"/>
      <c r="P20" s="26"/>
      <c r="Q20" s="27"/>
      <c r="R20" s="44"/>
      <c r="T20" s="26"/>
      <c r="U20" s="32"/>
      <c r="V20" s="44"/>
      <c r="W20" s="14"/>
      <c r="X20" s="44">
        <f t="shared" si="0"/>
        <v>0</v>
      </c>
    </row>
    <row r="21" spans="4:24" ht="29.55" customHeight="1" x14ac:dyDescent="0.45">
      <c r="D21" s="14" t="s">
        <v>8</v>
      </c>
      <c r="E21" s="35">
        <v>0.29861111111111099</v>
      </c>
      <c r="F21" s="36"/>
      <c r="G21" s="40"/>
      <c r="H21" s="26"/>
      <c r="I21" s="27"/>
      <c r="J21" s="44"/>
      <c r="L21" s="26"/>
      <c r="M21" s="27"/>
      <c r="N21" s="44"/>
      <c r="P21" s="26"/>
      <c r="Q21" s="27"/>
      <c r="R21" s="44"/>
      <c r="T21" s="26"/>
      <c r="U21" s="32"/>
      <c r="V21" s="44"/>
      <c r="W21" s="14"/>
      <c r="X21" s="44">
        <f t="shared" si="0"/>
        <v>0</v>
      </c>
    </row>
    <row r="22" spans="4:24" ht="29.55" customHeight="1" x14ac:dyDescent="0.45">
      <c r="D22" s="14" t="s">
        <v>8</v>
      </c>
      <c r="E22" s="35">
        <v>0.30555555555555602</v>
      </c>
      <c r="F22" s="36"/>
      <c r="G22" s="40"/>
      <c r="H22" s="26"/>
      <c r="I22" s="27"/>
      <c r="J22" s="44"/>
      <c r="L22" s="26"/>
      <c r="M22" s="27"/>
      <c r="N22" s="44"/>
      <c r="P22" s="26"/>
      <c r="Q22" s="27"/>
      <c r="R22" s="44"/>
      <c r="T22" s="26"/>
      <c r="U22" s="32"/>
      <c r="V22" s="44"/>
      <c r="W22" s="14"/>
      <c r="X22" s="44">
        <f t="shared" si="0"/>
        <v>0</v>
      </c>
    </row>
    <row r="23" spans="4:24" ht="29.55" customHeight="1" x14ac:dyDescent="0.45">
      <c r="D23" s="14" t="s">
        <v>8</v>
      </c>
      <c r="E23" s="35">
        <v>0.3125</v>
      </c>
      <c r="F23" s="36"/>
      <c r="G23" s="40"/>
      <c r="H23" s="26"/>
      <c r="I23" s="27"/>
      <c r="J23" s="44"/>
      <c r="L23" s="26"/>
      <c r="M23" s="27"/>
      <c r="N23" s="44"/>
      <c r="P23" s="26"/>
      <c r="Q23" s="27"/>
      <c r="R23" s="44"/>
      <c r="T23" s="26"/>
      <c r="U23" s="32"/>
      <c r="V23" s="44"/>
      <c r="W23" s="14"/>
      <c r="X23" s="44">
        <f t="shared" si="0"/>
        <v>0</v>
      </c>
    </row>
    <row r="24" spans="4:24" ht="29.55" customHeight="1" x14ac:dyDescent="0.45">
      <c r="D24" s="14" t="s">
        <v>8</v>
      </c>
      <c r="E24" s="35">
        <v>0.31944444444444398</v>
      </c>
      <c r="F24" s="36"/>
      <c r="G24" s="40"/>
      <c r="H24" s="26"/>
      <c r="I24" s="27"/>
      <c r="J24" s="44"/>
      <c r="L24" s="26"/>
      <c r="M24" s="27"/>
      <c r="N24" s="44"/>
      <c r="P24" s="26"/>
      <c r="Q24" s="27"/>
      <c r="R24" s="44"/>
      <c r="T24" s="26"/>
      <c r="U24" s="32"/>
      <c r="V24" s="44"/>
      <c r="W24" s="14"/>
      <c r="X24" s="44">
        <f t="shared" si="0"/>
        <v>0</v>
      </c>
    </row>
    <row r="25" spans="4:24" ht="29.55" customHeight="1" x14ac:dyDescent="0.45">
      <c r="D25" s="14" t="s">
        <v>8</v>
      </c>
      <c r="E25" s="35">
        <v>0.32638888888888901</v>
      </c>
      <c r="F25" s="36"/>
      <c r="G25" s="40"/>
      <c r="H25" s="26"/>
      <c r="I25" s="27"/>
      <c r="J25" s="44"/>
      <c r="L25" s="26"/>
      <c r="M25" s="27"/>
      <c r="N25" s="44"/>
      <c r="P25" s="26"/>
      <c r="Q25" s="27"/>
      <c r="R25" s="44"/>
      <c r="T25" s="26"/>
      <c r="U25" s="32"/>
      <c r="V25" s="44"/>
      <c r="W25" s="14"/>
      <c r="X25" s="44">
        <f t="shared" si="0"/>
        <v>0</v>
      </c>
    </row>
    <row r="26" spans="4:24" ht="29.55" customHeight="1" x14ac:dyDescent="0.45">
      <c r="D26" s="14" t="s">
        <v>8</v>
      </c>
      <c r="E26" s="35">
        <v>0.33333333333333298</v>
      </c>
      <c r="F26" s="36"/>
      <c r="G26" s="40"/>
      <c r="H26" s="26"/>
      <c r="I26" s="27"/>
      <c r="J26" s="44"/>
      <c r="L26" s="26"/>
      <c r="M26" s="27"/>
      <c r="N26" s="44"/>
      <c r="P26" s="26"/>
      <c r="Q26" s="27"/>
      <c r="R26" s="44"/>
      <c r="T26" s="26"/>
      <c r="U26" s="32"/>
      <c r="V26" s="44"/>
      <c r="W26" s="14"/>
      <c r="X26" s="44">
        <f t="shared" si="0"/>
        <v>0</v>
      </c>
    </row>
    <row r="27" spans="4:24" ht="29.55" customHeight="1" x14ac:dyDescent="0.45">
      <c r="D27" s="16"/>
      <c r="E27" s="17"/>
      <c r="F27" s="39"/>
      <c r="G27" s="41"/>
      <c r="H27" s="16"/>
      <c r="I27" s="43"/>
      <c r="J27" s="45"/>
      <c r="K27" s="17"/>
      <c r="L27" s="28"/>
      <c r="M27" s="29"/>
      <c r="N27" s="45"/>
      <c r="O27" s="17"/>
      <c r="P27" s="28"/>
      <c r="Q27" s="29"/>
      <c r="R27" s="45"/>
      <c r="S27" s="17"/>
      <c r="T27" s="28" t="s">
        <v>8</v>
      </c>
      <c r="U27" s="33"/>
      <c r="V27" s="45"/>
      <c r="W27" s="16"/>
      <c r="X27" s="45" t="e">
        <f>SUM(X8:X26)</f>
        <v>#DIV/0!</v>
      </c>
    </row>
    <row r="28" spans="4:24" ht="29.55" customHeight="1" x14ac:dyDescent="0.45">
      <c r="D28" s="22" t="s">
        <v>11</v>
      </c>
      <c r="E28" s="35">
        <v>0.625</v>
      </c>
      <c r="F28" s="36"/>
      <c r="G28" s="24"/>
      <c r="H28" s="14"/>
      <c r="I28" s="25"/>
      <c r="J28" s="44"/>
      <c r="L28" s="26"/>
      <c r="M28" s="27"/>
      <c r="N28" s="44"/>
      <c r="P28" s="26"/>
      <c r="Q28" s="27"/>
      <c r="R28" s="44"/>
      <c r="T28" s="26"/>
      <c r="U28" s="32"/>
      <c r="V28" s="44"/>
      <c r="W28" s="14"/>
      <c r="X28" s="44">
        <f t="shared" si="0"/>
        <v>0</v>
      </c>
    </row>
    <row r="29" spans="4:24" ht="29.55" customHeight="1" x14ac:dyDescent="0.45">
      <c r="D29" s="22" t="s">
        <v>11</v>
      </c>
      <c r="E29" s="35">
        <v>0.63194444444444442</v>
      </c>
      <c r="F29" s="36"/>
      <c r="G29" s="24"/>
      <c r="H29" s="14"/>
      <c r="I29" s="25"/>
      <c r="J29" s="44"/>
      <c r="L29" s="26"/>
      <c r="M29" s="27"/>
      <c r="N29" s="44"/>
      <c r="P29" s="26"/>
      <c r="Q29" s="27"/>
      <c r="R29" s="44"/>
      <c r="T29" s="26"/>
      <c r="U29" s="32"/>
      <c r="V29" s="44"/>
      <c r="W29" s="14"/>
      <c r="X29" s="44">
        <f t="shared" si="0"/>
        <v>0</v>
      </c>
    </row>
    <row r="30" spans="4:24" ht="29.55" customHeight="1" x14ac:dyDescent="0.45">
      <c r="D30" s="22" t="s">
        <v>11</v>
      </c>
      <c r="E30" s="35">
        <v>0.63888888888888895</v>
      </c>
      <c r="F30" s="36"/>
      <c r="G30" s="24"/>
      <c r="H30" s="14"/>
      <c r="I30" s="25"/>
      <c r="J30" s="44"/>
      <c r="L30" s="26"/>
      <c r="M30" s="27"/>
      <c r="N30" s="44"/>
      <c r="P30" s="26"/>
      <c r="Q30" s="27"/>
      <c r="R30" s="44"/>
      <c r="T30" s="26"/>
      <c r="U30" s="32"/>
      <c r="V30" s="44"/>
      <c r="W30" s="14"/>
      <c r="X30" s="44">
        <f t="shared" si="0"/>
        <v>0</v>
      </c>
    </row>
    <row r="31" spans="4:24" ht="29.55" customHeight="1" x14ac:dyDescent="0.45">
      <c r="D31" s="22" t="s">
        <v>11</v>
      </c>
      <c r="E31" s="35">
        <v>0.64583333333333304</v>
      </c>
      <c r="F31" s="36"/>
      <c r="G31" s="24"/>
      <c r="H31" s="14"/>
      <c r="I31" s="25"/>
      <c r="J31" s="44"/>
      <c r="L31" s="26"/>
      <c r="M31" s="27"/>
      <c r="N31" s="44"/>
      <c r="P31" s="26"/>
      <c r="Q31" s="27"/>
      <c r="R31" s="44"/>
      <c r="T31" s="26"/>
      <c r="U31" s="32"/>
      <c r="V31" s="44"/>
      <c r="W31" s="14"/>
      <c r="X31" s="44">
        <f t="shared" si="0"/>
        <v>0</v>
      </c>
    </row>
    <row r="32" spans="4:24" ht="29.55" customHeight="1" x14ac:dyDescent="0.45">
      <c r="D32" s="22" t="s">
        <v>11</v>
      </c>
      <c r="E32" s="35">
        <v>0.65277777777777801</v>
      </c>
      <c r="F32" s="36"/>
      <c r="G32" s="24"/>
      <c r="H32" s="14"/>
      <c r="I32" s="25"/>
      <c r="J32" s="44"/>
      <c r="L32" s="26"/>
      <c r="M32" s="27"/>
      <c r="N32" s="44"/>
      <c r="P32" s="26"/>
      <c r="Q32" s="27"/>
      <c r="R32" s="44"/>
      <c r="T32" s="26"/>
      <c r="U32" s="32"/>
      <c r="V32" s="44"/>
      <c r="W32" s="14"/>
      <c r="X32" s="44">
        <f t="shared" si="0"/>
        <v>0</v>
      </c>
    </row>
    <row r="33" spans="4:24" ht="29.55" customHeight="1" x14ac:dyDescent="0.45">
      <c r="D33" s="22" t="s">
        <v>11</v>
      </c>
      <c r="E33" s="35">
        <v>0.65972222222222199</v>
      </c>
      <c r="F33" s="36"/>
      <c r="G33" s="24"/>
      <c r="H33" s="14"/>
      <c r="I33" s="25"/>
      <c r="J33" s="44"/>
      <c r="L33" s="26"/>
      <c r="M33" s="27"/>
      <c r="N33" s="44"/>
      <c r="P33" s="26"/>
      <c r="Q33" s="27"/>
      <c r="R33" s="44"/>
      <c r="T33" s="26"/>
      <c r="U33" s="32"/>
      <c r="V33" s="44"/>
      <c r="W33" s="14"/>
      <c r="X33" s="44">
        <f t="shared" si="0"/>
        <v>0</v>
      </c>
    </row>
    <row r="34" spans="4:24" ht="29.55" customHeight="1" x14ac:dyDescent="0.45">
      <c r="D34" s="22" t="s">
        <v>11</v>
      </c>
      <c r="E34" s="35">
        <v>0.66666666666666696</v>
      </c>
      <c r="F34" s="36"/>
      <c r="G34" s="24"/>
      <c r="H34" s="14"/>
      <c r="I34" s="25"/>
      <c r="J34" s="44"/>
      <c r="L34" s="26"/>
      <c r="M34" s="27"/>
      <c r="N34" s="44"/>
      <c r="P34" s="26"/>
      <c r="Q34" s="27"/>
      <c r="R34" s="44"/>
      <c r="T34" s="26"/>
      <c r="U34" s="32"/>
      <c r="V34" s="44"/>
      <c r="W34" s="14"/>
      <c r="X34" s="44">
        <f t="shared" si="0"/>
        <v>0</v>
      </c>
    </row>
    <row r="35" spans="4:24" ht="29.55" customHeight="1" x14ac:dyDescent="0.45">
      <c r="D35" s="22" t="s">
        <v>11</v>
      </c>
      <c r="E35" s="35">
        <v>0.67361111111111105</v>
      </c>
      <c r="F35" s="36"/>
      <c r="G35" s="24"/>
      <c r="H35" s="14"/>
      <c r="I35" s="25"/>
      <c r="J35" s="44"/>
      <c r="L35" s="26"/>
      <c r="M35" s="27"/>
      <c r="N35" s="44"/>
      <c r="P35" s="26"/>
      <c r="Q35" s="27"/>
      <c r="R35" s="44"/>
      <c r="T35" s="26"/>
      <c r="U35" s="32"/>
      <c r="V35" s="44"/>
      <c r="W35" s="14"/>
      <c r="X35" s="44">
        <f t="shared" si="0"/>
        <v>0</v>
      </c>
    </row>
    <row r="36" spans="4:24" ht="29.55" customHeight="1" x14ac:dyDescent="0.45">
      <c r="D36" s="22" t="s">
        <v>11</v>
      </c>
      <c r="E36" s="35">
        <v>0.68055555555555503</v>
      </c>
      <c r="F36" s="36"/>
      <c r="G36" s="24"/>
      <c r="H36" s="14"/>
      <c r="I36" s="25"/>
      <c r="J36" s="44"/>
      <c r="L36" s="26"/>
      <c r="M36" s="27"/>
      <c r="N36" s="44"/>
      <c r="P36" s="26"/>
      <c r="Q36" s="27"/>
      <c r="R36" s="44"/>
      <c r="T36" s="26"/>
      <c r="U36" s="32"/>
      <c r="V36" s="44"/>
      <c r="W36" s="14"/>
      <c r="X36" s="44">
        <f t="shared" si="0"/>
        <v>0</v>
      </c>
    </row>
    <row r="37" spans="4:24" ht="29.55" customHeight="1" x14ac:dyDescent="0.45">
      <c r="D37" s="22" t="s">
        <v>11</v>
      </c>
      <c r="E37" s="35">
        <v>0.6875</v>
      </c>
      <c r="F37" s="36"/>
      <c r="G37" s="24"/>
      <c r="H37" s="14"/>
      <c r="I37" s="25"/>
      <c r="J37" s="44"/>
      <c r="L37" s="26"/>
      <c r="M37" s="27"/>
      <c r="N37" s="44"/>
      <c r="P37" s="26"/>
      <c r="Q37" s="27"/>
      <c r="R37" s="44"/>
      <c r="T37" s="26"/>
      <c r="U37" s="32"/>
      <c r="V37" s="44"/>
      <c r="W37" s="14"/>
      <c r="X37" s="44">
        <f t="shared" si="0"/>
        <v>0</v>
      </c>
    </row>
    <row r="38" spans="4:24" ht="29.55" customHeight="1" x14ac:dyDescent="0.45">
      <c r="D38" s="22" t="s">
        <v>11</v>
      </c>
      <c r="E38" s="35">
        <v>0.69444444444444398</v>
      </c>
      <c r="F38" s="36"/>
      <c r="G38" s="24"/>
      <c r="H38" s="14"/>
      <c r="I38" s="25"/>
      <c r="J38" s="44"/>
      <c r="L38" s="26"/>
      <c r="M38" s="27"/>
      <c r="N38" s="44"/>
      <c r="P38" s="26"/>
      <c r="Q38" s="27"/>
      <c r="R38" s="44"/>
      <c r="T38" s="26"/>
      <c r="U38" s="32"/>
      <c r="V38" s="44"/>
      <c r="W38" s="14"/>
      <c r="X38" s="44">
        <f t="shared" si="0"/>
        <v>0</v>
      </c>
    </row>
    <row r="39" spans="4:24" ht="29.55" customHeight="1" x14ac:dyDescent="0.45">
      <c r="D39" s="22" t="s">
        <v>11</v>
      </c>
      <c r="E39" s="35">
        <v>0.70138888888888895</v>
      </c>
      <c r="F39" s="36"/>
      <c r="G39" s="24"/>
      <c r="H39" s="14"/>
      <c r="I39" s="25"/>
      <c r="J39" s="44"/>
      <c r="L39" s="26"/>
      <c r="M39" s="27"/>
      <c r="N39" s="44"/>
      <c r="P39" s="26"/>
      <c r="Q39" s="27"/>
      <c r="R39" s="44"/>
      <c r="T39" s="26"/>
      <c r="U39" s="32"/>
      <c r="V39" s="44"/>
      <c r="W39" s="14"/>
      <c r="X39" s="44">
        <f t="shared" si="0"/>
        <v>0</v>
      </c>
    </row>
    <row r="40" spans="4:24" ht="29.55" customHeight="1" x14ac:dyDescent="0.45">
      <c r="D40" s="22" t="s">
        <v>11</v>
      </c>
      <c r="E40" s="35">
        <v>0.70833333333333304</v>
      </c>
      <c r="F40" s="36"/>
      <c r="G40" s="24"/>
      <c r="H40" s="14"/>
      <c r="I40" s="25"/>
      <c r="J40" s="44"/>
      <c r="L40" s="26"/>
      <c r="M40" s="27"/>
      <c r="N40" s="44"/>
      <c r="P40" s="26"/>
      <c r="Q40" s="27"/>
      <c r="R40" s="44"/>
      <c r="T40" s="26"/>
      <c r="U40" s="32"/>
      <c r="V40" s="44"/>
      <c r="W40" s="14"/>
      <c r="X40" s="44">
        <f t="shared" si="0"/>
        <v>0</v>
      </c>
    </row>
    <row r="41" spans="4:24" ht="29.55" customHeight="1" x14ac:dyDescent="0.45">
      <c r="D41" s="22" t="s">
        <v>11</v>
      </c>
      <c r="E41" s="35">
        <v>0.71527777777777701</v>
      </c>
      <c r="F41" s="36"/>
      <c r="G41" s="24"/>
      <c r="H41" s="14"/>
      <c r="I41" s="25"/>
      <c r="J41" s="44"/>
      <c r="L41" s="26"/>
      <c r="M41" s="27"/>
      <c r="N41" s="44"/>
      <c r="P41" s="26"/>
      <c r="Q41" s="27"/>
      <c r="R41" s="44"/>
      <c r="T41" s="26"/>
      <c r="U41" s="32"/>
      <c r="V41" s="44"/>
      <c r="W41" s="14"/>
      <c r="X41" s="44">
        <f t="shared" si="0"/>
        <v>0</v>
      </c>
    </row>
    <row r="42" spans="4:24" ht="29.55" customHeight="1" x14ac:dyDescent="0.45">
      <c r="D42" s="22" t="s">
        <v>11</v>
      </c>
      <c r="E42" s="35">
        <v>0.72222222222222199</v>
      </c>
      <c r="F42" s="36"/>
      <c r="G42" s="24"/>
      <c r="H42" s="14"/>
      <c r="I42" s="25"/>
      <c r="J42" s="44"/>
      <c r="L42" s="26"/>
      <c r="M42" s="27"/>
      <c r="N42" s="44"/>
      <c r="P42" s="26"/>
      <c r="Q42" s="27"/>
      <c r="R42" s="44"/>
      <c r="T42" s="26"/>
      <c r="U42" s="32"/>
      <c r="V42" s="44"/>
      <c r="W42" s="14"/>
      <c r="X42" s="44">
        <f t="shared" si="0"/>
        <v>0</v>
      </c>
    </row>
    <row r="43" spans="4:24" ht="29.55" customHeight="1" x14ac:dyDescent="0.45">
      <c r="D43" s="22" t="s">
        <v>11</v>
      </c>
      <c r="E43" s="35">
        <v>0.72916666666666596</v>
      </c>
      <c r="F43" s="36"/>
      <c r="G43" s="24"/>
      <c r="H43" s="14"/>
      <c r="I43" s="25"/>
      <c r="J43" s="44"/>
      <c r="L43" s="26"/>
      <c r="M43" s="27"/>
      <c r="N43" s="44"/>
      <c r="P43" s="26"/>
      <c r="Q43" s="27"/>
      <c r="R43" s="44"/>
      <c r="T43" s="26"/>
      <c r="U43" s="32"/>
      <c r="V43" s="44"/>
      <c r="W43" s="14"/>
      <c r="X43" s="44">
        <f t="shared" si="0"/>
        <v>0</v>
      </c>
    </row>
    <row r="44" spans="4:24" ht="29.55" customHeight="1" x14ac:dyDescent="0.45">
      <c r="D44" s="22" t="s">
        <v>11</v>
      </c>
      <c r="E44" s="35">
        <v>0.73611111111111105</v>
      </c>
      <c r="F44" s="36"/>
      <c r="G44" s="24"/>
      <c r="H44" s="14"/>
      <c r="I44" s="25"/>
      <c r="J44" s="44"/>
      <c r="L44" s="26"/>
      <c r="M44" s="27"/>
      <c r="N44" s="44"/>
      <c r="P44" s="26"/>
      <c r="Q44" s="27"/>
      <c r="R44" s="44"/>
      <c r="T44" s="26"/>
      <c r="U44" s="32"/>
      <c r="V44" s="44"/>
      <c r="W44" s="14"/>
      <c r="X44" s="44">
        <f t="shared" si="0"/>
        <v>0</v>
      </c>
    </row>
    <row r="45" spans="4:24" ht="29.55" customHeight="1" x14ac:dyDescent="0.45">
      <c r="D45" s="22" t="s">
        <v>11</v>
      </c>
      <c r="E45" s="35">
        <v>0.74305555555555503</v>
      </c>
      <c r="F45" s="36"/>
      <c r="G45" s="24"/>
      <c r="H45" s="14"/>
      <c r="I45" s="25"/>
      <c r="J45" s="44"/>
      <c r="L45" s="26"/>
      <c r="M45" s="27"/>
      <c r="N45" s="44"/>
      <c r="P45" s="26"/>
      <c r="Q45" s="27"/>
      <c r="R45" s="44"/>
      <c r="T45" s="26"/>
      <c r="U45" s="32"/>
      <c r="V45" s="44"/>
      <c r="W45" s="14"/>
      <c r="X45" s="44">
        <f t="shared" si="0"/>
        <v>0</v>
      </c>
    </row>
    <row r="46" spans="4:24" ht="29.55" customHeight="1" x14ac:dyDescent="0.45">
      <c r="D46" s="23" t="s">
        <v>11</v>
      </c>
      <c r="E46" s="37">
        <v>0.75</v>
      </c>
      <c r="F46" s="38"/>
      <c r="G46" s="42"/>
      <c r="H46" s="8"/>
      <c r="I46" s="19"/>
      <c r="J46" s="46"/>
      <c r="K46" s="11"/>
      <c r="L46" s="30"/>
      <c r="M46" s="31"/>
      <c r="N46" s="46"/>
      <c r="O46" s="11"/>
      <c r="P46" s="30"/>
      <c r="Q46" s="31"/>
      <c r="R46" s="46"/>
      <c r="S46" s="11"/>
      <c r="T46" s="30"/>
      <c r="U46" s="34"/>
      <c r="V46" s="46"/>
      <c r="W46" s="8"/>
      <c r="X46" s="44">
        <f t="shared" si="0"/>
        <v>0</v>
      </c>
    </row>
    <row r="47" spans="4:24" x14ac:dyDescent="0.45">
      <c r="D47" s="8"/>
      <c r="E47" s="15"/>
      <c r="F47" s="19"/>
      <c r="G47" s="42"/>
      <c r="H47" s="8"/>
      <c r="I47" s="19"/>
      <c r="J47" s="46"/>
      <c r="K47" s="11"/>
      <c r="L47" s="30"/>
      <c r="M47" s="31"/>
      <c r="N47" s="46"/>
      <c r="O47" s="11"/>
      <c r="P47" s="30"/>
      <c r="Q47" s="31"/>
      <c r="R47" s="46"/>
      <c r="S47" s="11"/>
      <c r="T47" s="30"/>
      <c r="U47" s="34"/>
      <c r="V47" s="46"/>
      <c r="W47" s="8"/>
      <c r="X47" s="47">
        <f>SUM(X28:X46)</f>
        <v>0</v>
      </c>
    </row>
    <row r="48" spans="4:24" x14ac:dyDescent="0.45">
      <c r="X48" s="35" t="e">
        <f>X47+X27</f>
        <v>#DIV/0!</v>
      </c>
    </row>
  </sheetData>
  <dataConsolidate/>
  <mergeCells count="3">
    <mergeCell ref="H6:J6"/>
    <mergeCell ref="L6:N6"/>
    <mergeCell ref="P6:R6"/>
  </mergeCells>
  <pageMargins left="0.25" right="0.25" top="0.75" bottom="0.75" header="0.3" footer="0.3"/>
  <pageSetup paperSize="9" scale="35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4678a9-aa17-467a-a163-7105ec2f5b04">
      <Terms xmlns="http://schemas.microsoft.com/office/infopath/2007/PartnerControls"/>
    </lcf76f155ced4ddcb4097134ff3c332f>
    <TaxCatchAll xmlns="926e6444-804a-4211-aabc-07442d9bd4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F7C721E8649448CBED49272F5FFB6" ma:contentTypeVersion="14" ma:contentTypeDescription="Crée un document." ma:contentTypeScope="" ma:versionID="20969467d44f3b5b2a1b3726c11f7699">
  <xsd:schema xmlns:xsd="http://www.w3.org/2001/XMLSchema" xmlns:xs="http://www.w3.org/2001/XMLSchema" xmlns:p="http://schemas.microsoft.com/office/2006/metadata/properties" xmlns:ns2="926e6444-804a-4211-aabc-07442d9bd4eb" xmlns:ns3="a04678a9-aa17-467a-a163-7105ec2f5b04" targetNamespace="http://schemas.microsoft.com/office/2006/metadata/properties" ma:root="true" ma:fieldsID="1ba0324337a4d244981cef1ecf7dcfe9" ns2:_="" ns3:_="">
    <xsd:import namespace="926e6444-804a-4211-aabc-07442d9bd4eb"/>
    <xsd:import namespace="a04678a9-aa17-467a-a163-7105ec2f5b0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e6444-804a-4211-aabc-07442d9bd4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7349517-fc68-4529-a999-ffd6a2a84572}" ma:internalName="TaxCatchAll" ma:showField="CatchAllData" ma:web="926e6444-804a-4211-aabc-07442d9bd4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678a9-aa17-467a-a163-7105ec2f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ab35b5-d7e3-4eb1-886f-412adf8200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492902-4AAC-441B-823A-66476402920E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a04678a9-aa17-467a-a163-7105ec2f5b04"/>
    <ds:schemaRef ds:uri="926e6444-804a-4211-aabc-07442d9bd4e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F82E22-0DA7-471F-86B5-4301B37B08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12DC97-B28C-4489-B670-EA89D8831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6e6444-804a-4211-aabc-07442d9bd4eb"/>
    <ds:schemaRef ds:uri="a04678a9-aa17-467a-a163-7105ec2f5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36</vt:i4>
      </vt:variant>
      <vt:variant>
        <vt:lpstr>Plages nommées</vt:lpstr>
      </vt:variant>
      <vt:variant>
        <vt:i4>18</vt:i4>
      </vt:variant>
    </vt:vector>
  </HeadingPairs>
  <TitlesOfParts>
    <vt:vector size="54" baseType="lpstr">
      <vt:lpstr>Feuil1</vt:lpstr>
      <vt:lpstr>REUNION DU 28.04</vt:lpstr>
      <vt:lpstr>Horaire détaillé</vt:lpstr>
      <vt:lpstr>Feuil2</vt:lpstr>
      <vt:lpstr>Previsions facturation</vt:lpstr>
      <vt:lpstr>Feuille saisie dimanché</vt:lpstr>
      <vt:lpstr>Feuille saisie</vt:lpstr>
      <vt:lpstr>H1</vt:lpstr>
      <vt:lpstr>H3B</vt:lpstr>
      <vt:lpstr>H5B</vt:lpstr>
      <vt:lpstr>HCOORDINATEUR</vt:lpstr>
      <vt:lpstr>feuille coordinateur</vt:lpstr>
      <vt:lpstr>feuille coordinateur dimanche</vt:lpstr>
      <vt:lpstr>Feuille présence</vt:lpstr>
      <vt:lpstr>Liste chauffeur</vt:lpstr>
      <vt:lpstr>Horaire par chauffeur</vt:lpstr>
      <vt:lpstr>Horaire</vt:lpstr>
      <vt:lpstr>Horaire dimanche2</vt:lpstr>
      <vt:lpstr>Horaire dimanche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  <vt:lpstr>C15</vt:lpstr>
      <vt:lpstr>C16</vt:lpstr>
      <vt:lpstr>C17</vt:lpstr>
      <vt:lpstr>Statistiques</vt:lpstr>
      <vt:lpstr>'C16'!Impression_des_titres</vt:lpstr>
      <vt:lpstr>'feuille coordinateur'!Impression_des_titres</vt:lpstr>
      <vt:lpstr>'feuille coordinateur dimanche'!Impression_des_titres</vt:lpstr>
      <vt:lpstr>Horaire!Impression_des_titres</vt:lpstr>
      <vt:lpstr>'Horaire dimanche'!Impression_des_titres</vt:lpstr>
      <vt:lpstr>'Horaire dimanche2'!Impression_des_titres</vt:lpstr>
      <vt:lpstr>'Horaire par chauffeur'!Impression_des_titres</vt:lpstr>
      <vt:lpstr>'feuille coordinateur'!Zone_d_impression</vt:lpstr>
      <vt:lpstr>'feuille coordinateur dimanche'!Zone_d_impression</vt:lpstr>
      <vt:lpstr>'Feuille saisie'!Zone_d_impression</vt:lpstr>
      <vt:lpstr>'Feuille saisie dimanché'!Zone_d_impression</vt:lpstr>
      <vt:lpstr>'H1'!Zone_d_impression</vt:lpstr>
      <vt:lpstr>H3B!Zone_d_impression</vt:lpstr>
      <vt:lpstr>H5B!Zone_d_impression</vt:lpstr>
      <vt:lpstr>HCOORDINATEUR!Zone_d_impression</vt:lpstr>
      <vt:lpstr>'Horaire par chauffeur'!Zone_d_impression</vt:lpstr>
      <vt:lpstr>'Liste chauffeur'!Zone_d_impression</vt:lpstr>
      <vt:lpstr>'REUNION DU 28.04'!Zone_d_impression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Chaudet</dc:creator>
  <cp:lastModifiedBy>DAF</cp:lastModifiedBy>
  <cp:lastPrinted>2026-04-28T14:29:24Z</cp:lastPrinted>
  <dcterms:created xsi:type="dcterms:W3CDTF">2024-04-09T11:31:59Z</dcterms:created>
  <dcterms:modified xsi:type="dcterms:W3CDTF">2026-04-28T14:29:26Z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0x010100528F7C721E8649448CBED49272F5FFB6</vt:lpwstr>
  </property>
</Properties>
</file>